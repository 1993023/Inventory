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C:\Users\Admin\Documents\VSWorkingDir\integration\"/>
    </mc:Choice>
  </mc:AlternateContent>
  <xr:revisionPtr revIDLastSave="0" documentId="13_ncr:1_{D0825BA4-7D16-4099-8B2B-551E2EB272A0}" xr6:coauthVersionLast="43" xr6:coauthVersionMax="43" xr10:uidLastSave="{00000000-0000-0000-0000-000000000000}"/>
  <bookViews>
    <workbookView xWindow="-120" yWindow="-120" windowWidth="20730" windowHeight="11160" firstSheet="9" activeTab="11" xr2:uid="{00000000-000D-0000-FFFF-FFFF00000000}"/>
  </bookViews>
  <sheets>
    <sheet name="Core Work Sheet" sheetId="17" state="hidden" r:id="rId1"/>
    <sheet name="Emergency Demand (Tonnes)" sheetId="3" r:id="rId2"/>
    <sheet name="Sheet Description" sheetId="15" state="hidden" r:id="rId3"/>
    <sheet name="Days on Hand Inventory (Days)" sheetId="4" state="hidden" r:id="rId4"/>
    <sheet name="Inter Plant Lead Time (Days)" sheetId="5" state="hidden" r:id="rId5"/>
    <sheet name="Demand Priority" sheetId="6" r:id="rId6"/>
    <sheet name="Inter Plant Mix Readiness" sheetId="7" state="hidden" r:id="rId7"/>
    <sheet name="Similarity Index" sheetId="8" r:id="rId8"/>
    <sheet name="Inter Plant Lead Time" sheetId="9" r:id="rId9"/>
    <sheet name="Risk of Under Supply" sheetId="10" r:id="rId10"/>
    <sheet name="Days on hand Inventory" sheetId="11" r:id="rId11"/>
    <sheet name="Estimated Days of Replenishment" sheetId="12" r:id="rId12"/>
    <sheet name="Inventory (In Tonnes)" sheetId="13" r:id="rId13"/>
    <sheet name="Planned Milling Rate Day -Ton" sheetId="14" state="hidden" r:id="rId14"/>
  </sheets>
  <externalReferences>
    <externalReference r:id="rId15"/>
  </externalReferenc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12" l="1"/>
  <c r="E6" i="12"/>
  <c r="F6" i="12"/>
  <c r="G6" i="12"/>
  <c r="H6" i="12"/>
  <c r="I6" i="12"/>
  <c r="J6" i="12"/>
  <c r="C6" i="12"/>
  <c r="D5" i="12"/>
  <c r="E5" i="12"/>
  <c r="F5" i="12"/>
  <c r="G5" i="12"/>
  <c r="H5" i="12"/>
  <c r="I5" i="12"/>
  <c r="J5" i="12"/>
  <c r="C5" i="12"/>
  <c r="C3" i="13" l="1"/>
  <c r="D3" i="13"/>
  <c r="E3" i="13"/>
  <c r="F3" i="13"/>
  <c r="G3" i="13"/>
  <c r="H3" i="13"/>
  <c r="I3" i="13"/>
  <c r="J3" i="13"/>
  <c r="C4" i="13"/>
  <c r="D4" i="13"/>
  <c r="E4" i="13"/>
  <c r="F4" i="13"/>
  <c r="G4" i="13"/>
  <c r="H4" i="13"/>
  <c r="I4" i="13"/>
  <c r="J4" i="13"/>
  <c r="C5" i="13"/>
  <c r="D5" i="13"/>
  <c r="E5" i="13"/>
  <c r="F5" i="13"/>
  <c r="G5" i="13"/>
  <c r="H5" i="13"/>
  <c r="I5" i="13"/>
  <c r="J5" i="13"/>
  <c r="C6" i="13"/>
  <c r="D6" i="13"/>
  <c r="E6" i="13"/>
  <c r="F6" i="13"/>
  <c r="G6" i="13"/>
  <c r="H6" i="13"/>
  <c r="I6" i="13"/>
  <c r="J6" i="13"/>
  <c r="C7" i="13"/>
  <c r="D7" i="13"/>
  <c r="E7" i="13"/>
  <c r="F7" i="13"/>
  <c r="G7" i="13"/>
  <c r="H7" i="13"/>
  <c r="I7" i="13"/>
  <c r="J7" i="13"/>
  <c r="C8" i="13"/>
  <c r="D8" i="13"/>
  <c r="E8" i="13"/>
  <c r="F8" i="13"/>
  <c r="G8" i="13"/>
  <c r="H8" i="13"/>
  <c r="I8" i="13"/>
  <c r="J8" i="13"/>
  <c r="C9" i="13"/>
  <c r="D9" i="13"/>
  <c r="E9" i="13"/>
  <c r="F9" i="13"/>
  <c r="G9" i="13"/>
  <c r="H9" i="13"/>
  <c r="I9" i="13"/>
  <c r="J9" i="13"/>
  <c r="C10" i="13"/>
  <c r="D10" i="13"/>
  <c r="E10" i="13"/>
  <c r="F10" i="13"/>
  <c r="G10" i="13"/>
  <c r="H10" i="13"/>
  <c r="I10" i="13"/>
  <c r="J10" i="13"/>
  <c r="C11" i="13"/>
  <c r="D11" i="13"/>
  <c r="E11" i="13"/>
  <c r="F11" i="13"/>
  <c r="G11" i="13"/>
  <c r="H11" i="13"/>
  <c r="I11" i="13"/>
  <c r="J11" i="13"/>
  <c r="D2" i="13"/>
  <c r="E2" i="13"/>
  <c r="F2" i="13"/>
  <c r="G2" i="13"/>
  <c r="H2" i="13"/>
  <c r="I2" i="13"/>
  <c r="J2" i="13"/>
  <c r="C2" i="13"/>
  <c r="C3" i="10"/>
  <c r="D3" i="10"/>
  <c r="E3" i="10"/>
  <c r="F3" i="10"/>
  <c r="G3" i="10"/>
  <c r="H3" i="10"/>
  <c r="I3" i="10"/>
  <c r="J3" i="10"/>
  <c r="C4" i="10"/>
  <c r="D4" i="10"/>
  <c r="E4" i="10"/>
  <c r="F4" i="10"/>
  <c r="G4" i="10"/>
  <c r="H4" i="10"/>
  <c r="I4" i="10"/>
  <c r="J4" i="10"/>
  <c r="C5" i="10"/>
  <c r="D5" i="10"/>
  <c r="E5" i="10"/>
  <c r="F5" i="10"/>
  <c r="G5" i="10"/>
  <c r="H5" i="10"/>
  <c r="I5" i="10"/>
  <c r="J5" i="10"/>
  <c r="C6" i="10"/>
  <c r="D6" i="10"/>
  <c r="E6" i="10"/>
  <c r="F6" i="10"/>
  <c r="G6" i="10"/>
  <c r="H6" i="10"/>
  <c r="I6" i="10"/>
  <c r="J6" i="10"/>
  <c r="C7" i="10"/>
  <c r="D7" i="10"/>
  <c r="E7" i="10"/>
  <c r="F7" i="10"/>
  <c r="G7" i="10"/>
  <c r="H7" i="10"/>
  <c r="I7" i="10"/>
  <c r="J7" i="10"/>
  <c r="C8" i="10"/>
  <c r="D8" i="10"/>
  <c r="E8" i="10"/>
  <c r="F8" i="10"/>
  <c r="G8" i="10"/>
  <c r="H8" i="10"/>
  <c r="I8" i="10"/>
  <c r="J8" i="10"/>
  <c r="C9" i="10"/>
  <c r="D9" i="10"/>
  <c r="E9" i="10"/>
  <c r="F9" i="10"/>
  <c r="G9" i="10"/>
  <c r="H9" i="10"/>
  <c r="I9" i="10"/>
  <c r="J9" i="10"/>
  <c r="C10" i="10"/>
  <c r="D10" i="10"/>
  <c r="E10" i="10"/>
  <c r="F10" i="10"/>
  <c r="G10" i="10"/>
  <c r="H10" i="10"/>
  <c r="I10" i="10"/>
  <c r="J10" i="10"/>
  <c r="C11" i="10"/>
  <c r="D11" i="10"/>
  <c r="E11" i="10"/>
  <c r="F11" i="10"/>
  <c r="G11" i="10"/>
  <c r="H11" i="10"/>
  <c r="I11" i="10"/>
  <c r="J11" i="10"/>
  <c r="D2" i="10"/>
  <c r="E2" i="10"/>
  <c r="F2" i="10"/>
  <c r="G2" i="10"/>
  <c r="H2" i="10"/>
  <c r="I2" i="10"/>
  <c r="J2" i="10"/>
  <c r="C2" i="10"/>
  <c r="E3" i="11" l="1"/>
  <c r="G3" i="11"/>
  <c r="F11" i="11"/>
  <c r="C3" i="12"/>
  <c r="D3" i="12"/>
  <c r="E3" i="12"/>
  <c r="F3" i="12"/>
  <c r="G3" i="12"/>
  <c r="H3" i="12"/>
  <c r="I3" i="12"/>
  <c r="J3" i="12"/>
  <c r="C4" i="12"/>
  <c r="D4" i="12"/>
  <c r="E4" i="12"/>
  <c r="F4" i="12"/>
  <c r="G4" i="12"/>
  <c r="H4" i="12"/>
  <c r="I4" i="12"/>
  <c r="J4" i="12"/>
  <c r="C7" i="12"/>
  <c r="D7" i="12"/>
  <c r="E7" i="12"/>
  <c r="F7" i="12"/>
  <c r="G7" i="12"/>
  <c r="H7" i="12"/>
  <c r="I7" i="12"/>
  <c r="J7" i="12"/>
  <c r="C8" i="12"/>
  <c r="D8" i="12"/>
  <c r="E8" i="12"/>
  <c r="F8" i="12"/>
  <c r="G8" i="12"/>
  <c r="H8" i="12"/>
  <c r="I8" i="12"/>
  <c r="J8" i="12"/>
  <c r="C9" i="12"/>
  <c r="D9" i="12"/>
  <c r="E9" i="12"/>
  <c r="F9" i="12"/>
  <c r="G9" i="12"/>
  <c r="H9" i="12"/>
  <c r="I9" i="12"/>
  <c r="J9" i="12"/>
  <c r="C10" i="12"/>
  <c r="D10" i="12"/>
  <c r="E10" i="12"/>
  <c r="F10" i="12"/>
  <c r="G10" i="12"/>
  <c r="H10" i="12"/>
  <c r="I10" i="12"/>
  <c r="J10" i="12"/>
  <c r="C11" i="12"/>
  <c r="D11" i="12"/>
  <c r="E11" i="12"/>
  <c r="F11" i="12"/>
  <c r="G11" i="12"/>
  <c r="H11" i="12"/>
  <c r="I11" i="12"/>
  <c r="J11" i="12"/>
  <c r="D2" i="12"/>
  <c r="E2" i="12"/>
  <c r="F2" i="12"/>
  <c r="G2" i="12"/>
  <c r="H2" i="12"/>
  <c r="I2" i="12"/>
  <c r="J2" i="12"/>
  <c r="C2" i="12"/>
  <c r="C3" i="11"/>
  <c r="D3" i="11"/>
  <c r="I3" i="11"/>
  <c r="J3" i="11"/>
  <c r="C4" i="11"/>
  <c r="D4" i="11"/>
  <c r="H4" i="11"/>
  <c r="I4" i="11"/>
  <c r="J4" i="11"/>
  <c r="C5" i="11"/>
  <c r="D5" i="11"/>
  <c r="I5" i="11"/>
  <c r="J5" i="11"/>
  <c r="C6" i="11"/>
  <c r="D6" i="11"/>
  <c r="I6" i="11"/>
  <c r="J6" i="11"/>
  <c r="C7" i="11"/>
  <c r="D7" i="11"/>
  <c r="I7" i="11"/>
  <c r="J7" i="11"/>
  <c r="C8" i="11"/>
  <c r="D8" i="11"/>
  <c r="I8" i="11"/>
  <c r="J8" i="11"/>
  <c r="C9" i="11"/>
  <c r="D9" i="11"/>
  <c r="F9" i="11"/>
  <c r="I9" i="11"/>
  <c r="J9" i="11"/>
  <c r="C10" i="11"/>
  <c r="D10" i="11"/>
  <c r="I10" i="11"/>
  <c r="J10" i="11"/>
  <c r="C11" i="11"/>
  <c r="D11" i="11"/>
  <c r="I11" i="11"/>
  <c r="J11" i="11"/>
  <c r="D2" i="11"/>
  <c r="I2" i="11"/>
  <c r="J2" i="11"/>
  <c r="C2" i="11"/>
  <c r="E7" i="11" l="1"/>
  <c r="H7" i="11"/>
  <c r="F10" i="11"/>
  <c r="H10" i="11"/>
  <c r="E11" i="11"/>
  <c r="H5" i="11"/>
  <c r="F2" i="11"/>
  <c r="E6" i="11"/>
  <c r="G2" i="11"/>
  <c r="F8" i="11"/>
  <c r="E8" i="11"/>
  <c r="H8" i="11"/>
  <c r="F4" i="11"/>
  <c r="E4" i="11"/>
  <c r="G4" i="11"/>
  <c r="H11" i="11"/>
  <c r="F6" i="11"/>
  <c r="F7" i="11"/>
  <c r="E2" i="11"/>
  <c r="H3" i="11"/>
  <c r="F3" i="11"/>
  <c r="G8" i="11"/>
  <c r="G6" i="11"/>
  <c r="H6" i="11"/>
  <c r="H2" i="11"/>
  <c r="G11" i="11"/>
  <c r="G7" i="11"/>
  <c r="E9" i="11"/>
  <c r="E5" i="11"/>
  <c r="F5" i="11"/>
  <c r="H9" i="11"/>
  <c r="G9" i="11"/>
  <c r="G10" i="11"/>
  <c r="G5" i="11"/>
  <c r="E10" i="11"/>
  <c r="E6" i="17"/>
  <c r="F6" i="17"/>
  <c r="G6" i="17"/>
  <c r="I6" i="17"/>
  <c r="J6" i="17"/>
  <c r="K6" i="17"/>
  <c r="N6" i="17"/>
  <c r="O6" i="17"/>
  <c r="S6" i="17"/>
  <c r="T6" i="17"/>
  <c r="U6" i="17"/>
  <c r="V6" i="17"/>
  <c r="W6" i="17"/>
  <c r="X6" i="17"/>
  <c r="Y6" i="17"/>
  <c r="Z6" i="17"/>
  <c r="D7" i="17"/>
  <c r="E7" i="17"/>
  <c r="F7" i="17"/>
  <c r="G7" i="17"/>
  <c r="H7" i="17"/>
  <c r="I7" i="17"/>
  <c r="J7" i="17"/>
  <c r="K7" i="17"/>
  <c r="N7" i="17"/>
  <c r="S7" i="17"/>
  <c r="T7" i="17"/>
  <c r="U7" i="17"/>
  <c r="V7" i="17"/>
  <c r="W7" i="17"/>
  <c r="X7" i="17"/>
  <c r="Y7" i="17"/>
  <c r="Z7" i="17"/>
  <c r="D8" i="17"/>
  <c r="E8" i="17"/>
  <c r="F8" i="17"/>
  <c r="G8" i="17"/>
  <c r="H8" i="17"/>
  <c r="I8" i="17"/>
  <c r="J8" i="17"/>
  <c r="K8" i="17"/>
  <c r="N8" i="17"/>
  <c r="S8" i="17"/>
  <c r="T8" i="17"/>
  <c r="U8" i="17"/>
  <c r="V8" i="17"/>
  <c r="W8" i="17"/>
  <c r="X8" i="17"/>
  <c r="Y8" i="17"/>
  <c r="Z8" i="17"/>
  <c r="D9" i="17"/>
  <c r="E9" i="17"/>
  <c r="F9" i="17"/>
  <c r="G9" i="17"/>
  <c r="H9" i="17"/>
  <c r="I9" i="17"/>
  <c r="J9" i="17"/>
  <c r="K9" i="17"/>
  <c r="N9" i="17"/>
  <c r="S9" i="17"/>
  <c r="T9" i="17"/>
  <c r="U9" i="17"/>
  <c r="V9" i="17"/>
  <c r="W9" i="17"/>
  <c r="X9" i="17"/>
  <c r="Y9" i="17"/>
  <c r="Z9" i="17"/>
  <c r="D10" i="17"/>
  <c r="E10" i="17"/>
  <c r="F10" i="17"/>
  <c r="G10" i="17"/>
  <c r="H10" i="17"/>
  <c r="I10" i="17"/>
  <c r="J10" i="17"/>
  <c r="K10" i="17"/>
  <c r="N10" i="17"/>
  <c r="S10" i="17"/>
  <c r="T10" i="17"/>
  <c r="U10" i="17"/>
  <c r="V10" i="17"/>
  <c r="W10" i="17"/>
  <c r="X10" i="17"/>
  <c r="Y10" i="17"/>
  <c r="Z10" i="17"/>
  <c r="D11" i="17"/>
  <c r="E11" i="17"/>
  <c r="F11" i="17"/>
  <c r="G11" i="17"/>
  <c r="H11" i="17"/>
  <c r="I11" i="17"/>
  <c r="J11" i="17"/>
  <c r="K11" i="17"/>
  <c r="N11" i="17"/>
  <c r="S11" i="17"/>
  <c r="T11" i="17"/>
  <c r="U11" i="17"/>
  <c r="V11" i="17"/>
  <c r="W11" i="17"/>
  <c r="X11" i="17"/>
  <c r="Y11" i="17"/>
  <c r="Z11" i="17"/>
  <c r="D12" i="17"/>
  <c r="E12" i="17"/>
  <c r="F12" i="17"/>
  <c r="G12" i="17"/>
  <c r="H12" i="17"/>
  <c r="I12" i="17"/>
  <c r="J12" i="17"/>
  <c r="K12" i="17"/>
  <c r="N12" i="17"/>
  <c r="S12" i="17"/>
  <c r="T12" i="17"/>
  <c r="U12" i="17"/>
  <c r="V12" i="17"/>
  <c r="W12" i="17"/>
  <c r="X12" i="17"/>
  <c r="Y12" i="17"/>
  <c r="Z12" i="17"/>
  <c r="D13" i="17"/>
  <c r="E13" i="17"/>
  <c r="F13" i="17"/>
  <c r="G13" i="17"/>
  <c r="H13" i="17"/>
  <c r="I13" i="17"/>
  <c r="J13" i="17"/>
  <c r="K13" i="17"/>
  <c r="N13" i="17"/>
  <c r="S13" i="17"/>
  <c r="T13" i="17"/>
  <c r="U13" i="17"/>
  <c r="V13" i="17"/>
  <c r="W13" i="17"/>
  <c r="X13" i="17"/>
  <c r="Y13" i="17"/>
  <c r="Z13" i="17"/>
  <c r="D14" i="17"/>
  <c r="E14" i="17"/>
  <c r="F14" i="17"/>
  <c r="G14" i="17"/>
  <c r="H14" i="17"/>
  <c r="I14" i="17"/>
  <c r="J14" i="17"/>
  <c r="K14" i="17"/>
  <c r="N14" i="17"/>
  <c r="S14" i="17"/>
  <c r="T14" i="17"/>
  <c r="U14" i="17"/>
  <c r="V14" i="17"/>
  <c r="W14" i="17"/>
  <c r="X14" i="17"/>
  <c r="Y14" i="17"/>
  <c r="Z14" i="17"/>
  <c r="D15" i="17"/>
  <c r="E15" i="17"/>
  <c r="F15" i="17"/>
  <c r="G15" i="17"/>
  <c r="H15" i="17"/>
  <c r="I15" i="17"/>
  <c r="J15" i="17"/>
  <c r="K15" i="17"/>
  <c r="N15" i="17"/>
  <c r="S15" i="17"/>
  <c r="T15" i="17"/>
  <c r="U15" i="17"/>
  <c r="V15" i="17"/>
  <c r="W15" i="17"/>
  <c r="X15" i="17"/>
  <c r="Y15" i="17"/>
  <c r="Z15" i="17"/>
  <c r="D23" i="17"/>
  <c r="E23" i="17"/>
  <c r="F23" i="17"/>
  <c r="G23" i="17"/>
  <c r="H23" i="17"/>
  <c r="I23" i="17"/>
  <c r="J23" i="17"/>
  <c r="K23" i="17"/>
  <c r="O23" i="17"/>
  <c r="P23" i="17"/>
  <c r="Q23" i="17"/>
  <c r="R23" i="17"/>
  <c r="S23" i="17"/>
  <c r="T23" i="17"/>
  <c r="U23" i="17"/>
  <c r="V23" i="17"/>
  <c r="D24" i="17"/>
  <c r="E24" i="17"/>
  <c r="F24" i="17"/>
  <c r="G24" i="17"/>
  <c r="H24" i="17"/>
  <c r="I24" i="17"/>
  <c r="J24" i="17"/>
  <c r="K24" i="17"/>
  <c r="O24" i="17"/>
  <c r="P24" i="17"/>
  <c r="Q24" i="17"/>
  <c r="R24" i="17"/>
  <c r="S24" i="17"/>
  <c r="T24" i="17"/>
  <c r="U24" i="17"/>
  <c r="V24" i="17"/>
  <c r="K40" i="17" s="1"/>
  <c r="D25" i="17"/>
  <c r="E25" i="17"/>
  <c r="F25" i="17"/>
  <c r="G25" i="17"/>
  <c r="H25" i="17"/>
  <c r="I25" i="17"/>
  <c r="J25" i="17"/>
  <c r="K25" i="17"/>
  <c r="O25" i="17"/>
  <c r="P25" i="17"/>
  <c r="Q25" i="17"/>
  <c r="R25" i="17"/>
  <c r="S25" i="17"/>
  <c r="T25" i="17"/>
  <c r="U25" i="17"/>
  <c r="V25" i="17"/>
  <c r="D26" i="17"/>
  <c r="E26" i="17"/>
  <c r="F26" i="17"/>
  <c r="G26" i="17"/>
  <c r="H26" i="17"/>
  <c r="I26" i="17"/>
  <c r="J26" i="17"/>
  <c r="K26" i="17"/>
  <c r="O26" i="17"/>
  <c r="D42" i="17" s="1"/>
  <c r="P26" i="17"/>
  <c r="Q26" i="17"/>
  <c r="R26" i="17"/>
  <c r="S26" i="17"/>
  <c r="T26" i="17"/>
  <c r="U26" i="17"/>
  <c r="V26" i="17"/>
  <c r="D27" i="17"/>
  <c r="E27" i="17"/>
  <c r="F27" i="17"/>
  <c r="G27" i="17"/>
  <c r="H27" i="17"/>
  <c r="I27" i="17"/>
  <c r="J27" i="17"/>
  <c r="K27" i="17"/>
  <c r="O27" i="17"/>
  <c r="D43" i="17" s="1"/>
  <c r="P27" i="17"/>
  <c r="Q27" i="17"/>
  <c r="R27" i="17"/>
  <c r="S27" i="17"/>
  <c r="T27" i="17"/>
  <c r="U27" i="17"/>
  <c r="V27" i="17"/>
  <c r="D28" i="17"/>
  <c r="E28" i="17"/>
  <c r="F28" i="17"/>
  <c r="G28" i="17"/>
  <c r="H28" i="17"/>
  <c r="I28" i="17"/>
  <c r="J28" i="17"/>
  <c r="K28" i="17"/>
  <c r="O28" i="17"/>
  <c r="D44" i="17" s="1"/>
  <c r="P28" i="17"/>
  <c r="Q28" i="17"/>
  <c r="R28" i="17"/>
  <c r="S28" i="17"/>
  <c r="H44" i="17" s="1"/>
  <c r="T28" i="17"/>
  <c r="U28" i="17"/>
  <c r="V28" i="17"/>
  <c r="D29" i="17"/>
  <c r="E29" i="17"/>
  <c r="F29" i="17"/>
  <c r="G29" i="17"/>
  <c r="H29" i="17"/>
  <c r="I29" i="17"/>
  <c r="J29" i="17"/>
  <c r="K29" i="17"/>
  <c r="O29" i="17"/>
  <c r="D45" i="17" s="1"/>
  <c r="P29" i="17"/>
  <c r="Q29" i="17"/>
  <c r="R29" i="17"/>
  <c r="S29" i="17"/>
  <c r="T29" i="17"/>
  <c r="U29" i="17"/>
  <c r="V29" i="17"/>
  <c r="K45" i="17" s="1"/>
  <c r="D30" i="17"/>
  <c r="E30" i="17"/>
  <c r="F30" i="17"/>
  <c r="G30" i="17"/>
  <c r="H30" i="17"/>
  <c r="I30" i="17"/>
  <c r="J30" i="17"/>
  <c r="K30" i="17"/>
  <c r="O30" i="17"/>
  <c r="P30" i="17"/>
  <c r="Q30" i="17"/>
  <c r="F46" i="17" s="1"/>
  <c r="R30" i="17"/>
  <c r="S30" i="17"/>
  <c r="T30" i="17"/>
  <c r="U30" i="17"/>
  <c r="V30" i="17"/>
  <c r="D31" i="17"/>
  <c r="E31" i="17"/>
  <c r="F31" i="17"/>
  <c r="G31" i="17"/>
  <c r="H31" i="17"/>
  <c r="I31" i="17"/>
  <c r="J31" i="17"/>
  <c r="K31" i="17"/>
  <c r="O31" i="17"/>
  <c r="P31" i="17"/>
  <c r="Q31" i="17"/>
  <c r="R31" i="17"/>
  <c r="S31" i="17"/>
  <c r="T31" i="17"/>
  <c r="U31" i="17"/>
  <c r="V31" i="17"/>
  <c r="D32" i="17"/>
  <c r="E32" i="17"/>
  <c r="F32" i="17"/>
  <c r="G32" i="17"/>
  <c r="H32" i="17"/>
  <c r="I32" i="17"/>
  <c r="J32" i="17"/>
  <c r="K32" i="17"/>
  <c r="O32" i="17"/>
  <c r="P32" i="17"/>
  <c r="E48" i="17" s="1"/>
  <c r="Q32" i="17"/>
  <c r="R32" i="17"/>
  <c r="S32" i="17"/>
  <c r="T32" i="17"/>
  <c r="U32" i="17"/>
  <c r="V32" i="17"/>
  <c r="D39" i="17"/>
  <c r="E39" i="17"/>
  <c r="F39" i="17"/>
  <c r="G39" i="17"/>
  <c r="H39" i="17"/>
  <c r="I39" i="17"/>
  <c r="J39" i="17"/>
  <c r="K39" i="17"/>
  <c r="D40" i="17"/>
  <c r="E40" i="17"/>
  <c r="N40" i="17"/>
  <c r="N41" i="17"/>
  <c r="O41" i="17"/>
  <c r="N42" i="17"/>
  <c r="O42" i="17"/>
  <c r="P42" i="17"/>
  <c r="N43" i="17"/>
  <c r="O43" i="17"/>
  <c r="P43" i="17"/>
  <c r="Q43" i="17"/>
  <c r="N44" i="17"/>
  <c r="O44" i="17"/>
  <c r="P44" i="17"/>
  <c r="Q44" i="17"/>
  <c r="R44" i="17"/>
  <c r="N45" i="17"/>
  <c r="O45" i="17"/>
  <c r="P45" i="17"/>
  <c r="Q45" i="17"/>
  <c r="R45" i="17"/>
  <c r="S45" i="17"/>
  <c r="N46" i="17"/>
  <c r="O46" i="17"/>
  <c r="P46" i="17"/>
  <c r="Q46" i="17"/>
  <c r="R46" i="17"/>
  <c r="S46" i="17"/>
  <c r="T46" i="17"/>
  <c r="N47" i="17"/>
  <c r="O47" i="17"/>
  <c r="P47" i="17"/>
  <c r="Q47" i="17"/>
  <c r="R47" i="17"/>
  <c r="S47" i="17"/>
  <c r="T47" i="17"/>
  <c r="U47" i="17"/>
  <c r="N48" i="17"/>
  <c r="O48" i="17"/>
  <c r="P48" i="17"/>
  <c r="Q48" i="17"/>
  <c r="R48" i="17"/>
  <c r="S48" i="17"/>
  <c r="T48" i="17"/>
  <c r="U48" i="17"/>
  <c r="V48" i="17"/>
  <c r="J47" i="17" l="1"/>
  <c r="G44" i="17"/>
  <c r="O15" i="17"/>
  <c r="K42" i="17"/>
  <c r="J41" i="17"/>
  <c r="G41" i="17"/>
  <c r="G48" i="17"/>
  <c r="J43" i="17"/>
  <c r="K44" i="17"/>
  <c r="J46" i="17"/>
  <c r="E46" i="17"/>
  <c r="D41" i="17"/>
  <c r="D47" i="17"/>
  <c r="G46" i="17"/>
  <c r="H42" i="17"/>
  <c r="D48" i="17"/>
  <c r="H43" i="17"/>
  <c r="J45" i="17"/>
  <c r="H48" i="17"/>
  <c r="F45" i="17"/>
  <c r="H40" i="17"/>
  <c r="H45" i="17"/>
  <c r="G45" i="17"/>
  <c r="I45" i="17"/>
  <c r="E45" i="17"/>
  <c r="E44" i="17"/>
  <c r="I47" i="17"/>
  <c r="H47" i="17"/>
  <c r="H46" i="17"/>
  <c r="K46" i="17"/>
  <c r="E47" i="17"/>
  <c r="I44" i="17"/>
  <c r="E43" i="17"/>
  <c r="I41" i="17"/>
  <c r="O13" i="17"/>
  <c r="O7" i="17"/>
  <c r="O14" i="17"/>
  <c r="O10" i="17"/>
  <c r="O12" i="17"/>
  <c r="O8" i="17"/>
  <c r="K43" i="17"/>
  <c r="G43" i="17"/>
  <c r="J40" i="17"/>
  <c r="G47" i="17"/>
  <c r="F44" i="17"/>
  <c r="I40" i="17"/>
  <c r="E41" i="17"/>
  <c r="F41" i="17"/>
  <c r="G40" i="17"/>
  <c r="K48" i="17"/>
  <c r="I48" i="17"/>
  <c r="I43" i="17"/>
  <c r="F40" i="17"/>
  <c r="I42" i="17"/>
  <c r="H41" i="17"/>
  <c r="E42" i="17"/>
  <c r="J44" i="17"/>
  <c r="D46" i="17"/>
  <c r="G42" i="17"/>
  <c r="K41" i="17"/>
  <c r="J48" i="17"/>
  <c r="K47" i="17"/>
  <c r="J42" i="17"/>
  <c r="I46" i="17"/>
  <c r="F43" i="17"/>
  <c r="F42" i="17"/>
  <c r="F47" i="17"/>
  <c r="F48" i="17"/>
  <c r="O9" i="17"/>
  <c r="O11" i="17"/>
  <c r="L11" i="3" l="1"/>
  <c r="L2" i="3" l="1"/>
  <c r="M2" i="3"/>
  <c r="N2" i="3"/>
  <c r="O2" i="3"/>
  <c r="P2" i="3"/>
  <c r="Q2" i="3"/>
  <c r="R2" i="3"/>
  <c r="L3" i="3"/>
  <c r="M3" i="3"/>
  <c r="N3" i="3"/>
  <c r="O3" i="3"/>
  <c r="P3" i="3"/>
  <c r="Q3" i="3"/>
  <c r="R3" i="3"/>
  <c r="L4" i="3"/>
  <c r="M4" i="3"/>
  <c r="N4" i="3"/>
  <c r="O4" i="3"/>
  <c r="P4" i="3"/>
  <c r="Q4" i="3"/>
  <c r="R4" i="3"/>
  <c r="L5" i="3"/>
  <c r="M5" i="3"/>
  <c r="N5" i="3"/>
  <c r="O5" i="3"/>
  <c r="P5" i="3"/>
  <c r="Q5" i="3"/>
  <c r="R5" i="3"/>
  <c r="L6" i="3"/>
  <c r="M6" i="3"/>
  <c r="N6" i="3"/>
  <c r="O6" i="3"/>
  <c r="P6" i="3"/>
  <c r="Q6" i="3"/>
  <c r="R6" i="3"/>
  <c r="L7" i="3"/>
  <c r="M7" i="3"/>
  <c r="N7" i="3"/>
  <c r="O7" i="3"/>
  <c r="P7" i="3"/>
  <c r="Q7" i="3"/>
  <c r="R7" i="3"/>
  <c r="L8" i="3"/>
  <c r="M8" i="3"/>
  <c r="N8" i="3"/>
  <c r="O8" i="3"/>
  <c r="P8" i="3"/>
  <c r="Q8" i="3"/>
  <c r="R8" i="3"/>
  <c r="L9" i="3"/>
  <c r="M9" i="3"/>
  <c r="N9" i="3"/>
  <c r="O9" i="3"/>
  <c r="P9" i="3"/>
  <c r="Q9" i="3"/>
  <c r="R9" i="3"/>
  <c r="L10" i="3"/>
  <c r="M10" i="3"/>
  <c r="N10" i="3"/>
  <c r="O10" i="3"/>
  <c r="P10" i="3"/>
  <c r="Q10" i="3"/>
  <c r="R10" i="3"/>
  <c r="M11" i="3"/>
  <c r="N11" i="3"/>
  <c r="O11" i="3"/>
  <c r="P11" i="3"/>
  <c r="Q11" i="3"/>
  <c r="R11" i="3"/>
  <c r="K5" i="3"/>
  <c r="K6" i="3"/>
  <c r="K7" i="3"/>
  <c r="K8" i="3"/>
  <c r="K9" i="3"/>
  <c r="K10" i="3"/>
  <c r="K11" i="3"/>
  <c r="K3" i="3"/>
  <c r="K4" i="3"/>
  <c r="K2" i="3"/>
  <c r="N18" i="5" l="1"/>
  <c r="M18" i="5"/>
  <c r="L18" i="5"/>
  <c r="K18" i="5"/>
  <c r="J18" i="5"/>
  <c r="I18" i="5"/>
  <c r="H18" i="5"/>
  <c r="G18" i="5"/>
  <c r="F18" i="5"/>
  <c r="M17" i="5"/>
  <c r="L17" i="5"/>
  <c r="K17" i="5"/>
  <c r="J17" i="5"/>
  <c r="I17" i="5"/>
  <c r="H17" i="5"/>
  <c r="G17" i="5"/>
  <c r="F17" i="5"/>
  <c r="L16" i="5"/>
  <c r="K16" i="5"/>
  <c r="J16" i="5"/>
  <c r="I16" i="5"/>
  <c r="H16" i="5"/>
  <c r="G16" i="5"/>
  <c r="F16" i="5"/>
  <c r="K15" i="5"/>
  <c r="J15" i="5"/>
  <c r="I15" i="5"/>
  <c r="H15" i="5"/>
  <c r="G15" i="5"/>
  <c r="F15" i="5"/>
  <c r="J14" i="5"/>
  <c r="I14" i="5"/>
  <c r="H14" i="5"/>
  <c r="G14" i="5"/>
  <c r="F14" i="5"/>
  <c r="I13" i="5"/>
  <c r="H13" i="5"/>
  <c r="G13" i="5"/>
  <c r="F13" i="5"/>
  <c r="H12" i="5"/>
  <c r="G12" i="5"/>
  <c r="F12" i="5"/>
  <c r="G11" i="5"/>
  <c r="F11" i="5"/>
  <c r="F10" i="5"/>
  <c r="K17" i="4"/>
  <c r="J17" i="4"/>
  <c r="I17" i="4"/>
  <c r="H17" i="4"/>
  <c r="K16" i="4"/>
  <c r="J16" i="4"/>
  <c r="I16" i="4"/>
  <c r="H16" i="4"/>
  <c r="K15" i="4"/>
  <c r="J15" i="4"/>
  <c r="I15" i="4"/>
  <c r="H15" i="4"/>
  <c r="K14" i="4"/>
  <c r="J14" i="4"/>
  <c r="I14" i="4"/>
  <c r="H14" i="4"/>
  <c r="K13" i="4"/>
  <c r="J13" i="4"/>
  <c r="I13" i="4"/>
  <c r="H13" i="4"/>
  <c r="K12" i="4"/>
  <c r="J12" i="4"/>
  <c r="I12" i="4"/>
  <c r="H12" i="4"/>
  <c r="K11" i="4"/>
  <c r="J11" i="4"/>
  <c r="I11" i="4"/>
  <c r="H11" i="4"/>
  <c r="K10" i="4"/>
  <c r="J10" i="4"/>
  <c r="I10" i="4"/>
  <c r="H10" i="4"/>
  <c r="K9" i="4"/>
  <c r="J9" i="4"/>
  <c r="I9" i="4"/>
  <c r="H9" i="4"/>
  <c r="K8" i="4"/>
  <c r="J8" i="4"/>
  <c r="I8" i="4"/>
  <c r="H8" i="4"/>
</calcChain>
</file>

<file path=xl/sharedStrings.xml><?xml version="1.0" encoding="utf-8"?>
<sst xmlns="http://schemas.openxmlformats.org/spreadsheetml/2006/main" count="710" uniqueCount="86">
  <si>
    <t>Planned Milling Rate/Day (Tonnes)</t>
  </si>
  <si>
    <t>Sheet1</t>
  </si>
  <si>
    <t>Inventory (In Tonnes)</t>
  </si>
  <si>
    <t>Sheet2</t>
  </si>
  <si>
    <t>Canadian</t>
  </si>
  <si>
    <t>SRW - US</t>
  </si>
  <si>
    <t>Low Protein</t>
  </si>
  <si>
    <t>Lithuanian</t>
  </si>
  <si>
    <t>Total</t>
  </si>
  <si>
    <t>Utilization</t>
  </si>
  <si>
    <t>Capacity Avl</t>
  </si>
  <si>
    <t>Balance Capacity</t>
  </si>
  <si>
    <t>Category</t>
  </si>
  <si>
    <t>Plant</t>
  </si>
  <si>
    <t>CFM</t>
  </si>
  <si>
    <t>TCA</t>
  </si>
  <si>
    <t>TCB</t>
  </si>
  <si>
    <t>BL</t>
  </si>
  <si>
    <t>Warri</t>
  </si>
  <si>
    <t>PH</t>
  </si>
  <si>
    <t>DFM</t>
  </si>
  <si>
    <t>Calabar</t>
  </si>
  <si>
    <t>Apapa</t>
  </si>
  <si>
    <t>Ikorodu</t>
  </si>
  <si>
    <t>Ilorin</t>
  </si>
  <si>
    <t>Kano</t>
  </si>
  <si>
    <t>Estimated # Days for Replenishment</t>
  </si>
  <si>
    <t>Sheet3</t>
  </si>
  <si>
    <t>Days on Hand Inventory</t>
  </si>
  <si>
    <t>Sheet4</t>
  </si>
  <si>
    <t>Risk of Under Supply</t>
  </si>
  <si>
    <t>Sheet5</t>
  </si>
  <si>
    <t>Inter Plant Lead Time</t>
  </si>
  <si>
    <t>Sheet6</t>
  </si>
  <si>
    <t>Inter Plant Mix Readiness</t>
  </si>
  <si>
    <t>Sheet8</t>
  </si>
  <si>
    <t>Similarity Index</t>
  </si>
  <si>
    <t>Sheet7</t>
  </si>
  <si>
    <t>Russian</t>
  </si>
  <si>
    <t>German</t>
  </si>
  <si>
    <t>French</t>
  </si>
  <si>
    <t>Argentinaian</t>
  </si>
  <si>
    <t>Ukrainian</t>
  </si>
  <si>
    <t>Y</t>
  </si>
  <si>
    <t>N</t>
  </si>
  <si>
    <t>Steps to Follow</t>
  </si>
  <si>
    <t>1. Find from Emergency Demand the cell in which there is a number &gt;0</t>
  </si>
  <si>
    <t>2. Pick the type of Wheat that is required</t>
  </si>
  <si>
    <t>3. Identify the plant where wheat is required</t>
  </si>
  <si>
    <t>First we check within the plant</t>
  </si>
  <si>
    <t>3a. Find out the inventory (tonnes table), if the emergency quantity is lower than inventory available where similarity index is high within the plant</t>
  </si>
  <si>
    <t>3b. If yes, pick that wheat</t>
  </si>
  <si>
    <t>If the emergency demand cannot be fulfilled within the same plant, then we need to move to the following steps</t>
  </si>
  <si>
    <t xml:space="preserve">5. If yes, pick up that plant </t>
  </si>
  <si>
    <t>7. Similarly Identify other plants where emergency quantity is lower than inventory available</t>
  </si>
  <si>
    <t>8. Check for Risk of Undersupply</t>
  </si>
  <si>
    <t xml:space="preserve">10. Identify from this list where lead time is the lowest </t>
  </si>
  <si>
    <t>11. Pick wheat from that plant</t>
  </si>
  <si>
    <t>If the emergency demand cannot be fulfilled in a single plant, then we need to move to the following steps</t>
  </si>
  <si>
    <t>12. If no plant has enough capacity to fulfill single handedly, we need to identify 2 or more plants for fulfillment</t>
  </si>
  <si>
    <t>14.  Find out what % of wheat can be taken from them and leave a 10% safety margin  (can be changed to 5, 10, 20 etc.) until days on hand &gt; estimated days for replenishment,  and now rank order them from top to bottom</t>
  </si>
  <si>
    <t>15. From this list pick the one with the least lead time and next with the next lead time and then check if demand is fulfilled, if not dip further until all plants from the list are gone thru.</t>
  </si>
  <si>
    <t>O-Canadian</t>
  </si>
  <si>
    <t>O-SRW - US</t>
  </si>
  <si>
    <t>O-Lithuanian</t>
  </si>
  <si>
    <t>O-Russian</t>
  </si>
  <si>
    <t>O-German</t>
  </si>
  <si>
    <t>O-French</t>
  </si>
  <si>
    <t>O-Argentinaian</t>
  </si>
  <si>
    <t>O-Ukrainian</t>
  </si>
  <si>
    <t>Wheat</t>
  </si>
  <si>
    <t>Sheet9</t>
  </si>
  <si>
    <t>Sheet Name</t>
  </si>
  <si>
    <t>Description</t>
  </si>
  <si>
    <t>Days on hand Inventory</t>
  </si>
  <si>
    <t>Estimated Days of Replenishment</t>
  </si>
  <si>
    <t>Demand Priority</t>
  </si>
  <si>
    <r>
      <t xml:space="preserve">9. Rank Order the Plants, </t>
    </r>
    <r>
      <rPr>
        <sz val="11"/>
        <color rgb="FFFF0000"/>
        <rFont val="Calibri"/>
        <family val="2"/>
        <scheme val="minor"/>
      </rPr>
      <t>where lead time is lowest</t>
    </r>
    <r>
      <rPr>
        <sz val="11"/>
        <color theme="1"/>
        <rFont val="Calibri"/>
        <family val="2"/>
        <scheme val="minor"/>
      </rPr>
      <t xml:space="preserve"> and Quantity is the highest</t>
    </r>
  </si>
  <si>
    <t>4. Find Out the Inventory (Tonnes Table), if the emergency quantity is lower than Inventory Available for wheat type where similarity thersold is greater than 75%.Rank order the plants where lead time is lowest and quantity is highest</t>
  </si>
  <si>
    <t>Check risk of undersupply</t>
  </si>
  <si>
    <t>Similarity Index thershold - 75%</t>
  </si>
  <si>
    <t>4. Based on Plant Priority Fill the orders</t>
  </si>
  <si>
    <t>Based on Plant to wheat Priority</t>
  </si>
  <si>
    <t>If same similarity, then take the wheat with the maximum quantity</t>
  </si>
  <si>
    <r>
      <t xml:space="preserve">6. Check if Risk of Undersupply is there, if it is a NO, choose the plant </t>
    </r>
    <r>
      <rPr>
        <sz val="11"/>
        <color rgb="FFFF0000"/>
        <rFont val="Calibri"/>
        <family val="2"/>
        <scheme val="minor"/>
      </rPr>
      <t>and wheat type</t>
    </r>
    <r>
      <rPr>
        <sz val="11"/>
        <color theme="1"/>
        <rFont val="Calibri"/>
        <family val="2"/>
        <scheme val="minor"/>
      </rPr>
      <t xml:space="preserve"> based on similarity and wheat with maximum qty(inventory)</t>
    </r>
  </si>
  <si>
    <t>13. In such cases, identify the maximum inventory in tonnes for similar wheat type (similarity index) and rank order from top to bottom based on max 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</si>
</sst>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 #,##0.00_ ;_ * \-#,##0.00_ ;_ * &quot;-&quot;??_ ;_ @_ "/>
    <numFmt numFmtId="165" formatCode="_ * #,##0_ ;_ * \-#,##0_ ;_ * &quot;-&quot;??_ ;_ @_ "/>
  </numFmts>
  <fonts count="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1"/>
      <color rgb="FF000000"/>
      <name val="Calibri"/>
      <family val="2"/>
    </font>
    <font>
      <b/>
      <sz val="11"/>
      <color rgb="FF000000"/>
      <name val="Calibri"/>
      <family val="2"/>
    </font>
    <font>
      <b/>
      <sz val="11"/>
      <color rgb="FF000000"/>
      <name val="Calibri"/>
      <family val="2"/>
    </font>
    <font>
      <sz val="11"/>
      <color rgb="FFFF0000"/>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8" tint="0.59999389629810485"/>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200">
    <xf numFmtId="0" fontId="0" fillId="0" borderId="0" xfId="0"/>
    <xf numFmtId="0" fontId="0" fillId="0" borderId="1" xfId="0" applyBorder="1"/>
    <xf numFmtId="0" fontId="0" fillId="2" borderId="1" xfId="0" applyFill="1" applyBorder="1"/>
    <xf numFmtId="0" fontId="0" fillId="3" borderId="1" xfId="0" applyFill="1" applyBorder="1"/>
    <xf numFmtId="0" fontId="0" fillId="4" borderId="1" xfId="0" applyFill="1" applyBorder="1"/>
    <xf numFmtId="0" fontId="0" fillId="5" borderId="1" xfId="0" applyFill="1" applyBorder="1"/>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5" xfId="0" applyFont="1" applyFill="1" applyBorder="1" applyAlignment="1">
      <alignment horizontal="center"/>
    </xf>
    <xf numFmtId="0" fontId="2" fillId="3" borderId="7" xfId="0" applyFont="1" applyFill="1" applyBorder="1"/>
    <xf numFmtId="0" fontId="2" fillId="2" borderId="8" xfId="0" applyFont="1" applyFill="1" applyBorder="1"/>
    <xf numFmtId="0" fontId="2" fillId="3" borderId="8" xfId="0" applyFont="1" applyFill="1" applyBorder="1"/>
    <xf numFmtId="0" fontId="2" fillId="4" borderId="8" xfId="0" applyFont="1" applyFill="1" applyBorder="1"/>
    <xf numFmtId="0" fontId="2" fillId="5" borderId="8" xfId="0" applyFont="1" applyFill="1" applyBorder="1"/>
    <xf numFmtId="0" fontId="2" fillId="4" borderId="9" xfId="0" applyFont="1" applyFill="1" applyBorder="1"/>
    <xf numFmtId="0" fontId="2" fillId="3" borderId="14" xfId="0" applyFont="1" applyFill="1" applyBorder="1"/>
    <xf numFmtId="0" fontId="0" fillId="0" borderId="15" xfId="0" applyBorder="1"/>
    <xf numFmtId="0" fontId="0" fillId="0" borderId="16" xfId="0" applyBorder="1"/>
    <xf numFmtId="0" fontId="0" fillId="0" borderId="19" xfId="0" applyBorder="1"/>
    <xf numFmtId="0" fontId="0" fillId="0" borderId="21" xfId="0" applyBorder="1"/>
    <xf numFmtId="0" fontId="0" fillId="0" borderId="22" xfId="0" applyBorder="1"/>
    <xf numFmtId="0" fontId="2" fillId="3" borderId="23" xfId="0" applyFont="1" applyFill="1" applyBorder="1"/>
    <xf numFmtId="0" fontId="2" fillId="2" borderId="23" xfId="0" applyFont="1" applyFill="1" applyBorder="1"/>
    <xf numFmtId="0" fontId="2" fillId="4" borderId="23" xfId="0" applyFont="1" applyFill="1" applyBorder="1"/>
    <xf numFmtId="0" fontId="2" fillId="5" borderId="23" xfId="0" applyFont="1" applyFill="1" applyBorder="1"/>
    <xf numFmtId="0" fontId="2" fillId="4" borderId="24" xfId="0" applyFont="1" applyFill="1" applyBorder="1"/>
    <xf numFmtId="0" fontId="2" fillId="3" borderId="25" xfId="0" applyFont="1" applyFill="1" applyBorder="1" applyAlignment="1">
      <alignment horizontal="center"/>
    </xf>
    <xf numFmtId="0" fontId="2" fillId="2" borderId="25" xfId="0" applyFont="1" applyFill="1" applyBorder="1" applyAlignment="1">
      <alignment horizontal="center"/>
    </xf>
    <xf numFmtId="0" fontId="2" fillId="4" borderId="25" xfId="0" applyFont="1" applyFill="1" applyBorder="1" applyAlignment="1">
      <alignment horizontal="center"/>
    </xf>
    <xf numFmtId="0" fontId="2" fillId="5" borderId="25" xfId="0" applyFont="1" applyFill="1" applyBorder="1" applyAlignment="1">
      <alignment horizontal="center"/>
    </xf>
    <xf numFmtId="0" fontId="2" fillId="4" borderId="26" xfId="0" applyFont="1" applyFill="1" applyBorder="1" applyAlignment="1">
      <alignment horizontal="center"/>
    </xf>
    <xf numFmtId="0" fontId="0" fillId="0" borderId="17" xfId="0" applyBorder="1"/>
    <xf numFmtId="0" fontId="0" fillId="0" borderId="18" xfId="0" applyBorder="1"/>
    <xf numFmtId="0" fontId="0" fillId="0" borderId="20" xfId="0" applyBorder="1"/>
    <xf numFmtId="0" fontId="0" fillId="0" borderId="18" xfId="0" applyBorder="1" applyAlignment="1">
      <alignment horizontal="center"/>
    </xf>
    <xf numFmtId="0" fontId="0" fillId="0" borderId="20" xfId="0" applyBorder="1" applyAlignment="1">
      <alignment horizontal="center"/>
    </xf>
    <xf numFmtId="165" fontId="0" fillId="3" borderId="10" xfId="1" applyNumberFormat="1" applyFont="1" applyFill="1" applyBorder="1"/>
    <xf numFmtId="165" fontId="0" fillId="3" borderId="2" xfId="1" applyNumberFormat="1" applyFont="1" applyFill="1" applyBorder="1"/>
    <xf numFmtId="165" fontId="0" fillId="2" borderId="1" xfId="1" applyNumberFormat="1" applyFont="1" applyFill="1" applyBorder="1"/>
    <xf numFmtId="165" fontId="0" fillId="3" borderId="1" xfId="1" applyNumberFormat="1" applyFont="1" applyFill="1" applyBorder="1"/>
    <xf numFmtId="165" fontId="0" fillId="4" borderId="1" xfId="1" applyNumberFormat="1" applyFont="1" applyFill="1" applyBorder="1"/>
    <xf numFmtId="165" fontId="0" fillId="5" borderId="1" xfId="1" applyNumberFormat="1" applyFont="1" applyFill="1" applyBorder="1"/>
    <xf numFmtId="0" fontId="0" fillId="0" borderId="0" xfId="0"/>
    <xf numFmtId="0" fontId="2" fillId="3" borderId="30" xfId="0" applyFont="1" applyFill="1" applyBorder="1"/>
    <xf numFmtId="0" fontId="2" fillId="2" borderId="31" xfId="0" applyFont="1" applyFill="1" applyBorder="1"/>
    <xf numFmtId="0" fontId="2" fillId="3" borderId="32" xfId="0" applyFont="1" applyFill="1" applyBorder="1"/>
    <xf numFmtId="0" fontId="2" fillId="3" borderId="31" xfId="0" applyFont="1" applyFill="1" applyBorder="1"/>
    <xf numFmtId="0" fontId="2" fillId="4" borderId="31" xfId="0" applyFont="1" applyFill="1" applyBorder="1"/>
    <xf numFmtId="0" fontId="2" fillId="5" borderId="31" xfId="0" applyFont="1" applyFill="1" applyBorder="1"/>
    <xf numFmtId="0" fontId="2" fillId="4" borderId="33" xfId="0" applyFont="1" applyFill="1" applyBorder="1"/>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2" fillId="6" borderId="15" xfId="0" applyFont="1" applyFill="1" applyBorder="1" applyAlignment="1">
      <alignment horizontal="center"/>
    </xf>
    <xf numFmtId="0" fontId="2" fillId="6" borderId="16" xfId="0" applyFont="1" applyFill="1" applyBorder="1" applyAlignment="1">
      <alignment horizontal="center"/>
    </xf>
    <xf numFmtId="0" fontId="2" fillId="6" borderId="17" xfId="0" applyFont="1" applyFill="1" applyBorder="1" applyAlignment="1">
      <alignment horizontal="center"/>
    </xf>
    <xf numFmtId="0" fontId="2" fillId="6" borderId="18" xfId="0" applyFont="1" applyFill="1" applyBorder="1" applyAlignment="1">
      <alignment horizontal="center"/>
    </xf>
    <xf numFmtId="0" fontId="2" fillId="6" borderId="20" xfId="0" applyFont="1" applyFill="1" applyBorder="1" applyAlignment="1">
      <alignment horizontal="center"/>
    </xf>
    <xf numFmtId="0" fontId="2" fillId="6" borderId="34" xfId="0" applyFont="1" applyFill="1" applyBorder="1" applyAlignment="1">
      <alignment horizontal="center"/>
    </xf>
    <xf numFmtId="0" fontId="2" fillId="6" borderId="11" xfId="0" applyFont="1" applyFill="1" applyBorder="1" applyAlignment="1">
      <alignment horizontal="center"/>
    </xf>
    <xf numFmtId="0" fontId="3" fillId="0" borderId="0" xfId="0" applyFont="1"/>
    <xf numFmtId="0" fontId="0" fillId="3" borderId="10" xfId="0" applyFill="1" applyBorder="1"/>
    <xf numFmtId="0" fontId="0" fillId="3" borderId="2" xfId="0" applyFill="1" applyBorder="1"/>
    <xf numFmtId="0" fontId="0" fillId="2" borderId="6" xfId="0" applyFill="1" applyBorder="1"/>
    <xf numFmtId="0" fontId="0" fillId="2" borderId="36" xfId="0" applyFill="1" applyBorder="1"/>
    <xf numFmtId="0" fontId="0" fillId="3" borderId="6" xfId="0" applyFill="1" applyBorder="1"/>
    <xf numFmtId="0" fontId="0" fillId="3" borderId="36" xfId="0" applyFill="1" applyBorder="1"/>
    <xf numFmtId="0" fontId="0" fillId="4" borderId="6" xfId="0" applyFill="1" applyBorder="1"/>
    <xf numFmtId="0" fontId="0" fillId="4" borderId="36" xfId="0" applyFill="1" applyBorder="1"/>
    <xf numFmtId="0" fontId="0" fillId="5" borderId="6" xfId="0" applyFill="1" applyBorder="1"/>
    <xf numFmtId="0" fontId="0" fillId="5" borderId="36" xfId="0" applyFill="1" applyBorder="1"/>
    <xf numFmtId="0" fontId="0" fillId="3" borderId="10" xfId="0" applyFill="1" applyBorder="1" applyAlignment="1">
      <alignment horizontal="center"/>
    </xf>
    <xf numFmtId="0" fontId="0" fillId="3" borderId="2" xfId="0" applyFill="1" applyBorder="1" applyAlignment="1">
      <alignment horizontal="center"/>
    </xf>
    <xf numFmtId="0" fontId="0" fillId="2" borderId="6" xfId="0" applyFill="1" applyBorder="1" applyAlignment="1">
      <alignment horizontal="center"/>
    </xf>
    <xf numFmtId="0" fontId="0" fillId="2" borderId="36" xfId="0" applyFill="1" applyBorder="1" applyAlignment="1">
      <alignment horizontal="center"/>
    </xf>
    <xf numFmtId="0" fontId="0" fillId="3" borderId="6" xfId="0" applyFill="1" applyBorder="1" applyAlignment="1">
      <alignment horizontal="center"/>
    </xf>
    <xf numFmtId="0" fontId="0" fillId="3" borderId="36" xfId="0" applyFill="1" applyBorder="1" applyAlignment="1">
      <alignment horizontal="center"/>
    </xf>
    <xf numFmtId="0" fontId="0" fillId="4" borderId="6" xfId="0" applyFill="1" applyBorder="1" applyAlignment="1">
      <alignment horizontal="center"/>
    </xf>
    <xf numFmtId="0" fontId="0" fillId="4" borderId="36" xfId="0" applyFill="1" applyBorder="1" applyAlignment="1">
      <alignment horizontal="center"/>
    </xf>
    <xf numFmtId="0" fontId="0" fillId="5" borderId="6" xfId="0" applyFill="1" applyBorder="1" applyAlignment="1">
      <alignment horizontal="center"/>
    </xf>
    <xf numFmtId="0" fontId="0" fillId="5" borderId="36" xfId="0" applyFill="1" applyBorder="1" applyAlignment="1">
      <alignment horizontal="center"/>
    </xf>
    <xf numFmtId="0" fontId="4" fillId="6" borderId="37" xfId="0" applyFont="1" applyFill="1" applyBorder="1" applyAlignment="1">
      <alignment horizontal="center" vertical="top"/>
    </xf>
    <xf numFmtId="0" fontId="0" fillId="0" borderId="38" xfId="1" applyFont="1" applyBorder="1"/>
    <xf numFmtId="0" fontId="0" fillId="0" borderId="18" xfId="1" applyFont="1" applyBorder="1"/>
    <xf numFmtId="0" fontId="0" fillId="0" borderId="21" xfId="1" applyFont="1" applyBorder="1"/>
    <xf numFmtId="0" fontId="0" fillId="0" borderId="22" xfId="1" applyFont="1" applyBorder="1"/>
    <xf numFmtId="0" fontId="0" fillId="0" borderId="23" xfId="1" applyFont="1" applyBorder="1"/>
    <xf numFmtId="0" fontId="5" fillId="6" borderId="39" xfId="0" applyFont="1" applyFill="1" applyBorder="1" applyAlignment="1">
      <alignment horizontal="center" vertical="top"/>
    </xf>
    <xf numFmtId="0" fontId="2" fillId="2" borderId="7" xfId="0" applyFont="1" applyFill="1" applyBorder="1" applyAlignment="1">
      <alignment horizontal="center" vertical="center"/>
    </xf>
    <xf numFmtId="0" fontId="2" fillId="4" borderId="8" xfId="0" applyFont="1" applyFill="1" applyBorder="1" applyAlignment="1">
      <alignment horizontal="center" vertical="center"/>
    </xf>
    <xf numFmtId="0" fontId="0" fillId="10" borderId="2" xfId="1" applyFont="1" applyFill="1" applyBorder="1" applyAlignment="1">
      <alignment wrapText="1"/>
    </xf>
    <xf numFmtId="0" fontId="0" fillId="10" borderId="35" xfId="1" applyFont="1" applyFill="1" applyBorder="1" applyAlignment="1">
      <alignment wrapText="1"/>
    </xf>
    <xf numFmtId="0" fontId="6" fillId="9" borderId="40" xfId="1" applyFont="1" applyFill="1" applyBorder="1" applyAlignment="1">
      <alignment horizontal="center" vertical="center" wrapText="1"/>
    </xf>
    <xf numFmtId="0" fontId="6" fillId="9" borderId="40" xfId="0" applyFont="1" applyFill="1" applyBorder="1" applyAlignment="1">
      <alignment horizontal="center" vertical="center" wrapText="1"/>
    </xf>
    <xf numFmtId="0" fontId="0" fillId="0" borderId="0" xfId="0" applyAlignment="1">
      <alignment vertical="center" wrapText="1"/>
    </xf>
    <xf numFmtId="0" fontId="2" fillId="2" borderId="7" xfId="1" applyFont="1" applyFill="1" applyBorder="1" applyAlignment="1">
      <alignment vertical="center" wrapText="1"/>
    </xf>
    <xf numFmtId="0" fontId="2" fillId="8" borderId="7" xfId="1" applyFont="1" applyFill="1" applyBorder="1" applyAlignment="1">
      <alignment vertical="center" wrapText="1"/>
    </xf>
    <xf numFmtId="0" fontId="0" fillId="8" borderId="10" xfId="1" applyFont="1" applyFill="1" applyBorder="1" applyAlignment="1">
      <alignment vertical="center" wrapText="1"/>
    </xf>
    <xf numFmtId="0" fontId="0" fillId="8" borderId="2" xfId="1" applyFont="1" applyFill="1" applyBorder="1" applyAlignment="1">
      <alignment vertical="center" wrapText="1"/>
    </xf>
    <xf numFmtId="0" fontId="2" fillId="8" borderId="8" xfId="1" applyFont="1" applyFill="1" applyBorder="1" applyAlignment="1">
      <alignment vertical="center" wrapText="1"/>
    </xf>
    <xf numFmtId="0" fontId="0" fillId="8" borderId="6" xfId="1" applyFont="1" applyFill="1" applyBorder="1" applyAlignment="1">
      <alignment vertical="center" wrapText="1"/>
    </xf>
    <xf numFmtId="0" fontId="2" fillId="8" borderId="14" xfId="1" applyFont="1" applyFill="1" applyBorder="1" applyAlignment="1">
      <alignment vertical="center" wrapText="1"/>
    </xf>
    <xf numFmtId="0" fontId="0" fillId="8" borderId="35" xfId="1" applyFont="1" applyFill="1" applyBorder="1" applyAlignment="1">
      <alignment vertical="center" wrapText="1"/>
    </xf>
    <xf numFmtId="0" fontId="2" fillId="4" borderId="8" xfId="1" applyFont="1" applyFill="1" applyBorder="1" applyAlignment="1">
      <alignment vertical="center" wrapText="1"/>
    </xf>
    <xf numFmtId="0" fontId="2" fillId="8" borderId="9" xfId="1" applyFont="1" applyFill="1" applyBorder="1" applyAlignment="1">
      <alignment vertical="center" wrapText="1"/>
    </xf>
    <xf numFmtId="0" fontId="0" fillId="0" borderId="0" xfId="0" applyAlignment="1">
      <alignment wrapText="1"/>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0" fillId="6" borderId="0" xfId="0" applyFill="1"/>
    <xf numFmtId="0" fontId="0" fillId="9" borderId="0" xfId="0" applyFill="1"/>
    <xf numFmtId="0" fontId="0" fillId="8" borderId="0" xfId="0" applyFill="1"/>
    <xf numFmtId="9" fontId="0" fillId="0" borderId="24" xfId="2" applyFont="1" applyBorder="1"/>
    <xf numFmtId="9" fontId="0" fillId="0" borderId="23" xfId="2" applyFont="1" applyBorder="1"/>
    <xf numFmtId="0" fontId="0" fillId="0" borderId="40" xfId="0" applyBorder="1" applyAlignment="1">
      <alignment horizontal="center"/>
    </xf>
    <xf numFmtId="9" fontId="0" fillId="0" borderId="40" xfId="2" applyFont="1" applyBorder="1"/>
    <xf numFmtId="0" fontId="7" fillId="6" borderId="40" xfId="0" applyFont="1" applyFill="1" applyBorder="1" applyAlignment="1">
      <alignment vertical="center" wrapText="1"/>
    </xf>
    <xf numFmtId="9" fontId="0" fillId="0" borderId="0" xfId="0" applyNumberFormat="1"/>
    <xf numFmtId="9" fontId="0" fillId="0" borderId="21" xfId="2" applyFont="1" applyBorder="1"/>
    <xf numFmtId="9" fontId="0" fillId="0" borderId="22" xfId="2" applyFont="1" applyBorder="1"/>
    <xf numFmtId="9" fontId="0" fillId="0" borderId="19" xfId="2" applyFont="1" applyBorder="1"/>
    <xf numFmtId="9" fontId="0" fillId="0" borderId="18" xfId="2" applyFont="1" applyBorder="1"/>
    <xf numFmtId="0" fontId="2" fillId="6" borderId="44" xfId="0" applyFont="1" applyFill="1" applyBorder="1" applyAlignment="1">
      <alignment horizontal="center"/>
    </xf>
    <xf numFmtId="0" fontId="2" fillId="6" borderId="0" xfId="0" applyFont="1" applyFill="1" applyBorder="1" applyAlignment="1">
      <alignment horizontal="center"/>
    </xf>
    <xf numFmtId="0" fontId="2" fillId="6" borderId="2" xfId="0" applyFont="1" applyFill="1" applyBorder="1" applyAlignment="1">
      <alignment horizontal="center"/>
    </xf>
    <xf numFmtId="0" fontId="2" fillId="6" borderId="10" xfId="0" applyFont="1" applyFill="1" applyBorder="1" applyAlignment="1">
      <alignment horizontal="center"/>
    </xf>
    <xf numFmtId="0" fontId="2" fillId="6" borderId="45" xfId="0" applyFont="1" applyFill="1" applyBorder="1" applyAlignment="1">
      <alignment horizontal="center"/>
    </xf>
    <xf numFmtId="9" fontId="2" fillId="6" borderId="10" xfId="0" applyNumberFormat="1" applyFont="1" applyFill="1" applyBorder="1" applyAlignment="1">
      <alignment horizontal="center"/>
    </xf>
    <xf numFmtId="0" fontId="0" fillId="4" borderId="40" xfId="0" applyFill="1" applyBorder="1" applyAlignment="1">
      <alignment horizontal="center"/>
    </xf>
    <xf numFmtId="0" fontId="0" fillId="0" borderId="40" xfId="0" applyBorder="1"/>
    <xf numFmtId="0" fontId="0" fillId="5" borderId="40" xfId="0" applyFill="1" applyBorder="1" applyAlignment="1">
      <alignment horizontal="center"/>
    </xf>
    <xf numFmtId="0" fontId="0" fillId="3" borderId="40" xfId="0" applyFill="1" applyBorder="1" applyAlignment="1">
      <alignment horizontal="center"/>
    </xf>
    <xf numFmtId="0" fontId="0" fillId="2" borderId="40" xfId="0" applyFill="1" applyBorder="1" applyAlignment="1">
      <alignment horizontal="center"/>
    </xf>
    <xf numFmtId="0" fontId="0" fillId="4" borderId="40" xfId="0" applyFill="1" applyBorder="1"/>
    <xf numFmtId="0" fontId="0" fillId="5" borderId="40" xfId="0" applyFill="1" applyBorder="1"/>
    <xf numFmtId="0" fontId="0" fillId="3" borderId="40" xfId="0" applyFill="1" applyBorder="1"/>
    <xf numFmtId="0" fontId="0" fillId="2" borderId="40" xfId="0" applyFill="1" applyBorder="1"/>
    <xf numFmtId="165" fontId="0" fillId="0" borderId="0" xfId="3" applyNumberFormat="1" applyFont="1" applyFill="1" applyBorder="1"/>
    <xf numFmtId="0" fontId="2" fillId="0" borderId="0" xfId="0" applyFont="1" applyFill="1" applyBorder="1"/>
    <xf numFmtId="0" fontId="2" fillId="0" borderId="0" xfId="0" applyFont="1" applyFill="1" applyBorder="1" applyAlignment="1">
      <alignment horizontal="center" vertical="center"/>
    </xf>
    <xf numFmtId="0" fontId="0" fillId="0" borderId="0" xfId="0" applyFill="1"/>
    <xf numFmtId="0" fontId="0" fillId="0" borderId="0" xfId="0" applyFill="1" applyBorder="1"/>
    <xf numFmtId="165" fontId="0" fillId="4" borderId="40" xfId="3" applyNumberFormat="1" applyFont="1" applyFill="1" applyBorder="1"/>
    <xf numFmtId="165" fontId="0" fillId="4" borderId="6" xfId="3" applyNumberFormat="1" applyFont="1" applyFill="1" applyBorder="1"/>
    <xf numFmtId="165" fontId="0" fillId="0" borderId="22" xfId="0" applyNumberFormat="1" applyFill="1" applyBorder="1"/>
    <xf numFmtId="165" fontId="2" fillId="0" borderId="21" xfId="3" applyNumberFormat="1" applyFont="1" applyFill="1" applyBorder="1"/>
    <xf numFmtId="9" fontId="2" fillId="0" borderId="21" xfId="2" applyFont="1" applyFill="1" applyBorder="1"/>
    <xf numFmtId="165" fontId="2" fillId="7" borderId="24" xfId="3" applyNumberFormat="1" applyFont="1" applyFill="1" applyBorder="1"/>
    <xf numFmtId="165" fontId="0" fillId="4" borderId="21" xfId="3" applyNumberFormat="1" applyFont="1" applyFill="1" applyBorder="1"/>
    <xf numFmtId="165" fontId="0" fillId="4" borderId="20" xfId="3" applyNumberFormat="1" applyFont="1" applyFill="1" applyBorder="1"/>
    <xf numFmtId="165" fontId="0" fillId="5" borderId="40" xfId="3" applyNumberFormat="1" applyFont="1" applyFill="1" applyBorder="1"/>
    <xf numFmtId="165" fontId="0" fillId="5" borderId="6" xfId="3" applyNumberFormat="1" applyFont="1" applyFill="1" applyBorder="1"/>
    <xf numFmtId="165" fontId="0" fillId="0" borderId="19" xfId="0" applyNumberFormat="1" applyFill="1" applyBorder="1"/>
    <xf numFmtId="165" fontId="2" fillId="0" borderId="40" xfId="3" applyNumberFormat="1" applyFont="1" applyFill="1" applyBorder="1"/>
    <xf numFmtId="9" fontId="2" fillId="0" borderId="40" xfId="2" applyFont="1" applyFill="1" applyBorder="1"/>
    <xf numFmtId="165" fontId="2" fillId="7" borderId="23" xfId="3" applyNumberFormat="1" applyFont="1" applyFill="1" applyBorder="1"/>
    <xf numFmtId="165" fontId="0" fillId="5" borderId="18" xfId="3" applyNumberFormat="1" applyFont="1" applyFill="1" applyBorder="1"/>
    <xf numFmtId="165" fontId="0" fillId="4" borderId="18" xfId="3" applyNumberFormat="1" applyFont="1" applyFill="1" applyBorder="1"/>
    <xf numFmtId="165" fontId="0" fillId="3" borderId="40" xfId="3" applyNumberFormat="1" applyFont="1" applyFill="1" applyBorder="1"/>
    <xf numFmtId="165" fontId="0" fillId="3" borderId="6" xfId="3" applyNumberFormat="1" applyFont="1" applyFill="1" applyBorder="1"/>
    <xf numFmtId="165" fontId="0" fillId="3" borderId="18" xfId="3" applyNumberFormat="1" applyFont="1" applyFill="1" applyBorder="1"/>
    <xf numFmtId="165" fontId="0" fillId="2" borderId="40" xfId="3" applyNumberFormat="1" applyFont="1" applyFill="1" applyBorder="1"/>
    <xf numFmtId="165" fontId="0" fillId="2" borderId="6" xfId="3" applyNumberFormat="1" applyFont="1" applyFill="1" applyBorder="1"/>
    <xf numFmtId="165" fontId="0" fillId="2" borderId="18" xfId="3" applyNumberFormat="1" applyFont="1" applyFill="1" applyBorder="1"/>
    <xf numFmtId="165" fontId="0" fillId="3" borderId="2" xfId="3" applyNumberFormat="1" applyFont="1" applyFill="1" applyBorder="1"/>
    <xf numFmtId="165" fontId="0" fillId="3" borderId="10" xfId="3" applyNumberFormat="1" applyFont="1" applyFill="1" applyBorder="1"/>
    <xf numFmtId="165" fontId="2" fillId="7" borderId="34" xfId="3" applyNumberFormat="1" applyFont="1" applyFill="1" applyBorder="1"/>
    <xf numFmtId="165" fontId="0" fillId="3" borderId="16" xfId="3" applyNumberFormat="1" applyFont="1" applyFill="1" applyBorder="1"/>
    <xf numFmtId="165" fontId="0" fillId="3" borderId="15" xfId="3" applyNumberFormat="1" applyFont="1" applyFill="1" applyBorder="1"/>
    <xf numFmtId="0" fontId="6" fillId="3" borderId="40" xfId="1" applyFont="1" applyFill="1" applyBorder="1" applyAlignment="1">
      <alignment horizontal="center" vertical="top" wrapText="1"/>
    </xf>
    <xf numFmtId="0" fontId="2" fillId="4" borderId="8" xfId="0" applyFont="1" applyFill="1" applyBorder="1" applyAlignment="1">
      <alignment horizontal="center" vertical="center"/>
    </xf>
    <xf numFmtId="0" fontId="2" fillId="4" borderId="9" xfId="0" applyFont="1" applyFill="1" applyBorder="1" applyAlignment="1">
      <alignment horizontal="center" vertic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3" fillId="0" borderId="12" xfId="0" applyFont="1" applyBorder="1" applyAlignment="1">
      <alignment horizontal="center"/>
    </xf>
    <xf numFmtId="0" fontId="2" fillId="5" borderId="28" xfId="0" applyFont="1" applyFill="1" applyBorder="1" applyAlignment="1">
      <alignment horizontal="center"/>
    </xf>
    <xf numFmtId="0" fontId="2" fillId="5" borderId="29" xfId="0" applyFont="1" applyFill="1" applyBorder="1" applyAlignment="1">
      <alignment horizontal="center"/>
    </xf>
    <xf numFmtId="0" fontId="0" fillId="2" borderId="27" xfId="0" applyFill="1" applyBorder="1" applyAlignment="1">
      <alignment horizontal="center"/>
    </xf>
    <xf numFmtId="0" fontId="0" fillId="2" borderId="28" xfId="0" applyFill="1" applyBorder="1" applyAlignment="1">
      <alignment horizontal="center"/>
    </xf>
    <xf numFmtId="0" fontId="0" fillId="5" borderId="28" xfId="0" applyFill="1" applyBorder="1" applyAlignment="1">
      <alignment horizontal="center"/>
    </xf>
    <xf numFmtId="0" fontId="0" fillId="5" borderId="29" xfId="0" applyFill="1" applyBorder="1" applyAlignment="1">
      <alignment horizontal="center"/>
    </xf>
    <xf numFmtId="0" fontId="7" fillId="5" borderId="46" xfId="0" applyFont="1" applyFill="1" applyBorder="1" applyAlignment="1">
      <alignment horizontal="center" vertical="center" wrapText="1"/>
    </xf>
    <xf numFmtId="0" fontId="7" fillId="5" borderId="43" xfId="0" applyFont="1" applyFill="1" applyBorder="1" applyAlignment="1">
      <alignment horizontal="center" vertical="center" wrapText="1"/>
    </xf>
    <xf numFmtId="0" fontId="7" fillId="5" borderId="42" xfId="0" applyFont="1" applyFill="1" applyBorder="1" applyAlignment="1">
      <alignment horizontal="center" vertical="center" wrapText="1"/>
    </xf>
    <xf numFmtId="0" fontId="0" fillId="11" borderId="41" xfId="0" applyFill="1" applyBorder="1" applyAlignment="1">
      <alignment horizontal="center" wrapText="1"/>
    </xf>
    <xf numFmtId="0" fontId="0" fillId="6" borderId="0" xfId="0" applyFill="1" applyAlignment="1">
      <alignment horizontal="center" vertical="center" wrapText="1"/>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27" xfId="0" applyFont="1" applyFill="1" applyBorder="1" applyAlignment="1">
      <alignment horizontal="center"/>
    </xf>
    <xf numFmtId="0" fontId="2" fillId="2" borderId="28" xfId="0" applyFont="1"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4">
    <cellStyle name="Comma 2" xfId="3" xr:uid="{00000000-0005-0000-0000-000000000000}"/>
    <cellStyle name="Normal" xfId="0" builtinId="0"/>
    <cellStyle name="Percent" xfId="1" builtinId="5"/>
    <cellStyle name="Percent 2" xfId="2"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96372</xdr:colOff>
      <xdr:row>0</xdr:row>
      <xdr:rowOff>229161</xdr:rowOff>
    </xdr:from>
    <xdr:to>
      <xdr:col>0</xdr:col>
      <xdr:colOff>806823</xdr:colOff>
      <xdr:row>0</xdr:row>
      <xdr:rowOff>493059</xdr:rowOff>
    </xdr:to>
    <xdr:sp macro="[0]!_xludf.run" textlink="">
      <xdr:nvSpPr>
        <xdr:cNvPr id="2" name="Rectangle: Rounded Corners 1">
          <a:extLst>
            <a:ext uri="{FF2B5EF4-FFF2-40B4-BE49-F238E27FC236}">
              <a16:creationId xmlns:a16="http://schemas.microsoft.com/office/drawing/2014/main" id="{71A555C5-38B6-4F5E-9162-EDB7FBE735A6}"/>
            </a:ext>
          </a:extLst>
        </xdr:cNvPr>
        <xdr:cNvSpPr/>
      </xdr:nvSpPr>
      <xdr:spPr>
        <a:xfrm>
          <a:off x="96372" y="229161"/>
          <a:ext cx="710451" cy="2638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SUBMIT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ist%20Optimizer%20chang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e Work Sheet"/>
      <sheetName val="Emergency Demand (Tonnes) - C"/>
      <sheetName val="Emergency Demand (Tonnes)"/>
      <sheetName val="Days on Hand Inventory (Days)"/>
      <sheetName val="Inter Plant Lead Time (Days)"/>
      <sheetName val="Sheet9"/>
      <sheetName val="Sheet8"/>
      <sheetName val="Sheet7"/>
      <sheetName val="Sheet6"/>
      <sheetName val="Sheet5"/>
      <sheetName val="DOIGlvl2"/>
      <sheetName val="DOIGlvl"/>
      <sheetName val="Sheet4"/>
      <sheetName val="Repl"/>
      <sheetName val="Sheet3"/>
      <sheetName val="Sheet2"/>
      <sheetName val="Sheet1"/>
    </sheetNames>
    <sheetDataSet>
      <sheetData sheetId="0" refreshError="1"/>
      <sheetData sheetId="1" refreshError="1"/>
      <sheetData sheetId="2">
        <row r="2">
          <cell r="K2" t="str">
            <v>Please pick the value from Unit - (Calabar,Canadian) with current quantity 7000</v>
          </cell>
          <cell r="L2" t="str">
            <v>Please pick the value from Unit - (Calabar,SRW - US) with current quantity 5000</v>
          </cell>
          <cell r="M2">
            <v>0</v>
          </cell>
          <cell r="N2">
            <v>0</v>
          </cell>
          <cell r="O2">
            <v>0</v>
          </cell>
          <cell r="P2">
            <v>0</v>
          </cell>
          <cell r="Q2">
            <v>0</v>
          </cell>
          <cell r="R2">
            <v>0</v>
          </cell>
        </row>
        <row r="3">
          <cell r="K3">
            <v>0</v>
          </cell>
          <cell r="L3" t="str">
            <v>Please pick the value from Unit - (TCB,SRW - US) with current quantity 5000.0</v>
          </cell>
          <cell r="M3">
            <v>0</v>
          </cell>
          <cell r="N3">
            <v>0</v>
          </cell>
          <cell r="O3">
            <v>0</v>
          </cell>
          <cell r="P3">
            <v>0</v>
          </cell>
          <cell r="Q3">
            <v>0</v>
          </cell>
          <cell r="R3">
            <v>0</v>
          </cell>
        </row>
        <row r="4">
          <cell r="K4">
            <v>0</v>
          </cell>
          <cell r="L4">
            <v>0</v>
          </cell>
          <cell r="M4">
            <v>0</v>
          </cell>
          <cell r="N4">
            <v>0</v>
          </cell>
          <cell r="O4">
            <v>0</v>
          </cell>
          <cell r="P4">
            <v>0</v>
          </cell>
          <cell r="Q4" t="str">
            <v>Please pick the value from Unit - (Apapa,Argentinaian and TCB,Argentinaian) with current quantity 60234,60234 respectively</v>
          </cell>
          <cell r="R4">
            <v>0</v>
          </cell>
        </row>
        <row r="5">
          <cell r="K5">
            <v>0</v>
          </cell>
          <cell r="L5">
            <v>0</v>
          </cell>
          <cell r="M5">
            <v>0</v>
          </cell>
          <cell r="N5">
            <v>0</v>
          </cell>
          <cell r="O5">
            <v>0</v>
          </cell>
          <cell r="P5">
            <v>0</v>
          </cell>
          <cell r="Q5">
            <v>0</v>
          </cell>
          <cell r="R5">
            <v>0</v>
          </cell>
        </row>
        <row r="6">
          <cell r="K6">
            <v>0</v>
          </cell>
          <cell r="L6">
            <v>0</v>
          </cell>
          <cell r="M6">
            <v>0</v>
          </cell>
          <cell r="N6">
            <v>0</v>
          </cell>
          <cell r="O6">
            <v>0</v>
          </cell>
          <cell r="P6">
            <v>0</v>
          </cell>
          <cell r="Q6">
            <v>0</v>
          </cell>
          <cell r="R6">
            <v>0</v>
          </cell>
        </row>
        <row r="7">
          <cell r="K7">
            <v>0</v>
          </cell>
          <cell r="L7">
            <v>0</v>
          </cell>
          <cell r="M7">
            <v>0</v>
          </cell>
          <cell r="N7">
            <v>0</v>
          </cell>
          <cell r="O7">
            <v>0</v>
          </cell>
          <cell r="P7">
            <v>0</v>
          </cell>
          <cell r="Q7">
            <v>0</v>
          </cell>
          <cell r="R7">
            <v>0</v>
          </cell>
        </row>
        <row r="8">
          <cell r="K8">
            <v>0</v>
          </cell>
          <cell r="L8">
            <v>0</v>
          </cell>
          <cell r="M8">
            <v>0</v>
          </cell>
          <cell r="N8">
            <v>0</v>
          </cell>
          <cell r="O8">
            <v>0</v>
          </cell>
          <cell r="P8">
            <v>0</v>
          </cell>
          <cell r="Q8">
            <v>0</v>
          </cell>
          <cell r="R8">
            <v>0</v>
          </cell>
        </row>
        <row r="9">
          <cell r="K9">
            <v>0</v>
          </cell>
          <cell r="L9">
            <v>0</v>
          </cell>
          <cell r="M9">
            <v>0</v>
          </cell>
          <cell r="N9">
            <v>0</v>
          </cell>
          <cell r="O9">
            <v>0</v>
          </cell>
          <cell r="P9">
            <v>0</v>
          </cell>
          <cell r="Q9">
            <v>0</v>
          </cell>
          <cell r="R9">
            <v>0</v>
          </cell>
        </row>
        <row r="10">
          <cell r="K10">
            <v>0</v>
          </cell>
          <cell r="L10">
            <v>0</v>
          </cell>
          <cell r="M10">
            <v>0</v>
          </cell>
          <cell r="N10">
            <v>0</v>
          </cell>
          <cell r="O10">
            <v>0</v>
          </cell>
          <cell r="P10">
            <v>0</v>
          </cell>
          <cell r="Q10">
            <v>0</v>
          </cell>
          <cell r="R10">
            <v>0</v>
          </cell>
        </row>
        <row r="11">
          <cell r="K11">
            <v>0</v>
          </cell>
          <cell r="L11">
            <v>0</v>
          </cell>
          <cell r="M11">
            <v>0</v>
          </cell>
          <cell r="N11">
            <v>0</v>
          </cell>
          <cell r="O11">
            <v>0</v>
          </cell>
          <cell r="P11">
            <v>0</v>
          </cell>
          <cell r="Q11">
            <v>0</v>
          </cell>
          <cell r="R11">
            <v>0</v>
          </cell>
        </row>
      </sheetData>
      <sheetData sheetId="3" refreshError="1"/>
      <sheetData sheetId="4" refreshError="1"/>
      <sheetData sheetId="5" refreshError="1"/>
      <sheetData sheetId="6" refreshError="1"/>
      <sheetData sheetId="7" refreshError="1"/>
      <sheetData sheetId="8" refreshError="1"/>
      <sheetData sheetId="9">
        <row r="2">
          <cell r="C2" t="str">
            <v>Y</v>
          </cell>
          <cell r="D2" t="str">
            <v>Y</v>
          </cell>
          <cell r="E2" t="str">
            <v>N</v>
          </cell>
          <cell r="F2" t="str">
            <v>N</v>
          </cell>
          <cell r="G2" t="str">
            <v>N</v>
          </cell>
          <cell r="H2" t="str">
            <v>Y</v>
          </cell>
          <cell r="I2" t="str">
            <v>N</v>
          </cell>
          <cell r="J2" t="str">
            <v>Y</v>
          </cell>
        </row>
        <row r="3">
          <cell r="C3" t="str">
            <v>Y</v>
          </cell>
          <cell r="D3" t="str">
            <v>Y</v>
          </cell>
          <cell r="E3" t="str">
            <v>N</v>
          </cell>
          <cell r="F3" t="str">
            <v>N</v>
          </cell>
          <cell r="G3" t="str">
            <v>N</v>
          </cell>
          <cell r="H3" t="str">
            <v>N</v>
          </cell>
          <cell r="I3" t="str">
            <v>N</v>
          </cell>
          <cell r="J3" t="str">
            <v>N</v>
          </cell>
        </row>
        <row r="4">
          <cell r="C4" t="str">
            <v>N</v>
          </cell>
          <cell r="D4" t="str">
            <v>Y</v>
          </cell>
          <cell r="E4" t="str">
            <v>N</v>
          </cell>
          <cell r="F4" t="str">
            <v>N</v>
          </cell>
          <cell r="G4" t="str">
            <v>N</v>
          </cell>
          <cell r="H4" t="str">
            <v>Y</v>
          </cell>
          <cell r="I4" t="str">
            <v>N</v>
          </cell>
          <cell r="J4" t="str">
            <v>Y</v>
          </cell>
        </row>
        <row r="5">
          <cell r="C5" t="str">
            <v>N</v>
          </cell>
          <cell r="D5" t="str">
            <v>N</v>
          </cell>
          <cell r="E5" t="str">
            <v>N</v>
          </cell>
          <cell r="F5" t="str">
            <v>Y</v>
          </cell>
          <cell r="G5" t="str">
            <v>N</v>
          </cell>
          <cell r="H5" t="str">
            <v>Y</v>
          </cell>
          <cell r="I5" t="str">
            <v>N</v>
          </cell>
          <cell r="J5" t="str">
            <v>Y</v>
          </cell>
        </row>
        <row r="6">
          <cell r="C6" t="str">
            <v>Y</v>
          </cell>
          <cell r="D6" t="str">
            <v>N</v>
          </cell>
          <cell r="E6" t="str">
            <v>N</v>
          </cell>
          <cell r="F6" t="str">
            <v>Y</v>
          </cell>
          <cell r="G6" t="str">
            <v>N</v>
          </cell>
          <cell r="H6" t="str">
            <v>Y</v>
          </cell>
          <cell r="I6" t="str">
            <v>Y</v>
          </cell>
          <cell r="J6" t="str">
            <v>Y</v>
          </cell>
        </row>
        <row r="7">
          <cell r="C7" t="str">
            <v>N</v>
          </cell>
          <cell r="D7" t="str">
            <v>Y</v>
          </cell>
          <cell r="E7" t="str">
            <v>N</v>
          </cell>
          <cell r="F7" t="str">
            <v>Y</v>
          </cell>
          <cell r="G7" t="str">
            <v>Y</v>
          </cell>
          <cell r="H7" t="str">
            <v>Y</v>
          </cell>
          <cell r="I7" t="str">
            <v>Y</v>
          </cell>
          <cell r="J7" t="str">
            <v>N</v>
          </cell>
        </row>
        <row r="8">
          <cell r="C8" t="str">
            <v>Y</v>
          </cell>
          <cell r="D8" t="str">
            <v>Y</v>
          </cell>
          <cell r="E8" t="str">
            <v>N</v>
          </cell>
          <cell r="F8" t="str">
            <v>Y</v>
          </cell>
          <cell r="G8" t="str">
            <v>Y</v>
          </cell>
          <cell r="H8" t="str">
            <v>N</v>
          </cell>
          <cell r="I8" t="str">
            <v>N</v>
          </cell>
          <cell r="J8" t="str">
            <v>N</v>
          </cell>
        </row>
        <row r="9">
          <cell r="C9" t="str">
            <v>N</v>
          </cell>
          <cell r="D9" t="str">
            <v>Y</v>
          </cell>
          <cell r="E9" t="str">
            <v>N</v>
          </cell>
          <cell r="F9" t="str">
            <v>N</v>
          </cell>
          <cell r="G9" t="str">
            <v>N</v>
          </cell>
          <cell r="H9" t="str">
            <v>N</v>
          </cell>
          <cell r="I9" t="str">
            <v>Y</v>
          </cell>
          <cell r="J9" t="str">
            <v>N</v>
          </cell>
        </row>
        <row r="10">
          <cell r="C10" t="str">
            <v>N</v>
          </cell>
          <cell r="D10" t="str">
            <v>N</v>
          </cell>
          <cell r="E10" t="str">
            <v>N</v>
          </cell>
          <cell r="F10" t="str">
            <v>Y</v>
          </cell>
          <cell r="G10" t="str">
            <v>N</v>
          </cell>
          <cell r="H10" t="str">
            <v>N</v>
          </cell>
          <cell r="I10" t="str">
            <v>N</v>
          </cell>
          <cell r="J10" t="str">
            <v>N</v>
          </cell>
        </row>
        <row r="11">
          <cell r="C11" t="str">
            <v>Y</v>
          </cell>
          <cell r="D11" t="str">
            <v>Y</v>
          </cell>
          <cell r="E11" t="str">
            <v>N</v>
          </cell>
          <cell r="F11" t="str">
            <v>N</v>
          </cell>
          <cell r="G11" t="str">
            <v>Y</v>
          </cell>
          <cell r="H11" t="str">
            <v>N</v>
          </cell>
          <cell r="I11" t="str">
            <v>N</v>
          </cell>
          <cell r="J11" t="str">
            <v>N</v>
          </cell>
        </row>
      </sheetData>
      <sheetData sheetId="10" refreshError="1"/>
      <sheetData sheetId="11" refreshError="1"/>
      <sheetData sheetId="12">
        <row r="2">
          <cell r="C2">
            <v>0</v>
          </cell>
          <cell r="D2" t="str">
            <v/>
          </cell>
          <cell r="E2">
            <v>0</v>
          </cell>
          <cell r="F2">
            <v>0</v>
          </cell>
          <cell r="G2">
            <v>0</v>
          </cell>
          <cell r="H2">
            <v>0</v>
          </cell>
          <cell r="I2" t="str">
            <v/>
          </cell>
          <cell r="J2">
            <v>0</v>
          </cell>
        </row>
        <row r="3">
          <cell r="C3">
            <v>0</v>
          </cell>
          <cell r="D3" t="str">
            <v/>
          </cell>
          <cell r="E3">
            <v>0</v>
          </cell>
          <cell r="F3">
            <v>0</v>
          </cell>
          <cell r="G3">
            <v>0</v>
          </cell>
          <cell r="H3">
            <v>0</v>
          </cell>
          <cell r="I3" t="str">
            <v/>
          </cell>
          <cell r="J3">
            <v>125</v>
          </cell>
        </row>
        <row r="4">
          <cell r="C4" t="str">
            <v/>
          </cell>
          <cell r="D4" t="str">
            <v/>
          </cell>
          <cell r="E4">
            <v>0</v>
          </cell>
          <cell r="F4">
            <v>0</v>
          </cell>
          <cell r="G4">
            <v>0</v>
          </cell>
          <cell r="H4">
            <v>0</v>
          </cell>
          <cell r="I4" t="str">
            <v/>
          </cell>
          <cell r="J4" t="str">
            <v/>
          </cell>
        </row>
        <row r="5">
          <cell r="C5">
            <v>0</v>
          </cell>
          <cell r="D5" t="str">
            <v/>
          </cell>
          <cell r="E5">
            <v>0</v>
          </cell>
          <cell r="F5">
            <v>0</v>
          </cell>
          <cell r="G5">
            <v>0</v>
          </cell>
          <cell r="H5">
            <v>0</v>
          </cell>
          <cell r="I5" t="str">
            <v/>
          </cell>
          <cell r="J5" t="str">
            <v/>
          </cell>
        </row>
        <row r="6">
          <cell r="C6">
            <v>0</v>
          </cell>
          <cell r="D6" t="str">
            <v/>
          </cell>
          <cell r="E6">
            <v>0</v>
          </cell>
          <cell r="F6">
            <v>0</v>
          </cell>
          <cell r="G6">
            <v>0</v>
          </cell>
          <cell r="H6">
            <v>0</v>
          </cell>
          <cell r="I6" t="str">
            <v/>
          </cell>
          <cell r="J6" t="str">
            <v/>
          </cell>
        </row>
        <row r="7">
          <cell r="C7">
            <v>0</v>
          </cell>
          <cell r="D7" t="str">
            <v/>
          </cell>
          <cell r="E7">
            <v>0</v>
          </cell>
          <cell r="F7">
            <v>0</v>
          </cell>
          <cell r="G7">
            <v>0</v>
          </cell>
          <cell r="H7">
            <v>0</v>
          </cell>
          <cell r="I7" t="str">
            <v/>
          </cell>
          <cell r="J7">
            <v>0</v>
          </cell>
        </row>
        <row r="8">
          <cell r="C8">
            <v>0</v>
          </cell>
          <cell r="D8" t="str">
            <v/>
          </cell>
          <cell r="E8">
            <v>0</v>
          </cell>
          <cell r="F8">
            <v>0</v>
          </cell>
          <cell r="G8">
            <v>0</v>
          </cell>
          <cell r="H8">
            <v>0</v>
          </cell>
          <cell r="I8" t="str">
            <v/>
          </cell>
          <cell r="J8">
            <v>125</v>
          </cell>
        </row>
        <row r="9">
          <cell r="C9">
            <v>0</v>
          </cell>
          <cell r="D9" t="str">
            <v/>
          </cell>
          <cell r="E9">
            <v>0</v>
          </cell>
          <cell r="F9">
            <v>0</v>
          </cell>
          <cell r="G9">
            <v>0</v>
          </cell>
          <cell r="H9">
            <v>0</v>
          </cell>
          <cell r="I9" t="str">
            <v/>
          </cell>
          <cell r="J9" t="str">
            <v/>
          </cell>
        </row>
        <row r="10">
          <cell r="C10">
            <v>0</v>
          </cell>
          <cell r="D10" t="str">
            <v/>
          </cell>
          <cell r="E10">
            <v>0</v>
          </cell>
          <cell r="F10">
            <v>0</v>
          </cell>
          <cell r="G10">
            <v>0</v>
          </cell>
          <cell r="H10">
            <v>0</v>
          </cell>
          <cell r="I10" t="str">
            <v/>
          </cell>
          <cell r="J10" t="str">
            <v/>
          </cell>
        </row>
        <row r="11">
          <cell r="C11">
            <v>0</v>
          </cell>
          <cell r="D11" t="str">
            <v/>
          </cell>
          <cell r="E11">
            <v>0</v>
          </cell>
          <cell r="F11">
            <v>0</v>
          </cell>
          <cell r="G11">
            <v>0</v>
          </cell>
          <cell r="H11">
            <v>0</v>
          </cell>
          <cell r="I11" t="str">
            <v/>
          </cell>
          <cell r="J11" t="str">
            <v/>
          </cell>
        </row>
      </sheetData>
      <sheetData sheetId="13">
        <row r="2">
          <cell r="C2">
            <v>13</v>
          </cell>
          <cell r="D2">
            <v>0</v>
          </cell>
          <cell r="E2">
            <v>9999</v>
          </cell>
          <cell r="F2">
            <v>9999</v>
          </cell>
          <cell r="G2">
            <v>9999</v>
          </cell>
          <cell r="H2">
            <v>13</v>
          </cell>
          <cell r="I2">
            <v>0</v>
          </cell>
          <cell r="J2">
            <v>4</v>
          </cell>
        </row>
        <row r="3">
          <cell r="C3">
            <v>13</v>
          </cell>
          <cell r="D3">
            <v>0</v>
          </cell>
          <cell r="E3">
            <v>9999</v>
          </cell>
          <cell r="F3">
            <v>9999</v>
          </cell>
          <cell r="G3">
            <v>9999</v>
          </cell>
          <cell r="H3">
            <v>14</v>
          </cell>
          <cell r="I3">
            <v>0</v>
          </cell>
          <cell r="J3">
            <v>9999</v>
          </cell>
        </row>
        <row r="4">
          <cell r="C4">
            <v>9999</v>
          </cell>
          <cell r="D4">
            <v>0</v>
          </cell>
          <cell r="E4">
            <v>9999</v>
          </cell>
          <cell r="F4">
            <v>9999</v>
          </cell>
          <cell r="G4">
            <v>9999</v>
          </cell>
          <cell r="H4">
            <v>15</v>
          </cell>
          <cell r="I4">
            <v>0</v>
          </cell>
          <cell r="J4">
            <v>9999</v>
          </cell>
        </row>
        <row r="5">
          <cell r="C5">
            <v>6</v>
          </cell>
          <cell r="D5">
            <v>0</v>
          </cell>
          <cell r="E5">
            <v>9999</v>
          </cell>
          <cell r="F5">
            <v>9999</v>
          </cell>
          <cell r="G5">
            <v>9999</v>
          </cell>
          <cell r="H5">
            <v>5</v>
          </cell>
          <cell r="I5">
            <v>0</v>
          </cell>
          <cell r="J5">
            <v>9999</v>
          </cell>
        </row>
        <row r="6">
          <cell r="C6">
            <v>1</v>
          </cell>
          <cell r="D6">
            <v>0</v>
          </cell>
          <cell r="E6">
            <v>9999</v>
          </cell>
          <cell r="F6">
            <v>9999</v>
          </cell>
          <cell r="G6">
            <v>9999</v>
          </cell>
          <cell r="H6">
            <v>1</v>
          </cell>
          <cell r="I6">
            <v>0</v>
          </cell>
          <cell r="J6">
            <v>9999</v>
          </cell>
        </row>
        <row r="7">
          <cell r="C7">
            <v>21</v>
          </cell>
          <cell r="D7">
            <v>0</v>
          </cell>
          <cell r="E7">
            <v>9999</v>
          </cell>
          <cell r="F7">
            <v>9999</v>
          </cell>
          <cell r="G7">
            <v>9999</v>
          </cell>
          <cell r="H7">
            <v>21</v>
          </cell>
          <cell r="I7">
            <v>0</v>
          </cell>
          <cell r="J7">
            <v>16</v>
          </cell>
        </row>
        <row r="8">
          <cell r="C8">
            <v>21</v>
          </cell>
          <cell r="D8">
            <v>0</v>
          </cell>
          <cell r="E8">
            <v>9999</v>
          </cell>
          <cell r="F8">
            <v>9999</v>
          </cell>
          <cell r="G8">
            <v>9999</v>
          </cell>
          <cell r="H8">
            <v>21</v>
          </cell>
          <cell r="I8">
            <v>0</v>
          </cell>
          <cell r="J8">
            <v>9999</v>
          </cell>
        </row>
        <row r="9">
          <cell r="C9">
            <v>22</v>
          </cell>
          <cell r="D9">
            <v>0</v>
          </cell>
          <cell r="E9">
            <v>9999</v>
          </cell>
          <cell r="F9">
            <v>9999</v>
          </cell>
          <cell r="G9">
            <v>9999</v>
          </cell>
          <cell r="H9">
            <v>23</v>
          </cell>
          <cell r="I9">
            <v>0</v>
          </cell>
          <cell r="J9">
            <v>9999</v>
          </cell>
        </row>
        <row r="10">
          <cell r="C10">
            <v>28</v>
          </cell>
          <cell r="D10">
            <v>0</v>
          </cell>
          <cell r="E10">
            <v>9999</v>
          </cell>
          <cell r="F10">
            <v>9999</v>
          </cell>
          <cell r="G10">
            <v>9999</v>
          </cell>
          <cell r="H10">
            <v>29</v>
          </cell>
          <cell r="I10">
            <v>0</v>
          </cell>
          <cell r="J10">
            <v>9999</v>
          </cell>
        </row>
        <row r="11">
          <cell r="C11">
            <v>29</v>
          </cell>
          <cell r="D11">
            <v>0</v>
          </cell>
          <cell r="E11">
            <v>9999</v>
          </cell>
          <cell r="F11">
            <v>9999</v>
          </cell>
          <cell r="G11">
            <v>9999</v>
          </cell>
          <cell r="H11">
            <v>29</v>
          </cell>
          <cell r="I11">
            <v>0</v>
          </cell>
          <cell r="J11">
            <v>9999</v>
          </cell>
        </row>
      </sheetData>
      <sheetData sheetId="14" refreshError="1"/>
      <sheetData sheetId="15">
        <row r="2">
          <cell r="C2">
            <v>7000</v>
          </cell>
          <cell r="D2">
            <v>0</v>
          </cell>
          <cell r="E2">
            <v>2500</v>
          </cell>
          <cell r="F2">
            <v>2500</v>
          </cell>
          <cell r="G2">
            <v>2500</v>
          </cell>
          <cell r="H2">
            <v>2500</v>
          </cell>
          <cell r="I2">
            <v>0</v>
          </cell>
          <cell r="J2">
            <v>5000</v>
          </cell>
        </row>
        <row r="3">
          <cell r="C3">
            <v>5000</v>
          </cell>
          <cell r="D3">
            <v>0</v>
          </cell>
          <cell r="E3">
            <v>2500</v>
          </cell>
          <cell r="F3">
            <v>2500</v>
          </cell>
          <cell r="G3">
            <v>2500</v>
          </cell>
          <cell r="H3">
            <v>2500</v>
          </cell>
          <cell r="I3">
            <v>0</v>
          </cell>
          <cell r="J3">
            <v>1000</v>
          </cell>
        </row>
        <row r="4">
          <cell r="C4">
            <v>0</v>
          </cell>
          <cell r="D4">
            <v>0</v>
          </cell>
          <cell r="E4">
            <v>2500</v>
          </cell>
          <cell r="F4">
            <v>2500</v>
          </cell>
          <cell r="G4">
            <v>2500</v>
          </cell>
          <cell r="H4">
            <v>2500</v>
          </cell>
          <cell r="I4">
            <v>0</v>
          </cell>
          <cell r="J4">
            <v>0</v>
          </cell>
        </row>
        <row r="5">
          <cell r="C5">
            <v>5000</v>
          </cell>
          <cell r="D5">
            <v>0</v>
          </cell>
          <cell r="E5">
            <v>2500</v>
          </cell>
          <cell r="F5">
            <v>2500</v>
          </cell>
          <cell r="G5">
            <v>2500</v>
          </cell>
          <cell r="H5">
            <v>2500</v>
          </cell>
          <cell r="I5">
            <v>0</v>
          </cell>
          <cell r="J5">
            <v>0</v>
          </cell>
        </row>
        <row r="6">
          <cell r="C6">
            <v>9000</v>
          </cell>
          <cell r="D6">
            <v>0</v>
          </cell>
          <cell r="E6">
            <v>2500</v>
          </cell>
          <cell r="F6">
            <v>2500</v>
          </cell>
          <cell r="G6">
            <v>2500</v>
          </cell>
          <cell r="H6">
            <v>2500</v>
          </cell>
          <cell r="I6">
            <v>0</v>
          </cell>
          <cell r="J6">
            <v>0</v>
          </cell>
        </row>
        <row r="7">
          <cell r="C7">
            <v>8000</v>
          </cell>
          <cell r="D7">
            <v>0</v>
          </cell>
          <cell r="E7">
            <v>2500</v>
          </cell>
          <cell r="F7">
            <v>2500</v>
          </cell>
          <cell r="G7">
            <v>2500</v>
          </cell>
          <cell r="H7">
            <v>2500</v>
          </cell>
          <cell r="I7">
            <v>0</v>
          </cell>
          <cell r="J7">
            <v>5000</v>
          </cell>
        </row>
        <row r="8">
          <cell r="C8">
            <v>300</v>
          </cell>
          <cell r="D8">
            <v>0</v>
          </cell>
          <cell r="E8">
            <v>4000</v>
          </cell>
          <cell r="F8">
            <v>4000</v>
          </cell>
          <cell r="G8">
            <v>4000</v>
          </cell>
          <cell r="H8">
            <v>4000</v>
          </cell>
          <cell r="I8">
            <v>0</v>
          </cell>
          <cell r="J8">
            <v>1000</v>
          </cell>
        </row>
        <row r="9">
          <cell r="C9">
            <v>5000</v>
          </cell>
          <cell r="D9">
            <v>0</v>
          </cell>
          <cell r="E9">
            <v>2500</v>
          </cell>
          <cell r="F9">
            <v>2500</v>
          </cell>
          <cell r="G9">
            <v>2500</v>
          </cell>
          <cell r="H9">
            <v>2500</v>
          </cell>
          <cell r="I9">
            <v>0</v>
          </cell>
          <cell r="J9">
            <v>0</v>
          </cell>
        </row>
        <row r="10">
          <cell r="C10">
            <v>5000</v>
          </cell>
          <cell r="D10">
            <v>0</v>
          </cell>
          <cell r="E10">
            <v>2500</v>
          </cell>
          <cell r="F10">
            <v>2500</v>
          </cell>
          <cell r="G10">
            <v>2500</v>
          </cell>
          <cell r="H10">
            <v>2500</v>
          </cell>
          <cell r="I10">
            <v>0</v>
          </cell>
          <cell r="J10">
            <v>0</v>
          </cell>
        </row>
        <row r="11">
          <cell r="C11">
            <v>5000</v>
          </cell>
          <cell r="D11">
            <v>0</v>
          </cell>
          <cell r="E11">
            <v>2500</v>
          </cell>
          <cell r="F11">
            <v>2500</v>
          </cell>
          <cell r="G11">
            <v>2500</v>
          </cell>
          <cell r="H11">
            <v>2500</v>
          </cell>
          <cell r="I11">
            <v>0</v>
          </cell>
          <cell r="J11">
            <v>0</v>
          </cell>
        </row>
      </sheetData>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Z102"/>
  <sheetViews>
    <sheetView topLeftCell="B4" workbookViewId="0">
      <selection activeCell="E24" sqref="E24"/>
    </sheetView>
  </sheetViews>
  <sheetFormatPr defaultRowHeight="15" x14ac:dyDescent="0.25"/>
  <cols>
    <col min="1" max="1" width="9.140625" style="42"/>
    <col min="2" max="2" width="30" style="42" bestFit="1" customWidth="1"/>
    <col min="3" max="3" width="12.85546875" style="42" bestFit="1" customWidth="1"/>
    <col min="4" max="4" width="10.85546875" style="42" bestFit="1" customWidth="1"/>
    <col min="5" max="5" width="9.5703125" style="42" bestFit="1" customWidth="1"/>
    <col min="6" max="6" width="10.85546875" style="42" bestFit="1" customWidth="1"/>
    <col min="7" max="7" width="9.5703125" style="42" bestFit="1" customWidth="1"/>
    <col min="8" max="9" width="11.5703125" style="42" bestFit="1" customWidth="1"/>
    <col min="10" max="10" width="10.85546875" style="42" bestFit="1" customWidth="1"/>
    <col min="11" max="11" width="14.85546875" style="42" bestFit="1" customWidth="1"/>
    <col min="12" max="14" width="9.140625" style="42"/>
    <col min="15" max="15" width="9.7109375" style="42" bestFit="1" customWidth="1"/>
    <col min="16" max="16" width="8.42578125" style="42" bestFit="1" customWidth="1"/>
    <col min="17" max="17" width="13.42578125" style="42" customWidth="1"/>
    <col min="18" max="18" width="12.85546875" style="42" customWidth="1"/>
    <col min="19" max="16384" width="9.140625" style="42"/>
  </cols>
  <sheetData>
    <row r="2" spans="2:26" ht="15.75" thickBot="1" x14ac:dyDescent="0.3"/>
    <row r="3" spans="2:26" ht="15.75" thickBot="1" x14ac:dyDescent="0.3">
      <c r="C3" s="177" t="s">
        <v>0</v>
      </c>
      <c r="D3" s="178"/>
      <c r="E3" s="178"/>
      <c r="F3" s="178"/>
      <c r="G3" s="179"/>
      <c r="S3" s="177" t="s">
        <v>2</v>
      </c>
      <c r="T3" s="178"/>
      <c r="U3" s="178"/>
      <c r="V3" s="178"/>
      <c r="W3" s="179"/>
    </row>
    <row r="4" spans="2:26" ht="15.75" thickBot="1" x14ac:dyDescent="0.3"/>
    <row r="5" spans="2:26" ht="15.75" thickBot="1" x14ac:dyDescent="0.3">
      <c r="D5" s="57" t="s">
        <v>4</v>
      </c>
      <c r="E5" s="62" t="s">
        <v>7</v>
      </c>
      <c r="F5" s="57" t="s">
        <v>38</v>
      </c>
      <c r="G5" s="58" t="s">
        <v>39</v>
      </c>
      <c r="H5" s="58" t="s">
        <v>40</v>
      </c>
      <c r="I5" s="58" t="s">
        <v>41</v>
      </c>
      <c r="J5" s="59" t="s">
        <v>42</v>
      </c>
      <c r="K5" s="58" t="s">
        <v>5</v>
      </c>
      <c r="L5" s="63" t="s">
        <v>8</v>
      </c>
      <c r="M5" s="58" t="s">
        <v>9</v>
      </c>
      <c r="N5" s="58" t="s">
        <v>10</v>
      </c>
      <c r="O5" s="59" t="s">
        <v>11</v>
      </c>
      <c r="S5" s="57" t="s">
        <v>4</v>
      </c>
      <c r="T5" s="62" t="s">
        <v>7</v>
      </c>
      <c r="U5" s="57" t="s">
        <v>38</v>
      </c>
      <c r="V5" s="58" t="s">
        <v>39</v>
      </c>
      <c r="W5" s="58" t="s">
        <v>40</v>
      </c>
      <c r="X5" s="58" t="s">
        <v>41</v>
      </c>
      <c r="Y5" s="59" t="s">
        <v>42</v>
      </c>
      <c r="Z5" s="58" t="s">
        <v>5</v>
      </c>
    </row>
    <row r="6" spans="2:26" x14ac:dyDescent="0.25">
      <c r="B6" s="192" t="s">
        <v>14</v>
      </c>
      <c r="C6" s="43" t="s">
        <v>15</v>
      </c>
      <c r="D6" s="173">
        <v>500</v>
      </c>
      <c r="E6" s="172">
        <f t="shared" ref="E6:G15" ca="1" si="0">ROUND(RAND()*1000,0)</f>
        <v>515</v>
      </c>
      <c r="F6" s="172">
        <f t="shared" ca="1" si="0"/>
        <v>991</v>
      </c>
      <c r="G6" s="172">
        <f t="shared" ca="1" si="0"/>
        <v>335</v>
      </c>
      <c r="H6" s="173">
        <v>500</v>
      </c>
      <c r="I6" s="172">
        <f t="shared" ref="I6:K15" ca="1" si="1">ROUND(RAND()*1000,0)</f>
        <v>193</v>
      </c>
      <c r="J6" s="172">
        <f t="shared" ca="1" si="1"/>
        <v>338</v>
      </c>
      <c r="K6" s="172">
        <f t="shared" ca="1" si="1"/>
        <v>285</v>
      </c>
      <c r="L6" s="171">
        <v>1600</v>
      </c>
      <c r="M6" s="159">
        <v>0.8</v>
      </c>
      <c r="N6" s="158">
        <f t="shared" ref="N6:N15" si="2">M6*L6</f>
        <v>1280</v>
      </c>
      <c r="O6" s="157">
        <f t="shared" ref="O6:O15" si="3">N6-D6</f>
        <v>780</v>
      </c>
      <c r="Q6" s="110" t="s">
        <v>14</v>
      </c>
      <c r="R6" s="9" t="s">
        <v>15</v>
      </c>
      <c r="S6" s="170">
        <f t="shared" ref="S6:Z15" ca="1" si="4">ROUND(RAND()*100000,0)</f>
        <v>39464</v>
      </c>
      <c r="T6" s="169">
        <f t="shared" ca="1" si="4"/>
        <v>97116</v>
      </c>
      <c r="U6" s="169">
        <f t="shared" ca="1" si="4"/>
        <v>8927</v>
      </c>
      <c r="V6" s="169">
        <f t="shared" ca="1" si="4"/>
        <v>46991</v>
      </c>
      <c r="W6" s="170">
        <f t="shared" ca="1" si="4"/>
        <v>56110</v>
      </c>
      <c r="X6" s="169">
        <f t="shared" ca="1" si="4"/>
        <v>8821</v>
      </c>
      <c r="Y6" s="169">
        <f t="shared" ca="1" si="4"/>
        <v>55095</v>
      </c>
      <c r="Z6" s="169">
        <f t="shared" ca="1" si="4"/>
        <v>79400</v>
      </c>
    </row>
    <row r="7" spans="2:26" x14ac:dyDescent="0.25">
      <c r="B7" s="193"/>
      <c r="C7" s="44" t="s">
        <v>16</v>
      </c>
      <c r="D7" s="168">
        <f t="shared" ref="D7:D15" ca="1" si="5">ROUND(RAND()*1000,0)</f>
        <v>742</v>
      </c>
      <c r="E7" s="166">
        <f t="shared" ca="1" si="0"/>
        <v>55</v>
      </c>
      <c r="F7" s="166">
        <f t="shared" ca="1" si="0"/>
        <v>61</v>
      </c>
      <c r="G7" s="166">
        <f t="shared" ca="1" si="0"/>
        <v>227</v>
      </c>
      <c r="H7" s="168">
        <f t="shared" ref="H7:H15" ca="1" si="6">ROUND(RAND()*1000,0)</f>
        <v>925</v>
      </c>
      <c r="I7" s="166">
        <f t="shared" ca="1" si="1"/>
        <v>357</v>
      </c>
      <c r="J7" s="166">
        <f t="shared" ca="1" si="1"/>
        <v>434</v>
      </c>
      <c r="K7" s="166">
        <f t="shared" ca="1" si="1"/>
        <v>788</v>
      </c>
      <c r="L7" s="160">
        <v>1700</v>
      </c>
      <c r="M7" s="159">
        <v>0.8</v>
      </c>
      <c r="N7" s="158">
        <f t="shared" si="2"/>
        <v>1360</v>
      </c>
      <c r="O7" s="157">
        <f t="shared" ca="1" si="3"/>
        <v>618</v>
      </c>
      <c r="Q7" s="111"/>
      <c r="R7" s="10" t="s">
        <v>16</v>
      </c>
      <c r="S7" s="167">
        <f t="shared" ca="1" si="4"/>
        <v>63476</v>
      </c>
      <c r="T7" s="166">
        <f t="shared" ca="1" si="4"/>
        <v>4686</v>
      </c>
      <c r="U7" s="166">
        <f t="shared" ca="1" si="4"/>
        <v>77758</v>
      </c>
      <c r="V7" s="166">
        <f t="shared" ca="1" si="4"/>
        <v>39</v>
      </c>
      <c r="W7" s="167">
        <f t="shared" ca="1" si="4"/>
        <v>86986</v>
      </c>
      <c r="X7" s="166">
        <f t="shared" ca="1" si="4"/>
        <v>47041</v>
      </c>
      <c r="Y7" s="166">
        <f t="shared" ca="1" si="4"/>
        <v>55812</v>
      </c>
      <c r="Z7" s="166">
        <f t="shared" ca="1" si="4"/>
        <v>44773</v>
      </c>
    </row>
    <row r="8" spans="2:26" x14ac:dyDescent="0.25">
      <c r="B8" s="193"/>
      <c r="C8" s="45" t="s">
        <v>17</v>
      </c>
      <c r="D8" s="165">
        <f t="shared" ca="1" si="5"/>
        <v>467</v>
      </c>
      <c r="E8" s="163">
        <f t="shared" ca="1" si="0"/>
        <v>137</v>
      </c>
      <c r="F8" s="163">
        <f t="shared" ca="1" si="0"/>
        <v>330</v>
      </c>
      <c r="G8" s="163">
        <f t="shared" ca="1" si="0"/>
        <v>462</v>
      </c>
      <c r="H8" s="165">
        <f t="shared" ca="1" si="6"/>
        <v>144</v>
      </c>
      <c r="I8" s="163">
        <f t="shared" ca="1" si="1"/>
        <v>274</v>
      </c>
      <c r="J8" s="163">
        <f t="shared" ca="1" si="1"/>
        <v>208</v>
      </c>
      <c r="K8" s="163">
        <f t="shared" ca="1" si="1"/>
        <v>411</v>
      </c>
      <c r="L8" s="160">
        <v>360</v>
      </c>
      <c r="M8" s="159">
        <v>0.8</v>
      </c>
      <c r="N8" s="158">
        <f t="shared" si="2"/>
        <v>288</v>
      </c>
      <c r="O8" s="157">
        <f t="shared" ca="1" si="3"/>
        <v>-179</v>
      </c>
      <c r="Q8" s="111"/>
      <c r="R8" s="15" t="s">
        <v>17</v>
      </c>
      <c r="S8" s="170">
        <f t="shared" ca="1" si="4"/>
        <v>98413</v>
      </c>
      <c r="T8" s="169">
        <f t="shared" ca="1" si="4"/>
        <v>84933</v>
      </c>
      <c r="U8" s="169">
        <f t="shared" ca="1" si="4"/>
        <v>52500</v>
      </c>
      <c r="V8" s="169">
        <f t="shared" ca="1" si="4"/>
        <v>78582</v>
      </c>
      <c r="W8" s="170">
        <f t="shared" ca="1" si="4"/>
        <v>54323</v>
      </c>
      <c r="X8" s="169">
        <f t="shared" ca="1" si="4"/>
        <v>97567</v>
      </c>
      <c r="Y8" s="169">
        <f t="shared" ca="1" si="4"/>
        <v>56308</v>
      </c>
      <c r="Z8" s="169">
        <f t="shared" ca="1" si="4"/>
        <v>78125</v>
      </c>
    </row>
    <row r="9" spans="2:26" x14ac:dyDescent="0.25">
      <c r="B9" s="193"/>
      <c r="C9" s="44" t="s">
        <v>18</v>
      </c>
      <c r="D9" s="168">
        <f t="shared" ca="1" si="5"/>
        <v>506</v>
      </c>
      <c r="E9" s="166">
        <f t="shared" ca="1" si="0"/>
        <v>278</v>
      </c>
      <c r="F9" s="166">
        <f t="shared" ca="1" si="0"/>
        <v>816</v>
      </c>
      <c r="G9" s="166">
        <f t="shared" ca="1" si="0"/>
        <v>763</v>
      </c>
      <c r="H9" s="168">
        <f t="shared" ca="1" si="6"/>
        <v>885</v>
      </c>
      <c r="I9" s="166">
        <f t="shared" ca="1" si="1"/>
        <v>553</v>
      </c>
      <c r="J9" s="166">
        <f t="shared" ca="1" si="1"/>
        <v>645</v>
      </c>
      <c r="K9" s="166">
        <f t="shared" ca="1" si="1"/>
        <v>978</v>
      </c>
      <c r="L9" s="160">
        <v>800</v>
      </c>
      <c r="M9" s="159">
        <v>0.8</v>
      </c>
      <c r="N9" s="158">
        <f t="shared" si="2"/>
        <v>640</v>
      </c>
      <c r="O9" s="157">
        <f t="shared" ca="1" si="3"/>
        <v>134</v>
      </c>
      <c r="Q9" s="111"/>
      <c r="R9" s="10" t="s">
        <v>18</v>
      </c>
      <c r="S9" s="167">
        <f t="shared" ca="1" si="4"/>
        <v>63373</v>
      </c>
      <c r="T9" s="166">
        <f t="shared" ca="1" si="4"/>
        <v>37897</v>
      </c>
      <c r="U9" s="166">
        <f t="shared" ca="1" si="4"/>
        <v>41640</v>
      </c>
      <c r="V9" s="166">
        <f t="shared" ca="1" si="4"/>
        <v>60387</v>
      </c>
      <c r="W9" s="167">
        <f t="shared" ca="1" si="4"/>
        <v>50217</v>
      </c>
      <c r="X9" s="166">
        <f t="shared" ca="1" si="4"/>
        <v>86978</v>
      </c>
      <c r="Y9" s="166">
        <f t="shared" ca="1" si="4"/>
        <v>57610</v>
      </c>
      <c r="Z9" s="166">
        <f t="shared" ca="1" si="4"/>
        <v>85985</v>
      </c>
    </row>
    <row r="10" spans="2:26" x14ac:dyDescent="0.25">
      <c r="B10" s="193"/>
      <c r="C10" s="46" t="s">
        <v>19</v>
      </c>
      <c r="D10" s="165">
        <f t="shared" ca="1" si="5"/>
        <v>833</v>
      </c>
      <c r="E10" s="163">
        <f t="shared" ca="1" si="0"/>
        <v>63</v>
      </c>
      <c r="F10" s="163">
        <f t="shared" ca="1" si="0"/>
        <v>90</v>
      </c>
      <c r="G10" s="163">
        <f t="shared" ca="1" si="0"/>
        <v>987</v>
      </c>
      <c r="H10" s="165">
        <f t="shared" ca="1" si="6"/>
        <v>937</v>
      </c>
      <c r="I10" s="163">
        <f t="shared" ca="1" si="1"/>
        <v>820</v>
      </c>
      <c r="J10" s="163">
        <f t="shared" ca="1" si="1"/>
        <v>670</v>
      </c>
      <c r="K10" s="163">
        <f t="shared" ca="1" si="1"/>
        <v>363</v>
      </c>
      <c r="L10" s="160">
        <v>1200</v>
      </c>
      <c r="M10" s="159">
        <v>0.8</v>
      </c>
      <c r="N10" s="158">
        <f t="shared" si="2"/>
        <v>960</v>
      </c>
      <c r="O10" s="157">
        <f t="shared" ca="1" si="3"/>
        <v>127</v>
      </c>
      <c r="Q10" s="111"/>
      <c r="R10" s="11" t="s">
        <v>19</v>
      </c>
      <c r="S10" s="164">
        <f t="shared" ca="1" si="4"/>
        <v>32004</v>
      </c>
      <c r="T10" s="163">
        <f t="shared" ca="1" si="4"/>
        <v>51492</v>
      </c>
      <c r="U10" s="163">
        <f t="shared" ca="1" si="4"/>
        <v>76643</v>
      </c>
      <c r="V10" s="163">
        <f t="shared" ca="1" si="4"/>
        <v>76524</v>
      </c>
      <c r="W10" s="164">
        <f t="shared" ca="1" si="4"/>
        <v>12008</v>
      </c>
      <c r="X10" s="163">
        <f t="shared" ca="1" si="4"/>
        <v>1342</v>
      </c>
      <c r="Y10" s="163">
        <f t="shared" ca="1" si="4"/>
        <v>5298</v>
      </c>
      <c r="Z10" s="163">
        <f t="shared" ca="1" si="4"/>
        <v>8236</v>
      </c>
    </row>
    <row r="11" spans="2:26" x14ac:dyDescent="0.25">
      <c r="B11" s="175" t="s">
        <v>20</v>
      </c>
      <c r="C11" s="47" t="s">
        <v>21</v>
      </c>
      <c r="D11" s="162">
        <f t="shared" ca="1" si="5"/>
        <v>298</v>
      </c>
      <c r="E11" s="147">
        <f t="shared" ca="1" si="0"/>
        <v>837</v>
      </c>
      <c r="F11" s="147">
        <f t="shared" ca="1" si="0"/>
        <v>675</v>
      </c>
      <c r="G11" s="147">
        <f t="shared" ca="1" si="0"/>
        <v>687</v>
      </c>
      <c r="H11" s="162">
        <f t="shared" ca="1" si="6"/>
        <v>424</v>
      </c>
      <c r="I11" s="147">
        <f t="shared" ca="1" si="1"/>
        <v>780</v>
      </c>
      <c r="J11" s="147">
        <f t="shared" ca="1" si="1"/>
        <v>192</v>
      </c>
      <c r="K11" s="147">
        <f t="shared" ca="1" si="1"/>
        <v>284</v>
      </c>
      <c r="L11" s="160">
        <v>1500</v>
      </c>
      <c r="M11" s="159">
        <v>0.8</v>
      </c>
      <c r="N11" s="158">
        <f t="shared" si="2"/>
        <v>1200</v>
      </c>
      <c r="O11" s="157">
        <f t="shared" ca="1" si="3"/>
        <v>902</v>
      </c>
      <c r="Q11" s="112" t="s">
        <v>20</v>
      </c>
      <c r="R11" s="12" t="s">
        <v>21</v>
      </c>
      <c r="S11" s="148">
        <f t="shared" ca="1" si="4"/>
        <v>43689</v>
      </c>
      <c r="T11" s="147">
        <f t="shared" ca="1" si="4"/>
        <v>40869</v>
      </c>
      <c r="U11" s="147">
        <f t="shared" ca="1" si="4"/>
        <v>95778</v>
      </c>
      <c r="V11" s="147">
        <f t="shared" ca="1" si="4"/>
        <v>68777</v>
      </c>
      <c r="W11" s="148">
        <f t="shared" ca="1" si="4"/>
        <v>82686</v>
      </c>
      <c r="X11" s="147">
        <f t="shared" ca="1" si="4"/>
        <v>15220</v>
      </c>
      <c r="Y11" s="147">
        <f t="shared" ca="1" si="4"/>
        <v>78633</v>
      </c>
      <c r="Z11" s="147">
        <f t="shared" ca="1" si="4"/>
        <v>69926</v>
      </c>
    </row>
    <row r="12" spans="2:26" x14ac:dyDescent="0.25">
      <c r="B12" s="175"/>
      <c r="C12" s="48" t="s">
        <v>22</v>
      </c>
      <c r="D12" s="161">
        <f t="shared" ca="1" si="5"/>
        <v>975</v>
      </c>
      <c r="E12" s="155">
        <f t="shared" ca="1" si="0"/>
        <v>304</v>
      </c>
      <c r="F12" s="155">
        <f t="shared" ca="1" si="0"/>
        <v>726</v>
      </c>
      <c r="G12" s="155">
        <f t="shared" ca="1" si="0"/>
        <v>311</v>
      </c>
      <c r="H12" s="161">
        <f t="shared" ca="1" si="6"/>
        <v>109</v>
      </c>
      <c r="I12" s="155">
        <f t="shared" ca="1" si="1"/>
        <v>38</v>
      </c>
      <c r="J12" s="155">
        <f t="shared" ca="1" si="1"/>
        <v>372</v>
      </c>
      <c r="K12" s="155">
        <f t="shared" ca="1" si="1"/>
        <v>932</v>
      </c>
      <c r="L12" s="160">
        <v>1750</v>
      </c>
      <c r="M12" s="159">
        <v>0.8</v>
      </c>
      <c r="N12" s="158">
        <f t="shared" si="2"/>
        <v>1400</v>
      </c>
      <c r="O12" s="157">
        <f t="shared" ca="1" si="3"/>
        <v>425</v>
      </c>
      <c r="Q12" s="112"/>
      <c r="R12" s="13" t="s">
        <v>22</v>
      </c>
      <c r="S12" s="156">
        <f t="shared" ca="1" si="4"/>
        <v>55783</v>
      </c>
      <c r="T12" s="155">
        <f t="shared" ca="1" si="4"/>
        <v>99210</v>
      </c>
      <c r="U12" s="155">
        <f t="shared" ca="1" si="4"/>
        <v>69557</v>
      </c>
      <c r="V12" s="155">
        <f t="shared" ca="1" si="4"/>
        <v>76935</v>
      </c>
      <c r="W12" s="156">
        <f t="shared" ca="1" si="4"/>
        <v>4571</v>
      </c>
      <c r="X12" s="155">
        <f t="shared" ca="1" si="4"/>
        <v>85049</v>
      </c>
      <c r="Y12" s="155">
        <f t="shared" ca="1" si="4"/>
        <v>88402</v>
      </c>
      <c r="Z12" s="155">
        <f t="shared" ca="1" si="4"/>
        <v>39523</v>
      </c>
    </row>
    <row r="13" spans="2:26" x14ac:dyDescent="0.25">
      <c r="B13" s="175"/>
      <c r="C13" s="47" t="s">
        <v>23</v>
      </c>
      <c r="D13" s="162">
        <f t="shared" ca="1" si="5"/>
        <v>380</v>
      </c>
      <c r="E13" s="147">
        <f t="shared" ca="1" si="0"/>
        <v>804</v>
      </c>
      <c r="F13" s="147">
        <f t="shared" ca="1" si="0"/>
        <v>576</v>
      </c>
      <c r="G13" s="147">
        <f t="shared" ca="1" si="0"/>
        <v>350</v>
      </c>
      <c r="H13" s="162">
        <f t="shared" ca="1" si="6"/>
        <v>275</v>
      </c>
      <c r="I13" s="147">
        <f t="shared" ca="1" si="1"/>
        <v>815</v>
      </c>
      <c r="J13" s="147">
        <f t="shared" ca="1" si="1"/>
        <v>244</v>
      </c>
      <c r="K13" s="147">
        <f t="shared" ca="1" si="1"/>
        <v>171</v>
      </c>
      <c r="L13" s="160">
        <v>800</v>
      </c>
      <c r="M13" s="159">
        <v>0.8</v>
      </c>
      <c r="N13" s="158">
        <f t="shared" si="2"/>
        <v>640</v>
      </c>
      <c r="O13" s="157">
        <f t="shared" ca="1" si="3"/>
        <v>260</v>
      </c>
      <c r="Q13" s="112"/>
      <c r="R13" s="12" t="s">
        <v>23</v>
      </c>
      <c r="S13" s="148">
        <f t="shared" ca="1" si="4"/>
        <v>99565</v>
      </c>
      <c r="T13" s="147">
        <f t="shared" ca="1" si="4"/>
        <v>28080</v>
      </c>
      <c r="U13" s="147">
        <f t="shared" ca="1" si="4"/>
        <v>34234</v>
      </c>
      <c r="V13" s="147">
        <f t="shared" ca="1" si="4"/>
        <v>10156</v>
      </c>
      <c r="W13" s="148">
        <f t="shared" ca="1" si="4"/>
        <v>74792</v>
      </c>
      <c r="X13" s="147">
        <f t="shared" ca="1" si="4"/>
        <v>41542</v>
      </c>
      <c r="Y13" s="147">
        <f t="shared" ca="1" si="4"/>
        <v>836</v>
      </c>
      <c r="Z13" s="147">
        <f t="shared" ca="1" si="4"/>
        <v>54623</v>
      </c>
    </row>
    <row r="14" spans="2:26" x14ac:dyDescent="0.25">
      <c r="B14" s="175"/>
      <c r="C14" s="48" t="s">
        <v>24</v>
      </c>
      <c r="D14" s="161">
        <f t="shared" ca="1" si="5"/>
        <v>436</v>
      </c>
      <c r="E14" s="155">
        <f t="shared" ca="1" si="0"/>
        <v>372</v>
      </c>
      <c r="F14" s="155">
        <f t="shared" ca="1" si="0"/>
        <v>877</v>
      </c>
      <c r="G14" s="155">
        <f t="shared" ca="1" si="0"/>
        <v>97</v>
      </c>
      <c r="H14" s="161">
        <f t="shared" ca="1" si="6"/>
        <v>421</v>
      </c>
      <c r="I14" s="155">
        <f t="shared" ca="1" si="1"/>
        <v>459</v>
      </c>
      <c r="J14" s="155">
        <f t="shared" ca="1" si="1"/>
        <v>750</v>
      </c>
      <c r="K14" s="155">
        <f t="shared" ca="1" si="1"/>
        <v>344</v>
      </c>
      <c r="L14" s="160">
        <v>1000</v>
      </c>
      <c r="M14" s="159">
        <v>0.8</v>
      </c>
      <c r="N14" s="158">
        <f t="shared" si="2"/>
        <v>800</v>
      </c>
      <c r="O14" s="157">
        <f t="shared" ca="1" si="3"/>
        <v>364</v>
      </c>
      <c r="Q14" s="112"/>
      <c r="R14" s="13" t="s">
        <v>24</v>
      </c>
      <c r="S14" s="156">
        <f t="shared" ca="1" si="4"/>
        <v>44769</v>
      </c>
      <c r="T14" s="155">
        <f t="shared" ca="1" si="4"/>
        <v>9568</v>
      </c>
      <c r="U14" s="155">
        <f t="shared" ca="1" si="4"/>
        <v>91910</v>
      </c>
      <c r="V14" s="155">
        <f t="shared" ca="1" si="4"/>
        <v>29116</v>
      </c>
      <c r="W14" s="156">
        <f t="shared" ca="1" si="4"/>
        <v>64029</v>
      </c>
      <c r="X14" s="155">
        <f t="shared" ca="1" si="4"/>
        <v>69328</v>
      </c>
      <c r="Y14" s="155">
        <f t="shared" ca="1" si="4"/>
        <v>88882</v>
      </c>
      <c r="Z14" s="155">
        <f t="shared" ca="1" si="4"/>
        <v>79120</v>
      </c>
    </row>
    <row r="15" spans="2:26" ht="15.75" thickBot="1" x14ac:dyDescent="0.3">
      <c r="B15" s="176"/>
      <c r="C15" s="49" t="s">
        <v>25</v>
      </c>
      <c r="D15" s="154">
        <f t="shared" ca="1" si="5"/>
        <v>945</v>
      </c>
      <c r="E15" s="153">
        <f t="shared" ca="1" si="0"/>
        <v>501</v>
      </c>
      <c r="F15" s="153">
        <f t="shared" ca="1" si="0"/>
        <v>995</v>
      </c>
      <c r="G15" s="153">
        <f t="shared" ca="1" si="0"/>
        <v>139</v>
      </c>
      <c r="H15" s="154">
        <f t="shared" ca="1" si="6"/>
        <v>762</v>
      </c>
      <c r="I15" s="153">
        <f t="shared" ca="1" si="1"/>
        <v>536</v>
      </c>
      <c r="J15" s="153">
        <f t="shared" ca="1" si="1"/>
        <v>223</v>
      </c>
      <c r="K15" s="153">
        <f t="shared" ca="1" si="1"/>
        <v>138</v>
      </c>
      <c r="L15" s="152">
        <v>1000</v>
      </c>
      <c r="M15" s="151">
        <v>0.8</v>
      </c>
      <c r="N15" s="150">
        <f t="shared" si="2"/>
        <v>800</v>
      </c>
      <c r="O15" s="149">
        <f t="shared" ca="1" si="3"/>
        <v>-145</v>
      </c>
      <c r="Q15" s="113"/>
      <c r="R15" s="14" t="s">
        <v>25</v>
      </c>
      <c r="S15" s="148">
        <f t="shared" ca="1" si="4"/>
        <v>77884</v>
      </c>
      <c r="T15" s="147">
        <f t="shared" ca="1" si="4"/>
        <v>59779</v>
      </c>
      <c r="U15" s="147">
        <f t="shared" ca="1" si="4"/>
        <v>71354</v>
      </c>
      <c r="V15" s="147">
        <f t="shared" ca="1" si="4"/>
        <v>74975</v>
      </c>
      <c r="W15" s="148">
        <f t="shared" ca="1" si="4"/>
        <v>22926</v>
      </c>
      <c r="X15" s="147">
        <f t="shared" ca="1" si="4"/>
        <v>98583</v>
      </c>
      <c r="Y15" s="147">
        <f t="shared" ca="1" si="4"/>
        <v>95983</v>
      </c>
      <c r="Z15" s="147">
        <f t="shared" ca="1" si="4"/>
        <v>69660</v>
      </c>
    </row>
    <row r="16" spans="2:26" x14ac:dyDescent="0.25">
      <c r="B16" s="144"/>
      <c r="C16" s="143"/>
      <c r="D16" s="146"/>
      <c r="E16" s="146"/>
      <c r="F16" s="146"/>
      <c r="G16" s="146"/>
      <c r="H16" s="145"/>
      <c r="I16" s="145"/>
      <c r="J16" s="145"/>
      <c r="K16" s="145"/>
      <c r="L16" s="145"/>
      <c r="M16" s="144"/>
      <c r="N16" s="143"/>
      <c r="O16" s="142"/>
      <c r="P16" s="142"/>
      <c r="Q16" s="142"/>
      <c r="R16" s="142"/>
    </row>
    <row r="17" spans="2:22" x14ac:dyDescent="0.25">
      <c r="B17" s="144"/>
      <c r="C17" s="143"/>
      <c r="D17" s="146"/>
      <c r="E17" s="146"/>
      <c r="F17" s="146"/>
      <c r="G17" s="146"/>
      <c r="H17" s="145"/>
      <c r="I17" s="145"/>
      <c r="J17" s="145"/>
      <c r="K17" s="145"/>
      <c r="L17" s="145"/>
      <c r="M17" s="144"/>
      <c r="N17" s="143"/>
      <c r="O17" s="142"/>
      <c r="P17" s="142"/>
      <c r="Q17" s="142"/>
      <c r="R17" s="142"/>
    </row>
    <row r="18" spans="2:22" x14ac:dyDescent="0.25">
      <c r="B18" s="144"/>
      <c r="C18" s="143"/>
      <c r="D18" s="146"/>
      <c r="E18" s="146"/>
      <c r="F18" s="146"/>
      <c r="G18" s="146"/>
      <c r="H18" s="145"/>
      <c r="I18" s="145"/>
      <c r="J18" s="145"/>
      <c r="K18" s="145"/>
      <c r="L18" s="145"/>
      <c r="M18" s="144"/>
      <c r="N18" s="143"/>
      <c r="O18" s="142"/>
      <c r="P18" s="142"/>
      <c r="Q18" s="142"/>
      <c r="R18" s="142"/>
    </row>
    <row r="19" spans="2:22" ht="15.75" thickBot="1" x14ac:dyDescent="0.3"/>
    <row r="20" spans="2:22" ht="15.75" thickBot="1" x14ac:dyDescent="0.3">
      <c r="C20" s="177" t="s">
        <v>26</v>
      </c>
      <c r="D20" s="178"/>
      <c r="E20" s="178"/>
      <c r="F20" s="178"/>
      <c r="G20" s="179"/>
      <c r="N20" s="177" t="s">
        <v>28</v>
      </c>
      <c r="O20" s="178"/>
      <c r="P20" s="178"/>
      <c r="Q20" s="178"/>
      <c r="R20" s="179"/>
    </row>
    <row r="21" spans="2:22" ht="15.75" thickBot="1" x14ac:dyDescent="0.3"/>
    <row r="22" spans="2:22" ht="15.75" thickBot="1" x14ac:dyDescent="0.3">
      <c r="D22" s="57" t="s">
        <v>4</v>
      </c>
      <c r="E22" s="62" t="s">
        <v>7</v>
      </c>
      <c r="F22" s="57" t="s">
        <v>38</v>
      </c>
      <c r="G22" s="58" t="s">
        <v>39</v>
      </c>
      <c r="H22" s="58" t="s">
        <v>40</v>
      </c>
      <c r="I22" s="58" t="s">
        <v>41</v>
      </c>
      <c r="J22" s="59" t="s">
        <v>42</v>
      </c>
      <c r="K22" s="58" t="s">
        <v>5</v>
      </c>
      <c r="O22" s="57" t="s">
        <v>4</v>
      </c>
      <c r="P22" s="62" t="s">
        <v>7</v>
      </c>
      <c r="Q22" s="57" t="s">
        <v>38</v>
      </c>
      <c r="R22" s="58" t="s">
        <v>39</v>
      </c>
      <c r="S22" s="58" t="s">
        <v>40</v>
      </c>
      <c r="T22" s="58" t="s">
        <v>41</v>
      </c>
      <c r="U22" s="59" t="s">
        <v>42</v>
      </c>
      <c r="V22" s="58" t="s">
        <v>5</v>
      </c>
    </row>
    <row r="23" spans="2:22" x14ac:dyDescent="0.25">
      <c r="B23" s="192" t="s">
        <v>14</v>
      </c>
      <c r="C23" s="9" t="s">
        <v>15</v>
      </c>
      <c r="D23" s="65">
        <f t="shared" ref="D23:K32" ca="1" si="7">ROUND(RAND()*100,0)</f>
        <v>42</v>
      </c>
      <c r="E23" s="66">
        <f t="shared" ca="1" si="7"/>
        <v>96</v>
      </c>
      <c r="F23" s="66">
        <f t="shared" ca="1" si="7"/>
        <v>14</v>
      </c>
      <c r="G23" s="66">
        <f t="shared" ca="1" si="7"/>
        <v>31</v>
      </c>
      <c r="H23" s="65">
        <f t="shared" ca="1" si="7"/>
        <v>26</v>
      </c>
      <c r="I23" s="66">
        <f t="shared" ca="1" si="7"/>
        <v>42</v>
      </c>
      <c r="J23" s="66">
        <f t="shared" ca="1" si="7"/>
        <v>18</v>
      </c>
      <c r="K23" s="66">
        <f t="shared" ca="1" si="7"/>
        <v>40</v>
      </c>
      <c r="M23" s="192" t="s">
        <v>14</v>
      </c>
      <c r="N23" s="9" t="s">
        <v>15</v>
      </c>
      <c r="O23" s="65">
        <f t="shared" ref="O23:V32" ca="1" si="8">ROUND(RAND()*100,0)</f>
        <v>72</v>
      </c>
      <c r="P23" s="66">
        <f t="shared" ca="1" si="8"/>
        <v>0</v>
      </c>
      <c r="Q23" s="66">
        <f t="shared" ca="1" si="8"/>
        <v>30</v>
      </c>
      <c r="R23" s="66">
        <f t="shared" ca="1" si="8"/>
        <v>38</v>
      </c>
      <c r="S23" s="65">
        <f t="shared" ca="1" si="8"/>
        <v>51</v>
      </c>
      <c r="T23" s="66">
        <f t="shared" ca="1" si="8"/>
        <v>32</v>
      </c>
      <c r="U23" s="66">
        <f t="shared" ca="1" si="8"/>
        <v>43</v>
      </c>
      <c r="V23" s="66">
        <f t="shared" ca="1" si="8"/>
        <v>83</v>
      </c>
    </row>
    <row r="24" spans="2:22" x14ac:dyDescent="0.25">
      <c r="B24" s="193"/>
      <c r="C24" s="10" t="s">
        <v>16</v>
      </c>
      <c r="D24" s="67">
        <f t="shared" ca="1" si="7"/>
        <v>76</v>
      </c>
      <c r="E24" s="141">
        <f t="shared" ca="1" si="7"/>
        <v>5</v>
      </c>
      <c r="F24" s="141">
        <f t="shared" ca="1" si="7"/>
        <v>67</v>
      </c>
      <c r="G24" s="141">
        <f t="shared" ca="1" si="7"/>
        <v>92</v>
      </c>
      <c r="H24" s="67">
        <f t="shared" ca="1" si="7"/>
        <v>35</v>
      </c>
      <c r="I24" s="141">
        <f t="shared" ca="1" si="7"/>
        <v>24</v>
      </c>
      <c r="J24" s="141">
        <f t="shared" ca="1" si="7"/>
        <v>23</v>
      </c>
      <c r="K24" s="141">
        <f t="shared" ca="1" si="7"/>
        <v>2</v>
      </c>
      <c r="M24" s="193"/>
      <c r="N24" s="10" t="s">
        <v>16</v>
      </c>
      <c r="O24" s="67">
        <f t="shared" ca="1" si="8"/>
        <v>53</v>
      </c>
      <c r="P24" s="141">
        <f t="shared" ca="1" si="8"/>
        <v>7</v>
      </c>
      <c r="Q24" s="141">
        <f t="shared" ca="1" si="8"/>
        <v>23</v>
      </c>
      <c r="R24" s="141">
        <f t="shared" ca="1" si="8"/>
        <v>10</v>
      </c>
      <c r="S24" s="67">
        <f t="shared" ca="1" si="8"/>
        <v>83</v>
      </c>
      <c r="T24" s="141">
        <f t="shared" ca="1" si="8"/>
        <v>32</v>
      </c>
      <c r="U24" s="141">
        <f t="shared" ca="1" si="8"/>
        <v>70</v>
      </c>
      <c r="V24" s="141">
        <f t="shared" ca="1" si="8"/>
        <v>37</v>
      </c>
    </row>
    <row r="25" spans="2:22" x14ac:dyDescent="0.25">
      <c r="B25" s="193"/>
      <c r="C25" s="15" t="s">
        <v>17</v>
      </c>
      <c r="D25" s="65">
        <f t="shared" ca="1" si="7"/>
        <v>61</v>
      </c>
      <c r="E25" s="66">
        <f t="shared" ca="1" si="7"/>
        <v>85</v>
      </c>
      <c r="F25" s="66">
        <f t="shared" ca="1" si="7"/>
        <v>27</v>
      </c>
      <c r="G25" s="66">
        <f t="shared" ca="1" si="7"/>
        <v>78</v>
      </c>
      <c r="H25" s="65">
        <f t="shared" ca="1" si="7"/>
        <v>35</v>
      </c>
      <c r="I25" s="66">
        <f t="shared" ca="1" si="7"/>
        <v>93</v>
      </c>
      <c r="J25" s="66">
        <f t="shared" ca="1" si="7"/>
        <v>65</v>
      </c>
      <c r="K25" s="66">
        <f t="shared" ca="1" si="7"/>
        <v>67</v>
      </c>
      <c r="M25" s="193"/>
      <c r="N25" s="15" t="s">
        <v>17</v>
      </c>
      <c r="O25" s="65">
        <f t="shared" ca="1" si="8"/>
        <v>84</v>
      </c>
      <c r="P25" s="66">
        <f t="shared" ca="1" si="8"/>
        <v>16</v>
      </c>
      <c r="Q25" s="66">
        <f t="shared" ca="1" si="8"/>
        <v>19</v>
      </c>
      <c r="R25" s="66">
        <f t="shared" ca="1" si="8"/>
        <v>32</v>
      </c>
      <c r="S25" s="65">
        <f t="shared" ca="1" si="8"/>
        <v>41</v>
      </c>
      <c r="T25" s="66">
        <f t="shared" ca="1" si="8"/>
        <v>58</v>
      </c>
      <c r="U25" s="66">
        <f t="shared" ca="1" si="8"/>
        <v>73</v>
      </c>
      <c r="V25" s="66">
        <f t="shared" ca="1" si="8"/>
        <v>73</v>
      </c>
    </row>
    <row r="26" spans="2:22" x14ac:dyDescent="0.25">
      <c r="B26" s="193"/>
      <c r="C26" s="10" t="s">
        <v>18</v>
      </c>
      <c r="D26" s="67">
        <f t="shared" ca="1" si="7"/>
        <v>34</v>
      </c>
      <c r="E26" s="141">
        <f t="shared" ca="1" si="7"/>
        <v>9</v>
      </c>
      <c r="F26" s="141">
        <f t="shared" ca="1" si="7"/>
        <v>35</v>
      </c>
      <c r="G26" s="141">
        <f t="shared" ca="1" si="7"/>
        <v>2</v>
      </c>
      <c r="H26" s="67">
        <f t="shared" ca="1" si="7"/>
        <v>39</v>
      </c>
      <c r="I26" s="141">
        <f t="shared" ca="1" si="7"/>
        <v>41</v>
      </c>
      <c r="J26" s="141">
        <f t="shared" ca="1" si="7"/>
        <v>22</v>
      </c>
      <c r="K26" s="141">
        <f t="shared" ca="1" si="7"/>
        <v>55</v>
      </c>
      <c r="M26" s="193"/>
      <c r="N26" s="10" t="s">
        <v>18</v>
      </c>
      <c r="O26" s="67">
        <f t="shared" ca="1" si="8"/>
        <v>79</v>
      </c>
      <c r="P26" s="141">
        <f t="shared" ca="1" si="8"/>
        <v>2</v>
      </c>
      <c r="Q26" s="141">
        <f t="shared" ca="1" si="8"/>
        <v>63</v>
      </c>
      <c r="R26" s="141">
        <f t="shared" ca="1" si="8"/>
        <v>11</v>
      </c>
      <c r="S26" s="67">
        <f t="shared" ca="1" si="8"/>
        <v>57</v>
      </c>
      <c r="T26" s="141">
        <f t="shared" ca="1" si="8"/>
        <v>93</v>
      </c>
      <c r="U26" s="141">
        <f t="shared" ca="1" si="8"/>
        <v>11</v>
      </c>
      <c r="V26" s="141">
        <f t="shared" ca="1" si="8"/>
        <v>52</v>
      </c>
    </row>
    <row r="27" spans="2:22" x14ac:dyDescent="0.25">
      <c r="B27" s="193"/>
      <c r="C27" s="11" t="s">
        <v>19</v>
      </c>
      <c r="D27" s="69">
        <f t="shared" ca="1" si="7"/>
        <v>58</v>
      </c>
      <c r="E27" s="140">
        <f t="shared" ca="1" si="7"/>
        <v>56</v>
      </c>
      <c r="F27" s="140">
        <f t="shared" ca="1" si="7"/>
        <v>7</v>
      </c>
      <c r="G27" s="140">
        <f t="shared" ca="1" si="7"/>
        <v>27</v>
      </c>
      <c r="H27" s="69">
        <f t="shared" ca="1" si="7"/>
        <v>96</v>
      </c>
      <c r="I27" s="140">
        <f t="shared" ca="1" si="7"/>
        <v>33</v>
      </c>
      <c r="J27" s="140">
        <f t="shared" ca="1" si="7"/>
        <v>73</v>
      </c>
      <c r="K27" s="140">
        <f t="shared" ca="1" si="7"/>
        <v>79</v>
      </c>
      <c r="M27" s="193"/>
      <c r="N27" s="11" t="s">
        <v>19</v>
      </c>
      <c r="O27" s="69">
        <f t="shared" ca="1" si="8"/>
        <v>59</v>
      </c>
      <c r="P27" s="140">
        <f t="shared" ca="1" si="8"/>
        <v>83</v>
      </c>
      <c r="Q27" s="140">
        <f t="shared" ca="1" si="8"/>
        <v>27</v>
      </c>
      <c r="R27" s="140">
        <f t="shared" ca="1" si="8"/>
        <v>71</v>
      </c>
      <c r="S27" s="69">
        <f t="shared" ca="1" si="8"/>
        <v>85</v>
      </c>
      <c r="T27" s="140">
        <f t="shared" ca="1" si="8"/>
        <v>78</v>
      </c>
      <c r="U27" s="140">
        <f t="shared" ca="1" si="8"/>
        <v>48</v>
      </c>
      <c r="V27" s="140">
        <f t="shared" ca="1" si="8"/>
        <v>49</v>
      </c>
    </row>
    <row r="28" spans="2:22" x14ac:dyDescent="0.25">
      <c r="B28" s="175" t="s">
        <v>20</v>
      </c>
      <c r="C28" s="12" t="s">
        <v>21</v>
      </c>
      <c r="D28" s="71">
        <f t="shared" ca="1" si="7"/>
        <v>56</v>
      </c>
      <c r="E28" s="138">
        <f t="shared" ca="1" si="7"/>
        <v>15</v>
      </c>
      <c r="F28" s="138">
        <f t="shared" ca="1" si="7"/>
        <v>94</v>
      </c>
      <c r="G28" s="138">
        <f t="shared" ca="1" si="7"/>
        <v>60</v>
      </c>
      <c r="H28" s="71">
        <f t="shared" ca="1" si="7"/>
        <v>64</v>
      </c>
      <c r="I28" s="138">
        <f t="shared" ca="1" si="7"/>
        <v>52</v>
      </c>
      <c r="J28" s="138">
        <f t="shared" ca="1" si="7"/>
        <v>40</v>
      </c>
      <c r="K28" s="138">
        <f t="shared" ca="1" si="7"/>
        <v>84</v>
      </c>
      <c r="M28" s="175" t="s">
        <v>20</v>
      </c>
      <c r="N28" s="12" t="s">
        <v>21</v>
      </c>
      <c r="O28" s="71">
        <f t="shared" ca="1" si="8"/>
        <v>99</v>
      </c>
      <c r="P28" s="138">
        <f t="shared" ca="1" si="8"/>
        <v>17</v>
      </c>
      <c r="Q28" s="138">
        <f t="shared" ca="1" si="8"/>
        <v>28</v>
      </c>
      <c r="R28" s="138">
        <f t="shared" ca="1" si="8"/>
        <v>98</v>
      </c>
      <c r="S28" s="71">
        <f t="shared" ca="1" si="8"/>
        <v>94</v>
      </c>
      <c r="T28" s="138">
        <f t="shared" ca="1" si="8"/>
        <v>33</v>
      </c>
      <c r="U28" s="138">
        <f t="shared" ca="1" si="8"/>
        <v>18</v>
      </c>
      <c r="V28" s="138">
        <f t="shared" ca="1" si="8"/>
        <v>5</v>
      </c>
    </row>
    <row r="29" spans="2:22" x14ac:dyDescent="0.25">
      <c r="B29" s="175"/>
      <c r="C29" s="13" t="s">
        <v>22</v>
      </c>
      <c r="D29" s="73">
        <f t="shared" ca="1" si="7"/>
        <v>99</v>
      </c>
      <c r="E29" s="139">
        <f t="shared" ca="1" si="7"/>
        <v>86</v>
      </c>
      <c r="F29" s="139">
        <f t="shared" ca="1" si="7"/>
        <v>9</v>
      </c>
      <c r="G29" s="139">
        <f t="shared" ca="1" si="7"/>
        <v>6</v>
      </c>
      <c r="H29" s="73">
        <f t="shared" ca="1" si="7"/>
        <v>12</v>
      </c>
      <c r="I29" s="139">
        <f t="shared" ca="1" si="7"/>
        <v>96</v>
      </c>
      <c r="J29" s="139">
        <f t="shared" ca="1" si="7"/>
        <v>2</v>
      </c>
      <c r="K29" s="139">
        <f t="shared" ca="1" si="7"/>
        <v>39</v>
      </c>
      <c r="M29" s="175"/>
      <c r="N29" s="13" t="s">
        <v>22</v>
      </c>
      <c r="O29" s="73">
        <f t="shared" ca="1" si="8"/>
        <v>11</v>
      </c>
      <c r="P29" s="139">
        <f t="shared" ca="1" si="8"/>
        <v>50</v>
      </c>
      <c r="Q29" s="139">
        <f t="shared" ca="1" si="8"/>
        <v>86</v>
      </c>
      <c r="R29" s="139">
        <f t="shared" ca="1" si="8"/>
        <v>80</v>
      </c>
      <c r="S29" s="73">
        <f t="shared" ca="1" si="8"/>
        <v>4</v>
      </c>
      <c r="T29" s="139">
        <f t="shared" ca="1" si="8"/>
        <v>89</v>
      </c>
      <c r="U29" s="139">
        <f t="shared" ca="1" si="8"/>
        <v>98</v>
      </c>
      <c r="V29" s="139">
        <f t="shared" ca="1" si="8"/>
        <v>7</v>
      </c>
    </row>
    <row r="30" spans="2:22" x14ac:dyDescent="0.25">
      <c r="B30" s="175"/>
      <c r="C30" s="12" t="s">
        <v>23</v>
      </c>
      <c r="D30" s="71">
        <f t="shared" ca="1" si="7"/>
        <v>34</v>
      </c>
      <c r="E30" s="138">
        <f t="shared" ca="1" si="7"/>
        <v>66</v>
      </c>
      <c r="F30" s="138">
        <f t="shared" ca="1" si="7"/>
        <v>54</v>
      </c>
      <c r="G30" s="138">
        <f t="shared" ca="1" si="7"/>
        <v>45</v>
      </c>
      <c r="H30" s="71">
        <f t="shared" ca="1" si="7"/>
        <v>18</v>
      </c>
      <c r="I30" s="138">
        <f t="shared" ca="1" si="7"/>
        <v>98</v>
      </c>
      <c r="J30" s="138">
        <f t="shared" ca="1" si="7"/>
        <v>58</v>
      </c>
      <c r="K30" s="138">
        <f t="shared" ca="1" si="7"/>
        <v>77</v>
      </c>
      <c r="M30" s="175"/>
      <c r="N30" s="12" t="s">
        <v>23</v>
      </c>
      <c r="O30" s="71">
        <f t="shared" ca="1" si="8"/>
        <v>87</v>
      </c>
      <c r="P30" s="138">
        <f t="shared" ca="1" si="8"/>
        <v>16</v>
      </c>
      <c r="Q30" s="138">
        <f t="shared" ca="1" si="8"/>
        <v>11</v>
      </c>
      <c r="R30" s="138">
        <f t="shared" ca="1" si="8"/>
        <v>22</v>
      </c>
      <c r="S30" s="71">
        <f t="shared" ca="1" si="8"/>
        <v>44</v>
      </c>
      <c r="T30" s="138">
        <f t="shared" ca="1" si="8"/>
        <v>65</v>
      </c>
      <c r="U30" s="138">
        <f t="shared" ca="1" si="8"/>
        <v>35</v>
      </c>
      <c r="V30" s="138">
        <f t="shared" ca="1" si="8"/>
        <v>75</v>
      </c>
    </row>
    <row r="31" spans="2:22" x14ac:dyDescent="0.25">
      <c r="B31" s="175"/>
      <c r="C31" s="13" t="s">
        <v>24</v>
      </c>
      <c r="D31" s="73">
        <f t="shared" ca="1" si="7"/>
        <v>36</v>
      </c>
      <c r="E31" s="139">
        <f t="shared" ca="1" si="7"/>
        <v>63</v>
      </c>
      <c r="F31" s="139">
        <f t="shared" ca="1" si="7"/>
        <v>24</v>
      </c>
      <c r="G31" s="139">
        <f t="shared" ca="1" si="7"/>
        <v>16</v>
      </c>
      <c r="H31" s="73">
        <f t="shared" ca="1" si="7"/>
        <v>64</v>
      </c>
      <c r="I31" s="139">
        <f t="shared" ca="1" si="7"/>
        <v>66</v>
      </c>
      <c r="J31" s="139">
        <f t="shared" ca="1" si="7"/>
        <v>80</v>
      </c>
      <c r="K31" s="139">
        <f t="shared" ca="1" si="7"/>
        <v>75</v>
      </c>
      <c r="M31" s="175"/>
      <c r="N31" s="13" t="s">
        <v>24</v>
      </c>
      <c r="O31" s="73">
        <f t="shared" ca="1" si="8"/>
        <v>36</v>
      </c>
      <c r="P31" s="139">
        <f t="shared" ca="1" si="8"/>
        <v>43</v>
      </c>
      <c r="Q31" s="139">
        <f t="shared" ca="1" si="8"/>
        <v>55</v>
      </c>
      <c r="R31" s="139">
        <f t="shared" ca="1" si="8"/>
        <v>26</v>
      </c>
      <c r="S31" s="73">
        <f t="shared" ca="1" si="8"/>
        <v>87</v>
      </c>
      <c r="T31" s="139">
        <f t="shared" ca="1" si="8"/>
        <v>69</v>
      </c>
      <c r="U31" s="139">
        <f t="shared" ca="1" si="8"/>
        <v>43</v>
      </c>
      <c r="V31" s="139">
        <f t="shared" ca="1" si="8"/>
        <v>49</v>
      </c>
    </row>
    <row r="32" spans="2:22" ht="15.75" thickBot="1" x14ac:dyDescent="0.3">
      <c r="B32" s="176"/>
      <c r="C32" s="14" t="s">
        <v>25</v>
      </c>
      <c r="D32" s="71">
        <f t="shared" ca="1" si="7"/>
        <v>39</v>
      </c>
      <c r="E32" s="138">
        <f t="shared" ca="1" si="7"/>
        <v>67</v>
      </c>
      <c r="F32" s="138">
        <f t="shared" ca="1" si="7"/>
        <v>81</v>
      </c>
      <c r="G32" s="138">
        <f t="shared" ca="1" si="7"/>
        <v>8</v>
      </c>
      <c r="H32" s="71">
        <f t="shared" ca="1" si="7"/>
        <v>67</v>
      </c>
      <c r="I32" s="138">
        <f t="shared" ca="1" si="7"/>
        <v>57</v>
      </c>
      <c r="J32" s="138">
        <f t="shared" ca="1" si="7"/>
        <v>77</v>
      </c>
      <c r="K32" s="138">
        <f t="shared" ca="1" si="7"/>
        <v>84</v>
      </c>
      <c r="M32" s="176"/>
      <c r="N32" s="14" t="s">
        <v>25</v>
      </c>
      <c r="O32" s="71">
        <f t="shared" ca="1" si="8"/>
        <v>52</v>
      </c>
      <c r="P32" s="138">
        <f t="shared" ca="1" si="8"/>
        <v>90</v>
      </c>
      <c r="Q32" s="138">
        <f t="shared" ca="1" si="8"/>
        <v>87</v>
      </c>
      <c r="R32" s="138">
        <f t="shared" ca="1" si="8"/>
        <v>63</v>
      </c>
      <c r="S32" s="71">
        <f t="shared" ca="1" si="8"/>
        <v>50</v>
      </c>
      <c r="T32" s="138">
        <f t="shared" ca="1" si="8"/>
        <v>88</v>
      </c>
      <c r="U32" s="138">
        <f t="shared" ca="1" si="8"/>
        <v>82</v>
      </c>
      <c r="V32" s="138">
        <f t="shared" ca="1" si="8"/>
        <v>94</v>
      </c>
    </row>
    <row r="35" spans="2:23" ht="15.75" thickBot="1" x14ac:dyDescent="0.3"/>
    <row r="36" spans="2:23" ht="15.75" thickBot="1" x14ac:dyDescent="0.3">
      <c r="C36" s="177" t="s">
        <v>30</v>
      </c>
      <c r="D36" s="178"/>
      <c r="E36" s="178"/>
      <c r="F36" s="178"/>
      <c r="G36" s="179"/>
      <c r="L36" s="177" t="s">
        <v>32</v>
      </c>
      <c r="M36" s="178"/>
      <c r="N36" s="178"/>
      <c r="O36" s="178"/>
      <c r="P36" s="178"/>
      <c r="Q36" s="178"/>
      <c r="R36" s="178"/>
      <c r="S36" s="178"/>
      <c r="T36" s="178"/>
      <c r="U36" s="178"/>
      <c r="V36" s="178"/>
      <c r="W36" s="179"/>
    </row>
    <row r="37" spans="2:23" ht="15.75" thickBot="1" x14ac:dyDescent="0.3">
      <c r="N37" s="194" t="s">
        <v>14</v>
      </c>
      <c r="O37" s="195"/>
      <c r="P37" s="195"/>
      <c r="Q37" s="195"/>
      <c r="R37" s="195"/>
      <c r="S37" s="181" t="s">
        <v>20</v>
      </c>
      <c r="T37" s="181"/>
      <c r="U37" s="181"/>
      <c r="V37" s="181"/>
      <c r="W37" s="182"/>
    </row>
    <row r="38" spans="2:23" ht="15.75" thickBot="1" x14ac:dyDescent="0.3">
      <c r="D38" s="57" t="s">
        <v>4</v>
      </c>
      <c r="E38" s="62" t="s">
        <v>7</v>
      </c>
      <c r="F38" s="57" t="s">
        <v>38</v>
      </c>
      <c r="G38" s="58" t="s">
        <v>39</v>
      </c>
      <c r="H38" s="58" t="s">
        <v>40</v>
      </c>
      <c r="I38" s="58" t="s">
        <v>41</v>
      </c>
      <c r="J38" s="59" t="s">
        <v>42</v>
      </c>
      <c r="K38" s="58" t="s">
        <v>5</v>
      </c>
      <c r="L38" s="16"/>
      <c r="M38" s="17"/>
      <c r="N38" s="26" t="s">
        <v>15</v>
      </c>
      <c r="O38" s="27" t="s">
        <v>16</v>
      </c>
      <c r="P38" s="26" t="s">
        <v>17</v>
      </c>
      <c r="Q38" s="27" t="s">
        <v>18</v>
      </c>
      <c r="R38" s="26" t="s">
        <v>19</v>
      </c>
      <c r="S38" s="28" t="s">
        <v>21</v>
      </c>
      <c r="T38" s="29" t="s">
        <v>22</v>
      </c>
      <c r="U38" s="28" t="s">
        <v>23</v>
      </c>
      <c r="V38" s="29" t="s">
        <v>24</v>
      </c>
      <c r="W38" s="30" t="s">
        <v>25</v>
      </c>
    </row>
    <row r="39" spans="2:23" x14ac:dyDescent="0.25">
      <c r="B39" s="192" t="s">
        <v>14</v>
      </c>
      <c r="C39" s="9" t="s">
        <v>15</v>
      </c>
      <c r="D39" s="75" t="str">
        <f t="shared" ref="D39:D48" ca="1" si="9">IF(O23&lt;D23,"Y","N")</f>
        <v>N</v>
      </c>
      <c r="E39" s="76" t="str">
        <f t="shared" ref="E39:E48" ca="1" si="10">IF(P23&lt;E23,"Y","N")</f>
        <v>Y</v>
      </c>
      <c r="F39" s="76" t="str">
        <f t="shared" ref="F39:F48" ca="1" si="11">IF(Q23&lt;F23,"Y","N")</f>
        <v>N</v>
      </c>
      <c r="G39" s="76" t="str">
        <f t="shared" ref="G39:G48" ca="1" si="12">IF(R23&lt;G23,"Y","N")</f>
        <v>N</v>
      </c>
      <c r="H39" s="76" t="str">
        <f t="shared" ref="H39:H48" ca="1" si="13">IF(S23&lt;H23,"Y","N")</f>
        <v>N</v>
      </c>
      <c r="I39" s="76" t="str">
        <f t="shared" ref="I39:I48" ca="1" si="14">IF(T23&lt;I23,"Y","N")</f>
        <v>Y</v>
      </c>
      <c r="J39" s="76" t="str">
        <f t="shared" ref="J39:J48" ca="1" si="15">IF(U23&lt;J23,"Y","N")</f>
        <v>N</v>
      </c>
      <c r="K39" s="76" t="str">
        <f t="shared" ref="K39:K48" ca="1" si="16">IF(V23&lt;K23,"Y","N")</f>
        <v>N</v>
      </c>
      <c r="L39" s="110" t="s">
        <v>14</v>
      </c>
      <c r="M39" s="21" t="s">
        <v>15</v>
      </c>
      <c r="N39" s="16">
        <v>0</v>
      </c>
      <c r="O39" s="17"/>
      <c r="P39" s="17"/>
      <c r="Q39" s="17"/>
      <c r="R39" s="17"/>
      <c r="S39" s="17"/>
      <c r="T39" s="17"/>
      <c r="U39" s="17"/>
      <c r="V39" s="17"/>
      <c r="W39" s="31"/>
    </row>
    <row r="40" spans="2:23" x14ac:dyDescent="0.25">
      <c r="B40" s="193"/>
      <c r="C40" s="10" t="s">
        <v>16</v>
      </c>
      <c r="D40" s="77" t="str">
        <f t="shared" ca="1" si="9"/>
        <v>Y</v>
      </c>
      <c r="E40" s="137" t="str">
        <f t="shared" ca="1" si="10"/>
        <v>N</v>
      </c>
      <c r="F40" s="137" t="str">
        <f t="shared" ca="1" si="11"/>
        <v>Y</v>
      </c>
      <c r="G40" s="137" t="str">
        <f t="shared" ca="1" si="12"/>
        <v>Y</v>
      </c>
      <c r="H40" s="137" t="str">
        <f t="shared" ca="1" si="13"/>
        <v>N</v>
      </c>
      <c r="I40" s="137" t="str">
        <f t="shared" ca="1" si="14"/>
        <v>N</v>
      </c>
      <c r="J40" s="137" t="str">
        <f t="shared" ca="1" si="15"/>
        <v>N</v>
      </c>
      <c r="K40" s="137" t="str">
        <f t="shared" ca="1" si="16"/>
        <v>N</v>
      </c>
      <c r="L40" s="111"/>
      <c r="M40" s="22" t="s">
        <v>16</v>
      </c>
      <c r="N40" s="32">
        <f t="shared" ref="N40:N48" ca="1" si="17">ROUND(RAND()*10,0)</f>
        <v>6</v>
      </c>
      <c r="O40" s="134">
        <v>0</v>
      </c>
      <c r="P40" s="134"/>
      <c r="Q40" s="134"/>
      <c r="R40" s="134"/>
      <c r="S40" s="134"/>
      <c r="T40" s="134"/>
      <c r="U40" s="134"/>
      <c r="V40" s="134"/>
      <c r="W40" s="18"/>
    </row>
    <row r="41" spans="2:23" x14ac:dyDescent="0.25">
      <c r="B41" s="193"/>
      <c r="C41" s="15" t="s">
        <v>17</v>
      </c>
      <c r="D41" s="75" t="str">
        <f t="shared" ca="1" si="9"/>
        <v>N</v>
      </c>
      <c r="E41" s="76" t="str">
        <f t="shared" ca="1" si="10"/>
        <v>Y</v>
      </c>
      <c r="F41" s="76" t="str">
        <f t="shared" ca="1" si="11"/>
        <v>Y</v>
      </c>
      <c r="G41" s="76" t="str">
        <f t="shared" ca="1" si="12"/>
        <v>Y</v>
      </c>
      <c r="H41" s="76" t="str">
        <f t="shared" ca="1" si="13"/>
        <v>N</v>
      </c>
      <c r="I41" s="76" t="str">
        <f t="shared" ca="1" si="14"/>
        <v>Y</v>
      </c>
      <c r="J41" s="76" t="str">
        <f t="shared" ca="1" si="15"/>
        <v>N</v>
      </c>
      <c r="K41" s="76" t="str">
        <f t="shared" ca="1" si="16"/>
        <v>N</v>
      </c>
      <c r="L41" s="111"/>
      <c r="M41" s="21" t="s">
        <v>17</v>
      </c>
      <c r="N41" s="32">
        <f t="shared" ca="1" si="17"/>
        <v>7</v>
      </c>
      <c r="O41" s="134">
        <f t="shared" ref="O41:O48" ca="1" si="18">ROUND(RAND()*10,0)</f>
        <v>1</v>
      </c>
      <c r="P41" s="134">
        <v>0</v>
      </c>
      <c r="Q41" s="134"/>
      <c r="R41" s="134"/>
      <c r="S41" s="134"/>
      <c r="T41" s="134"/>
      <c r="U41" s="134"/>
      <c r="V41" s="134"/>
      <c r="W41" s="18"/>
    </row>
    <row r="42" spans="2:23" x14ac:dyDescent="0.25">
      <c r="B42" s="193"/>
      <c r="C42" s="10" t="s">
        <v>18</v>
      </c>
      <c r="D42" s="77" t="str">
        <f t="shared" ca="1" si="9"/>
        <v>N</v>
      </c>
      <c r="E42" s="137" t="str">
        <f t="shared" ca="1" si="10"/>
        <v>Y</v>
      </c>
      <c r="F42" s="137" t="str">
        <f t="shared" ca="1" si="11"/>
        <v>N</v>
      </c>
      <c r="G42" s="137" t="str">
        <f t="shared" ca="1" si="12"/>
        <v>N</v>
      </c>
      <c r="H42" s="137" t="str">
        <f t="shared" ca="1" si="13"/>
        <v>N</v>
      </c>
      <c r="I42" s="137" t="str">
        <f t="shared" ca="1" si="14"/>
        <v>N</v>
      </c>
      <c r="J42" s="137" t="str">
        <f t="shared" ca="1" si="15"/>
        <v>Y</v>
      </c>
      <c r="K42" s="137" t="str">
        <f t="shared" ca="1" si="16"/>
        <v>Y</v>
      </c>
      <c r="L42" s="111"/>
      <c r="M42" s="22" t="s">
        <v>18</v>
      </c>
      <c r="N42" s="32">
        <f t="shared" ca="1" si="17"/>
        <v>7</v>
      </c>
      <c r="O42" s="134">
        <f t="shared" ca="1" si="18"/>
        <v>1</v>
      </c>
      <c r="P42" s="134">
        <f t="shared" ref="P42:P48" ca="1" si="19">ROUND(RAND()*10,0)</f>
        <v>2</v>
      </c>
      <c r="Q42" s="134">
        <v>0</v>
      </c>
      <c r="R42" s="134"/>
      <c r="S42" s="134"/>
      <c r="T42" s="134"/>
      <c r="U42" s="134"/>
      <c r="V42" s="134"/>
      <c r="W42" s="18"/>
    </row>
    <row r="43" spans="2:23" x14ac:dyDescent="0.25">
      <c r="B43" s="193"/>
      <c r="C43" s="11" t="s">
        <v>19</v>
      </c>
      <c r="D43" s="79" t="str">
        <f t="shared" ca="1" si="9"/>
        <v>N</v>
      </c>
      <c r="E43" s="136" t="str">
        <f t="shared" ca="1" si="10"/>
        <v>N</v>
      </c>
      <c r="F43" s="136" t="str">
        <f t="shared" ca="1" si="11"/>
        <v>N</v>
      </c>
      <c r="G43" s="136" t="str">
        <f t="shared" ca="1" si="12"/>
        <v>N</v>
      </c>
      <c r="H43" s="136" t="str">
        <f t="shared" ca="1" si="13"/>
        <v>Y</v>
      </c>
      <c r="I43" s="136" t="str">
        <f t="shared" ca="1" si="14"/>
        <v>N</v>
      </c>
      <c r="J43" s="136" t="str">
        <f t="shared" ca="1" si="15"/>
        <v>Y</v>
      </c>
      <c r="K43" s="136" t="str">
        <f t="shared" ca="1" si="16"/>
        <v>Y</v>
      </c>
      <c r="L43" s="111"/>
      <c r="M43" s="21" t="s">
        <v>19</v>
      </c>
      <c r="N43" s="32">
        <f t="shared" ca="1" si="17"/>
        <v>6</v>
      </c>
      <c r="O43" s="134">
        <f t="shared" ca="1" si="18"/>
        <v>0</v>
      </c>
      <c r="P43" s="134">
        <f t="shared" ca="1" si="19"/>
        <v>2</v>
      </c>
      <c r="Q43" s="134">
        <f t="shared" ref="Q43:Q48" ca="1" si="20">ROUND(RAND()*10,0)</f>
        <v>3</v>
      </c>
      <c r="R43" s="134">
        <v>0</v>
      </c>
      <c r="S43" s="134"/>
      <c r="T43" s="134"/>
      <c r="U43" s="134"/>
      <c r="V43" s="134"/>
      <c r="W43" s="18"/>
    </row>
    <row r="44" spans="2:23" x14ac:dyDescent="0.25">
      <c r="B44" s="175" t="s">
        <v>20</v>
      </c>
      <c r="C44" s="12" t="s">
        <v>21</v>
      </c>
      <c r="D44" s="81" t="str">
        <f t="shared" ca="1" si="9"/>
        <v>N</v>
      </c>
      <c r="E44" s="133" t="str">
        <f t="shared" ca="1" si="10"/>
        <v>N</v>
      </c>
      <c r="F44" s="133" t="str">
        <f t="shared" ca="1" si="11"/>
        <v>Y</v>
      </c>
      <c r="G44" s="133" t="str">
        <f t="shared" ca="1" si="12"/>
        <v>N</v>
      </c>
      <c r="H44" s="133" t="str">
        <f t="shared" ca="1" si="13"/>
        <v>N</v>
      </c>
      <c r="I44" s="133" t="str">
        <f t="shared" ca="1" si="14"/>
        <v>Y</v>
      </c>
      <c r="J44" s="133" t="str">
        <f t="shared" ca="1" si="15"/>
        <v>Y</v>
      </c>
      <c r="K44" s="133" t="str">
        <f t="shared" ca="1" si="16"/>
        <v>Y</v>
      </c>
      <c r="L44" s="112" t="s">
        <v>20</v>
      </c>
      <c r="M44" s="23" t="s">
        <v>21</v>
      </c>
      <c r="N44" s="32">
        <f t="shared" ca="1" si="17"/>
        <v>2</v>
      </c>
      <c r="O44" s="134">
        <f t="shared" ca="1" si="18"/>
        <v>7</v>
      </c>
      <c r="P44" s="134">
        <f t="shared" ca="1" si="19"/>
        <v>9</v>
      </c>
      <c r="Q44" s="134">
        <f t="shared" ca="1" si="20"/>
        <v>4</v>
      </c>
      <c r="R44" s="134">
        <f ca="1">ROUND(RAND()*10,0)</f>
        <v>2</v>
      </c>
      <c r="S44" s="134">
        <v>0</v>
      </c>
      <c r="T44" s="134"/>
      <c r="U44" s="134"/>
      <c r="V44" s="134"/>
      <c r="W44" s="18"/>
    </row>
    <row r="45" spans="2:23" x14ac:dyDescent="0.25">
      <c r="B45" s="175"/>
      <c r="C45" s="13" t="s">
        <v>22</v>
      </c>
      <c r="D45" s="83" t="str">
        <f t="shared" ca="1" si="9"/>
        <v>Y</v>
      </c>
      <c r="E45" s="135" t="str">
        <f t="shared" ca="1" si="10"/>
        <v>Y</v>
      </c>
      <c r="F45" s="135" t="str">
        <f t="shared" ca="1" si="11"/>
        <v>N</v>
      </c>
      <c r="G45" s="135" t="str">
        <f t="shared" ca="1" si="12"/>
        <v>N</v>
      </c>
      <c r="H45" s="135" t="str">
        <f t="shared" ca="1" si="13"/>
        <v>Y</v>
      </c>
      <c r="I45" s="135" t="str">
        <f t="shared" ca="1" si="14"/>
        <v>Y</v>
      </c>
      <c r="J45" s="135" t="str">
        <f t="shared" ca="1" si="15"/>
        <v>N</v>
      </c>
      <c r="K45" s="135" t="str">
        <f t="shared" ca="1" si="16"/>
        <v>Y</v>
      </c>
      <c r="L45" s="112"/>
      <c r="M45" s="24" t="s">
        <v>22</v>
      </c>
      <c r="N45" s="32">
        <f t="shared" ca="1" si="17"/>
        <v>8</v>
      </c>
      <c r="O45" s="134">
        <f t="shared" ca="1" si="18"/>
        <v>10</v>
      </c>
      <c r="P45" s="134">
        <f t="shared" ca="1" si="19"/>
        <v>3</v>
      </c>
      <c r="Q45" s="134">
        <f t="shared" ca="1" si="20"/>
        <v>4</v>
      </c>
      <c r="R45" s="134">
        <f ca="1">ROUND(RAND()*10,0)</f>
        <v>7</v>
      </c>
      <c r="S45" s="134">
        <f ca="1">ROUND(RAND()*10,0)</f>
        <v>6</v>
      </c>
      <c r="T45" s="134">
        <v>0</v>
      </c>
      <c r="U45" s="134"/>
      <c r="V45" s="134"/>
      <c r="W45" s="18"/>
    </row>
    <row r="46" spans="2:23" x14ac:dyDescent="0.25">
      <c r="B46" s="175"/>
      <c r="C46" s="12" t="s">
        <v>23</v>
      </c>
      <c r="D46" s="81" t="str">
        <f t="shared" ca="1" si="9"/>
        <v>N</v>
      </c>
      <c r="E46" s="133" t="str">
        <f t="shared" ca="1" si="10"/>
        <v>Y</v>
      </c>
      <c r="F46" s="133" t="str">
        <f t="shared" ca="1" si="11"/>
        <v>Y</v>
      </c>
      <c r="G46" s="133" t="str">
        <f t="shared" ca="1" si="12"/>
        <v>Y</v>
      </c>
      <c r="H46" s="133" t="str">
        <f t="shared" ca="1" si="13"/>
        <v>N</v>
      </c>
      <c r="I46" s="133" t="str">
        <f t="shared" ca="1" si="14"/>
        <v>Y</v>
      </c>
      <c r="J46" s="133" t="str">
        <f t="shared" ca="1" si="15"/>
        <v>Y</v>
      </c>
      <c r="K46" s="133" t="str">
        <f t="shared" ca="1" si="16"/>
        <v>Y</v>
      </c>
      <c r="L46" s="112"/>
      <c r="M46" s="23" t="s">
        <v>23</v>
      </c>
      <c r="N46" s="32">
        <f t="shared" ca="1" si="17"/>
        <v>1</v>
      </c>
      <c r="O46" s="134">
        <f t="shared" ca="1" si="18"/>
        <v>6</v>
      </c>
      <c r="P46" s="134">
        <f t="shared" ca="1" si="19"/>
        <v>5</v>
      </c>
      <c r="Q46" s="134">
        <f t="shared" ca="1" si="20"/>
        <v>9</v>
      </c>
      <c r="R46" s="134">
        <f ca="1">ROUND(RAND()*10,0)</f>
        <v>8</v>
      </c>
      <c r="S46" s="134">
        <f ca="1">ROUND(RAND()*10,0)</f>
        <v>7</v>
      </c>
      <c r="T46" s="134">
        <f ca="1">ROUND(RAND()*10,0)</f>
        <v>0</v>
      </c>
      <c r="U46" s="134">
        <v>0</v>
      </c>
      <c r="V46" s="134"/>
      <c r="W46" s="18"/>
    </row>
    <row r="47" spans="2:23" x14ac:dyDescent="0.25">
      <c r="B47" s="175"/>
      <c r="C47" s="13" t="s">
        <v>24</v>
      </c>
      <c r="D47" s="83" t="str">
        <f t="shared" ca="1" si="9"/>
        <v>N</v>
      </c>
      <c r="E47" s="135" t="str">
        <f t="shared" ca="1" si="10"/>
        <v>Y</v>
      </c>
      <c r="F47" s="135" t="str">
        <f t="shared" ca="1" si="11"/>
        <v>N</v>
      </c>
      <c r="G47" s="135" t="str">
        <f t="shared" ca="1" si="12"/>
        <v>N</v>
      </c>
      <c r="H47" s="135" t="str">
        <f t="shared" ca="1" si="13"/>
        <v>N</v>
      </c>
      <c r="I47" s="135" t="str">
        <f t="shared" ca="1" si="14"/>
        <v>N</v>
      </c>
      <c r="J47" s="135" t="str">
        <f t="shared" ca="1" si="15"/>
        <v>Y</v>
      </c>
      <c r="K47" s="135" t="str">
        <f t="shared" ca="1" si="16"/>
        <v>Y</v>
      </c>
      <c r="L47" s="112"/>
      <c r="M47" s="24" t="s">
        <v>24</v>
      </c>
      <c r="N47" s="32">
        <f t="shared" ca="1" si="17"/>
        <v>3</v>
      </c>
      <c r="O47" s="134">
        <f t="shared" ca="1" si="18"/>
        <v>3</v>
      </c>
      <c r="P47" s="134">
        <f t="shared" ca="1" si="19"/>
        <v>6</v>
      </c>
      <c r="Q47" s="134">
        <f t="shared" ca="1" si="20"/>
        <v>9</v>
      </c>
      <c r="R47" s="134">
        <f ca="1">ROUND(RAND()*10,0)</f>
        <v>5</v>
      </c>
      <c r="S47" s="134">
        <f ca="1">ROUND(RAND()*10,0)</f>
        <v>2</v>
      </c>
      <c r="T47" s="134">
        <f ca="1">ROUND(RAND()*10,0)</f>
        <v>7</v>
      </c>
      <c r="U47" s="134">
        <f ca="1">ROUND(RAND()*10,0)</f>
        <v>10</v>
      </c>
      <c r="V47" s="134">
        <v>0</v>
      </c>
      <c r="W47" s="18"/>
    </row>
    <row r="48" spans="2:23" ht="15.75" thickBot="1" x14ac:dyDescent="0.3">
      <c r="B48" s="176"/>
      <c r="C48" s="14" t="s">
        <v>25</v>
      </c>
      <c r="D48" s="81" t="str">
        <f t="shared" ca="1" si="9"/>
        <v>N</v>
      </c>
      <c r="E48" s="133" t="str">
        <f t="shared" ca="1" si="10"/>
        <v>N</v>
      </c>
      <c r="F48" s="133" t="str">
        <f t="shared" ca="1" si="11"/>
        <v>N</v>
      </c>
      <c r="G48" s="133" t="str">
        <f t="shared" ca="1" si="12"/>
        <v>N</v>
      </c>
      <c r="H48" s="133" t="str">
        <f t="shared" ca="1" si="13"/>
        <v>Y</v>
      </c>
      <c r="I48" s="133" t="str">
        <f t="shared" ca="1" si="14"/>
        <v>N</v>
      </c>
      <c r="J48" s="133" t="str">
        <f t="shared" ca="1" si="15"/>
        <v>N</v>
      </c>
      <c r="K48" s="133" t="str">
        <f t="shared" ca="1" si="16"/>
        <v>N</v>
      </c>
      <c r="L48" s="113"/>
      <c r="M48" s="25" t="s">
        <v>25</v>
      </c>
      <c r="N48" s="33">
        <f t="shared" ca="1" si="17"/>
        <v>3</v>
      </c>
      <c r="O48" s="19">
        <f t="shared" ca="1" si="18"/>
        <v>3</v>
      </c>
      <c r="P48" s="19">
        <f t="shared" ca="1" si="19"/>
        <v>7</v>
      </c>
      <c r="Q48" s="19">
        <f t="shared" ca="1" si="20"/>
        <v>4</v>
      </c>
      <c r="R48" s="19">
        <f ca="1">ROUND(RAND()*10,0)</f>
        <v>9</v>
      </c>
      <c r="S48" s="19">
        <f ca="1">ROUND(RAND()*10,0)</f>
        <v>7</v>
      </c>
      <c r="T48" s="19">
        <f ca="1">ROUND(RAND()*10,0)</f>
        <v>6</v>
      </c>
      <c r="U48" s="19">
        <f ca="1">ROUND(RAND()*10,0)</f>
        <v>6</v>
      </c>
      <c r="V48" s="19">
        <f ca="1">ROUND(RAND()*10,0)</f>
        <v>1</v>
      </c>
      <c r="W48" s="20">
        <v>0</v>
      </c>
    </row>
    <row r="50" spans="1:23" ht="15.75" thickBot="1" x14ac:dyDescent="0.3"/>
    <row r="51" spans="1:23" ht="15.75" thickBot="1" x14ac:dyDescent="0.3">
      <c r="L51" s="177" t="s">
        <v>34</v>
      </c>
      <c r="M51" s="178"/>
      <c r="N51" s="178"/>
      <c r="O51" s="178"/>
      <c r="P51" s="178"/>
      <c r="Q51" s="178"/>
      <c r="R51" s="178"/>
      <c r="S51" s="178"/>
      <c r="T51" s="178"/>
      <c r="U51" s="178"/>
      <c r="V51" s="178"/>
      <c r="W51" s="179"/>
    </row>
    <row r="52" spans="1:23" ht="15.75" thickBot="1" x14ac:dyDescent="0.3">
      <c r="B52" s="177" t="s">
        <v>36</v>
      </c>
      <c r="C52" s="178"/>
      <c r="D52" s="178"/>
      <c r="E52" s="178"/>
      <c r="F52" s="178"/>
      <c r="G52" s="178"/>
      <c r="H52" s="178"/>
      <c r="I52" s="178"/>
      <c r="J52" s="179"/>
      <c r="N52" s="183" t="s">
        <v>14</v>
      </c>
      <c r="O52" s="184"/>
      <c r="P52" s="184"/>
      <c r="Q52" s="184"/>
      <c r="R52" s="184"/>
      <c r="S52" s="185" t="s">
        <v>20</v>
      </c>
      <c r="T52" s="185"/>
      <c r="U52" s="185"/>
      <c r="V52" s="185"/>
      <c r="W52" s="186"/>
    </row>
    <row r="53" spans="1:23" ht="15.75" thickBot="1" x14ac:dyDescent="0.3">
      <c r="E53" s="180"/>
      <c r="F53" s="180"/>
      <c r="G53" s="180"/>
      <c r="H53" s="180"/>
      <c r="I53" s="180"/>
      <c r="L53" s="16"/>
      <c r="M53" s="17"/>
      <c r="N53" s="26" t="s">
        <v>15</v>
      </c>
      <c r="O53" s="27" t="s">
        <v>16</v>
      </c>
      <c r="P53" s="26" t="s">
        <v>17</v>
      </c>
      <c r="Q53" s="27" t="s">
        <v>18</v>
      </c>
      <c r="R53" s="26" t="s">
        <v>19</v>
      </c>
      <c r="S53" s="28" t="s">
        <v>21</v>
      </c>
      <c r="T53" s="29" t="s">
        <v>22</v>
      </c>
      <c r="U53" s="28" t="s">
        <v>23</v>
      </c>
      <c r="V53" s="29" t="s">
        <v>24</v>
      </c>
      <c r="W53" s="30" t="s">
        <v>25</v>
      </c>
    </row>
    <row r="54" spans="1:23" ht="15.75" thickBot="1" x14ac:dyDescent="0.3">
      <c r="C54" s="57" t="s">
        <v>4</v>
      </c>
      <c r="D54" s="62" t="s">
        <v>7</v>
      </c>
      <c r="E54" s="57" t="s">
        <v>38</v>
      </c>
      <c r="F54" s="58" t="s">
        <v>39</v>
      </c>
      <c r="G54" s="58" t="s">
        <v>40</v>
      </c>
      <c r="H54" s="58" t="s">
        <v>41</v>
      </c>
      <c r="I54" s="59" t="s">
        <v>42</v>
      </c>
      <c r="J54" s="58" t="s">
        <v>5</v>
      </c>
      <c r="K54" s="110" t="s">
        <v>14</v>
      </c>
      <c r="L54" s="21" t="s">
        <v>15</v>
      </c>
      <c r="M54" s="50" t="s">
        <v>43</v>
      </c>
      <c r="N54" s="51"/>
      <c r="O54" s="51"/>
      <c r="P54" s="51"/>
      <c r="Q54" s="51"/>
      <c r="R54" s="51"/>
      <c r="S54" s="51"/>
      <c r="T54" s="51"/>
      <c r="U54" s="51"/>
      <c r="V54" s="52"/>
    </row>
    <row r="55" spans="1:23" x14ac:dyDescent="0.25">
      <c r="A55" s="187"/>
      <c r="B55" s="57" t="s">
        <v>4</v>
      </c>
      <c r="C55" s="132">
        <v>1</v>
      </c>
      <c r="D55" s="131"/>
      <c r="E55" s="130"/>
      <c r="F55" s="129"/>
      <c r="G55" s="129"/>
      <c r="H55" s="127"/>
      <c r="I55" s="128"/>
      <c r="J55" s="127"/>
      <c r="K55" s="111"/>
      <c r="L55" s="22" t="s">
        <v>16</v>
      </c>
      <c r="M55" s="34" t="s">
        <v>44</v>
      </c>
      <c r="N55" s="119" t="s">
        <v>43</v>
      </c>
      <c r="O55" s="119"/>
      <c r="P55" s="119"/>
      <c r="Q55" s="119"/>
      <c r="R55" s="119"/>
      <c r="S55" s="119"/>
      <c r="T55" s="119"/>
      <c r="U55" s="119"/>
      <c r="V55" s="54"/>
    </row>
    <row r="56" spans="1:23" x14ac:dyDescent="0.25">
      <c r="A56" s="188"/>
      <c r="B56" s="60" t="s">
        <v>7</v>
      </c>
      <c r="C56" s="120">
        <v>0.8</v>
      </c>
      <c r="D56" s="126">
        <v>1</v>
      </c>
      <c r="E56" s="120"/>
      <c r="F56" s="120"/>
      <c r="G56" s="120"/>
      <c r="H56" s="125"/>
      <c r="K56" s="111"/>
      <c r="L56" s="21" t="s">
        <v>17</v>
      </c>
      <c r="M56" s="34" t="s">
        <v>43</v>
      </c>
      <c r="N56" s="119" t="s">
        <v>43</v>
      </c>
      <c r="O56" s="119" t="s">
        <v>43</v>
      </c>
      <c r="P56" s="119"/>
      <c r="Q56" s="119"/>
      <c r="R56" s="119"/>
      <c r="S56" s="119"/>
      <c r="T56" s="119"/>
      <c r="U56" s="119"/>
      <c r="V56" s="54"/>
    </row>
    <row r="57" spans="1:23" ht="15.75" thickBot="1" x14ac:dyDescent="0.3">
      <c r="A57" s="189"/>
      <c r="B57" s="60" t="s">
        <v>38</v>
      </c>
      <c r="C57" s="120">
        <v>0.75</v>
      </c>
      <c r="D57" s="126">
        <v>1</v>
      </c>
      <c r="E57" s="120">
        <v>1</v>
      </c>
      <c r="F57" s="120"/>
      <c r="G57" s="120"/>
      <c r="H57" s="125"/>
      <c r="K57" s="111"/>
      <c r="L57" s="22" t="s">
        <v>18</v>
      </c>
      <c r="M57" s="34" t="s">
        <v>44</v>
      </c>
      <c r="N57" s="119" t="s">
        <v>43</v>
      </c>
      <c r="O57" s="119" t="s">
        <v>43</v>
      </c>
      <c r="P57" s="119" t="s">
        <v>43</v>
      </c>
      <c r="Q57" s="119"/>
      <c r="R57" s="119"/>
      <c r="S57" s="119"/>
      <c r="T57" s="119"/>
      <c r="U57" s="119"/>
      <c r="V57" s="54"/>
    </row>
    <row r="58" spans="1:23" x14ac:dyDescent="0.25">
      <c r="A58" s="190"/>
      <c r="B58" s="60" t="s">
        <v>39</v>
      </c>
      <c r="C58" s="120">
        <v>0.4</v>
      </c>
      <c r="D58" s="120">
        <v>0.4</v>
      </c>
      <c r="E58" s="120">
        <v>0.4</v>
      </c>
      <c r="F58" s="120">
        <v>1</v>
      </c>
      <c r="G58" s="120"/>
      <c r="H58" s="125"/>
      <c r="K58" s="111"/>
      <c r="L58" s="21" t="s">
        <v>19</v>
      </c>
      <c r="M58" s="34" t="s">
        <v>43</v>
      </c>
      <c r="N58" s="119" t="s">
        <v>43</v>
      </c>
      <c r="O58" s="119" t="s">
        <v>43</v>
      </c>
      <c r="P58" s="119" t="s">
        <v>44</v>
      </c>
      <c r="Q58" s="119" t="s">
        <v>43</v>
      </c>
      <c r="R58" s="119"/>
      <c r="S58" s="119"/>
      <c r="T58" s="119"/>
      <c r="U58" s="119"/>
      <c r="V58" s="54"/>
    </row>
    <row r="59" spans="1:23" x14ac:dyDescent="0.25">
      <c r="A59" s="190"/>
      <c r="B59" s="60" t="s">
        <v>40</v>
      </c>
      <c r="C59" s="120">
        <v>0.4</v>
      </c>
      <c r="D59" s="120">
        <v>0.4</v>
      </c>
      <c r="E59" s="120">
        <v>0.4</v>
      </c>
      <c r="F59" s="120">
        <v>0.8</v>
      </c>
      <c r="G59" s="120">
        <v>1</v>
      </c>
      <c r="H59" s="125"/>
      <c r="K59" s="112" t="s">
        <v>20</v>
      </c>
      <c r="L59" s="23" t="s">
        <v>21</v>
      </c>
      <c r="M59" s="34" t="s">
        <v>43</v>
      </c>
      <c r="N59" s="119" t="s">
        <v>43</v>
      </c>
      <c r="O59" s="119" t="s">
        <v>43</v>
      </c>
      <c r="P59" s="119" t="s">
        <v>43</v>
      </c>
      <c r="Q59" s="119" t="s">
        <v>44</v>
      </c>
      <c r="R59" s="119" t="s">
        <v>43</v>
      </c>
      <c r="S59" s="119"/>
      <c r="T59" s="119"/>
      <c r="U59" s="119"/>
      <c r="V59" s="54"/>
    </row>
    <row r="60" spans="1:23" ht="15.75" thickBot="1" x14ac:dyDescent="0.3">
      <c r="A60" s="190"/>
      <c r="B60" s="60" t="s">
        <v>41</v>
      </c>
      <c r="C60" s="120">
        <v>0.4</v>
      </c>
      <c r="D60" s="120">
        <v>0.4</v>
      </c>
      <c r="E60" s="120">
        <v>0.4</v>
      </c>
      <c r="F60" s="123">
        <v>0.9</v>
      </c>
      <c r="G60" s="123">
        <v>1</v>
      </c>
      <c r="H60" s="124">
        <v>1</v>
      </c>
      <c r="K60" s="112"/>
      <c r="L60" s="24" t="s">
        <v>22</v>
      </c>
      <c r="M60" s="34" t="s">
        <v>43</v>
      </c>
      <c r="N60" s="119" t="s">
        <v>44</v>
      </c>
      <c r="O60" s="119" t="s">
        <v>44</v>
      </c>
      <c r="P60" s="119" t="s">
        <v>43</v>
      </c>
      <c r="Q60" s="119" t="s">
        <v>44</v>
      </c>
      <c r="R60" s="119" t="s">
        <v>44</v>
      </c>
      <c r="S60" s="119" t="s">
        <v>43</v>
      </c>
      <c r="T60" s="119"/>
      <c r="U60" s="119"/>
      <c r="V60" s="54"/>
    </row>
    <row r="61" spans="1:23" ht="15.75" thickBot="1" x14ac:dyDescent="0.3">
      <c r="A61" s="190"/>
      <c r="B61" s="61" t="s">
        <v>42</v>
      </c>
      <c r="C61" s="123">
        <v>0.5</v>
      </c>
      <c r="D61" s="122">
        <v>0.7</v>
      </c>
      <c r="E61" s="122">
        <v>0.5</v>
      </c>
      <c r="F61" s="122">
        <v>0.8</v>
      </c>
      <c r="G61" s="122">
        <v>0.8</v>
      </c>
      <c r="H61" s="122">
        <v>0.75</v>
      </c>
      <c r="I61" s="122">
        <v>1</v>
      </c>
      <c r="K61" s="112"/>
      <c r="L61" s="23" t="s">
        <v>23</v>
      </c>
      <c r="M61" s="34" t="s">
        <v>43</v>
      </c>
      <c r="N61" s="119" t="s">
        <v>43</v>
      </c>
      <c r="O61" s="119" t="s">
        <v>43</v>
      </c>
      <c r="P61" s="119" t="s">
        <v>43</v>
      </c>
      <c r="Q61" s="119" t="s">
        <v>43</v>
      </c>
      <c r="R61" s="119" t="s">
        <v>43</v>
      </c>
      <c r="S61" s="119" t="s">
        <v>43</v>
      </c>
      <c r="T61" s="119" t="s">
        <v>43</v>
      </c>
      <c r="U61" s="119"/>
      <c r="V61" s="54"/>
    </row>
    <row r="62" spans="1:23" x14ac:dyDescent="0.25">
      <c r="A62" s="121"/>
      <c r="B62" s="60" t="s">
        <v>5</v>
      </c>
      <c r="C62" s="120">
        <v>0.4</v>
      </c>
      <c r="D62" s="120">
        <v>0.4</v>
      </c>
      <c r="E62" s="120">
        <v>0.4</v>
      </c>
      <c r="F62" s="120">
        <v>0.4</v>
      </c>
      <c r="G62" s="120">
        <v>0.4</v>
      </c>
      <c r="H62" s="120">
        <v>0.4</v>
      </c>
      <c r="I62" s="120">
        <v>0.4</v>
      </c>
      <c r="J62" s="118">
        <v>1</v>
      </c>
      <c r="K62" s="112"/>
      <c r="L62" s="24" t="s">
        <v>24</v>
      </c>
      <c r="M62" s="34" t="s">
        <v>43</v>
      </c>
      <c r="N62" s="119" t="s">
        <v>43</v>
      </c>
      <c r="O62" s="119" t="s">
        <v>43</v>
      </c>
      <c r="P62" s="119" t="s">
        <v>44</v>
      </c>
      <c r="Q62" s="119" t="s">
        <v>43</v>
      </c>
      <c r="R62" s="119" t="s">
        <v>43</v>
      </c>
      <c r="S62" s="119" t="s">
        <v>43</v>
      </c>
      <c r="T62" s="119" t="s">
        <v>43</v>
      </c>
      <c r="U62" s="119" t="s">
        <v>43</v>
      </c>
      <c r="V62" s="54"/>
    </row>
    <row r="63" spans="1:23" ht="15.75" thickBot="1" x14ac:dyDescent="0.3">
      <c r="D63" s="118"/>
      <c r="L63" s="113"/>
      <c r="M63" s="25" t="s">
        <v>25</v>
      </c>
      <c r="N63" s="35" t="s">
        <v>43</v>
      </c>
      <c r="O63" s="55" t="s">
        <v>43</v>
      </c>
      <c r="P63" s="55" t="s">
        <v>43</v>
      </c>
      <c r="Q63" s="55" t="s">
        <v>44</v>
      </c>
      <c r="R63" s="55" t="s">
        <v>44</v>
      </c>
      <c r="S63" s="55" t="s">
        <v>43</v>
      </c>
      <c r="T63" s="55" t="s">
        <v>43</v>
      </c>
      <c r="U63" s="55" t="s">
        <v>44</v>
      </c>
      <c r="V63" s="55" t="s">
        <v>43</v>
      </c>
      <c r="W63" s="56" t="s">
        <v>43</v>
      </c>
    </row>
    <row r="64" spans="1:23" x14ac:dyDescent="0.25">
      <c r="D64" s="118"/>
    </row>
    <row r="65" spans="2:9" x14ac:dyDescent="0.25">
      <c r="D65" s="118"/>
    </row>
    <row r="66" spans="2:9" x14ac:dyDescent="0.25">
      <c r="D66" s="118"/>
    </row>
    <row r="67" spans="2:9" ht="15.75" thickBot="1" x14ac:dyDescent="0.3">
      <c r="D67" s="117"/>
    </row>
    <row r="76" spans="2:9" x14ac:dyDescent="0.25">
      <c r="C76" s="42" t="s">
        <v>45</v>
      </c>
    </row>
    <row r="78" spans="2:9" x14ac:dyDescent="0.25">
      <c r="C78" s="42" t="s">
        <v>46</v>
      </c>
    </row>
    <row r="79" spans="2:9" x14ac:dyDescent="0.25">
      <c r="B79" s="191" t="s">
        <v>82</v>
      </c>
      <c r="C79" s="42" t="s">
        <v>47</v>
      </c>
    </row>
    <row r="80" spans="2:9" x14ac:dyDescent="0.25">
      <c r="B80" s="191"/>
      <c r="C80" s="42" t="s">
        <v>48</v>
      </c>
      <c r="E80" s="64"/>
      <c r="F80" s="64"/>
      <c r="G80" s="64"/>
      <c r="H80" s="64"/>
      <c r="I80" s="64"/>
    </row>
    <row r="81" spans="2:23" x14ac:dyDescent="0.25">
      <c r="B81" s="191"/>
      <c r="C81" s="116" t="s">
        <v>81</v>
      </c>
      <c r="E81" s="64"/>
      <c r="F81" s="64"/>
      <c r="G81" s="64"/>
      <c r="H81" s="64"/>
      <c r="I81" s="64"/>
      <c r="L81" s="64"/>
      <c r="M81" s="64"/>
      <c r="N81" s="64"/>
      <c r="O81" s="64"/>
      <c r="P81" s="64"/>
      <c r="Q81" s="64"/>
      <c r="R81" s="64"/>
      <c r="S81" s="64"/>
      <c r="T81" s="64"/>
      <c r="U81" s="64"/>
      <c r="V81" s="64"/>
      <c r="W81" s="64"/>
    </row>
    <row r="82" spans="2:23" x14ac:dyDescent="0.25">
      <c r="B82" s="64"/>
      <c r="C82" s="64" t="s">
        <v>49</v>
      </c>
      <c r="D82" s="64"/>
      <c r="J82" s="64"/>
      <c r="L82" s="64"/>
      <c r="M82" s="64"/>
      <c r="N82" s="64"/>
      <c r="O82" s="64"/>
      <c r="P82" s="64"/>
      <c r="Q82" s="64"/>
      <c r="R82" s="64"/>
      <c r="S82" s="64"/>
      <c r="T82" s="64"/>
      <c r="U82" s="64"/>
      <c r="V82" s="64"/>
      <c r="W82" s="64"/>
    </row>
    <row r="83" spans="2:23" s="64" customFormat="1" x14ac:dyDescent="0.25">
      <c r="B83" s="42"/>
      <c r="C83" s="42" t="s">
        <v>50</v>
      </c>
      <c r="D83" s="42"/>
      <c r="E83" s="42"/>
      <c r="F83" s="42"/>
      <c r="G83" s="42"/>
      <c r="H83" s="42"/>
      <c r="I83" s="42"/>
      <c r="J83" s="42"/>
      <c r="L83" s="42"/>
      <c r="M83" s="42"/>
      <c r="N83" s="42"/>
      <c r="O83" s="42"/>
      <c r="P83" s="42"/>
      <c r="Q83" s="42"/>
      <c r="R83" s="42"/>
      <c r="S83" s="42"/>
      <c r="T83" s="42"/>
      <c r="U83" s="42"/>
      <c r="V83" s="42"/>
      <c r="W83" s="42"/>
    </row>
    <row r="84" spans="2:23" x14ac:dyDescent="0.25">
      <c r="C84" s="42" t="s">
        <v>80</v>
      </c>
    </row>
    <row r="85" spans="2:23" x14ac:dyDescent="0.25">
      <c r="C85" s="115" t="s">
        <v>79</v>
      </c>
    </row>
    <row r="86" spans="2:23" x14ac:dyDescent="0.25">
      <c r="C86" s="42" t="s">
        <v>83</v>
      </c>
    </row>
    <row r="87" spans="2:23" hidden="1" x14ac:dyDescent="0.25">
      <c r="C87" s="42" t="s">
        <v>51</v>
      </c>
    </row>
    <row r="88" spans="2:23" x14ac:dyDescent="0.25">
      <c r="E88" s="64"/>
      <c r="F88" s="64"/>
      <c r="G88" s="64"/>
      <c r="H88" s="64"/>
      <c r="I88" s="64"/>
    </row>
    <row r="89" spans="2:23" x14ac:dyDescent="0.25">
      <c r="B89" s="64"/>
      <c r="C89" s="64" t="s">
        <v>52</v>
      </c>
      <c r="D89" s="64"/>
      <c r="J89" s="64"/>
      <c r="L89" s="64"/>
      <c r="M89" s="64"/>
      <c r="N89" s="64"/>
      <c r="O89" s="64"/>
      <c r="P89" s="64"/>
      <c r="Q89" s="64"/>
      <c r="R89" s="64"/>
      <c r="S89" s="64"/>
      <c r="T89" s="64"/>
      <c r="U89" s="64"/>
      <c r="V89" s="64"/>
      <c r="W89" s="64"/>
    </row>
    <row r="90" spans="2:23" s="64" customFormat="1" x14ac:dyDescent="0.25">
      <c r="B90" s="42"/>
      <c r="C90" s="42" t="s">
        <v>78</v>
      </c>
      <c r="D90" s="42"/>
      <c r="E90" s="42"/>
      <c r="F90" s="42"/>
      <c r="G90" s="42"/>
      <c r="H90" s="42"/>
      <c r="I90" s="42"/>
      <c r="J90" s="42"/>
      <c r="L90" s="42"/>
      <c r="M90" s="42"/>
      <c r="N90" s="42"/>
      <c r="O90" s="42"/>
      <c r="P90" s="42"/>
      <c r="Q90" s="42"/>
      <c r="R90" s="42"/>
      <c r="S90" s="42"/>
      <c r="T90" s="42"/>
      <c r="U90" s="42"/>
      <c r="V90" s="42"/>
      <c r="W90" s="42"/>
    </row>
    <row r="91" spans="2:23" s="114" customFormat="1" hidden="1" x14ac:dyDescent="0.25">
      <c r="C91" s="114" t="s">
        <v>53</v>
      </c>
    </row>
    <row r="92" spans="2:23" x14ac:dyDescent="0.25">
      <c r="C92" s="42" t="s">
        <v>84</v>
      </c>
    </row>
    <row r="93" spans="2:23" s="114" customFormat="1" hidden="1" x14ac:dyDescent="0.25">
      <c r="C93" s="114" t="s">
        <v>54</v>
      </c>
    </row>
    <row r="94" spans="2:23" s="114" customFormat="1" hidden="1" x14ac:dyDescent="0.25">
      <c r="C94" s="114" t="s">
        <v>55</v>
      </c>
    </row>
    <row r="95" spans="2:23" s="114" customFormat="1" hidden="1" x14ac:dyDescent="0.25">
      <c r="C95" s="114" t="s">
        <v>77</v>
      </c>
    </row>
    <row r="96" spans="2:23" s="114" customFormat="1" hidden="1" x14ac:dyDescent="0.25">
      <c r="C96" s="114" t="s">
        <v>56</v>
      </c>
    </row>
    <row r="97" spans="2:23" x14ac:dyDescent="0.25">
      <c r="C97" s="42" t="s">
        <v>57</v>
      </c>
      <c r="E97" s="64"/>
      <c r="F97" s="64"/>
      <c r="G97" s="64"/>
      <c r="H97" s="64"/>
      <c r="I97" s="64"/>
    </row>
    <row r="98" spans="2:23" x14ac:dyDescent="0.25">
      <c r="B98" s="64"/>
      <c r="C98" s="64" t="s">
        <v>58</v>
      </c>
      <c r="D98" s="64"/>
      <c r="J98" s="64"/>
      <c r="L98" s="64"/>
      <c r="M98" s="64"/>
      <c r="N98" s="64"/>
      <c r="O98" s="64"/>
      <c r="P98" s="64"/>
      <c r="Q98" s="64"/>
      <c r="R98" s="64"/>
      <c r="S98" s="64"/>
      <c r="T98" s="64"/>
      <c r="U98" s="64"/>
      <c r="V98" s="64"/>
      <c r="W98" s="64"/>
    </row>
    <row r="99" spans="2:23" s="64" customFormat="1" x14ac:dyDescent="0.25">
      <c r="B99" s="42"/>
      <c r="C99" s="42" t="s">
        <v>59</v>
      </c>
      <c r="D99" s="42"/>
      <c r="E99" s="42"/>
      <c r="F99" s="42"/>
      <c r="G99" s="42"/>
      <c r="H99" s="42"/>
      <c r="I99" s="42"/>
      <c r="J99" s="42"/>
      <c r="L99" s="42"/>
      <c r="M99" s="42"/>
      <c r="N99" s="42"/>
      <c r="O99" s="42"/>
      <c r="P99" s="42"/>
      <c r="Q99" s="42"/>
      <c r="R99" s="42"/>
      <c r="S99" s="42"/>
      <c r="T99" s="42"/>
      <c r="U99" s="42"/>
      <c r="V99" s="42"/>
      <c r="W99" s="42"/>
    </row>
    <row r="100" spans="2:23" x14ac:dyDescent="0.25">
      <c r="C100" s="42" t="s">
        <v>85</v>
      </c>
    </row>
    <row r="101" spans="2:23" x14ac:dyDescent="0.25">
      <c r="C101" s="42" t="s">
        <v>60</v>
      </c>
    </row>
    <row r="102" spans="2:23" x14ac:dyDescent="0.25">
      <c r="C102" s="42" t="s">
        <v>61</v>
      </c>
    </row>
  </sheetData>
  <mergeCells count="24">
    <mergeCell ref="A55:A57"/>
    <mergeCell ref="A58:A61"/>
    <mergeCell ref="B79:B81"/>
    <mergeCell ref="S3:W3"/>
    <mergeCell ref="C36:G36"/>
    <mergeCell ref="B39:B43"/>
    <mergeCell ref="B44:B48"/>
    <mergeCell ref="N37:R37"/>
    <mergeCell ref="N20:R20"/>
    <mergeCell ref="M23:M27"/>
    <mergeCell ref="M28:M32"/>
    <mergeCell ref="C20:G20"/>
    <mergeCell ref="B23:B27"/>
    <mergeCell ref="B28:B32"/>
    <mergeCell ref="C3:G3"/>
    <mergeCell ref="B6:B10"/>
    <mergeCell ref="B11:B15"/>
    <mergeCell ref="B52:J52"/>
    <mergeCell ref="E53:I53"/>
    <mergeCell ref="S37:W37"/>
    <mergeCell ref="L36:W36"/>
    <mergeCell ref="L51:W51"/>
    <mergeCell ref="N52:R52"/>
    <mergeCell ref="S52:W5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R11"/>
  <sheetViews>
    <sheetView zoomScale="85" zoomScaleNormal="85" workbookViewId="0">
      <selection activeCell="C2" sqref="C2"/>
    </sheetView>
  </sheetViews>
  <sheetFormatPr defaultColWidth="11.42578125" defaultRowHeight="15" x14ac:dyDescent="0.25"/>
  <cols>
    <col min="1" max="1" width="13.7109375" style="98" customWidth="1"/>
    <col min="2" max="2" width="8.85546875" style="98" bestFit="1" customWidth="1"/>
    <col min="3" max="4" width="11.42578125" style="98"/>
    <col min="5" max="5" width="11.5703125" style="98" bestFit="1" customWidth="1"/>
    <col min="6" max="6" width="10.28515625" style="98" bestFit="1" customWidth="1"/>
    <col min="7" max="7" width="10.7109375" style="98" bestFit="1" customWidth="1"/>
    <col min="8" max="8" width="16.140625" style="98" bestFit="1" customWidth="1"/>
    <col min="9" max="9" width="12" style="98" customWidth="1"/>
    <col min="10" max="10" width="10.85546875" style="98" bestFit="1" customWidth="1"/>
    <col min="11" max="11" width="40.7109375" style="109" customWidth="1"/>
    <col min="12" max="12" width="36.28515625" style="109" customWidth="1"/>
    <col min="13" max="13" width="34" style="109" customWidth="1"/>
    <col min="14" max="14" width="29.7109375" style="109" customWidth="1"/>
    <col min="15" max="15" width="30.28515625" style="109" customWidth="1"/>
    <col min="16" max="16" width="29.7109375" style="109" customWidth="1"/>
    <col min="17" max="17" width="31.140625" style="109" customWidth="1"/>
    <col min="18" max="18" width="29.140625" style="109" customWidth="1"/>
    <col min="19" max="16384" width="11.42578125" style="98"/>
  </cols>
  <sheetData>
    <row r="1" spans="1:18" ht="47.25" customHeight="1" x14ac:dyDescent="0.25">
      <c r="A1" s="174" t="s">
        <v>13</v>
      </c>
      <c r="B1" s="96" t="s">
        <v>12</v>
      </c>
      <c r="C1" s="97" t="s">
        <v>4</v>
      </c>
      <c r="D1" s="97" t="s">
        <v>5</v>
      </c>
      <c r="E1" s="97" t="s">
        <v>7</v>
      </c>
      <c r="F1" s="97" t="s">
        <v>38</v>
      </c>
      <c r="G1" s="97" t="s">
        <v>39</v>
      </c>
      <c r="H1" s="97" t="s">
        <v>40</v>
      </c>
      <c r="I1" s="97" t="s">
        <v>41</v>
      </c>
      <c r="J1" s="97" t="s">
        <v>42</v>
      </c>
      <c r="K1" s="97" t="s">
        <v>62</v>
      </c>
      <c r="L1" s="97" t="s">
        <v>63</v>
      </c>
      <c r="M1" s="97" t="s">
        <v>64</v>
      </c>
      <c r="N1" s="97" t="s">
        <v>65</v>
      </c>
      <c r="O1" s="97" t="s">
        <v>66</v>
      </c>
      <c r="P1" s="97" t="s">
        <v>67</v>
      </c>
      <c r="Q1" s="97" t="s">
        <v>68</v>
      </c>
      <c r="R1" s="97" t="s">
        <v>69</v>
      </c>
    </row>
    <row r="2" spans="1:18" ht="47.25" customHeight="1" thickBot="1" x14ac:dyDescent="0.3">
      <c r="A2" s="99" t="s">
        <v>15</v>
      </c>
      <c r="B2" s="100" t="s">
        <v>14</v>
      </c>
      <c r="C2" s="101">
        <v>2000</v>
      </c>
      <c r="D2" s="102">
        <v>3000</v>
      </c>
      <c r="E2" s="102">
        <v>0</v>
      </c>
      <c r="F2" s="102">
        <v>0</v>
      </c>
      <c r="G2" s="102"/>
      <c r="H2" s="102"/>
      <c r="I2" s="102">
        <v>0</v>
      </c>
      <c r="J2" s="102">
        <v>0</v>
      </c>
      <c r="K2" s="94" t="str">
        <f>'[1]Emergency Demand (Tonnes)'!K2</f>
        <v>Please pick the value from Unit - (Calabar,Canadian) with current quantity 7000</v>
      </c>
      <c r="L2" s="94" t="str">
        <f>'[1]Emergency Demand (Tonnes)'!L2</f>
        <v>Please pick the value from Unit - (Calabar,SRW - US) with current quantity 5000</v>
      </c>
      <c r="M2" s="94">
        <f>'[1]Emergency Demand (Tonnes)'!M2</f>
        <v>0</v>
      </c>
      <c r="N2" s="94">
        <f>'[1]Emergency Demand (Tonnes)'!N2</f>
        <v>0</v>
      </c>
      <c r="O2" s="94">
        <f>'[1]Emergency Demand (Tonnes)'!O2</f>
        <v>0</v>
      </c>
      <c r="P2" s="94">
        <f>'[1]Emergency Demand (Tonnes)'!P2</f>
        <v>0</v>
      </c>
      <c r="Q2" s="94">
        <f>'[1]Emergency Demand (Tonnes)'!Q2</f>
        <v>0</v>
      </c>
      <c r="R2" s="94">
        <f>'[1]Emergency Demand (Tonnes)'!R2</f>
        <v>0</v>
      </c>
    </row>
    <row r="3" spans="1:18" ht="48.75" customHeight="1" thickBot="1" x14ac:dyDescent="0.3">
      <c r="A3" s="99" t="s">
        <v>16</v>
      </c>
      <c r="B3" s="103" t="s">
        <v>14</v>
      </c>
      <c r="C3" s="104">
        <v>0</v>
      </c>
      <c r="D3" s="104">
        <v>200</v>
      </c>
      <c r="E3" s="104">
        <v>0</v>
      </c>
      <c r="F3" s="104">
        <v>0</v>
      </c>
      <c r="G3" s="104">
        <v>0</v>
      </c>
      <c r="H3" s="104">
        <v>0</v>
      </c>
      <c r="I3" s="104">
        <v>0</v>
      </c>
      <c r="J3" s="104">
        <v>0</v>
      </c>
      <c r="K3" s="95">
        <f>'[1]Emergency Demand (Tonnes)'!K3</f>
        <v>0</v>
      </c>
      <c r="L3" s="95" t="str">
        <f>'[1]Emergency Demand (Tonnes)'!L3</f>
        <v>Please pick the value from Unit - (TCB,SRW - US) with current quantity 5000.0</v>
      </c>
      <c r="M3" s="95">
        <f>'[1]Emergency Demand (Tonnes)'!M3</f>
        <v>0</v>
      </c>
      <c r="N3" s="95">
        <f>'[1]Emergency Demand (Tonnes)'!N3</f>
        <v>0</v>
      </c>
      <c r="O3" s="95">
        <f>'[1]Emergency Demand (Tonnes)'!O3</f>
        <v>0</v>
      </c>
      <c r="P3" s="95">
        <f>'[1]Emergency Demand (Tonnes)'!P3</f>
        <v>0</v>
      </c>
      <c r="Q3" s="95">
        <f>'[1]Emergency Demand (Tonnes)'!Q3</f>
        <v>0</v>
      </c>
      <c r="R3" s="95">
        <f>'[1]Emergency Demand (Tonnes)'!R3</f>
        <v>0</v>
      </c>
    </row>
    <row r="4" spans="1:18" ht="65.25" customHeight="1" thickBot="1" x14ac:dyDescent="0.3">
      <c r="A4" s="99" t="s">
        <v>17</v>
      </c>
      <c r="B4" s="105" t="s">
        <v>14</v>
      </c>
      <c r="C4" s="104">
        <v>0</v>
      </c>
      <c r="D4" s="102"/>
      <c r="E4" s="102">
        <v>0</v>
      </c>
      <c r="F4" s="104">
        <v>0</v>
      </c>
      <c r="G4" s="104">
        <v>0</v>
      </c>
      <c r="H4" s="104"/>
      <c r="I4" s="104">
        <v>70000</v>
      </c>
      <c r="J4" s="104">
        <v>0</v>
      </c>
      <c r="K4" s="94">
        <f>'[1]Emergency Demand (Tonnes)'!K4</f>
        <v>0</v>
      </c>
      <c r="L4" s="94">
        <f>'[1]Emergency Demand (Tonnes)'!L4</f>
        <v>0</v>
      </c>
      <c r="M4" s="94">
        <f>'[1]Emergency Demand (Tonnes)'!M4</f>
        <v>0</v>
      </c>
      <c r="N4" s="94">
        <f>'[1]Emergency Demand (Tonnes)'!N4</f>
        <v>0</v>
      </c>
      <c r="O4" s="94">
        <f>'[1]Emergency Demand (Tonnes)'!O4</f>
        <v>0</v>
      </c>
      <c r="P4" s="94">
        <f>'[1]Emergency Demand (Tonnes)'!P4</f>
        <v>0</v>
      </c>
      <c r="Q4" s="94" t="str">
        <f>'[1]Emergency Demand (Tonnes)'!Q4</f>
        <v>Please pick the value from Unit - (Apapa,Argentinaian and TCB,Argentinaian) with current quantity 60234,60234 respectively</v>
      </c>
      <c r="R4" s="94">
        <f>'[1]Emergency Demand (Tonnes)'!R4</f>
        <v>0</v>
      </c>
    </row>
    <row r="5" spans="1:18" ht="44.25" customHeight="1" thickBot="1" x14ac:dyDescent="0.3">
      <c r="A5" s="99" t="s">
        <v>18</v>
      </c>
      <c r="B5" s="103" t="s">
        <v>14</v>
      </c>
      <c r="C5" s="104">
        <v>0</v>
      </c>
      <c r="D5" s="102">
        <v>0</v>
      </c>
      <c r="E5" s="106">
        <v>0</v>
      </c>
      <c r="F5" s="104">
        <v>0</v>
      </c>
      <c r="G5" s="104">
        <v>0</v>
      </c>
      <c r="H5" s="104">
        <v>0</v>
      </c>
      <c r="I5" s="104">
        <v>0</v>
      </c>
      <c r="J5" s="104">
        <v>0</v>
      </c>
      <c r="K5" s="95">
        <f>'[1]Emergency Demand (Tonnes)'!K5</f>
        <v>0</v>
      </c>
      <c r="L5" s="95">
        <f>'[1]Emergency Demand (Tonnes)'!L5</f>
        <v>0</v>
      </c>
      <c r="M5" s="95">
        <f>'[1]Emergency Demand (Tonnes)'!M5</f>
        <v>0</v>
      </c>
      <c r="N5" s="95">
        <f>'[1]Emergency Demand (Tonnes)'!N5</f>
        <v>0</v>
      </c>
      <c r="O5" s="95">
        <f>'[1]Emergency Demand (Tonnes)'!O5</f>
        <v>0</v>
      </c>
      <c r="P5" s="95">
        <f>'[1]Emergency Demand (Tonnes)'!P5</f>
        <v>0</v>
      </c>
      <c r="Q5" s="95">
        <f>'[1]Emergency Demand (Tonnes)'!Q5</f>
        <v>0</v>
      </c>
      <c r="R5" s="95">
        <f>'[1]Emergency Demand (Tonnes)'!R5</f>
        <v>0</v>
      </c>
    </row>
    <row r="6" spans="1:18" ht="45.75" customHeight="1" x14ac:dyDescent="0.25">
      <c r="A6" s="99" t="s">
        <v>19</v>
      </c>
      <c r="B6" s="103" t="s">
        <v>14</v>
      </c>
      <c r="C6" s="104">
        <v>0</v>
      </c>
      <c r="D6" s="106">
        <v>0</v>
      </c>
      <c r="E6" s="106">
        <v>0</v>
      </c>
      <c r="F6" s="104">
        <v>0</v>
      </c>
      <c r="G6" s="104">
        <v>0</v>
      </c>
      <c r="H6" s="104">
        <v>0</v>
      </c>
      <c r="I6" s="104">
        <v>0</v>
      </c>
      <c r="J6" s="104">
        <v>0</v>
      </c>
      <c r="K6" s="95">
        <f>'[1]Emergency Demand (Tonnes)'!K6</f>
        <v>0</v>
      </c>
      <c r="L6" s="95">
        <f>'[1]Emergency Demand (Tonnes)'!L6</f>
        <v>0</v>
      </c>
      <c r="M6" s="95">
        <f>'[1]Emergency Demand (Tonnes)'!M6</f>
        <v>0</v>
      </c>
      <c r="N6" s="95">
        <f>'[1]Emergency Demand (Tonnes)'!N6</f>
        <v>0</v>
      </c>
      <c r="O6" s="95">
        <f>'[1]Emergency Demand (Tonnes)'!O6</f>
        <v>0</v>
      </c>
      <c r="P6" s="95">
        <f>'[1]Emergency Demand (Tonnes)'!P6</f>
        <v>0</v>
      </c>
      <c r="Q6" s="95">
        <f>'[1]Emergency Demand (Tonnes)'!Q6</f>
        <v>0</v>
      </c>
      <c r="R6" s="95">
        <f>'[1]Emergency Demand (Tonnes)'!R6</f>
        <v>0</v>
      </c>
    </row>
    <row r="7" spans="1:18" ht="35.25" customHeight="1" x14ac:dyDescent="0.25">
      <c r="A7" s="107" t="s">
        <v>21</v>
      </c>
      <c r="B7" s="103" t="s">
        <v>20</v>
      </c>
      <c r="C7" s="106">
        <v>0</v>
      </c>
      <c r="D7" s="106">
        <v>0</v>
      </c>
      <c r="E7" s="106">
        <v>0</v>
      </c>
      <c r="F7" s="106">
        <v>0</v>
      </c>
      <c r="G7" s="106">
        <v>0</v>
      </c>
      <c r="H7" s="106">
        <v>0</v>
      </c>
      <c r="I7" s="106">
        <v>0</v>
      </c>
      <c r="J7" s="106">
        <v>0</v>
      </c>
      <c r="K7" s="95">
        <f>'[1]Emergency Demand (Tonnes)'!K7</f>
        <v>0</v>
      </c>
      <c r="L7" s="95">
        <f>'[1]Emergency Demand (Tonnes)'!L7</f>
        <v>0</v>
      </c>
      <c r="M7" s="95">
        <f>'[1]Emergency Demand (Tonnes)'!M7</f>
        <v>0</v>
      </c>
      <c r="N7" s="95">
        <f>'[1]Emergency Demand (Tonnes)'!N7</f>
        <v>0</v>
      </c>
      <c r="O7" s="95">
        <f>'[1]Emergency Demand (Tonnes)'!O7</f>
        <v>0</v>
      </c>
      <c r="P7" s="95">
        <f>'[1]Emergency Demand (Tonnes)'!P7</f>
        <v>0</v>
      </c>
      <c r="Q7" s="95">
        <f>'[1]Emergency Demand (Tonnes)'!Q7</f>
        <v>0</v>
      </c>
      <c r="R7" s="95">
        <f>'[1]Emergency Demand (Tonnes)'!R7</f>
        <v>0</v>
      </c>
    </row>
    <row r="8" spans="1:18" ht="38.25" customHeight="1" x14ac:dyDescent="0.25">
      <c r="A8" s="107" t="s">
        <v>22</v>
      </c>
      <c r="B8" s="103" t="s">
        <v>20</v>
      </c>
      <c r="C8" s="106">
        <v>0</v>
      </c>
      <c r="D8" s="106">
        <v>0</v>
      </c>
      <c r="E8" s="106">
        <v>0</v>
      </c>
      <c r="F8" s="106">
        <v>0</v>
      </c>
      <c r="G8" s="106">
        <v>0</v>
      </c>
      <c r="H8" s="106">
        <v>0</v>
      </c>
      <c r="I8" s="106">
        <v>0</v>
      </c>
      <c r="J8" s="106">
        <v>0</v>
      </c>
      <c r="K8" s="95">
        <f>'[1]Emergency Demand (Tonnes)'!K8</f>
        <v>0</v>
      </c>
      <c r="L8" s="95">
        <f>'[1]Emergency Demand (Tonnes)'!L8</f>
        <v>0</v>
      </c>
      <c r="M8" s="95">
        <f>'[1]Emergency Demand (Tonnes)'!M8</f>
        <v>0</v>
      </c>
      <c r="N8" s="95">
        <f>'[1]Emergency Demand (Tonnes)'!N8</f>
        <v>0</v>
      </c>
      <c r="O8" s="95">
        <f>'[1]Emergency Demand (Tonnes)'!O8</f>
        <v>0</v>
      </c>
      <c r="P8" s="95">
        <f>'[1]Emergency Demand (Tonnes)'!P8</f>
        <v>0</v>
      </c>
      <c r="Q8" s="95">
        <f>'[1]Emergency Demand (Tonnes)'!Q8</f>
        <v>0</v>
      </c>
      <c r="R8" s="95">
        <f>'[1]Emergency Demand (Tonnes)'!R8</f>
        <v>0</v>
      </c>
    </row>
    <row r="9" spans="1:18" ht="36" customHeight="1" x14ac:dyDescent="0.25">
      <c r="A9" s="107" t="s">
        <v>23</v>
      </c>
      <c r="B9" s="103" t="s">
        <v>20</v>
      </c>
      <c r="C9" s="106">
        <v>0</v>
      </c>
      <c r="D9" s="106">
        <v>0</v>
      </c>
      <c r="E9" s="106">
        <v>0</v>
      </c>
      <c r="F9" s="106">
        <v>0</v>
      </c>
      <c r="G9" s="106">
        <v>0</v>
      </c>
      <c r="H9" s="106">
        <v>0</v>
      </c>
      <c r="I9" s="106">
        <v>0</v>
      </c>
      <c r="J9" s="106">
        <v>0</v>
      </c>
      <c r="K9" s="95">
        <f>'[1]Emergency Demand (Tonnes)'!K9</f>
        <v>0</v>
      </c>
      <c r="L9" s="95">
        <f>'[1]Emergency Demand (Tonnes)'!L9</f>
        <v>0</v>
      </c>
      <c r="M9" s="95">
        <f>'[1]Emergency Demand (Tonnes)'!M9</f>
        <v>0</v>
      </c>
      <c r="N9" s="95">
        <f>'[1]Emergency Demand (Tonnes)'!N9</f>
        <v>0</v>
      </c>
      <c r="O9" s="95">
        <f>'[1]Emergency Demand (Tonnes)'!O9</f>
        <v>0</v>
      </c>
      <c r="P9" s="95">
        <f>'[1]Emergency Demand (Tonnes)'!P9</f>
        <v>0</v>
      </c>
      <c r="Q9" s="95">
        <f>'[1]Emergency Demand (Tonnes)'!Q9</f>
        <v>0</v>
      </c>
      <c r="R9" s="95">
        <f>'[1]Emergency Demand (Tonnes)'!R9</f>
        <v>0</v>
      </c>
    </row>
    <row r="10" spans="1:18" ht="40.5" customHeight="1" x14ac:dyDescent="0.25">
      <c r="A10" s="107" t="s">
        <v>24</v>
      </c>
      <c r="B10" s="103" t="s">
        <v>20</v>
      </c>
      <c r="C10" s="106">
        <v>0</v>
      </c>
      <c r="D10" s="106">
        <v>0</v>
      </c>
      <c r="E10" s="106">
        <v>0</v>
      </c>
      <c r="F10" s="106">
        <v>0</v>
      </c>
      <c r="G10" s="106">
        <v>0</v>
      </c>
      <c r="H10" s="106">
        <v>0</v>
      </c>
      <c r="I10" s="106">
        <v>0</v>
      </c>
      <c r="J10" s="106">
        <v>0</v>
      </c>
      <c r="K10" s="95">
        <f>'[1]Emergency Demand (Tonnes)'!K10</f>
        <v>0</v>
      </c>
      <c r="L10" s="95">
        <f>'[1]Emergency Demand (Tonnes)'!L10</f>
        <v>0</v>
      </c>
      <c r="M10" s="95">
        <f>'[1]Emergency Demand (Tonnes)'!M10</f>
        <v>0</v>
      </c>
      <c r="N10" s="95">
        <f>'[1]Emergency Demand (Tonnes)'!N10</f>
        <v>0</v>
      </c>
      <c r="O10" s="95">
        <f>'[1]Emergency Demand (Tonnes)'!O10</f>
        <v>0</v>
      </c>
      <c r="P10" s="95">
        <f>'[1]Emergency Demand (Tonnes)'!P10</f>
        <v>0</v>
      </c>
      <c r="Q10" s="95">
        <f>'[1]Emergency Demand (Tonnes)'!Q10</f>
        <v>0</v>
      </c>
      <c r="R10" s="95">
        <f>'[1]Emergency Demand (Tonnes)'!R10</f>
        <v>0</v>
      </c>
    </row>
    <row r="11" spans="1:18" ht="45.75" customHeight="1" thickBot="1" x14ac:dyDescent="0.3">
      <c r="A11" s="107" t="s">
        <v>25</v>
      </c>
      <c r="B11" s="108" t="s">
        <v>20</v>
      </c>
      <c r="C11" s="106">
        <v>0</v>
      </c>
      <c r="D11" s="106">
        <v>0</v>
      </c>
      <c r="E11" s="106">
        <v>0</v>
      </c>
      <c r="F11" s="106">
        <v>0</v>
      </c>
      <c r="G11" s="106">
        <v>0</v>
      </c>
      <c r="H11" s="106">
        <v>0</v>
      </c>
      <c r="I11" s="106">
        <v>0</v>
      </c>
      <c r="J11" s="106">
        <v>0</v>
      </c>
      <c r="K11" s="95">
        <f>'[1]Emergency Demand (Tonnes)'!K11</f>
        <v>0</v>
      </c>
      <c r="L11" s="95">
        <f>'[1]Emergency Demand (Tonnes)'!L11</f>
        <v>0</v>
      </c>
      <c r="M11" s="95">
        <f>'[1]Emergency Demand (Tonnes)'!M11</f>
        <v>0</v>
      </c>
      <c r="N11" s="95">
        <f>'[1]Emergency Demand (Tonnes)'!N11</f>
        <v>0</v>
      </c>
      <c r="O11" s="95">
        <f>'[1]Emergency Demand (Tonnes)'!O11</f>
        <v>0</v>
      </c>
      <c r="P11" s="95">
        <f>'[1]Emergency Demand (Tonnes)'!P11</f>
        <v>0</v>
      </c>
      <c r="Q11" s="95">
        <f>'[1]Emergency Demand (Tonnes)'!Q11</f>
        <v>0</v>
      </c>
      <c r="R11" s="95">
        <f>'[1]Emergency Demand (Tonnes)'!R11</f>
        <v>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10"/>
  <sheetViews>
    <sheetView workbookViewId="0">
      <selection activeCell="B22" sqref="B22:B23"/>
    </sheetView>
  </sheetViews>
  <sheetFormatPr defaultRowHeight="15" x14ac:dyDescent="0.25"/>
  <cols>
    <col min="1" max="1" width="11.85546875" bestFit="1" customWidth="1"/>
    <col min="2" max="2" width="32.42578125" bestFit="1" customWidth="1"/>
  </cols>
  <sheetData>
    <row r="1" spans="1:2" s="42" customFormat="1" x14ac:dyDescent="0.25">
      <c r="A1" s="42" t="s">
        <v>72</v>
      </c>
      <c r="B1" s="42" t="s">
        <v>73</v>
      </c>
    </row>
    <row r="2" spans="1:2" x14ac:dyDescent="0.25">
      <c r="A2" t="s">
        <v>1</v>
      </c>
      <c r="B2" t="s">
        <v>0</v>
      </c>
    </row>
    <row r="3" spans="1:2" x14ac:dyDescent="0.25">
      <c r="A3" s="42" t="s">
        <v>3</v>
      </c>
      <c r="B3" t="s">
        <v>2</v>
      </c>
    </row>
    <row r="4" spans="1:2" x14ac:dyDescent="0.25">
      <c r="A4" s="42" t="s">
        <v>27</v>
      </c>
      <c r="B4" t="s">
        <v>75</v>
      </c>
    </row>
    <row r="5" spans="1:2" x14ac:dyDescent="0.25">
      <c r="A5" s="42" t="s">
        <v>29</v>
      </c>
      <c r="B5" t="s">
        <v>74</v>
      </c>
    </row>
    <row r="6" spans="1:2" x14ac:dyDescent="0.25">
      <c r="A6" s="42" t="s">
        <v>31</v>
      </c>
      <c r="B6" t="s">
        <v>30</v>
      </c>
    </row>
    <row r="7" spans="1:2" x14ac:dyDescent="0.25">
      <c r="A7" s="42" t="s">
        <v>33</v>
      </c>
      <c r="B7" t="s">
        <v>32</v>
      </c>
    </row>
    <row r="8" spans="1:2" x14ac:dyDescent="0.25">
      <c r="A8" s="42" t="s">
        <v>37</v>
      </c>
      <c r="B8" t="s">
        <v>36</v>
      </c>
    </row>
    <row r="9" spans="1:2" x14ac:dyDescent="0.25">
      <c r="A9" s="42" t="s">
        <v>35</v>
      </c>
      <c r="B9" t="s">
        <v>34</v>
      </c>
    </row>
    <row r="10" spans="1:2" x14ac:dyDescent="0.25">
      <c r="A10" s="42" t="s">
        <v>71</v>
      </c>
      <c r="B10" t="s">
        <v>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F4:K17"/>
  <sheetViews>
    <sheetView topLeftCell="A2" workbookViewId="0">
      <selection activeCell="F5" sqref="F5:K17"/>
    </sheetView>
  </sheetViews>
  <sheetFormatPr defaultColWidth="11.42578125" defaultRowHeight="15" x14ac:dyDescent="0.25"/>
  <cols>
    <col min="8" max="11" width="11.7109375" style="42" customWidth="1"/>
  </cols>
  <sheetData>
    <row r="4" spans="6:11" ht="15.75" customHeight="1" x14ac:dyDescent="0.25"/>
    <row r="5" spans="6:11" ht="15.75" customHeight="1" x14ac:dyDescent="0.25">
      <c r="G5" s="177" t="s">
        <v>28</v>
      </c>
      <c r="H5" s="178"/>
      <c r="I5" s="178"/>
      <c r="J5" s="178"/>
      <c r="K5" s="179"/>
    </row>
    <row r="6" spans="6:11" ht="15.75" customHeight="1" x14ac:dyDescent="0.25"/>
    <row r="7" spans="6:11" ht="15.75" customHeight="1" x14ac:dyDescent="0.25">
      <c r="H7" s="6" t="s">
        <v>4</v>
      </c>
      <c r="I7" s="7" t="s">
        <v>5</v>
      </c>
      <c r="J7" s="7" t="s">
        <v>6</v>
      </c>
      <c r="K7" s="8" t="s">
        <v>7</v>
      </c>
    </row>
    <row r="8" spans="6:11" x14ac:dyDescent="0.25">
      <c r="F8" s="192" t="s">
        <v>14</v>
      </c>
      <c r="G8" s="9" t="s">
        <v>15</v>
      </c>
      <c r="H8" s="65">
        <f t="shared" ref="H8:K17" ca="1" si="0">ROUND(RAND()*100,0)</f>
        <v>82</v>
      </c>
      <c r="I8" s="66">
        <f t="shared" ca="1" si="0"/>
        <v>78</v>
      </c>
      <c r="J8" s="66">
        <f t="shared" ca="1" si="0"/>
        <v>82</v>
      </c>
      <c r="K8" s="66">
        <f t="shared" ca="1" si="0"/>
        <v>73</v>
      </c>
    </row>
    <row r="9" spans="6:11" x14ac:dyDescent="0.25">
      <c r="F9" s="193"/>
      <c r="G9" s="10" t="s">
        <v>16</v>
      </c>
      <c r="H9" s="67">
        <f t="shared" ca="1" si="0"/>
        <v>78</v>
      </c>
      <c r="I9" s="2">
        <f t="shared" ca="1" si="0"/>
        <v>40</v>
      </c>
      <c r="J9" s="2">
        <f t="shared" ca="1" si="0"/>
        <v>94</v>
      </c>
      <c r="K9" s="2">
        <f t="shared" ca="1" si="0"/>
        <v>70</v>
      </c>
    </row>
    <row r="10" spans="6:11" x14ac:dyDescent="0.25">
      <c r="F10" s="193"/>
      <c r="G10" s="15" t="s">
        <v>17</v>
      </c>
      <c r="H10" s="65">
        <f t="shared" ca="1" si="0"/>
        <v>26</v>
      </c>
      <c r="I10" s="66">
        <f t="shared" ca="1" si="0"/>
        <v>44</v>
      </c>
      <c r="J10" s="66">
        <f t="shared" ca="1" si="0"/>
        <v>96</v>
      </c>
      <c r="K10" s="66">
        <f t="shared" ca="1" si="0"/>
        <v>75</v>
      </c>
    </row>
    <row r="11" spans="6:11" x14ac:dyDescent="0.25">
      <c r="F11" s="193"/>
      <c r="G11" s="10" t="s">
        <v>18</v>
      </c>
      <c r="H11" s="67">
        <f t="shared" ca="1" si="0"/>
        <v>55</v>
      </c>
      <c r="I11" s="2">
        <f t="shared" ca="1" si="0"/>
        <v>68</v>
      </c>
      <c r="J11" s="2">
        <f t="shared" ca="1" si="0"/>
        <v>45</v>
      </c>
      <c r="K11" s="2">
        <f t="shared" ca="1" si="0"/>
        <v>10</v>
      </c>
    </row>
    <row r="12" spans="6:11" x14ac:dyDescent="0.25">
      <c r="F12" s="193"/>
      <c r="G12" s="11" t="s">
        <v>19</v>
      </c>
      <c r="H12" s="69">
        <f t="shared" ca="1" si="0"/>
        <v>62</v>
      </c>
      <c r="I12" s="3">
        <f t="shared" ca="1" si="0"/>
        <v>97</v>
      </c>
      <c r="J12" s="3">
        <f t="shared" ca="1" si="0"/>
        <v>59</v>
      </c>
      <c r="K12" s="3">
        <f t="shared" ca="1" si="0"/>
        <v>36</v>
      </c>
    </row>
    <row r="13" spans="6:11" x14ac:dyDescent="0.25">
      <c r="F13" s="175" t="s">
        <v>20</v>
      </c>
      <c r="G13" s="12" t="s">
        <v>21</v>
      </c>
      <c r="H13" s="71">
        <f t="shared" ca="1" si="0"/>
        <v>52</v>
      </c>
      <c r="I13" s="4">
        <f t="shared" ca="1" si="0"/>
        <v>53</v>
      </c>
      <c r="J13" s="4">
        <f t="shared" ca="1" si="0"/>
        <v>79</v>
      </c>
      <c r="K13" s="4">
        <f t="shared" ca="1" si="0"/>
        <v>31</v>
      </c>
    </row>
    <row r="14" spans="6:11" x14ac:dyDescent="0.25">
      <c r="F14" s="175"/>
      <c r="G14" s="13" t="s">
        <v>22</v>
      </c>
      <c r="H14" s="73">
        <f t="shared" ca="1" si="0"/>
        <v>79</v>
      </c>
      <c r="I14" s="5">
        <f t="shared" ca="1" si="0"/>
        <v>35</v>
      </c>
      <c r="J14" s="5">
        <f t="shared" ca="1" si="0"/>
        <v>19</v>
      </c>
      <c r="K14" s="5">
        <f t="shared" ca="1" si="0"/>
        <v>13</v>
      </c>
    </row>
    <row r="15" spans="6:11" x14ac:dyDescent="0.25">
      <c r="F15" s="175"/>
      <c r="G15" s="12" t="s">
        <v>23</v>
      </c>
      <c r="H15" s="71">
        <f t="shared" ca="1" si="0"/>
        <v>91</v>
      </c>
      <c r="I15" s="4">
        <f t="shared" ca="1" si="0"/>
        <v>97</v>
      </c>
      <c r="J15" s="4">
        <f t="shared" ca="1" si="0"/>
        <v>79</v>
      </c>
      <c r="K15" s="4">
        <f t="shared" ca="1" si="0"/>
        <v>61</v>
      </c>
    </row>
    <row r="16" spans="6:11" x14ac:dyDescent="0.25">
      <c r="F16" s="175"/>
      <c r="G16" s="13" t="s">
        <v>24</v>
      </c>
      <c r="H16" s="73">
        <f t="shared" ca="1" si="0"/>
        <v>72</v>
      </c>
      <c r="I16" s="5">
        <f t="shared" ca="1" si="0"/>
        <v>85</v>
      </c>
      <c r="J16" s="5">
        <f t="shared" ca="1" si="0"/>
        <v>24</v>
      </c>
      <c r="K16" s="5">
        <f t="shared" ca="1" si="0"/>
        <v>77</v>
      </c>
    </row>
    <row r="17" spans="6:11" ht="15.75" customHeight="1" x14ac:dyDescent="0.25">
      <c r="F17" s="176"/>
      <c r="G17" s="14" t="s">
        <v>25</v>
      </c>
      <c r="H17" s="71">
        <f t="shared" ca="1" si="0"/>
        <v>85</v>
      </c>
      <c r="I17" s="4">
        <f t="shared" ca="1" si="0"/>
        <v>9</v>
      </c>
      <c r="J17" s="4">
        <f t="shared" ca="1" si="0"/>
        <v>54</v>
      </c>
      <c r="K17" s="4">
        <f t="shared" ca="1" si="0"/>
        <v>70</v>
      </c>
    </row>
  </sheetData>
  <mergeCells count="3">
    <mergeCell ref="F8:F12"/>
    <mergeCell ref="F13:F17"/>
    <mergeCell ref="G5:K5"/>
  </mergeCells>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6:O18"/>
  <sheetViews>
    <sheetView topLeftCell="A4" workbookViewId="0">
      <selection activeCell="D7" sqref="D7:O18"/>
    </sheetView>
  </sheetViews>
  <sheetFormatPr defaultColWidth="11.42578125" defaultRowHeight="15" x14ac:dyDescent="0.25"/>
  <sheetData>
    <row r="6" spans="4:15" ht="15.75" customHeight="1" x14ac:dyDescent="0.25"/>
    <row r="7" spans="4:15" ht="15.75" customHeight="1" x14ac:dyDescent="0.25">
      <c r="F7" s="196" t="s">
        <v>14</v>
      </c>
      <c r="G7" s="197"/>
      <c r="H7" s="197"/>
      <c r="I7" s="197"/>
      <c r="J7" s="197"/>
      <c r="K7" s="198" t="s">
        <v>20</v>
      </c>
      <c r="L7" s="198"/>
      <c r="M7" s="198"/>
      <c r="N7" s="198"/>
      <c r="O7" s="199"/>
    </row>
    <row r="8" spans="4:15" ht="15.75" customHeight="1" x14ac:dyDescent="0.25">
      <c r="D8" s="16"/>
      <c r="E8" s="17"/>
      <c r="F8" s="26" t="s">
        <v>15</v>
      </c>
      <c r="G8" s="27" t="s">
        <v>16</v>
      </c>
      <c r="H8" s="26" t="s">
        <v>17</v>
      </c>
      <c r="I8" s="27" t="s">
        <v>18</v>
      </c>
      <c r="J8" s="26" t="s">
        <v>19</v>
      </c>
      <c r="K8" s="28" t="s">
        <v>21</v>
      </c>
      <c r="L8" s="29" t="s">
        <v>22</v>
      </c>
      <c r="M8" s="28" t="s">
        <v>23</v>
      </c>
      <c r="N8" s="29" t="s">
        <v>24</v>
      </c>
      <c r="O8" s="30" t="s">
        <v>25</v>
      </c>
    </row>
    <row r="9" spans="4:15" x14ac:dyDescent="0.25">
      <c r="D9" s="192" t="s">
        <v>14</v>
      </c>
      <c r="E9" s="21" t="s">
        <v>15</v>
      </c>
      <c r="F9" s="16">
        <v>0</v>
      </c>
      <c r="G9" s="17"/>
      <c r="H9" s="17"/>
      <c r="I9" s="17"/>
      <c r="J9" s="17"/>
      <c r="K9" s="17"/>
      <c r="L9" s="17"/>
      <c r="M9" s="17"/>
      <c r="N9" s="17"/>
      <c r="O9" s="31"/>
    </row>
    <row r="10" spans="4:15" x14ac:dyDescent="0.25">
      <c r="D10" s="193"/>
      <c r="E10" s="22" t="s">
        <v>16</v>
      </c>
      <c r="F10" s="32">
        <f t="shared" ref="F10:F18" ca="1" si="0">ROUND(RAND()*10,0)</f>
        <v>6</v>
      </c>
      <c r="G10" s="1">
        <v>0</v>
      </c>
      <c r="H10" s="1"/>
      <c r="I10" s="1"/>
      <c r="J10" s="1"/>
      <c r="K10" s="1"/>
      <c r="L10" s="1"/>
      <c r="M10" s="1"/>
      <c r="N10" s="1"/>
      <c r="O10" s="18"/>
    </row>
    <row r="11" spans="4:15" x14ac:dyDescent="0.25">
      <c r="D11" s="193"/>
      <c r="E11" s="21" t="s">
        <v>17</v>
      </c>
      <c r="F11" s="32">
        <f t="shared" ca="1" si="0"/>
        <v>8</v>
      </c>
      <c r="G11" s="1">
        <f t="shared" ref="G11:G18" ca="1" si="1">ROUND(RAND()*10,0)</f>
        <v>5</v>
      </c>
      <c r="H11" s="1">
        <v>0</v>
      </c>
      <c r="I11" s="1"/>
      <c r="J11" s="1"/>
      <c r="K11" s="1"/>
      <c r="L11" s="1"/>
      <c r="M11" s="1"/>
      <c r="N11" s="1"/>
      <c r="O11" s="18"/>
    </row>
    <row r="12" spans="4:15" x14ac:dyDescent="0.25">
      <c r="D12" s="193"/>
      <c r="E12" s="22" t="s">
        <v>18</v>
      </c>
      <c r="F12" s="32">
        <f t="shared" ca="1" si="0"/>
        <v>4</v>
      </c>
      <c r="G12" s="1">
        <f t="shared" ca="1" si="1"/>
        <v>9</v>
      </c>
      <c r="H12" s="1">
        <f t="shared" ref="H12:H18" ca="1" si="2">ROUND(RAND()*10,0)</f>
        <v>10</v>
      </c>
      <c r="I12" s="1">
        <v>0</v>
      </c>
      <c r="J12" s="1"/>
      <c r="K12" s="1"/>
      <c r="L12" s="1"/>
      <c r="M12" s="1"/>
      <c r="N12" s="1"/>
      <c r="O12" s="18"/>
    </row>
    <row r="13" spans="4:15" x14ac:dyDescent="0.25">
      <c r="D13" s="193"/>
      <c r="E13" s="21" t="s">
        <v>19</v>
      </c>
      <c r="F13" s="32">
        <f t="shared" ca="1" si="0"/>
        <v>6</v>
      </c>
      <c r="G13" s="1">
        <f t="shared" ca="1" si="1"/>
        <v>7</v>
      </c>
      <c r="H13" s="1">
        <f t="shared" ca="1" si="2"/>
        <v>2</v>
      </c>
      <c r="I13" s="1">
        <f t="shared" ref="I13:I18" ca="1" si="3">ROUND(RAND()*10,0)</f>
        <v>1</v>
      </c>
      <c r="J13" s="1">
        <v>0</v>
      </c>
      <c r="K13" s="1"/>
      <c r="L13" s="1"/>
      <c r="M13" s="1"/>
      <c r="N13" s="1"/>
      <c r="O13" s="18"/>
    </row>
    <row r="14" spans="4:15" x14ac:dyDescent="0.25">
      <c r="D14" s="175" t="s">
        <v>20</v>
      </c>
      <c r="E14" s="23" t="s">
        <v>21</v>
      </c>
      <c r="F14" s="32">
        <f t="shared" ca="1" si="0"/>
        <v>5</v>
      </c>
      <c r="G14" s="1">
        <f t="shared" ca="1" si="1"/>
        <v>4</v>
      </c>
      <c r="H14" s="1">
        <f t="shared" ca="1" si="2"/>
        <v>7</v>
      </c>
      <c r="I14" s="1">
        <f t="shared" ca="1" si="3"/>
        <v>4</v>
      </c>
      <c r="J14" s="1">
        <f ca="1">ROUND(RAND()*10,0)</f>
        <v>9</v>
      </c>
      <c r="K14" s="1">
        <v>0</v>
      </c>
      <c r="L14" s="1"/>
      <c r="M14" s="1"/>
      <c r="N14" s="1"/>
      <c r="O14" s="18"/>
    </row>
    <row r="15" spans="4:15" x14ac:dyDescent="0.25">
      <c r="D15" s="175"/>
      <c r="E15" s="24" t="s">
        <v>22</v>
      </c>
      <c r="F15" s="32">
        <f t="shared" ca="1" si="0"/>
        <v>5</v>
      </c>
      <c r="G15" s="1">
        <f t="shared" ca="1" si="1"/>
        <v>2</v>
      </c>
      <c r="H15" s="1">
        <f t="shared" ca="1" si="2"/>
        <v>10</v>
      </c>
      <c r="I15" s="1">
        <f t="shared" ca="1" si="3"/>
        <v>8</v>
      </c>
      <c r="J15" s="1">
        <f ca="1">ROUND(RAND()*10,0)</f>
        <v>0</v>
      </c>
      <c r="K15" s="1">
        <f ca="1">ROUND(RAND()*10,0)</f>
        <v>0</v>
      </c>
      <c r="L15" s="1">
        <v>0</v>
      </c>
      <c r="M15" s="1"/>
      <c r="N15" s="1"/>
      <c r="O15" s="18"/>
    </row>
    <row r="16" spans="4:15" x14ac:dyDescent="0.25">
      <c r="D16" s="175"/>
      <c r="E16" s="23" t="s">
        <v>23</v>
      </c>
      <c r="F16" s="32">
        <f t="shared" ca="1" si="0"/>
        <v>3</v>
      </c>
      <c r="G16" s="1">
        <f t="shared" ca="1" si="1"/>
        <v>6</v>
      </c>
      <c r="H16" s="1">
        <f t="shared" ca="1" si="2"/>
        <v>4</v>
      </c>
      <c r="I16" s="1">
        <f t="shared" ca="1" si="3"/>
        <v>10</v>
      </c>
      <c r="J16" s="1">
        <f ca="1">ROUND(RAND()*10,0)</f>
        <v>9</v>
      </c>
      <c r="K16" s="1">
        <f ca="1">ROUND(RAND()*10,0)</f>
        <v>8</v>
      </c>
      <c r="L16" s="1">
        <f ca="1">ROUND(RAND()*10,0)</f>
        <v>1</v>
      </c>
      <c r="M16" s="1">
        <v>0</v>
      </c>
      <c r="N16" s="1"/>
      <c r="O16" s="18"/>
    </row>
    <row r="17" spans="4:15" x14ac:dyDescent="0.25">
      <c r="D17" s="175"/>
      <c r="E17" s="24" t="s">
        <v>24</v>
      </c>
      <c r="F17" s="32">
        <f t="shared" ca="1" si="0"/>
        <v>3</v>
      </c>
      <c r="G17" s="1">
        <f t="shared" ca="1" si="1"/>
        <v>4</v>
      </c>
      <c r="H17" s="1">
        <f t="shared" ca="1" si="2"/>
        <v>9</v>
      </c>
      <c r="I17" s="1">
        <f t="shared" ca="1" si="3"/>
        <v>4</v>
      </c>
      <c r="J17" s="1">
        <f ca="1">ROUND(RAND()*10,0)</f>
        <v>10</v>
      </c>
      <c r="K17" s="1">
        <f ca="1">ROUND(RAND()*10,0)</f>
        <v>7</v>
      </c>
      <c r="L17" s="1">
        <f ca="1">ROUND(RAND()*10,0)</f>
        <v>7</v>
      </c>
      <c r="M17" s="1">
        <f ca="1">ROUND(RAND()*10,0)</f>
        <v>7</v>
      </c>
      <c r="N17" s="1">
        <v>0</v>
      </c>
      <c r="O17" s="18"/>
    </row>
    <row r="18" spans="4:15" ht="15.75" customHeight="1" x14ac:dyDescent="0.25">
      <c r="D18" s="176"/>
      <c r="E18" s="25" t="s">
        <v>25</v>
      </c>
      <c r="F18" s="33">
        <f t="shared" ca="1" si="0"/>
        <v>4</v>
      </c>
      <c r="G18" s="19">
        <f t="shared" ca="1" si="1"/>
        <v>5</v>
      </c>
      <c r="H18" s="19">
        <f t="shared" ca="1" si="2"/>
        <v>4</v>
      </c>
      <c r="I18" s="19">
        <f t="shared" ca="1" si="3"/>
        <v>3</v>
      </c>
      <c r="J18" s="19">
        <f ca="1">ROUND(RAND()*10,0)</f>
        <v>7</v>
      </c>
      <c r="K18" s="19">
        <f ca="1">ROUND(RAND()*10,0)</f>
        <v>1</v>
      </c>
      <c r="L18" s="19">
        <f ca="1">ROUND(RAND()*10,0)</f>
        <v>4</v>
      </c>
      <c r="M18" s="19">
        <f ca="1">ROUND(RAND()*10,0)</f>
        <v>1</v>
      </c>
      <c r="N18" s="19">
        <f ca="1">ROUND(RAND()*10,0)</f>
        <v>1</v>
      </c>
      <c r="O18" s="20">
        <v>0</v>
      </c>
    </row>
  </sheetData>
  <mergeCells count="4">
    <mergeCell ref="F7:J7"/>
    <mergeCell ref="D9:D13"/>
    <mergeCell ref="K7:O7"/>
    <mergeCell ref="D14:D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I11"/>
  <sheetViews>
    <sheetView workbookViewId="0">
      <selection activeCell="F22" sqref="F22"/>
    </sheetView>
  </sheetViews>
  <sheetFormatPr defaultColWidth="11.42578125" defaultRowHeight="15" x14ac:dyDescent="0.25"/>
  <sheetData>
    <row r="1" spans="1:9" ht="15.75" customHeight="1" x14ac:dyDescent="0.25">
      <c r="A1" t="s">
        <v>13</v>
      </c>
      <c r="B1" s="57" t="s">
        <v>4</v>
      </c>
      <c r="C1" s="58" t="s">
        <v>5</v>
      </c>
      <c r="D1" s="62" t="s">
        <v>7</v>
      </c>
      <c r="E1" s="57" t="s">
        <v>38</v>
      </c>
      <c r="F1" s="58" t="s">
        <v>39</v>
      </c>
      <c r="G1" s="58" t="s">
        <v>40</v>
      </c>
      <c r="H1" s="58" t="s">
        <v>41</v>
      </c>
      <c r="I1" s="59" t="s">
        <v>42</v>
      </c>
    </row>
    <row r="2" spans="1:9" x14ac:dyDescent="0.25">
      <c r="A2" s="9" t="s">
        <v>15</v>
      </c>
      <c r="B2">
        <v>1</v>
      </c>
      <c r="C2">
        <v>2</v>
      </c>
      <c r="D2">
        <v>3</v>
      </c>
      <c r="E2">
        <v>4</v>
      </c>
      <c r="F2">
        <v>41</v>
      </c>
      <c r="G2">
        <v>51</v>
      </c>
      <c r="H2">
        <v>61</v>
      </c>
      <c r="I2">
        <v>71</v>
      </c>
    </row>
    <row r="3" spans="1:9" x14ac:dyDescent="0.25">
      <c r="A3" s="10" t="s">
        <v>16</v>
      </c>
      <c r="B3">
        <v>5</v>
      </c>
      <c r="C3">
        <v>6</v>
      </c>
      <c r="D3">
        <v>7</v>
      </c>
      <c r="E3">
        <v>8</v>
      </c>
      <c r="F3">
        <v>42</v>
      </c>
      <c r="G3">
        <v>52</v>
      </c>
      <c r="H3">
        <v>62</v>
      </c>
      <c r="I3">
        <v>72</v>
      </c>
    </row>
    <row r="4" spans="1:9" x14ac:dyDescent="0.25">
      <c r="A4" s="15" t="s">
        <v>17</v>
      </c>
      <c r="B4">
        <v>9</v>
      </c>
      <c r="C4">
        <v>10</v>
      </c>
      <c r="D4">
        <v>11</v>
      </c>
      <c r="E4">
        <v>12</v>
      </c>
      <c r="F4">
        <v>43</v>
      </c>
      <c r="G4">
        <v>53</v>
      </c>
      <c r="H4">
        <v>63</v>
      </c>
      <c r="I4">
        <v>73</v>
      </c>
    </row>
    <row r="5" spans="1:9" x14ac:dyDescent="0.25">
      <c r="A5" s="10" t="s">
        <v>18</v>
      </c>
      <c r="B5">
        <v>13</v>
      </c>
      <c r="C5">
        <v>14</v>
      </c>
      <c r="D5">
        <v>15</v>
      </c>
      <c r="E5">
        <v>16</v>
      </c>
      <c r="F5">
        <v>44</v>
      </c>
      <c r="G5">
        <v>54</v>
      </c>
      <c r="H5">
        <v>64</v>
      </c>
      <c r="I5">
        <v>74</v>
      </c>
    </row>
    <row r="6" spans="1:9" x14ac:dyDescent="0.25">
      <c r="A6" s="11" t="s">
        <v>19</v>
      </c>
      <c r="B6">
        <v>17</v>
      </c>
      <c r="C6">
        <v>18</v>
      </c>
      <c r="D6">
        <v>19</v>
      </c>
      <c r="E6">
        <v>20</v>
      </c>
      <c r="F6">
        <v>45</v>
      </c>
      <c r="G6">
        <v>55</v>
      </c>
      <c r="H6">
        <v>65</v>
      </c>
      <c r="I6">
        <v>75</v>
      </c>
    </row>
    <row r="7" spans="1:9" x14ac:dyDescent="0.25">
      <c r="A7" s="12" t="s">
        <v>21</v>
      </c>
      <c r="B7">
        <v>21</v>
      </c>
      <c r="C7">
        <v>22</v>
      </c>
      <c r="D7">
        <v>23</v>
      </c>
      <c r="E7">
        <v>24</v>
      </c>
      <c r="F7">
        <v>46</v>
      </c>
      <c r="G7">
        <v>56</v>
      </c>
      <c r="H7">
        <v>66</v>
      </c>
      <c r="I7">
        <v>76</v>
      </c>
    </row>
    <row r="8" spans="1:9" x14ac:dyDescent="0.25">
      <c r="A8" s="13" t="s">
        <v>22</v>
      </c>
      <c r="B8">
        <v>25</v>
      </c>
      <c r="C8">
        <v>26</v>
      </c>
      <c r="D8">
        <v>27</v>
      </c>
      <c r="E8">
        <v>28</v>
      </c>
      <c r="F8">
        <v>47</v>
      </c>
      <c r="G8">
        <v>57</v>
      </c>
      <c r="H8">
        <v>67</v>
      </c>
      <c r="I8">
        <v>77</v>
      </c>
    </row>
    <row r="9" spans="1:9" x14ac:dyDescent="0.25">
      <c r="A9" s="12" t="s">
        <v>23</v>
      </c>
      <c r="B9">
        <v>29</v>
      </c>
      <c r="C9">
        <v>30</v>
      </c>
      <c r="D9">
        <v>31</v>
      </c>
      <c r="E9">
        <v>32</v>
      </c>
      <c r="F9">
        <v>48</v>
      </c>
      <c r="G9">
        <v>58</v>
      </c>
      <c r="H9">
        <v>68</v>
      </c>
      <c r="I9">
        <v>78</v>
      </c>
    </row>
    <row r="10" spans="1:9" x14ac:dyDescent="0.25">
      <c r="A10" s="13" t="s">
        <v>24</v>
      </c>
      <c r="B10">
        <v>33</v>
      </c>
      <c r="C10">
        <v>34</v>
      </c>
      <c r="D10">
        <v>35</v>
      </c>
      <c r="E10">
        <v>36</v>
      </c>
      <c r="F10">
        <v>49</v>
      </c>
      <c r="G10">
        <v>59</v>
      </c>
      <c r="H10">
        <v>69</v>
      </c>
      <c r="I10">
        <v>79</v>
      </c>
    </row>
    <row r="11" spans="1:9" ht="15.75" customHeight="1" x14ac:dyDescent="0.25">
      <c r="A11" s="14" t="s">
        <v>25</v>
      </c>
      <c r="B11">
        <v>37</v>
      </c>
      <c r="C11">
        <v>38</v>
      </c>
      <c r="D11">
        <v>39</v>
      </c>
      <c r="E11">
        <v>40</v>
      </c>
      <c r="F11">
        <v>50</v>
      </c>
      <c r="G11">
        <v>60</v>
      </c>
      <c r="H11">
        <v>70</v>
      </c>
      <c r="I11">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11"/>
  <sheetViews>
    <sheetView workbookViewId="0">
      <selection activeCell="L11" sqref="L11"/>
    </sheetView>
  </sheetViews>
  <sheetFormatPr defaultColWidth="11.42578125" defaultRowHeight="15" x14ac:dyDescent="0.25"/>
  <sheetData>
    <row r="1" spans="1:12" ht="15.75" customHeight="1" x14ac:dyDescent="0.25">
      <c r="A1" t="s">
        <v>12</v>
      </c>
      <c r="B1" t="s">
        <v>13</v>
      </c>
      <c r="C1" s="26" t="s">
        <v>15</v>
      </c>
      <c r="D1" s="27" t="s">
        <v>16</v>
      </c>
      <c r="E1" s="26" t="s">
        <v>17</v>
      </c>
      <c r="F1" s="27" t="s">
        <v>18</v>
      </c>
      <c r="G1" s="26" t="s">
        <v>19</v>
      </c>
      <c r="H1" s="28" t="s">
        <v>21</v>
      </c>
      <c r="I1" s="29" t="s">
        <v>22</v>
      </c>
      <c r="J1" s="28" t="s">
        <v>23</v>
      </c>
      <c r="K1" s="29" t="s">
        <v>24</v>
      </c>
      <c r="L1" s="30" t="s">
        <v>25</v>
      </c>
    </row>
    <row r="2" spans="1:12" ht="15.75" customHeight="1" x14ac:dyDescent="0.25">
      <c r="A2" s="92" t="s">
        <v>14</v>
      </c>
      <c r="B2" s="21" t="s">
        <v>15</v>
      </c>
      <c r="C2" s="50" t="s">
        <v>43</v>
      </c>
      <c r="D2" s="34" t="s">
        <v>44</v>
      </c>
      <c r="E2" s="34" t="s">
        <v>43</v>
      </c>
      <c r="F2" s="34" t="s">
        <v>44</v>
      </c>
      <c r="G2" s="34" t="s">
        <v>43</v>
      </c>
      <c r="H2" s="34" t="s">
        <v>43</v>
      </c>
      <c r="I2" s="34" t="s">
        <v>43</v>
      </c>
      <c r="J2" s="34" t="s">
        <v>43</v>
      </c>
      <c r="K2" s="34" t="s">
        <v>43</v>
      </c>
      <c r="L2" s="35" t="s">
        <v>43</v>
      </c>
    </row>
    <row r="3" spans="1:12" ht="15.75" customHeight="1" x14ac:dyDescent="0.25">
      <c r="A3" s="92" t="s">
        <v>14</v>
      </c>
      <c r="B3" s="22" t="s">
        <v>16</v>
      </c>
      <c r="C3" s="34" t="s">
        <v>44</v>
      </c>
      <c r="D3" s="53" t="s">
        <v>43</v>
      </c>
      <c r="E3" s="53" t="s">
        <v>43</v>
      </c>
      <c r="F3" s="53" t="s">
        <v>43</v>
      </c>
      <c r="G3" s="53" t="s">
        <v>43</v>
      </c>
      <c r="H3" s="53" t="s">
        <v>43</v>
      </c>
      <c r="I3" s="53" t="s">
        <v>44</v>
      </c>
      <c r="J3" s="53" t="s">
        <v>43</v>
      </c>
      <c r="K3" s="53" t="s">
        <v>43</v>
      </c>
      <c r="L3" s="55" t="s">
        <v>43</v>
      </c>
    </row>
    <row r="4" spans="1:12" ht="15.75" customHeight="1" x14ac:dyDescent="0.25">
      <c r="A4" s="92" t="s">
        <v>14</v>
      </c>
      <c r="B4" s="21" t="s">
        <v>17</v>
      </c>
      <c r="C4" s="34" t="s">
        <v>43</v>
      </c>
      <c r="D4" s="53" t="s">
        <v>43</v>
      </c>
      <c r="E4" s="53" t="s">
        <v>43</v>
      </c>
      <c r="F4" s="53" t="s">
        <v>43</v>
      </c>
      <c r="G4" s="53" t="s">
        <v>43</v>
      </c>
      <c r="H4" s="53" t="s">
        <v>43</v>
      </c>
      <c r="I4" s="53" t="s">
        <v>44</v>
      </c>
      <c r="J4" s="53" t="s">
        <v>43</v>
      </c>
      <c r="K4" s="53" t="s">
        <v>43</v>
      </c>
      <c r="L4" s="55" t="s">
        <v>43</v>
      </c>
    </row>
    <row r="5" spans="1:12" ht="15.75" customHeight="1" x14ac:dyDescent="0.25">
      <c r="A5" s="92" t="s">
        <v>14</v>
      </c>
      <c r="B5" s="22" t="s">
        <v>18</v>
      </c>
      <c r="C5" s="34" t="s">
        <v>44</v>
      </c>
      <c r="D5" s="53" t="s">
        <v>43</v>
      </c>
      <c r="E5" s="53" t="s">
        <v>43</v>
      </c>
      <c r="F5" s="53" t="s">
        <v>43</v>
      </c>
      <c r="G5" s="53" t="s">
        <v>44</v>
      </c>
      <c r="H5" s="53" t="s">
        <v>43</v>
      </c>
      <c r="I5" s="53" t="s">
        <v>43</v>
      </c>
      <c r="J5" s="53" t="s">
        <v>43</v>
      </c>
      <c r="K5" s="53" t="s">
        <v>44</v>
      </c>
      <c r="L5" s="55" t="s">
        <v>44</v>
      </c>
    </row>
    <row r="6" spans="1:12" ht="15.75" customHeight="1" x14ac:dyDescent="0.25">
      <c r="A6" s="92" t="s">
        <v>14</v>
      </c>
      <c r="B6" s="21" t="s">
        <v>19</v>
      </c>
      <c r="C6" s="34" t="s">
        <v>43</v>
      </c>
      <c r="D6" s="53" t="s">
        <v>43</v>
      </c>
      <c r="E6" s="53" t="s">
        <v>43</v>
      </c>
      <c r="F6" s="53" t="s">
        <v>44</v>
      </c>
      <c r="G6" s="53" t="s">
        <v>43</v>
      </c>
      <c r="H6" s="53" t="s">
        <v>44</v>
      </c>
      <c r="I6" s="53" t="s">
        <v>44</v>
      </c>
      <c r="J6" s="53" t="s">
        <v>43</v>
      </c>
      <c r="K6" s="53" t="s">
        <v>43</v>
      </c>
      <c r="L6" s="55" t="s">
        <v>44</v>
      </c>
    </row>
    <row r="7" spans="1:12" ht="15.75" customHeight="1" x14ac:dyDescent="0.25">
      <c r="A7" s="93" t="s">
        <v>20</v>
      </c>
      <c r="B7" s="23" t="s">
        <v>21</v>
      </c>
      <c r="C7" s="34" t="s">
        <v>43</v>
      </c>
      <c r="D7" s="53" t="s">
        <v>43</v>
      </c>
      <c r="E7" s="53" t="s">
        <v>43</v>
      </c>
      <c r="F7" s="53" t="s">
        <v>43</v>
      </c>
      <c r="G7" s="53" t="s">
        <v>44</v>
      </c>
      <c r="H7" s="53" t="s">
        <v>43</v>
      </c>
      <c r="I7" s="53" t="s">
        <v>44</v>
      </c>
      <c r="J7" s="53" t="s">
        <v>43</v>
      </c>
      <c r="K7" s="53" t="s">
        <v>43</v>
      </c>
      <c r="L7" s="55" t="s">
        <v>43</v>
      </c>
    </row>
    <row r="8" spans="1:12" ht="15.75" customHeight="1" x14ac:dyDescent="0.25">
      <c r="A8" s="93" t="s">
        <v>20</v>
      </c>
      <c r="B8" s="24" t="s">
        <v>22</v>
      </c>
      <c r="C8" s="34" t="s">
        <v>43</v>
      </c>
      <c r="D8" s="53" t="s">
        <v>44</v>
      </c>
      <c r="E8" s="53" t="s">
        <v>44</v>
      </c>
      <c r="F8" s="53" t="s">
        <v>43</v>
      </c>
      <c r="G8" s="53" t="s">
        <v>44</v>
      </c>
      <c r="H8" s="53" t="s">
        <v>44</v>
      </c>
      <c r="I8" s="53" t="s">
        <v>43</v>
      </c>
      <c r="J8" s="53" t="s">
        <v>43</v>
      </c>
      <c r="K8" s="53" t="s">
        <v>43</v>
      </c>
      <c r="L8" s="55" t="s">
        <v>43</v>
      </c>
    </row>
    <row r="9" spans="1:12" ht="15.75" customHeight="1" x14ac:dyDescent="0.25">
      <c r="A9" s="93" t="s">
        <v>20</v>
      </c>
      <c r="B9" s="23" t="s">
        <v>23</v>
      </c>
      <c r="C9" s="34" t="s">
        <v>43</v>
      </c>
      <c r="D9" s="53" t="s">
        <v>43</v>
      </c>
      <c r="E9" s="53" t="s">
        <v>43</v>
      </c>
      <c r="F9" s="53" t="s">
        <v>43</v>
      </c>
      <c r="G9" s="53" t="s">
        <v>43</v>
      </c>
      <c r="H9" s="53" t="s">
        <v>43</v>
      </c>
      <c r="I9" s="53" t="s">
        <v>43</v>
      </c>
      <c r="J9" s="53" t="s">
        <v>43</v>
      </c>
      <c r="K9" s="53" t="s">
        <v>43</v>
      </c>
      <c r="L9" s="55" t="s">
        <v>44</v>
      </c>
    </row>
    <row r="10" spans="1:12" x14ac:dyDescent="0.25">
      <c r="A10" s="93" t="s">
        <v>20</v>
      </c>
      <c r="B10" s="24" t="s">
        <v>24</v>
      </c>
      <c r="C10" s="34" t="s">
        <v>43</v>
      </c>
      <c r="D10" s="53" t="s">
        <v>43</v>
      </c>
      <c r="E10" s="53" t="s">
        <v>43</v>
      </c>
      <c r="F10" s="53" t="s">
        <v>44</v>
      </c>
      <c r="G10" s="53" t="s">
        <v>43</v>
      </c>
      <c r="H10" s="53" t="s">
        <v>43</v>
      </c>
      <c r="I10" s="53" t="s">
        <v>43</v>
      </c>
      <c r="J10" s="53" t="s">
        <v>43</v>
      </c>
      <c r="K10" s="53" t="s">
        <v>43</v>
      </c>
      <c r="L10" s="54" t="s">
        <v>43</v>
      </c>
    </row>
    <row r="11" spans="1:12" ht="15.75" customHeight="1" x14ac:dyDescent="0.25">
      <c r="A11" s="93" t="s">
        <v>20</v>
      </c>
      <c r="B11" s="25" t="s">
        <v>25</v>
      </c>
      <c r="C11" s="35" t="s">
        <v>43</v>
      </c>
      <c r="D11" s="55" t="s">
        <v>43</v>
      </c>
      <c r="E11" s="55" t="s">
        <v>43</v>
      </c>
      <c r="F11" s="55" t="s">
        <v>44</v>
      </c>
      <c r="G11" s="55" t="s">
        <v>44</v>
      </c>
      <c r="H11" s="55" t="s">
        <v>43</v>
      </c>
      <c r="I11" s="55" t="s">
        <v>43</v>
      </c>
      <c r="J11" s="55" t="s">
        <v>44</v>
      </c>
      <c r="K11" s="55" t="s">
        <v>43</v>
      </c>
      <c r="L11" s="56" t="s">
        <v>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C000"/>
  </sheetPr>
  <dimension ref="A1:I9"/>
  <sheetViews>
    <sheetView workbookViewId="0">
      <selection activeCell="B2" sqref="B2"/>
    </sheetView>
  </sheetViews>
  <sheetFormatPr defaultColWidth="11.42578125" defaultRowHeight="15" x14ac:dyDescent="0.25"/>
  <cols>
    <col min="1" max="1" width="12.42578125" style="42" bestFit="1" customWidth="1"/>
    <col min="2" max="2" width="9.140625" style="42" bestFit="1" customWidth="1"/>
    <col min="3" max="3" width="10.28515625" style="42" bestFit="1" customWidth="1"/>
    <col min="4" max="4" width="7.7109375" style="42" bestFit="1" customWidth="1"/>
    <col min="5" max="5" width="8.140625" style="42" bestFit="1" customWidth="1"/>
    <col min="6" max="6" width="7" style="42" bestFit="1" customWidth="1"/>
  </cols>
  <sheetData>
    <row r="1" spans="1:9" ht="15.75" customHeight="1" x14ac:dyDescent="0.25">
      <c r="A1" t="s">
        <v>70</v>
      </c>
      <c r="B1" s="57" t="s">
        <v>4</v>
      </c>
      <c r="C1" s="62" t="s">
        <v>7</v>
      </c>
      <c r="D1" s="57" t="s">
        <v>38</v>
      </c>
      <c r="E1" s="58" t="s">
        <v>39</v>
      </c>
      <c r="F1" s="58" t="s">
        <v>40</v>
      </c>
      <c r="G1" s="58" t="s">
        <v>41</v>
      </c>
      <c r="H1" s="59" t="s">
        <v>42</v>
      </c>
      <c r="I1" s="58" t="s">
        <v>5</v>
      </c>
    </row>
    <row r="2" spans="1:9" ht="15.75" customHeight="1" x14ac:dyDescent="0.25">
      <c r="A2" s="57" t="s">
        <v>4</v>
      </c>
      <c r="B2" s="86">
        <v>1</v>
      </c>
      <c r="C2" s="86">
        <v>0.8</v>
      </c>
      <c r="D2" s="86">
        <v>0.5</v>
      </c>
      <c r="E2" s="86">
        <v>0.4</v>
      </c>
      <c r="F2" s="86">
        <v>0.4</v>
      </c>
      <c r="G2" s="86">
        <v>0.4</v>
      </c>
      <c r="H2" s="88">
        <v>0.5</v>
      </c>
      <c r="I2" s="86">
        <v>0.4</v>
      </c>
    </row>
    <row r="3" spans="1:9" ht="15.75" customHeight="1" x14ac:dyDescent="0.25">
      <c r="A3" s="60" t="s">
        <v>7</v>
      </c>
      <c r="B3" s="86">
        <v>0.8</v>
      </c>
      <c r="C3" s="87">
        <v>1</v>
      </c>
      <c r="D3" s="87">
        <v>1</v>
      </c>
      <c r="E3" s="86">
        <v>0.4</v>
      </c>
      <c r="F3" s="86">
        <v>0.4</v>
      </c>
      <c r="G3" s="86">
        <v>0.4</v>
      </c>
      <c r="H3" s="86">
        <v>0.75</v>
      </c>
      <c r="I3" s="86">
        <v>0.4</v>
      </c>
    </row>
    <row r="4" spans="1:9" ht="15.75" customHeight="1" x14ac:dyDescent="0.25">
      <c r="A4" s="60" t="s">
        <v>38</v>
      </c>
      <c r="B4" s="86">
        <v>0.5</v>
      </c>
      <c r="C4" s="87">
        <v>1</v>
      </c>
      <c r="D4" s="86">
        <v>1</v>
      </c>
      <c r="E4" s="86">
        <v>0.4</v>
      </c>
      <c r="F4" s="86">
        <v>0.4</v>
      </c>
      <c r="G4" s="86">
        <v>0.4</v>
      </c>
      <c r="H4" s="86">
        <v>0.5</v>
      </c>
      <c r="I4" s="86">
        <v>0.4</v>
      </c>
    </row>
    <row r="5" spans="1:9" ht="15.75" customHeight="1" x14ac:dyDescent="0.25">
      <c r="A5" s="60" t="s">
        <v>39</v>
      </c>
      <c r="B5" s="86">
        <v>0.4</v>
      </c>
      <c r="C5" s="86">
        <v>0.4</v>
      </c>
      <c r="D5" s="86">
        <v>0.4</v>
      </c>
      <c r="E5" s="86">
        <v>1</v>
      </c>
      <c r="F5" s="86">
        <v>0.8</v>
      </c>
      <c r="G5" s="88">
        <v>0.9</v>
      </c>
      <c r="H5" s="86">
        <v>0.8</v>
      </c>
      <c r="I5" s="86">
        <v>0.4</v>
      </c>
    </row>
    <row r="6" spans="1:9" ht="15.75" customHeight="1" x14ac:dyDescent="0.25">
      <c r="A6" s="60" t="s">
        <v>40</v>
      </c>
      <c r="B6" s="86">
        <v>0.4</v>
      </c>
      <c r="C6" s="86">
        <v>0.4</v>
      </c>
      <c r="D6" s="86">
        <v>0.4</v>
      </c>
      <c r="E6" s="86">
        <v>0.8</v>
      </c>
      <c r="F6" s="86">
        <v>1</v>
      </c>
      <c r="G6" s="88">
        <v>1</v>
      </c>
      <c r="H6" s="86">
        <v>0.8</v>
      </c>
      <c r="I6" s="86">
        <v>0.4</v>
      </c>
    </row>
    <row r="7" spans="1:9" ht="15.75" customHeight="1" x14ac:dyDescent="0.25">
      <c r="A7" s="60" t="s">
        <v>41</v>
      </c>
      <c r="B7" s="86">
        <v>0.4</v>
      </c>
      <c r="C7" s="86">
        <v>0.4</v>
      </c>
      <c r="D7" s="86">
        <v>0.4</v>
      </c>
      <c r="E7" s="88">
        <v>0.9</v>
      </c>
      <c r="F7" s="88">
        <v>1</v>
      </c>
      <c r="G7" s="89">
        <v>1</v>
      </c>
      <c r="H7" s="86">
        <v>0.75</v>
      </c>
      <c r="I7" s="86">
        <v>0.4</v>
      </c>
    </row>
    <row r="8" spans="1:9" ht="15.75" customHeight="1" x14ac:dyDescent="0.25">
      <c r="A8" s="61" t="s">
        <v>42</v>
      </c>
      <c r="B8" s="88">
        <v>0.5</v>
      </c>
      <c r="C8" s="86">
        <v>0.75</v>
      </c>
      <c r="D8" s="86">
        <v>0.5</v>
      </c>
      <c r="E8" s="86">
        <v>0.8</v>
      </c>
      <c r="F8" s="86">
        <v>0.8</v>
      </c>
      <c r="G8" s="86">
        <v>0.75</v>
      </c>
      <c r="H8" s="86">
        <v>1</v>
      </c>
      <c r="I8" s="86">
        <v>0.4</v>
      </c>
    </row>
    <row r="9" spans="1:9" ht="15.75" customHeight="1" x14ac:dyDescent="0.25">
      <c r="A9" s="60" t="s">
        <v>5</v>
      </c>
      <c r="B9" s="86">
        <v>0.4</v>
      </c>
      <c r="C9" s="86">
        <v>0.4</v>
      </c>
      <c r="D9" s="86">
        <v>0.4</v>
      </c>
      <c r="E9" s="86">
        <v>0.4</v>
      </c>
      <c r="F9" s="86">
        <v>0.4</v>
      </c>
      <c r="G9" s="86">
        <v>0.4</v>
      </c>
      <c r="H9" s="86">
        <v>0.4</v>
      </c>
      <c r="I9" s="9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0000"/>
  </sheetPr>
  <dimension ref="A1:L11"/>
  <sheetViews>
    <sheetView workbookViewId="0">
      <selection activeCell="G16" sqref="G16"/>
    </sheetView>
  </sheetViews>
  <sheetFormatPr defaultColWidth="11.42578125" defaultRowHeight="15" x14ac:dyDescent="0.25"/>
  <cols>
    <col min="1" max="1" width="8.85546875" style="42" bestFit="1" customWidth="1"/>
    <col min="2" max="2" width="7.85546875" style="42" bestFit="1" customWidth="1"/>
    <col min="3" max="3" width="4.42578125" style="42" bestFit="1" customWidth="1"/>
    <col min="4" max="4" width="4.28515625" style="42" bestFit="1" customWidth="1"/>
    <col min="5" max="5" width="3" style="42" bestFit="1" customWidth="1"/>
    <col min="6" max="6" width="6" style="42" bestFit="1" customWidth="1"/>
    <col min="7" max="7" width="3.42578125" style="42" bestFit="1" customWidth="1"/>
    <col min="8" max="8" width="7.5703125" style="42" bestFit="1" customWidth="1"/>
    <col min="9" max="9" width="6.5703125" style="42" bestFit="1" customWidth="1"/>
    <col min="10" max="10" width="7.85546875" style="42" bestFit="1" customWidth="1"/>
    <col min="11" max="11" width="5.7109375" style="42" bestFit="1" customWidth="1"/>
    <col min="12" max="12" width="5.42578125" style="42" bestFit="1" customWidth="1"/>
  </cols>
  <sheetData>
    <row r="1" spans="1:12" x14ac:dyDescent="0.25">
      <c r="A1" s="58" t="s">
        <v>12</v>
      </c>
      <c r="B1" s="58" t="s">
        <v>13</v>
      </c>
      <c r="C1" s="58" t="s">
        <v>15</v>
      </c>
      <c r="D1" s="58" t="s">
        <v>16</v>
      </c>
      <c r="E1" s="58" t="s">
        <v>17</v>
      </c>
      <c r="F1" s="58" t="s">
        <v>18</v>
      </c>
      <c r="G1" s="58" t="s">
        <v>19</v>
      </c>
      <c r="H1" s="58" t="s">
        <v>21</v>
      </c>
      <c r="I1" s="58" t="s">
        <v>22</v>
      </c>
      <c r="J1" s="58" t="s">
        <v>23</v>
      </c>
      <c r="K1" s="58" t="s">
        <v>24</v>
      </c>
      <c r="L1" s="58" t="s">
        <v>25</v>
      </c>
    </row>
    <row r="2" spans="1:12" x14ac:dyDescent="0.25">
      <c r="A2" s="76" t="s">
        <v>14</v>
      </c>
      <c r="B2" s="76" t="s">
        <v>15</v>
      </c>
      <c r="C2" s="76">
        <v>0</v>
      </c>
      <c r="D2" s="76">
        <v>7</v>
      </c>
      <c r="E2" s="76">
        <v>2</v>
      </c>
      <c r="F2" s="76">
        <v>9</v>
      </c>
      <c r="G2" s="76">
        <v>6</v>
      </c>
      <c r="H2" s="76">
        <v>0</v>
      </c>
      <c r="I2" s="76">
        <v>3</v>
      </c>
      <c r="J2" s="76">
        <v>5</v>
      </c>
      <c r="K2" s="76">
        <v>4</v>
      </c>
      <c r="L2" s="76">
        <v>6</v>
      </c>
    </row>
    <row r="3" spans="1:12" x14ac:dyDescent="0.25">
      <c r="A3" s="78" t="s">
        <v>14</v>
      </c>
      <c r="B3" s="78" t="s">
        <v>16</v>
      </c>
      <c r="C3" s="78">
        <v>7</v>
      </c>
      <c r="D3" s="78">
        <v>0</v>
      </c>
      <c r="E3" s="78">
        <v>5</v>
      </c>
      <c r="F3" s="78">
        <v>6</v>
      </c>
      <c r="G3" s="78">
        <v>2</v>
      </c>
      <c r="H3" s="78">
        <v>4</v>
      </c>
      <c r="I3" s="78">
        <v>1</v>
      </c>
      <c r="J3" s="78">
        <v>8</v>
      </c>
      <c r="K3" s="78">
        <v>7</v>
      </c>
      <c r="L3" s="78">
        <v>1</v>
      </c>
    </row>
    <row r="4" spans="1:12" x14ac:dyDescent="0.25">
      <c r="A4" s="76" t="s">
        <v>14</v>
      </c>
      <c r="B4" s="76" t="s">
        <v>17</v>
      </c>
      <c r="C4" s="76">
        <v>2</v>
      </c>
      <c r="D4" s="76">
        <v>5</v>
      </c>
      <c r="E4" s="76">
        <v>0</v>
      </c>
      <c r="F4" s="76">
        <v>9</v>
      </c>
      <c r="G4" s="76">
        <v>4</v>
      </c>
      <c r="H4" s="76">
        <v>6</v>
      </c>
      <c r="I4" s="76">
        <v>3</v>
      </c>
      <c r="J4" s="76">
        <v>6</v>
      </c>
      <c r="K4" s="76">
        <v>6</v>
      </c>
      <c r="L4" s="76">
        <v>7</v>
      </c>
    </row>
    <row r="5" spans="1:12" x14ac:dyDescent="0.25">
      <c r="A5" s="78" t="s">
        <v>14</v>
      </c>
      <c r="B5" s="78" t="s">
        <v>18</v>
      </c>
      <c r="C5" s="78">
        <v>9</v>
      </c>
      <c r="D5" s="78">
        <v>6</v>
      </c>
      <c r="E5" s="78">
        <v>9</v>
      </c>
      <c r="F5" s="78">
        <v>0</v>
      </c>
      <c r="G5" s="78">
        <v>8</v>
      </c>
      <c r="H5" s="78">
        <v>7</v>
      </c>
      <c r="I5" s="78">
        <v>9</v>
      </c>
      <c r="J5" s="78">
        <v>3</v>
      </c>
      <c r="K5" s="78">
        <v>7</v>
      </c>
      <c r="L5" s="78">
        <v>6</v>
      </c>
    </row>
    <row r="6" spans="1:12" x14ac:dyDescent="0.25">
      <c r="A6" s="80" t="s">
        <v>14</v>
      </c>
      <c r="B6" s="80" t="s">
        <v>19</v>
      </c>
      <c r="C6" s="80">
        <v>6</v>
      </c>
      <c r="D6" s="80">
        <v>2</v>
      </c>
      <c r="E6" s="80">
        <v>4</v>
      </c>
      <c r="F6" s="80">
        <v>8</v>
      </c>
      <c r="G6" s="80">
        <v>0</v>
      </c>
      <c r="H6" s="80">
        <v>9</v>
      </c>
      <c r="I6" s="80">
        <v>7</v>
      </c>
      <c r="J6" s="80">
        <v>3</v>
      </c>
      <c r="K6" s="80">
        <v>8</v>
      </c>
      <c r="L6" s="80">
        <v>6</v>
      </c>
    </row>
    <row r="7" spans="1:12" x14ac:dyDescent="0.25">
      <c r="A7" s="82" t="s">
        <v>20</v>
      </c>
      <c r="B7" s="82" t="s">
        <v>21</v>
      </c>
      <c r="C7" s="82">
        <v>0</v>
      </c>
      <c r="D7" s="82">
        <v>4</v>
      </c>
      <c r="E7" s="82">
        <v>6</v>
      </c>
      <c r="F7" s="82">
        <v>7</v>
      </c>
      <c r="G7" s="82">
        <v>9</v>
      </c>
      <c r="H7" s="82">
        <v>0</v>
      </c>
      <c r="I7" s="82">
        <v>2</v>
      </c>
      <c r="J7" s="82">
        <v>1</v>
      </c>
      <c r="K7" s="82">
        <v>6</v>
      </c>
      <c r="L7" s="82">
        <v>5</v>
      </c>
    </row>
    <row r="8" spans="1:12" x14ac:dyDescent="0.25">
      <c r="A8" s="84" t="s">
        <v>20</v>
      </c>
      <c r="B8" s="84" t="s">
        <v>22</v>
      </c>
      <c r="C8" s="84">
        <v>3</v>
      </c>
      <c r="D8" s="84">
        <v>1</v>
      </c>
      <c r="E8" s="84">
        <v>3</v>
      </c>
      <c r="F8" s="84">
        <v>9</v>
      </c>
      <c r="G8" s="84">
        <v>7</v>
      </c>
      <c r="H8" s="84">
        <v>2</v>
      </c>
      <c r="I8" s="84">
        <v>0</v>
      </c>
      <c r="J8" s="84">
        <v>8</v>
      </c>
      <c r="K8" s="84">
        <v>4</v>
      </c>
      <c r="L8" s="84">
        <v>6</v>
      </c>
    </row>
    <row r="9" spans="1:12" x14ac:dyDescent="0.25">
      <c r="A9" s="82" t="s">
        <v>20</v>
      </c>
      <c r="B9" s="82" t="s">
        <v>23</v>
      </c>
      <c r="C9" s="82">
        <v>5</v>
      </c>
      <c r="D9" s="82">
        <v>8</v>
      </c>
      <c r="E9" s="82">
        <v>6</v>
      </c>
      <c r="F9" s="82">
        <v>3</v>
      </c>
      <c r="G9" s="82">
        <v>3</v>
      </c>
      <c r="H9" s="82">
        <v>1</v>
      </c>
      <c r="I9" s="82">
        <v>8</v>
      </c>
      <c r="J9" s="82">
        <v>0</v>
      </c>
      <c r="K9" s="82">
        <v>7</v>
      </c>
      <c r="L9" s="82">
        <v>5</v>
      </c>
    </row>
    <row r="10" spans="1:12" x14ac:dyDescent="0.25">
      <c r="A10" s="84" t="s">
        <v>20</v>
      </c>
      <c r="B10" s="84" t="s">
        <v>24</v>
      </c>
      <c r="C10" s="84">
        <v>4</v>
      </c>
      <c r="D10" s="84">
        <v>7</v>
      </c>
      <c r="E10" s="84">
        <v>6</v>
      </c>
      <c r="F10" s="84">
        <v>7</v>
      </c>
      <c r="G10" s="84">
        <v>8</v>
      </c>
      <c r="H10" s="84">
        <v>6</v>
      </c>
      <c r="I10" s="84">
        <v>4</v>
      </c>
      <c r="J10" s="84">
        <v>7</v>
      </c>
      <c r="K10" s="84">
        <v>0</v>
      </c>
      <c r="L10" s="84">
        <v>0</v>
      </c>
    </row>
    <row r="11" spans="1:12" x14ac:dyDescent="0.25">
      <c r="A11" s="82" t="s">
        <v>20</v>
      </c>
      <c r="B11" s="82" t="s">
        <v>25</v>
      </c>
      <c r="C11" s="82">
        <v>6</v>
      </c>
      <c r="D11" s="82">
        <v>1</v>
      </c>
      <c r="E11" s="82">
        <v>7</v>
      </c>
      <c r="F11" s="82">
        <v>6</v>
      </c>
      <c r="G11" s="82">
        <v>6</v>
      </c>
      <c r="H11" s="82">
        <v>5</v>
      </c>
      <c r="I11" s="82">
        <v>6</v>
      </c>
      <c r="J11" s="82">
        <v>5</v>
      </c>
      <c r="K11" s="82">
        <v>0</v>
      </c>
      <c r="L11" s="8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0000"/>
  </sheetPr>
  <dimension ref="A1:J11"/>
  <sheetViews>
    <sheetView workbookViewId="0">
      <selection activeCell="D3" sqref="D3"/>
    </sheetView>
  </sheetViews>
  <sheetFormatPr defaultColWidth="11.42578125" defaultRowHeight="15" x14ac:dyDescent="0.25"/>
  <sheetData>
    <row r="1" spans="1:10" x14ac:dyDescent="0.25">
      <c r="A1" s="57" t="s">
        <v>12</v>
      </c>
      <c r="B1" s="62" t="s">
        <v>13</v>
      </c>
      <c r="C1" s="57" t="s">
        <v>4</v>
      </c>
      <c r="D1" s="62" t="s">
        <v>7</v>
      </c>
      <c r="E1" s="57" t="s">
        <v>38</v>
      </c>
      <c r="F1" s="58" t="s">
        <v>39</v>
      </c>
      <c r="G1" s="58" t="s">
        <v>40</v>
      </c>
      <c r="H1" s="58" t="s">
        <v>41</v>
      </c>
      <c r="I1" s="59" t="s">
        <v>42</v>
      </c>
      <c r="J1" s="58" t="s">
        <v>5</v>
      </c>
    </row>
    <row r="2" spans="1:10" x14ac:dyDescent="0.25">
      <c r="A2" s="75" t="s">
        <v>14</v>
      </c>
      <c r="B2" s="76" t="s">
        <v>15</v>
      </c>
      <c r="C2" s="75" t="str">
        <f>[1]Sheet5!C2</f>
        <v>Y</v>
      </c>
      <c r="D2" s="75" t="str">
        <f>[1]Sheet5!D2</f>
        <v>Y</v>
      </c>
      <c r="E2" s="75" t="str">
        <f>[1]Sheet5!E2</f>
        <v>N</v>
      </c>
      <c r="F2" s="75" t="str">
        <f>[1]Sheet5!F2</f>
        <v>N</v>
      </c>
      <c r="G2" s="75" t="str">
        <f>[1]Sheet5!G2</f>
        <v>N</v>
      </c>
      <c r="H2" s="75" t="str">
        <f>[1]Sheet5!H2</f>
        <v>Y</v>
      </c>
      <c r="I2" s="75" t="str">
        <f>[1]Sheet5!I2</f>
        <v>N</v>
      </c>
      <c r="J2" s="75" t="str">
        <f>[1]Sheet5!J2</f>
        <v>Y</v>
      </c>
    </row>
    <row r="3" spans="1:10" x14ac:dyDescent="0.25">
      <c r="A3" s="77" t="s">
        <v>14</v>
      </c>
      <c r="B3" s="78" t="s">
        <v>16</v>
      </c>
      <c r="C3" s="75" t="str">
        <f>[1]Sheet5!C3</f>
        <v>Y</v>
      </c>
      <c r="D3" s="75" t="str">
        <f>[1]Sheet5!D3</f>
        <v>Y</v>
      </c>
      <c r="E3" s="75" t="str">
        <f>[1]Sheet5!E3</f>
        <v>N</v>
      </c>
      <c r="F3" s="75" t="str">
        <f>[1]Sheet5!F3</f>
        <v>N</v>
      </c>
      <c r="G3" s="75" t="str">
        <f>[1]Sheet5!G3</f>
        <v>N</v>
      </c>
      <c r="H3" s="75" t="str">
        <f>[1]Sheet5!H3</f>
        <v>N</v>
      </c>
      <c r="I3" s="75" t="str">
        <f>[1]Sheet5!I3</f>
        <v>N</v>
      </c>
      <c r="J3" s="75" t="str">
        <f>[1]Sheet5!J3</f>
        <v>N</v>
      </c>
    </row>
    <row r="4" spans="1:10" x14ac:dyDescent="0.25">
      <c r="A4" s="75" t="s">
        <v>14</v>
      </c>
      <c r="B4" s="76" t="s">
        <v>17</v>
      </c>
      <c r="C4" s="75" t="str">
        <f>[1]Sheet5!C4</f>
        <v>N</v>
      </c>
      <c r="D4" s="75" t="str">
        <f>[1]Sheet5!D4</f>
        <v>Y</v>
      </c>
      <c r="E4" s="75" t="str">
        <f>[1]Sheet5!E4</f>
        <v>N</v>
      </c>
      <c r="F4" s="75" t="str">
        <f>[1]Sheet5!F4</f>
        <v>N</v>
      </c>
      <c r="G4" s="75" t="str">
        <f>[1]Sheet5!G4</f>
        <v>N</v>
      </c>
      <c r="H4" s="75" t="str">
        <f>[1]Sheet5!H4</f>
        <v>Y</v>
      </c>
      <c r="I4" s="75" t="str">
        <f>[1]Sheet5!I4</f>
        <v>N</v>
      </c>
      <c r="J4" s="75" t="str">
        <f>[1]Sheet5!J4</f>
        <v>Y</v>
      </c>
    </row>
    <row r="5" spans="1:10" x14ac:dyDescent="0.25">
      <c r="A5" s="77" t="s">
        <v>14</v>
      </c>
      <c r="B5" s="78" t="s">
        <v>18</v>
      </c>
      <c r="C5" s="75" t="str">
        <f>[1]Sheet5!C5</f>
        <v>N</v>
      </c>
      <c r="D5" s="75" t="str">
        <f>[1]Sheet5!D5</f>
        <v>N</v>
      </c>
      <c r="E5" s="75" t="str">
        <f>[1]Sheet5!E5</f>
        <v>N</v>
      </c>
      <c r="F5" s="75" t="str">
        <f>[1]Sheet5!F5</f>
        <v>Y</v>
      </c>
      <c r="G5" s="75" t="str">
        <f>[1]Sheet5!G5</f>
        <v>N</v>
      </c>
      <c r="H5" s="75" t="str">
        <f>[1]Sheet5!H5</f>
        <v>Y</v>
      </c>
      <c r="I5" s="75" t="str">
        <f>[1]Sheet5!I5</f>
        <v>N</v>
      </c>
      <c r="J5" s="75" t="str">
        <f>[1]Sheet5!J5</f>
        <v>Y</v>
      </c>
    </row>
    <row r="6" spans="1:10" x14ac:dyDescent="0.25">
      <c r="A6" s="79" t="s">
        <v>14</v>
      </c>
      <c r="B6" s="80" t="s">
        <v>19</v>
      </c>
      <c r="C6" s="75" t="str">
        <f>[1]Sheet5!C6</f>
        <v>Y</v>
      </c>
      <c r="D6" s="75" t="str">
        <f>[1]Sheet5!D6</f>
        <v>N</v>
      </c>
      <c r="E6" s="75" t="str">
        <f>[1]Sheet5!E6</f>
        <v>N</v>
      </c>
      <c r="F6" s="75" t="str">
        <f>[1]Sheet5!F6</f>
        <v>Y</v>
      </c>
      <c r="G6" s="75" t="str">
        <f>[1]Sheet5!G6</f>
        <v>N</v>
      </c>
      <c r="H6" s="75" t="str">
        <f>[1]Sheet5!H6</f>
        <v>Y</v>
      </c>
      <c r="I6" s="75" t="str">
        <f>[1]Sheet5!I6</f>
        <v>Y</v>
      </c>
      <c r="J6" s="75" t="str">
        <f>[1]Sheet5!J6</f>
        <v>Y</v>
      </c>
    </row>
    <row r="7" spans="1:10" x14ac:dyDescent="0.25">
      <c r="A7" s="81" t="s">
        <v>20</v>
      </c>
      <c r="B7" s="82" t="s">
        <v>21</v>
      </c>
      <c r="C7" s="75" t="str">
        <f>[1]Sheet5!C7</f>
        <v>N</v>
      </c>
      <c r="D7" s="75" t="str">
        <f>[1]Sheet5!D7</f>
        <v>Y</v>
      </c>
      <c r="E7" s="75" t="str">
        <f>[1]Sheet5!E7</f>
        <v>N</v>
      </c>
      <c r="F7" s="75" t="str">
        <f>[1]Sheet5!F7</f>
        <v>Y</v>
      </c>
      <c r="G7" s="75" t="str">
        <f>[1]Sheet5!G7</f>
        <v>Y</v>
      </c>
      <c r="H7" s="75" t="str">
        <f>[1]Sheet5!H7</f>
        <v>Y</v>
      </c>
      <c r="I7" s="75" t="str">
        <f>[1]Sheet5!I7</f>
        <v>Y</v>
      </c>
      <c r="J7" s="75" t="str">
        <f>[1]Sheet5!J7</f>
        <v>N</v>
      </c>
    </row>
    <row r="8" spans="1:10" x14ac:dyDescent="0.25">
      <c r="A8" s="83" t="s">
        <v>20</v>
      </c>
      <c r="B8" s="84" t="s">
        <v>22</v>
      </c>
      <c r="C8" s="75" t="str">
        <f>[1]Sheet5!C8</f>
        <v>Y</v>
      </c>
      <c r="D8" s="75" t="str">
        <f>[1]Sheet5!D8</f>
        <v>Y</v>
      </c>
      <c r="E8" s="75" t="str">
        <f>[1]Sheet5!E8</f>
        <v>N</v>
      </c>
      <c r="F8" s="75" t="str">
        <f>[1]Sheet5!F8</f>
        <v>Y</v>
      </c>
      <c r="G8" s="75" t="str">
        <f>[1]Sheet5!G8</f>
        <v>Y</v>
      </c>
      <c r="H8" s="75" t="str">
        <f>[1]Sheet5!H8</f>
        <v>N</v>
      </c>
      <c r="I8" s="75" t="str">
        <f>[1]Sheet5!I8</f>
        <v>N</v>
      </c>
      <c r="J8" s="75" t="str">
        <f>[1]Sheet5!J8</f>
        <v>N</v>
      </c>
    </row>
    <row r="9" spans="1:10" x14ac:dyDescent="0.25">
      <c r="A9" s="81" t="s">
        <v>20</v>
      </c>
      <c r="B9" s="82" t="s">
        <v>23</v>
      </c>
      <c r="C9" s="75" t="str">
        <f>[1]Sheet5!C9</f>
        <v>N</v>
      </c>
      <c r="D9" s="75" t="str">
        <f>[1]Sheet5!D9</f>
        <v>Y</v>
      </c>
      <c r="E9" s="75" t="str">
        <f>[1]Sheet5!E9</f>
        <v>N</v>
      </c>
      <c r="F9" s="75" t="str">
        <f>[1]Sheet5!F9</f>
        <v>N</v>
      </c>
      <c r="G9" s="75" t="str">
        <f>[1]Sheet5!G9</f>
        <v>N</v>
      </c>
      <c r="H9" s="75" t="str">
        <f>[1]Sheet5!H9</f>
        <v>N</v>
      </c>
      <c r="I9" s="75" t="str">
        <f>[1]Sheet5!I9</f>
        <v>Y</v>
      </c>
      <c r="J9" s="75" t="str">
        <f>[1]Sheet5!J9</f>
        <v>N</v>
      </c>
    </row>
    <row r="10" spans="1:10" x14ac:dyDescent="0.25">
      <c r="A10" s="83" t="s">
        <v>20</v>
      </c>
      <c r="B10" s="84" t="s">
        <v>24</v>
      </c>
      <c r="C10" s="75" t="str">
        <f>[1]Sheet5!C10</f>
        <v>N</v>
      </c>
      <c r="D10" s="75" t="str">
        <f>[1]Sheet5!D10</f>
        <v>N</v>
      </c>
      <c r="E10" s="75" t="str">
        <f>[1]Sheet5!E10</f>
        <v>N</v>
      </c>
      <c r="F10" s="75" t="str">
        <f>[1]Sheet5!F10</f>
        <v>Y</v>
      </c>
      <c r="G10" s="75" t="str">
        <f>[1]Sheet5!G10</f>
        <v>N</v>
      </c>
      <c r="H10" s="75" t="str">
        <f>[1]Sheet5!H10</f>
        <v>N</v>
      </c>
      <c r="I10" s="75" t="str">
        <f>[1]Sheet5!I10</f>
        <v>N</v>
      </c>
      <c r="J10" s="75" t="str">
        <f>[1]Sheet5!J10</f>
        <v>N</v>
      </c>
    </row>
    <row r="11" spans="1:10" x14ac:dyDescent="0.25">
      <c r="A11" s="81" t="s">
        <v>20</v>
      </c>
      <c r="B11" s="82" t="s">
        <v>25</v>
      </c>
      <c r="C11" s="75" t="str">
        <f>[1]Sheet5!C11</f>
        <v>Y</v>
      </c>
      <c r="D11" s="75" t="str">
        <f>[1]Sheet5!D11</f>
        <v>Y</v>
      </c>
      <c r="E11" s="75" t="str">
        <f>[1]Sheet5!E11</f>
        <v>N</v>
      </c>
      <c r="F11" s="75" t="str">
        <f>[1]Sheet5!F11</f>
        <v>N</v>
      </c>
      <c r="G11" s="75" t="str">
        <f>[1]Sheet5!G11</f>
        <v>Y</v>
      </c>
      <c r="H11" s="75" t="str">
        <f>[1]Sheet5!H11</f>
        <v>N</v>
      </c>
      <c r="I11" s="75" t="str">
        <f>[1]Sheet5!I11</f>
        <v>N</v>
      </c>
      <c r="J11" s="75" t="str">
        <f>[1]Sheet5!J11</f>
        <v>N</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0000"/>
  </sheetPr>
  <dimension ref="A1:J11"/>
  <sheetViews>
    <sheetView workbookViewId="0">
      <selection activeCell="G19" sqref="G19"/>
    </sheetView>
  </sheetViews>
  <sheetFormatPr defaultColWidth="11.42578125" defaultRowHeight="15" x14ac:dyDescent="0.25"/>
  <sheetData>
    <row r="1" spans="1:10" x14ac:dyDescent="0.25">
      <c r="A1" s="57" t="s">
        <v>12</v>
      </c>
      <c r="B1" s="62" t="s">
        <v>13</v>
      </c>
      <c r="C1" s="57" t="s">
        <v>4</v>
      </c>
      <c r="D1" s="58" t="s">
        <v>7</v>
      </c>
      <c r="E1" s="58" t="s">
        <v>38</v>
      </c>
      <c r="F1" s="58" t="s">
        <v>39</v>
      </c>
      <c r="G1" s="59" t="s">
        <v>40</v>
      </c>
      <c r="H1" s="58" t="s">
        <v>41</v>
      </c>
      <c r="I1" s="57" t="s">
        <v>42</v>
      </c>
      <c r="J1" s="62" t="s">
        <v>5</v>
      </c>
    </row>
    <row r="2" spans="1:10" x14ac:dyDescent="0.25">
      <c r="A2" s="65" t="s">
        <v>14</v>
      </c>
      <c r="B2" s="66" t="s">
        <v>15</v>
      </c>
      <c r="C2" s="66">
        <f>[1]Sheet4!C2</f>
        <v>0</v>
      </c>
      <c r="D2" s="66" t="str">
        <f>[1]Sheet4!D2</f>
        <v/>
      </c>
      <c r="E2" s="66">
        <f>[1]Sheet4!E2</f>
        <v>0</v>
      </c>
      <c r="F2" s="66">
        <f>[1]Sheet4!F2</f>
        <v>0</v>
      </c>
      <c r="G2" s="66">
        <f>[1]Sheet4!G2</f>
        <v>0</v>
      </c>
      <c r="H2" s="66">
        <f>[1]Sheet4!H2</f>
        <v>0</v>
      </c>
      <c r="I2" s="66" t="str">
        <f>[1]Sheet4!I2</f>
        <v/>
      </c>
      <c r="J2" s="66">
        <f>[1]Sheet4!J2</f>
        <v>0</v>
      </c>
    </row>
    <row r="3" spans="1:10" x14ac:dyDescent="0.25">
      <c r="A3" s="67" t="s">
        <v>14</v>
      </c>
      <c r="B3" s="68" t="s">
        <v>16</v>
      </c>
      <c r="C3" s="66">
        <f>[1]Sheet4!C3</f>
        <v>0</v>
      </c>
      <c r="D3" s="66" t="str">
        <f>[1]Sheet4!D3</f>
        <v/>
      </c>
      <c r="E3" s="66">
        <f>[1]Sheet4!E3</f>
        <v>0</v>
      </c>
      <c r="F3" s="66">
        <f>[1]Sheet4!F3</f>
        <v>0</v>
      </c>
      <c r="G3" s="66">
        <f>[1]Sheet4!G3</f>
        <v>0</v>
      </c>
      <c r="H3" s="66">
        <f>[1]Sheet4!H3</f>
        <v>0</v>
      </c>
      <c r="I3" s="66" t="str">
        <f>[1]Sheet4!I3</f>
        <v/>
      </c>
      <c r="J3" s="66">
        <f>[1]Sheet4!J3</f>
        <v>125</v>
      </c>
    </row>
    <row r="4" spans="1:10" x14ac:dyDescent="0.25">
      <c r="A4" s="65" t="s">
        <v>14</v>
      </c>
      <c r="B4" s="66" t="s">
        <v>17</v>
      </c>
      <c r="C4" s="66" t="str">
        <f>[1]Sheet4!C4</f>
        <v/>
      </c>
      <c r="D4" s="66" t="str">
        <f>[1]Sheet4!D4</f>
        <v/>
      </c>
      <c r="E4" s="66">
        <f>[1]Sheet4!E4</f>
        <v>0</v>
      </c>
      <c r="F4" s="66">
        <f>[1]Sheet4!F4</f>
        <v>0</v>
      </c>
      <c r="G4" s="66">
        <f>[1]Sheet4!G4</f>
        <v>0</v>
      </c>
      <c r="H4" s="66">
        <f>[1]Sheet4!H4</f>
        <v>0</v>
      </c>
      <c r="I4" s="66" t="str">
        <f>[1]Sheet4!I4</f>
        <v/>
      </c>
      <c r="J4" s="66" t="str">
        <f>[1]Sheet4!J4</f>
        <v/>
      </c>
    </row>
    <row r="5" spans="1:10" x14ac:dyDescent="0.25">
      <c r="A5" s="67" t="s">
        <v>14</v>
      </c>
      <c r="B5" s="68" t="s">
        <v>18</v>
      </c>
      <c r="C5" s="66">
        <f>[1]Sheet4!C5</f>
        <v>0</v>
      </c>
      <c r="D5" s="66" t="str">
        <f>[1]Sheet4!D5</f>
        <v/>
      </c>
      <c r="E5" s="66">
        <f>[1]Sheet4!E5</f>
        <v>0</v>
      </c>
      <c r="F5" s="66">
        <f>[1]Sheet4!F5</f>
        <v>0</v>
      </c>
      <c r="G5" s="66">
        <f>[1]Sheet4!G5</f>
        <v>0</v>
      </c>
      <c r="H5" s="66">
        <f>[1]Sheet4!H5</f>
        <v>0</v>
      </c>
      <c r="I5" s="66" t="str">
        <f>[1]Sheet4!I5</f>
        <v/>
      </c>
      <c r="J5" s="66" t="str">
        <f>[1]Sheet4!J5</f>
        <v/>
      </c>
    </row>
    <row r="6" spans="1:10" x14ac:dyDescent="0.25">
      <c r="A6" s="69" t="s">
        <v>14</v>
      </c>
      <c r="B6" s="70" t="s">
        <v>19</v>
      </c>
      <c r="C6" s="66">
        <f>[1]Sheet4!C6</f>
        <v>0</v>
      </c>
      <c r="D6" s="66" t="str">
        <f>[1]Sheet4!D6</f>
        <v/>
      </c>
      <c r="E6" s="66">
        <f>[1]Sheet4!E6</f>
        <v>0</v>
      </c>
      <c r="F6" s="66">
        <f>[1]Sheet4!F6</f>
        <v>0</v>
      </c>
      <c r="G6" s="66">
        <f>[1]Sheet4!G6</f>
        <v>0</v>
      </c>
      <c r="H6" s="66">
        <f>[1]Sheet4!H6</f>
        <v>0</v>
      </c>
      <c r="I6" s="66" t="str">
        <f>[1]Sheet4!I6</f>
        <v/>
      </c>
      <c r="J6" s="66" t="str">
        <f>[1]Sheet4!J6</f>
        <v/>
      </c>
    </row>
    <row r="7" spans="1:10" x14ac:dyDescent="0.25">
      <c r="A7" s="71" t="s">
        <v>20</v>
      </c>
      <c r="B7" s="72" t="s">
        <v>21</v>
      </c>
      <c r="C7" s="66">
        <f>[1]Sheet4!C7</f>
        <v>0</v>
      </c>
      <c r="D7" s="66" t="str">
        <f>[1]Sheet4!D7</f>
        <v/>
      </c>
      <c r="E7" s="66">
        <f>[1]Sheet4!E7</f>
        <v>0</v>
      </c>
      <c r="F7" s="66">
        <f>[1]Sheet4!F7</f>
        <v>0</v>
      </c>
      <c r="G7" s="66">
        <f>[1]Sheet4!G7</f>
        <v>0</v>
      </c>
      <c r="H7" s="66">
        <f>[1]Sheet4!H7</f>
        <v>0</v>
      </c>
      <c r="I7" s="66" t="str">
        <f>[1]Sheet4!I7</f>
        <v/>
      </c>
      <c r="J7" s="66">
        <f>[1]Sheet4!J7</f>
        <v>0</v>
      </c>
    </row>
    <row r="8" spans="1:10" x14ac:dyDescent="0.25">
      <c r="A8" s="73" t="s">
        <v>20</v>
      </c>
      <c r="B8" s="74" t="s">
        <v>22</v>
      </c>
      <c r="C8" s="66">
        <f>[1]Sheet4!C8</f>
        <v>0</v>
      </c>
      <c r="D8" s="66" t="str">
        <f>[1]Sheet4!D8</f>
        <v/>
      </c>
      <c r="E8" s="66">
        <f>[1]Sheet4!E8</f>
        <v>0</v>
      </c>
      <c r="F8" s="66">
        <f>[1]Sheet4!F8</f>
        <v>0</v>
      </c>
      <c r="G8" s="66">
        <f>[1]Sheet4!G8</f>
        <v>0</v>
      </c>
      <c r="H8" s="66">
        <f>[1]Sheet4!H8</f>
        <v>0</v>
      </c>
      <c r="I8" s="66" t="str">
        <f>[1]Sheet4!I8</f>
        <v/>
      </c>
      <c r="J8" s="66">
        <f>[1]Sheet4!J8</f>
        <v>125</v>
      </c>
    </row>
    <row r="9" spans="1:10" x14ac:dyDescent="0.25">
      <c r="A9" s="71" t="s">
        <v>20</v>
      </c>
      <c r="B9" s="72" t="s">
        <v>23</v>
      </c>
      <c r="C9" s="66">
        <f>[1]Sheet4!C9</f>
        <v>0</v>
      </c>
      <c r="D9" s="66" t="str">
        <f>[1]Sheet4!D9</f>
        <v/>
      </c>
      <c r="E9" s="66">
        <f>[1]Sheet4!E9</f>
        <v>0</v>
      </c>
      <c r="F9" s="66">
        <f>[1]Sheet4!F9</f>
        <v>0</v>
      </c>
      <c r="G9" s="66">
        <f>[1]Sheet4!G9</f>
        <v>0</v>
      </c>
      <c r="H9" s="66">
        <f>[1]Sheet4!H9</f>
        <v>0</v>
      </c>
      <c r="I9" s="66" t="str">
        <f>[1]Sheet4!I9</f>
        <v/>
      </c>
      <c r="J9" s="66" t="str">
        <f>[1]Sheet4!J9</f>
        <v/>
      </c>
    </row>
    <row r="10" spans="1:10" x14ac:dyDescent="0.25">
      <c r="A10" s="73" t="s">
        <v>20</v>
      </c>
      <c r="B10" s="74" t="s">
        <v>24</v>
      </c>
      <c r="C10" s="66">
        <f>[1]Sheet4!C10</f>
        <v>0</v>
      </c>
      <c r="D10" s="66" t="str">
        <f>[1]Sheet4!D10</f>
        <v/>
      </c>
      <c r="E10" s="66">
        <f>[1]Sheet4!E10</f>
        <v>0</v>
      </c>
      <c r="F10" s="66">
        <f>[1]Sheet4!F10</f>
        <v>0</v>
      </c>
      <c r="G10" s="66">
        <f>[1]Sheet4!G10</f>
        <v>0</v>
      </c>
      <c r="H10" s="66">
        <f>[1]Sheet4!H10</f>
        <v>0</v>
      </c>
      <c r="I10" s="66" t="str">
        <f>[1]Sheet4!I10</f>
        <v/>
      </c>
      <c r="J10" s="66" t="str">
        <f>[1]Sheet4!J10</f>
        <v/>
      </c>
    </row>
    <row r="11" spans="1:10" x14ac:dyDescent="0.25">
      <c r="A11" s="71" t="s">
        <v>20</v>
      </c>
      <c r="B11" s="72" t="s">
        <v>25</v>
      </c>
      <c r="C11" s="66">
        <f>[1]Sheet4!C11</f>
        <v>0</v>
      </c>
      <c r="D11" s="66" t="str">
        <f>[1]Sheet4!D11</f>
        <v/>
      </c>
      <c r="E11" s="66">
        <f>[1]Sheet4!E11</f>
        <v>0</v>
      </c>
      <c r="F11" s="66">
        <f>[1]Sheet4!F11</f>
        <v>0</v>
      </c>
      <c r="G11" s="66">
        <f>[1]Sheet4!G11</f>
        <v>0</v>
      </c>
      <c r="H11" s="66">
        <f>[1]Sheet4!H11</f>
        <v>0</v>
      </c>
      <c r="I11" s="66" t="str">
        <f>[1]Sheet4!I11</f>
        <v/>
      </c>
      <c r="J11" s="66" t="str">
        <f>[1]Sheet4!J11</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A1:J11"/>
  <sheetViews>
    <sheetView tabSelected="1" workbookViewId="0">
      <selection activeCell="I15" sqref="I15"/>
    </sheetView>
  </sheetViews>
  <sheetFormatPr defaultColWidth="11.42578125" defaultRowHeight="15" x14ac:dyDescent="0.25"/>
  <sheetData>
    <row r="1" spans="1:10" x14ac:dyDescent="0.25">
      <c r="A1" s="57" t="s">
        <v>12</v>
      </c>
      <c r="B1" s="62" t="s">
        <v>13</v>
      </c>
      <c r="C1" s="57" t="s">
        <v>4</v>
      </c>
      <c r="D1" s="58" t="s">
        <v>7</v>
      </c>
      <c r="E1" s="58" t="s">
        <v>38</v>
      </c>
      <c r="F1" s="58" t="s">
        <v>39</v>
      </c>
      <c r="G1" s="59" t="s">
        <v>40</v>
      </c>
      <c r="H1" s="58" t="s">
        <v>41</v>
      </c>
      <c r="I1" s="57" t="s">
        <v>42</v>
      </c>
      <c r="J1" s="62" t="s">
        <v>5</v>
      </c>
    </row>
    <row r="2" spans="1:10" x14ac:dyDescent="0.25">
      <c r="A2" s="65" t="s">
        <v>14</v>
      </c>
      <c r="B2" s="66" t="s">
        <v>15</v>
      </c>
      <c r="C2" s="66">
        <f>IF([1]Repl!C2=9999,"",[1]Repl!C2)</f>
        <v>13</v>
      </c>
      <c r="D2" s="66">
        <f>IF([1]Repl!D2=9999,"",[1]Repl!D2)</f>
        <v>0</v>
      </c>
      <c r="E2" s="66" t="str">
        <f>IF([1]Repl!E2=9999,"",[1]Repl!E2)</f>
        <v/>
      </c>
      <c r="F2" s="66" t="str">
        <f>IF([1]Repl!F2=9999,"",[1]Repl!F2)</f>
        <v/>
      </c>
      <c r="G2" s="66" t="str">
        <f>IF([1]Repl!G2=9999,"",[1]Repl!G2)</f>
        <v/>
      </c>
      <c r="H2" s="66">
        <f>IF([1]Repl!H2=9999,"",[1]Repl!H2)</f>
        <v>13</v>
      </c>
      <c r="I2" s="66">
        <f>IF([1]Repl!I2=9999,"",[1]Repl!I2)</f>
        <v>0</v>
      </c>
      <c r="J2" s="66">
        <f>IF([1]Repl!J2=9999,"",[1]Repl!J2)</f>
        <v>4</v>
      </c>
    </row>
    <row r="3" spans="1:10" x14ac:dyDescent="0.25">
      <c r="A3" s="67" t="s">
        <v>14</v>
      </c>
      <c r="B3" s="68" t="s">
        <v>16</v>
      </c>
      <c r="C3" s="66">
        <f>IF([1]Repl!C3=9999,"",[1]Repl!C3)</f>
        <v>13</v>
      </c>
      <c r="D3" s="66">
        <f>IF([1]Repl!D3=9999,"",[1]Repl!D3)</f>
        <v>0</v>
      </c>
      <c r="E3" s="66" t="str">
        <f>IF([1]Repl!E3=9999,"",[1]Repl!E3)</f>
        <v/>
      </c>
      <c r="F3" s="66" t="str">
        <f>IF([1]Repl!F3=9999,"",[1]Repl!F3)</f>
        <v/>
      </c>
      <c r="G3" s="66" t="str">
        <f>IF([1]Repl!G3=9999,"",[1]Repl!G3)</f>
        <v/>
      </c>
      <c r="H3" s="66">
        <f>IF([1]Repl!H3=9999,"",[1]Repl!H3)</f>
        <v>14</v>
      </c>
      <c r="I3" s="66">
        <f>IF([1]Repl!I3=9999,"",[1]Repl!I3)</f>
        <v>0</v>
      </c>
      <c r="J3" s="66" t="str">
        <f>IF([1]Repl!J3=9999,"",[1]Repl!J3)</f>
        <v/>
      </c>
    </row>
    <row r="4" spans="1:10" x14ac:dyDescent="0.25">
      <c r="A4" s="65" t="s">
        <v>14</v>
      </c>
      <c r="B4" s="66" t="s">
        <v>17</v>
      </c>
      <c r="C4" s="66" t="str">
        <f>IF([1]Repl!C4=9999,"",[1]Repl!C4)</f>
        <v/>
      </c>
      <c r="D4" s="66">
        <f>IF([1]Repl!D4=9999,"",[1]Repl!D4)</f>
        <v>0</v>
      </c>
      <c r="E4" s="66" t="str">
        <f>IF([1]Repl!E4=9999,"",[1]Repl!E4)</f>
        <v/>
      </c>
      <c r="F4" s="66" t="str">
        <f>IF([1]Repl!F4=9999,"",[1]Repl!F4)</f>
        <v/>
      </c>
      <c r="G4" s="66" t="str">
        <f>IF([1]Repl!G4=9999,"",[1]Repl!G4)</f>
        <v/>
      </c>
      <c r="H4" s="66">
        <f>IF([1]Repl!H4=9999,"",[1]Repl!H4)</f>
        <v>15</v>
      </c>
      <c r="I4" s="66">
        <f>IF([1]Repl!I4=9999,"",[1]Repl!I4)</f>
        <v>0</v>
      </c>
      <c r="J4" s="66" t="str">
        <f>IF([1]Repl!J4=9999,"",[1]Repl!J4)</f>
        <v/>
      </c>
    </row>
    <row r="5" spans="1:10" x14ac:dyDescent="0.25">
      <c r="A5" s="67" t="s">
        <v>14</v>
      </c>
      <c r="B5" s="68" t="s">
        <v>18</v>
      </c>
      <c r="C5" s="66">
        <f>IF([1]Repl!C6=9999,"",[1]Repl!C6)</f>
        <v>1</v>
      </c>
      <c r="D5" s="66">
        <f>IF([1]Repl!D6=9999,"",[1]Repl!D6)</f>
        <v>0</v>
      </c>
      <c r="E5" s="66" t="str">
        <f>IF([1]Repl!E6=9999,"",[1]Repl!E6)</f>
        <v/>
      </c>
      <c r="F5" s="66" t="str">
        <f>IF([1]Repl!F6=9999,"",[1]Repl!F6)</f>
        <v/>
      </c>
      <c r="G5" s="66" t="str">
        <f>IF([1]Repl!G6=9999,"",[1]Repl!G6)</f>
        <v/>
      </c>
      <c r="H5" s="66">
        <f>IF([1]Repl!H6=9999,"",[1]Repl!H6)</f>
        <v>1</v>
      </c>
      <c r="I5" s="66">
        <f>IF([1]Repl!I6=9999,"",[1]Repl!I6)</f>
        <v>0</v>
      </c>
      <c r="J5" s="66" t="str">
        <f>IF([1]Repl!J6=9999,"",[1]Repl!J6)</f>
        <v/>
      </c>
    </row>
    <row r="6" spans="1:10" x14ac:dyDescent="0.25">
      <c r="A6" s="69" t="s">
        <v>14</v>
      </c>
      <c r="B6" s="70" t="s">
        <v>19</v>
      </c>
      <c r="C6" s="66">
        <f>IF([1]Repl!C5=9999,"",[1]Repl!C5)</f>
        <v>6</v>
      </c>
      <c r="D6" s="66">
        <f>IF([1]Repl!D5=9999,"",[1]Repl!D5)</f>
        <v>0</v>
      </c>
      <c r="E6" s="66" t="str">
        <f>IF([1]Repl!E5=9999,"",[1]Repl!E5)</f>
        <v/>
      </c>
      <c r="F6" s="66" t="str">
        <f>IF([1]Repl!F5=9999,"",[1]Repl!F5)</f>
        <v/>
      </c>
      <c r="G6" s="66" t="str">
        <f>IF([1]Repl!G5=9999,"",[1]Repl!G5)</f>
        <v/>
      </c>
      <c r="H6" s="66">
        <f>IF([1]Repl!H5=9999,"",[1]Repl!H5)</f>
        <v>5</v>
      </c>
      <c r="I6" s="66">
        <f>IF([1]Repl!I5=9999,"",[1]Repl!I5)</f>
        <v>0</v>
      </c>
      <c r="J6" s="66" t="str">
        <f>IF([1]Repl!J5=9999,"",[1]Repl!J5)</f>
        <v/>
      </c>
    </row>
    <row r="7" spans="1:10" x14ac:dyDescent="0.25">
      <c r="A7" s="71" t="s">
        <v>20</v>
      </c>
      <c r="B7" s="72" t="s">
        <v>21</v>
      </c>
      <c r="C7" s="66">
        <f>IF([1]Repl!C7=9999,"",[1]Repl!C7)</f>
        <v>21</v>
      </c>
      <c r="D7" s="66">
        <f>IF([1]Repl!D7=9999,"",[1]Repl!D7)</f>
        <v>0</v>
      </c>
      <c r="E7" s="66" t="str">
        <f>IF([1]Repl!E7=9999,"",[1]Repl!E7)</f>
        <v/>
      </c>
      <c r="F7" s="66" t="str">
        <f>IF([1]Repl!F7=9999,"",[1]Repl!F7)</f>
        <v/>
      </c>
      <c r="G7" s="66" t="str">
        <f>IF([1]Repl!G7=9999,"",[1]Repl!G7)</f>
        <v/>
      </c>
      <c r="H7" s="66">
        <f>IF([1]Repl!H7=9999,"",[1]Repl!H7)</f>
        <v>21</v>
      </c>
      <c r="I7" s="66">
        <f>IF([1]Repl!I7=9999,"",[1]Repl!I7)</f>
        <v>0</v>
      </c>
      <c r="J7" s="66">
        <f>IF([1]Repl!J7=9999,"",[1]Repl!J7)</f>
        <v>16</v>
      </c>
    </row>
    <row r="8" spans="1:10" x14ac:dyDescent="0.25">
      <c r="A8" s="73" t="s">
        <v>20</v>
      </c>
      <c r="B8" s="74" t="s">
        <v>22</v>
      </c>
      <c r="C8" s="66">
        <f>IF([1]Repl!C8=9999,"",[1]Repl!C8)</f>
        <v>21</v>
      </c>
      <c r="D8" s="66">
        <f>IF([1]Repl!D8=9999,"",[1]Repl!D8)</f>
        <v>0</v>
      </c>
      <c r="E8" s="66" t="str">
        <f>IF([1]Repl!E8=9999,"",[1]Repl!E8)</f>
        <v/>
      </c>
      <c r="F8" s="66" t="str">
        <f>IF([1]Repl!F8=9999,"",[1]Repl!F8)</f>
        <v/>
      </c>
      <c r="G8" s="66" t="str">
        <f>IF([1]Repl!G8=9999,"",[1]Repl!G8)</f>
        <v/>
      </c>
      <c r="H8" s="66">
        <f>IF([1]Repl!H8=9999,"",[1]Repl!H8)</f>
        <v>21</v>
      </c>
      <c r="I8" s="66">
        <f>IF([1]Repl!I8=9999,"",[1]Repl!I8)</f>
        <v>0</v>
      </c>
      <c r="J8" s="66" t="str">
        <f>IF([1]Repl!J8=9999,"",[1]Repl!J8)</f>
        <v/>
      </c>
    </row>
    <row r="9" spans="1:10" x14ac:dyDescent="0.25">
      <c r="A9" s="71" t="s">
        <v>20</v>
      </c>
      <c r="B9" s="72" t="s">
        <v>23</v>
      </c>
      <c r="C9" s="66">
        <f>IF([1]Repl!C9=9999,"",[1]Repl!C9)</f>
        <v>22</v>
      </c>
      <c r="D9" s="66">
        <f>IF([1]Repl!D9=9999,"",[1]Repl!D9)</f>
        <v>0</v>
      </c>
      <c r="E9" s="66" t="str">
        <f>IF([1]Repl!E9=9999,"",[1]Repl!E9)</f>
        <v/>
      </c>
      <c r="F9" s="66" t="str">
        <f>IF([1]Repl!F9=9999,"",[1]Repl!F9)</f>
        <v/>
      </c>
      <c r="G9" s="66" t="str">
        <f>IF([1]Repl!G9=9999,"",[1]Repl!G9)</f>
        <v/>
      </c>
      <c r="H9" s="66">
        <f>IF([1]Repl!H9=9999,"",[1]Repl!H9)</f>
        <v>23</v>
      </c>
      <c r="I9" s="66">
        <f>IF([1]Repl!I9=9999,"",[1]Repl!I9)</f>
        <v>0</v>
      </c>
      <c r="J9" s="66" t="str">
        <f>IF([1]Repl!J9=9999,"",[1]Repl!J9)</f>
        <v/>
      </c>
    </row>
    <row r="10" spans="1:10" x14ac:dyDescent="0.25">
      <c r="A10" s="73" t="s">
        <v>20</v>
      </c>
      <c r="B10" s="74" t="s">
        <v>24</v>
      </c>
      <c r="C10" s="66">
        <f>IF([1]Repl!C10=9999,"",[1]Repl!C10)</f>
        <v>28</v>
      </c>
      <c r="D10" s="66">
        <f>IF([1]Repl!D10=9999,"",[1]Repl!D10)</f>
        <v>0</v>
      </c>
      <c r="E10" s="66" t="str">
        <f>IF([1]Repl!E10=9999,"",[1]Repl!E10)</f>
        <v/>
      </c>
      <c r="F10" s="66" t="str">
        <f>IF([1]Repl!F10=9999,"",[1]Repl!F10)</f>
        <v/>
      </c>
      <c r="G10" s="66" t="str">
        <f>IF([1]Repl!G10=9999,"",[1]Repl!G10)</f>
        <v/>
      </c>
      <c r="H10" s="66">
        <f>IF([1]Repl!H10=9999,"",[1]Repl!H10)</f>
        <v>29</v>
      </c>
      <c r="I10" s="66">
        <f>IF([1]Repl!I10=9999,"",[1]Repl!I10)</f>
        <v>0</v>
      </c>
      <c r="J10" s="66" t="str">
        <f>IF([1]Repl!J10=9999,"",[1]Repl!J10)</f>
        <v/>
      </c>
    </row>
    <row r="11" spans="1:10" x14ac:dyDescent="0.25">
      <c r="A11" s="71" t="s">
        <v>20</v>
      </c>
      <c r="B11" s="72" t="s">
        <v>25</v>
      </c>
      <c r="C11" s="66">
        <f>IF([1]Repl!C11=9999,"",[1]Repl!C11)</f>
        <v>29</v>
      </c>
      <c r="D11" s="66">
        <f>IF([1]Repl!D11=9999,"",[1]Repl!D11)</f>
        <v>0</v>
      </c>
      <c r="E11" s="66" t="str">
        <f>IF([1]Repl!E11=9999,"",[1]Repl!E11)</f>
        <v/>
      </c>
      <c r="F11" s="66" t="str">
        <f>IF([1]Repl!F11=9999,"",[1]Repl!F11)</f>
        <v/>
      </c>
      <c r="G11" s="66" t="str">
        <f>IF([1]Repl!G11=9999,"",[1]Repl!G11)</f>
        <v/>
      </c>
      <c r="H11" s="66">
        <f>IF([1]Repl!H11=9999,"",[1]Repl!H11)</f>
        <v>29</v>
      </c>
      <c r="I11" s="66">
        <f>IF([1]Repl!I11=9999,"",[1]Repl!I11)</f>
        <v>0</v>
      </c>
      <c r="J11" s="66" t="str">
        <f>IF([1]Repl!J11=9999,"",[1]Repl!J11)</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0000"/>
  </sheetPr>
  <dimension ref="A1:J11"/>
  <sheetViews>
    <sheetView workbookViewId="0">
      <selection activeCell="G17" sqref="G17"/>
    </sheetView>
  </sheetViews>
  <sheetFormatPr defaultColWidth="11.42578125" defaultRowHeight="15" x14ac:dyDescent="0.25"/>
  <sheetData>
    <row r="1" spans="1:10" ht="15.75" customHeight="1" x14ac:dyDescent="0.25">
      <c r="A1" s="91" t="s">
        <v>13</v>
      </c>
      <c r="B1" s="91" t="s">
        <v>12</v>
      </c>
      <c r="C1" s="91" t="s">
        <v>4</v>
      </c>
      <c r="D1" s="91" t="s">
        <v>7</v>
      </c>
      <c r="E1" s="91" t="s">
        <v>38</v>
      </c>
      <c r="F1" s="91" t="s">
        <v>39</v>
      </c>
      <c r="G1" s="91" t="s">
        <v>40</v>
      </c>
      <c r="H1" s="91" t="s">
        <v>41</v>
      </c>
      <c r="I1" s="91" t="s">
        <v>42</v>
      </c>
      <c r="J1" s="91" t="s">
        <v>5</v>
      </c>
    </row>
    <row r="2" spans="1:10" ht="15.75" customHeight="1" x14ac:dyDescent="0.25">
      <c r="A2" s="92" t="s">
        <v>15</v>
      </c>
      <c r="B2" s="9" t="s">
        <v>14</v>
      </c>
      <c r="C2" s="36">
        <f>[1]Sheet2!C2</f>
        <v>7000</v>
      </c>
      <c r="D2" s="36">
        <f>[1]Sheet2!D2</f>
        <v>0</v>
      </c>
      <c r="E2" s="36">
        <f>[1]Sheet2!E2</f>
        <v>2500</v>
      </c>
      <c r="F2" s="36">
        <f>[1]Sheet2!F2</f>
        <v>2500</v>
      </c>
      <c r="G2" s="36">
        <f>[1]Sheet2!G2</f>
        <v>2500</v>
      </c>
      <c r="H2" s="36">
        <f>[1]Sheet2!H2</f>
        <v>2500</v>
      </c>
      <c r="I2" s="36">
        <f>[1]Sheet2!I2</f>
        <v>0</v>
      </c>
      <c r="J2" s="36">
        <f>[1]Sheet2!J2</f>
        <v>5000</v>
      </c>
    </row>
    <row r="3" spans="1:10" ht="15.75" customHeight="1" x14ac:dyDescent="0.25">
      <c r="A3" s="92" t="s">
        <v>16</v>
      </c>
      <c r="B3" s="10" t="s">
        <v>14</v>
      </c>
      <c r="C3" s="36">
        <f>[1]Sheet2!C3</f>
        <v>5000</v>
      </c>
      <c r="D3" s="36">
        <f>[1]Sheet2!D3</f>
        <v>0</v>
      </c>
      <c r="E3" s="36">
        <f>[1]Sheet2!E3</f>
        <v>2500</v>
      </c>
      <c r="F3" s="36">
        <f>[1]Sheet2!F3</f>
        <v>2500</v>
      </c>
      <c r="G3" s="36">
        <f>[1]Sheet2!G3</f>
        <v>2500</v>
      </c>
      <c r="H3" s="36">
        <f>[1]Sheet2!H3</f>
        <v>2500</v>
      </c>
      <c r="I3" s="36">
        <f>[1]Sheet2!I3</f>
        <v>0</v>
      </c>
      <c r="J3" s="36">
        <f>[1]Sheet2!J3</f>
        <v>1000</v>
      </c>
    </row>
    <row r="4" spans="1:10" ht="15.75" customHeight="1" x14ac:dyDescent="0.25">
      <c r="A4" s="92" t="s">
        <v>17</v>
      </c>
      <c r="B4" s="15" t="s">
        <v>14</v>
      </c>
      <c r="C4" s="36">
        <f>[1]Sheet2!C4</f>
        <v>0</v>
      </c>
      <c r="D4" s="36">
        <f>[1]Sheet2!D4</f>
        <v>0</v>
      </c>
      <c r="E4" s="36">
        <f>[1]Sheet2!E4</f>
        <v>2500</v>
      </c>
      <c r="F4" s="36">
        <f>[1]Sheet2!F4</f>
        <v>2500</v>
      </c>
      <c r="G4" s="36">
        <f>[1]Sheet2!G4</f>
        <v>2500</v>
      </c>
      <c r="H4" s="36">
        <f>[1]Sheet2!H4</f>
        <v>2500</v>
      </c>
      <c r="I4" s="36">
        <f>[1]Sheet2!I4</f>
        <v>0</v>
      </c>
      <c r="J4" s="36">
        <f>[1]Sheet2!J4</f>
        <v>0</v>
      </c>
    </row>
    <row r="5" spans="1:10" ht="15.75" customHeight="1" x14ac:dyDescent="0.25">
      <c r="A5" s="92" t="s">
        <v>18</v>
      </c>
      <c r="B5" s="10" t="s">
        <v>14</v>
      </c>
      <c r="C5" s="36">
        <f>[1]Sheet2!C5</f>
        <v>5000</v>
      </c>
      <c r="D5" s="36">
        <f>[1]Sheet2!D5</f>
        <v>0</v>
      </c>
      <c r="E5" s="36">
        <f>[1]Sheet2!E5</f>
        <v>2500</v>
      </c>
      <c r="F5" s="36">
        <f>[1]Sheet2!F5</f>
        <v>2500</v>
      </c>
      <c r="G5" s="36">
        <f>[1]Sheet2!G5</f>
        <v>2500</v>
      </c>
      <c r="H5" s="36">
        <f>[1]Sheet2!H5</f>
        <v>2500</v>
      </c>
      <c r="I5" s="36">
        <f>[1]Sheet2!I5</f>
        <v>0</v>
      </c>
      <c r="J5" s="36">
        <f>[1]Sheet2!J5</f>
        <v>0</v>
      </c>
    </row>
    <row r="6" spans="1:10" x14ac:dyDescent="0.25">
      <c r="A6" s="92" t="s">
        <v>19</v>
      </c>
      <c r="B6" s="11" t="s">
        <v>14</v>
      </c>
      <c r="C6" s="36">
        <f>[1]Sheet2!C6</f>
        <v>9000</v>
      </c>
      <c r="D6" s="36">
        <f>[1]Sheet2!D6</f>
        <v>0</v>
      </c>
      <c r="E6" s="36">
        <f>[1]Sheet2!E6</f>
        <v>2500</v>
      </c>
      <c r="F6" s="36">
        <f>[1]Sheet2!F6</f>
        <v>2500</v>
      </c>
      <c r="G6" s="36">
        <f>[1]Sheet2!G6</f>
        <v>2500</v>
      </c>
      <c r="H6" s="36">
        <f>[1]Sheet2!H6</f>
        <v>2500</v>
      </c>
      <c r="I6" s="36">
        <f>[1]Sheet2!I6</f>
        <v>0</v>
      </c>
      <c r="J6" s="36">
        <f>[1]Sheet2!J6</f>
        <v>0</v>
      </c>
    </row>
    <row r="7" spans="1:10" x14ac:dyDescent="0.25">
      <c r="A7" s="93" t="s">
        <v>21</v>
      </c>
      <c r="B7" s="12" t="s">
        <v>20</v>
      </c>
      <c r="C7" s="36">
        <f>[1]Sheet2!C7</f>
        <v>8000</v>
      </c>
      <c r="D7" s="36">
        <f>[1]Sheet2!D7</f>
        <v>0</v>
      </c>
      <c r="E7" s="36">
        <f>[1]Sheet2!E7</f>
        <v>2500</v>
      </c>
      <c r="F7" s="36">
        <f>[1]Sheet2!F7</f>
        <v>2500</v>
      </c>
      <c r="G7" s="36">
        <f>[1]Sheet2!G7</f>
        <v>2500</v>
      </c>
      <c r="H7" s="36">
        <f>[1]Sheet2!H7</f>
        <v>2500</v>
      </c>
      <c r="I7" s="36">
        <f>[1]Sheet2!I7</f>
        <v>0</v>
      </c>
      <c r="J7" s="36">
        <f>[1]Sheet2!J7</f>
        <v>5000</v>
      </c>
    </row>
    <row r="8" spans="1:10" x14ac:dyDescent="0.25">
      <c r="A8" s="93" t="s">
        <v>22</v>
      </c>
      <c r="B8" s="13" t="s">
        <v>20</v>
      </c>
      <c r="C8" s="36">
        <f>[1]Sheet2!C8</f>
        <v>300</v>
      </c>
      <c r="D8" s="36">
        <f>[1]Sheet2!D8</f>
        <v>0</v>
      </c>
      <c r="E8" s="36">
        <f>[1]Sheet2!E8</f>
        <v>4000</v>
      </c>
      <c r="F8" s="36">
        <f>[1]Sheet2!F8</f>
        <v>4000</v>
      </c>
      <c r="G8" s="36">
        <f>[1]Sheet2!G8</f>
        <v>4000</v>
      </c>
      <c r="H8" s="36">
        <f>[1]Sheet2!H8</f>
        <v>4000</v>
      </c>
      <c r="I8" s="36">
        <f>[1]Sheet2!I8</f>
        <v>0</v>
      </c>
      <c r="J8" s="36">
        <f>[1]Sheet2!J8</f>
        <v>1000</v>
      </c>
    </row>
    <row r="9" spans="1:10" x14ac:dyDescent="0.25">
      <c r="A9" s="93" t="s">
        <v>23</v>
      </c>
      <c r="B9" s="12" t="s">
        <v>20</v>
      </c>
      <c r="C9" s="36">
        <f>[1]Sheet2!C9</f>
        <v>5000</v>
      </c>
      <c r="D9" s="36">
        <f>[1]Sheet2!D9</f>
        <v>0</v>
      </c>
      <c r="E9" s="36">
        <f>[1]Sheet2!E9</f>
        <v>2500</v>
      </c>
      <c r="F9" s="36">
        <f>[1]Sheet2!F9</f>
        <v>2500</v>
      </c>
      <c r="G9" s="36">
        <f>[1]Sheet2!G9</f>
        <v>2500</v>
      </c>
      <c r="H9" s="36">
        <f>[1]Sheet2!H9</f>
        <v>2500</v>
      </c>
      <c r="I9" s="36">
        <f>[1]Sheet2!I9</f>
        <v>0</v>
      </c>
      <c r="J9" s="36">
        <f>[1]Sheet2!J9</f>
        <v>0</v>
      </c>
    </row>
    <row r="10" spans="1:10" x14ac:dyDescent="0.25">
      <c r="A10" s="93" t="s">
        <v>24</v>
      </c>
      <c r="B10" s="13" t="s">
        <v>20</v>
      </c>
      <c r="C10" s="36">
        <f>[1]Sheet2!C10</f>
        <v>5000</v>
      </c>
      <c r="D10" s="36">
        <f>[1]Sheet2!D10</f>
        <v>0</v>
      </c>
      <c r="E10" s="36">
        <f>[1]Sheet2!E10</f>
        <v>2500</v>
      </c>
      <c r="F10" s="36">
        <f>[1]Sheet2!F10</f>
        <v>2500</v>
      </c>
      <c r="G10" s="36">
        <f>[1]Sheet2!G10</f>
        <v>2500</v>
      </c>
      <c r="H10" s="36">
        <f>[1]Sheet2!H10</f>
        <v>2500</v>
      </c>
      <c r="I10" s="36">
        <f>[1]Sheet2!I10</f>
        <v>0</v>
      </c>
      <c r="J10" s="36">
        <f>[1]Sheet2!J10</f>
        <v>0</v>
      </c>
    </row>
    <row r="11" spans="1:10" ht="15.75" customHeight="1" x14ac:dyDescent="0.25">
      <c r="A11" s="93" t="s">
        <v>25</v>
      </c>
      <c r="B11" s="14" t="s">
        <v>20</v>
      </c>
      <c r="C11" s="36">
        <f>[1]Sheet2!C11</f>
        <v>5000</v>
      </c>
      <c r="D11" s="36">
        <f>[1]Sheet2!D11</f>
        <v>0</v>
      </c>
      <c r="E11" s="36">
        <f>[1]Sheet2!E11</f>
        <v>2500</v>
      </c>
      <c r="F11" s="36">
        <f>[1]Sheet2!F11</f>
        <v>2500</v>
      </c>
      <c r="G11" s="36">
        <f>[1]Sheet2!G11</f>
        <v>2500</v>
      </c>
      <c r="H11" s="36">
        <f>[1]Sheet2!H11</f>
        <v>2500</v>
      </c>
      <c r="I11" s="36">
        <f>[1]Sheet2!I11</f>
        <v>0</v>
      </c>
      <c r="J11" s="36">
        <f>[1]Sheet2!J11</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N11"/>
  <sheetViews>
    <sheetView workbookViewId="0">
      <selection activeCell="J19" sqref="J19"/>
    </sheetView>
  </sheetViews>
  <sheetFormatPr defaultColWidth="11.42578125" defaultRowHeight="15" x14ac:dyDescent="0.25"/>
  <cols>
    <col min="14" max="14" width="15.85546875" style="42" bestFit="1" customWidth="1"/>
  </cols>
  <sheetData>
    <row r="1" spans="1:14" x14ac:dyDescent="0.25">
      <c r="A1" s="85" t="s">
        <v>12</v>
      </c>
      <c r="B1" s="85" t="s">
        <v>13</v>
      </c>
      <c r="C1" s="85" t="s">
        <v>4</v>
      </c>
      <c r="D1" s="85" t="s">
        <v>7</v>
      </c>
      <c r="E1" s="85" t="s">
        <v>38</v>
      </c>
      <c r="F1" s="85" t="s">
        <v>39</v>
      </c>
      <c r="G1" s="85" t="s">
        <v>40</v>
      </c>
      <c r="H1" s="85" t="s">
        <v>41</v>
      </c>
      <c r="I1" s="85" t="s">
        <v>42</v>
      </c>
      <c r="J1" s="85" t="s">
        <v>5</v>
      </c>
      <c r="K1" s="85" t="s">
        <v>8</v>
      </c>
      <c r="L1" s="85" t="s">
        <v>9</v>
      </c>
      <c r="M1" s="85" t="s">
        <v>10</v>
      </c>
      <c r="N1" s="85" t="s">
        <v>11</v>
      </c>
    </row>
    <row r="2" spans="1:14" x14ac:dyDescent="0.25">
      <c r="A2" s="37" t="s">
        <v>14</v>
      </c>
      <c r="B2" s="37" t="s">
        <v>15</v>
      </c>
      <c r="C2" s="37">
        <v>500</v>
      </c>
      <c r="D2" s="37">
        <v>740</v>
      </c>
      <c r="E2" s="37">
        <v>837</v>
      </c>
      <c r="F2" s="37">
        <v>418</v>
      </c>
      <c r="G2" s="37">
        <v>500</v>
      </c>
      <c r="H2" s="37">
        <v>103</v>
      </c>
      <c r="I2" s="37">
        <v>846</v>
      </c>
      <c r="J2" s="37">
        <v>116</v>
      </c>
      <c r="K2" s="37">
        <v>1600</v>
      </c>
      <c r="L2" s="37">
        <v>0.8</v>
      </c>
      <c r="M2" s="37">
        <v>1280</v>
      </c>
      <c r="N2" s="37">
        <v>780</v>
      </c>
    </row>
    <row r="3" spans="1:14" x14ac:dyDescent="0.25">
      <c r="A3" s="38" t="s">
        <v>14</v>
      </c>
      <c r="B3" s="38" t="s">
        <v>16</v>
      </c>
      <c r="C3" s="38">
        <v>551</v>
      </c>
      <c r="D3" s="38">
        <v>871</v>
      </c>
      <c r="E3" s="38">
        <v>163</v>
      </c>
      <c r="F3" s="38">
        <v>323</v>
      </c>
      <c r="G3" s="38">
        <v>524</v>
      </c>
      <c r="H3" s="38">
        <v>588</v>
      </c>
      <c r="I3" s="38">
        <v>859</v>
      </c>
      <c r="J3" s="38">
        <v>143</v>
      </c>
      <c r="K3" s="38">
        <v>1700</v>
      </c>
      <c r="L3" s="38">
        <v>0.8</v>
      </c>
      <c r="M3" s="38">
        <v>1360</v>
      </c>
      <c r="N3" s="38">
        <v>809</v>
      </c>
    </row>
    <row r="4" spans="1:14" x14ac:dyDescent="0.25">
      <c r="A4" s="37" t="s">
        <v>14</v>
      </c>
      <c r="B4" s="37" t="s">
        <v>17</v>
      </c>
      <c r="C4" s="37">
        <v>855</v>
      </c>
      <c r="D4" s="37">
        <v>935</v>
      </c>
      <c r="E4" s="37">
        <v>946</v>
      </c>
      <c r="F4" s="37">
        <v>211</v>
      </c>
      <c r="G4" s="37">
        <v>271</v>
      </c>
      <c r="H4" s="37">
        <v>146</v>
      </c>
      <c r="I4" s="37">
        <v>305</v>
      </c>
      <c r="J4" s="37">
        <v>268</v>
      </c>
      <c r="K4" s="37">
        <v>360</v>
      </c>
      <c r="L4" s="37">
        <v>0.8</v>
      </c>
      <c r="M4" s="37">
        <v>288</v>
      </c>
      <c r="N4" s="37">
        <v>-567</v>
      </c>
    </row>
    <row r="5" spans="1:14" x14ac:dyDescent="0.25">
      <c r="A5" s="38" t="s">
        <v>14</v>
      </c>
      <c r="B5" s="38" t="s">
        <v>18</v>
      </c>
      <c r="C5" s="38">
        <v>3</v>
      </c>
      <c r="D5" s="38">
        <v>380</v>
      </c>
      <c r="E5" s="38">
        <v>615</v>
      </c>
      <c r="F5" s="38">
        <v>850</v>
      </c>
      <c r="G5" s="38">
        <v>394</v>
      </c>
      <c r="H5" s="38">
        <v>765</v>
      </c>
      <c r="I5" s="38">
        <v>168</v>
      </c>
      <c r="J5" s="38">
        <v>150</v>
      </c>
      <c r="K5" s="38">
        <v>800</v>
      </c>
      <c r="L5" s="38">
        <v>0.8</v>
      </c>
      <c r="M5" s="38">
        <v>640</v>
      </c>
      <c r="N5" s="38">
        <v>637</v>
      </c>
    </row>
    <row r="6" spans="1:14" x14ac:dyDescent="0.25">
      <c r="A6" s="39" t="s">
        <v>14</v>
      </c>
      <c r="B6" s="39" t="s">
        <v>19</v>
      </c>
      <c r="C6" s="39">
        <v>650</v>
      </c>
      <c r="D6" s="39">
        <v>530</v>
      </c>
      <c r="E6" s="39">
        <v>716</v>
      </c>
      <c r="F6" s="39">
        <v>247</v>
      </c>
      <c r="G6" s="39">
        <v>610</v>
      </c>
      <c r="H6" s="39">
        <v>234</v>
      </c>
      <c r="I6" s="39">
        <v>954</v>
      </c>
      <c r="J6" s="39">
        <v>837</v>
      </c>
      <c r="K6" s="39">
        <v>1200</v>
      </c>
      <c r="L6" s="39">
        <v>0.8</v>
      </c>
      <c r="M6" s="39">
        <v>960</v>
      </c>
      <c r="N6" s="39">
        <v>310</v>
      </c>
    </row>
    <row r="7" spans="1:14" x14ac:dyDescent="0.25">
      <c r="A7" s="40" t="s">
        <v>20</v>
      </c>
      <c r="B7" s="40" t="s">
        <v>21</v>
      </c>
      <c r="C7" s="40">
        <v>76</v>
      </c>
      <c r="D7" s="40">
        <v>332</v>
      </c>
      <c r="E7" s="40">
        <v>558</v>
      </c>
      <c r="F7" s="40">
        <v>453</v>
      </c>
      <c r="G7" s="40">
        <v>238</v>
      </c>
      <c r="H7" s="40">
        <v>861</v>
      </c>
      <c r="I7" s="40">
        <v>722</v>
      </c>
      <c r="J7" s="40">
        <v>973</v>
      </c>
      <c r="K7" s="40">
        <v>1500</v>
      </c>
      <c r="L7" s="40">
        <v>0.8</v>
      </c>
      <c r="M7" s="40">
        <v>1200</v>
      </c>
      <c r="N7" s="40">
        <v>1124</v>
      </c>
    </row>
    <row r="8" spans="1:14" x14ac:dyDescent="0.25">
      <c r="A8" s="41" t="s">
        <v>20</v>
      </c>
      <c r="B8" s="41" t="s">
        <v>22</v>
      </c>
      <c r="C8" s="41">
        <v>710</v>
      </c>
      <c r="D8" s="41">
        <v>986</v>
      </c>
      <c r="E8" s="41">
        <v>710</v>
      </c>
      <c r="F8" s="41">
        <v>131</v>
      </c>
      <c r="G8" s="41">
        <v>500</v>
      </c>
      <c r="H8" s="41">
        <v>813</v>
      </c>
      <c r="I8" s="41">
        <v>102</v>
      </c>
      <c r="J8" s="41">
        <v>437</v>
      </c>
      <c r="K8" s="41">
        <v>1750</v>
      </c>
      <c r="L8" s="41">
        <v>0.8</v>
      </c>
      <c r="M8" s="41">
        <v>1400</v>
      </c>
      <c r="N8" s="41">
        <v>690</v>
      </c>
    </row>
    <row r="9" spans="1:14" x14ac:dyDescent="0.25">
      <c r="A9" s="40" t="s">
        <v>20</v>
      </c>
      <c r="B9" s="40" t="s">
        <v>23</v>
      </c>
      <c r="C9" s="40">
        <v>100</v>
      </c>
      <c r="D9" s="40">
        <v>67</v>
      </c>
      <c r="E9" s="40">
        <v>908</v>
      </c>
      <c r="F9" s="40">
        <v>298</v>
      </c>
      <c r="G9" s="40">
        <v>71</v>
      </c>
      <c r="H9" s="40">
        <v>61</v>
      </c>
      <c r="I9" s="40">
        <v>179</v>
      </c>
      <c r="J9" s="40">
        <v>470</v>
      </c>
      <c r="K9" s="40">
        <v>800</v>
      </c>
      <c r="L9" s="40">
        <v>0.8</v>
      </c>
      <c r="M9" s="40">
        <v>640</v>
      </c>
      <c r="N9" s="40">
        <v>540</v>
      </c>
    </row>
    <row r="10" spans="1:14" x14ac:dyDescent="0.25">
      <c r="A10" s="41" t="s">
        <v>20</v>
      </c>
      <c r="B10" s="41" t="s">
        <v>24</v>
      </c>
      <c r="C10" s="41">
        <v>974</v>
      </c>
      <c r="D10" s="41">
        <v>75</v>
      </c>
      <c r="E10" s="41">
        <v>552</v>
      </c>
      <c r="F10" s="41">
        <v>429</v>
      </c>
      <c r="G10" s="41">
        <v>137</v>
      </c>
      <c r="H10" s="41">
        <v>472</v>
      </c>
      <c r="I10" s="41">
        <v>64</v>
      </c>
      <c r="J10" s="41">
        <v>726</v>
      </c>
      <c r="K10" s="41">
        <v>1000</v>
      </c>
      <c r="L10" s="41">
        <v>0.8</v>
      </c>
      <c r="M10" s="41">
        <v>800</v>
      </c>
      <c r="N10" s="41">
        <v>-174</v>
      </c>
    </row>
    <row r="11" spans="1:14" x14ac:dyDescent="0.25">
      <c r="A11" s="40" t="s">
        <v>20</v>
      </c>
      <c r="B11" s="40" t="s">
        <v>25</v>
      </c>
      <c r="C11" s="40">
        <v>237</v>
      </c>
      <c r="D11" s="40">
        <v>370</v>
      </c>
      <c r="E11" s="40">
        <v>470</v>
      </c>
      <c r="F11" s="40">
        <v>553</v>
      </c>
      <c r="G11" s="40">
        <v>920</v>
      </c>
      <c r="H11" s="40">
        <v>223</v>
      </c>
      <c r="I11" s="40">
        <v>763</v>
      </c>
      <c r="J11" s="40">
        <v>878</v>
      </c>
      <c r="K11" s="40">
        <v>1000</v>
      </c>
      <c r="L11" s="40">
        <v>0.8</v>
      </c>
      <c r="M11" s="40">
        <v>800</v>
      </c>
      <c r="N11" s="40">
        <v>563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Core Work Sheet</vt:lpstr>
      <vt:lpstr>Emergency Demand (Tonnes)</vt:lpstr>
      <vt:lpstr>Sheet Description</vt:lpstr>
      <vt:lpstr>Days on Hand Inventory (Days)</vt:lpstr>
      <vt:lpstr>Inter Plant Lead Time (Days)</vt:lpstr>
      <vt:lpstr>Demand Priority</vt:lpstr>
      <vt:lpstr>Inter Plant Mix Readiness</vt:lpstr>
      <vt:lpstr>Similarity Index</vt:lpstr>
      <vt:lpstr>Inter Plant Lead Time</vt:lpstr>
      <vt:lpstr>Risk of Under Supply</vt:lpstr>
      <vt:lpstr>Days on hand Inventory</vt:lpstr>
      <vt:lpstr>Estimated Days of Replenishment</vt:lpstr>
      <vt:lpstr>Inventory (In Tonnes)</vt:lpstr>
      <vt:lpstr>Planned Milling Rate Day -Ton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Venkatnarayanan L</dc:creator>
  <cp:keywords/>
  <dc:description/>
  <cp:lastModifiedBy>Admin</cp:lastModifiedBy>
  <cp:revision/>
  <dcterms:created xsi:type="dcterms:W3CDTF">2019-06-20T03:59:50Z</dcterms:created>
  <dcterms:modified xsi:type="dcterms:W3CDTF">2019-09-11T13:17:28Z</dcterms:modified>
  <cp:category/>
  <dc:identifier/>
  <cp:contentStatus/>
  <dc:language/>
  <cp:version/>
</cp:coreProperties>
</file>