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filterPrivacy="1" codeName="ThisWorkbook"/>
  <xr:revisionPtr revIDLastSave="0" documentId="13_ncr:1_{07D3CB2F-4E6F-4ADE-ADBF-12796AAB11DC}" xr6:coauthVersionLast="43" xr6:coauthVersionMax="43" xr10:uidLastSave="{00000000-0000-0000-0000-000000000000}"/>
  <bookViews>
    <workbookView xWindow="-120" yWindow="-120" windowWidth="20730" windowHeight="11160" tabRatio="796" xr2:uid="{00000000-000D-0000-FFFF-FFFF00000000}"/>
  </bookViews>
  <sheets>
    <sheet name="Aggregated" sheetId="29" r:id="rId1"/>
    <sheet name="Parameters" sheetId="30" r:id="rId2"/>
    <sheet name="Demand_CWRS" sheetId="25" r:id="rId3"/>
    <sheet name="Demand_LP" sheetId="27" r:id="rId4"/>
    <sheet name="Demand_SW" sheetId="28" r:id="rId5"/>
  </sheets>
  <externalReferences>
    <externalReference r:id="rId6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30" l="1"/>
  <c r="F5" i="30" l="1"/>
  <c r="H5" i="30" s="1"/>
  <c r="G5" i="30"/>
  <c r="I5" i="30"/>
  <c r="E6" i="30"/>
  <c r="F6" i="30" l="1"/>
  <c r="G6" i="30"/>
  <c r="H6" i="30"/>
  <c r="J5" i="30"/>
  <c r="K5" i="30"/>
  <c r="I6" i="30"/>
  <c r="K6" i="30" l="1"/>
  <c r="J6" i="30"/>
  <c r="DG4" i="29"/>
  <c r="DH4" i="29"/>
  <c r="DI4" i="29"/>
  <c r="DJ4" i="29"/>
  <c r="DK4" i="29"/>
  <c r="DL4" i="29"/>
  <c r="DM4" i="29"/>
  <c r="DN4" i="29"/>
  <c r="DO4" i="29"/>
  <c r="DP4" i="29"/>
  <c r="DG5" i="29"/>
  <c r="DH5" i="29"/>
  <c r="DI5" i="29"/>
  <c r="DJ5" i="29"/>
  <c r="DK5" i="29"/>
  <c r="DL5" i="29"/>
  <c r="DM5" i="29"/>
  <c r="DN5" i="29"/>
  <c r="DO5" i="29"/>
  <c r="DP5" i="29"/>
  <c r="DG6" i="29"/>
  <c r="DH6" i="29"/>
  <c r="DI6" i="29"/>
  <c r="DJ6" i="29"/>
  <c r="DK6" i="29"/>
  <c r="DL6" i="29"/>
  <c r="DM6" i="29"/>
  <c r="DN6" i="29"/>
  <c r="DO6" i="29"/>
  <c r="DP6" i="29"/>
  <c r="DG7" i="29"/>
  <c r="DH7" i="29"/>
  <c r="DI7" i="29"/>
  <c r="DJ7" i="29"/>
  <c r="DK7" i="29"/>
  <c r="DL7" i="29"/>
  <c r="DM7" i="29"/>
  <c r="DN7" i="29"/>
  <c r="DO7" i="29"/>
  <c r="DP7" i="29"/>
  <c r="DG8" i="29"/>
  <c r="DH8" i="29"/>
  <c r="DI8" i="29"/>
  <c r="DJ8" i="29"/>
  <c r="DK8" i="29"/>
  <c r="DL8" i="29"/>
  <c r="DM8" i="29"/>
  <c r="DN8" i="29"/>
  <c r="DO8" i="29"/>
  <c r="DP8" i="29"/>
  <c r="DG9" i="29"/>
  <c r="DH9" i="29"/>
  <c r="DI9" i="29"/>
  <c r="DJ9" i="29"/>
  <c r="DK9" i="29"/>
  <c r="DL9" i="29"/>
  <c r="DM9" i="29"/>
  <c r="DN9" i="29"/>
  <c r="DO9" i="29"/>
  <c r="DP9" i="29"/>
  <c r="DG10" i="29"/>
  <c r="DH10" i="29"/>
  <c r="DI10" i="29"/>
  <c r="DJ10" i="29"/>
  <c r="DK10" i="29"/>
  <c r="DL10" i="29"/>
  <c r="DM10" i="29"/>
  <c r="DN10" i="29"/>
  <c r="DO10" i="29"/>
  <c r="DP10" i="29"/>
  <c r="DG11" i="29"/>
  <c r="DH11" i="29"/>
  <c r="DI11" i="29"/>
  <c r="DJ11" i="29"/>
  <c r="DK11" i="29"/>
  <c r="DL11" i="29"/>
  <c r="DM11" i="29"/>
  <c r="DN11" i="29"/>
  <c r="DO11" i="29"/>
  <c r="DP11" i="29"/>
  <c r="DG12" i="29"/>
  <c r="DH12" i="29"/>
  <c r="DI12" i="29"/>
  <c r="DJ12" i="29"/>
  <c r="DK12" i="29"/>
  <c r="DL12" i="29"/>
  <c r="DM12" i="29"/>
  <c r="DN12" i="29"/>
  <c r="DO12" i="29"/>
  <c r="DP12" i="29"/>
  <c r="DG13" i="29"/>
  <c r="DH13" i="29"/>
  <c r="DI13" i="29"/>
  <c r="DJ13" i="29"/>
  <c r="DK13" i="29"/>
  <c r="DL13" i="29"/>
  <c r="DM13" i="29"/>
  <c r="DN13" i="29"/>
  <c r="DO13" i="29"/>
  <c r="DP13" i="29"/>
  <c r="DG14" i="29"/>
  <c r="DH14" i="29"/>
  <c r="DI14" i="29"/>
  <c r="DJ14" i="29"/>
  <c r="DK14" i="29"/>
  <c r="DL14" i="29"/>
  <c r="DM14" i="29"/>
  <c r="DN14" i="29"/>
  <c r="DO14" i="29"/>
  <c r="DP14" i="29"/>
  <c r="DG15" i="29"/>
  <c r="DH15" i="29"/>
  <c r="DI15" i="29"/>
  <c r="DJ15" i="29"/>
  <c r="DK15" i="29"/>
  <c r="DL15" i="29"/>
  <c r="DM15" i="29"/>
  <c r="DN15" i="29"/>
  <c r="DO15" i="29"/>
  <c r="DP15" i="29"/>
  <c r="DG16" i="29"/>
  <c r="DH16" i="29"/>
  <c r="DI16" i="29"/>
  <c r="DJ16" i="29"/>
  <c r="DK16" i="29"/>
  <c r="DL16" i="29"/>
  <c r="DM16" i="29"/>
  <c r="DN16" i="29"/>
  <c r="DO16" i="29"/>
  <c r="DP16" i="29"/>
  <c r="DG17" i="29"/>
  <c r="DH17" i="29"/>
  <c r="DI17" i="29"/>
  <c r="DJ17" i="29"/>
  <c r="DK17" i="29"/>
  <c r="DL17" i="29"/>
  <c r="DM17" i="29"/>
  <c r="DN17" i="29"/>
  <c r="DO17" i="29"/>
  <c r="DP17" i="29"/>
  <c r="DG18" i="29"/>
  <c r="DH18" i="29"/>
  <c r="DI18" i="29"/>
  <c r="DJ18" i="29"/>
  <c r="DK18" i="29"/>
  <c r="DL18" i="29"/>
  <c r="DM18" i="29"/>
  <c r="DN18" i="29"/>
  <c r="DO18" i="29"/>
  <c r="DP18" i="29"/>
  <c r="DG19" i="29"/>
  <c r="DH19" i="29"/>
  <c r="DI19" i="29"/>
  <c r="DJ19" i="29"/>
  <c r="DK19" i="29"/>
  <c r="DL19" i="29"/>
  <c r="DM19" i="29"/>
  <c r="DN19" i="29"/>
  <c r="DO19" i="29"/>
  <c r="DP19" i="29"/>
  <c r="DG20" i="29"/>
  <c r="DH20" i="29"/>
  <c r="DI20" i="29"/>
  <c r="DJ20" i="29"/>
  <c r="DK20" i="29"/>
  <c r="DL20" i="29"/>
  <c r="DM20" i="29"/>
  <c r="DN20" i="29"/>
  <c r="DO20" i="29"/>
  <c r="DP20" i="29"/>
  <c r="DG21" i="29"/>
  <c r="DH21" i="29"/>
  <c r="DI21" i="29"/>
  <c r="DJ21" i="29"/>
  <c r="DK21" i="29"/>
  <c r="DL21" i="29"/>
  <c r="DM21" i="29"/>
  <c r="DN21" i="29"/>
  <c r="DO21" i="29"/>
  <c r="DP21" i="29"/>
  <c r="DG22" i="29"/>
  <c r="DH22" i="29"/>
  <c r="DI22" i="29"/>
  <c r="DJ22" i="29"/>
  <c r="DK22" i="29"/>
  <c r="DL22" i="29"/>
  <c r="DM22" i="29"/>
  <c r="DN22" i="29"/>
  <c r="DO22" i="29"/>
  <c r="DP22" i="29"/>
  <c r="DG23" i="29"/>
  <c r="DH23" i="29"/>
  <c r="DI23" i="29"/>
  <c r="DJ23" i="29"/>
  <c r="DK23" i="29"/>
  <c r="DL23" i="29"/>
  <c r="DM23" i="29"/>
  <c r="DN23" i="29"/>
  <c r="DO23" i="29"/>
  <c r="DP23" i="29"/>
  <c r="DG24" i="29"/>
  <c r="DH24" i="29"/>
  <c r="DI24" i="29"/>
  <c r="DJ24" i="29"/>
  <c r="DK24" i="29"/>
  <c r="DL24" i="29"/>
  <c r="DM24" i="29"/>
  <c r="DN24" i="29"/>
  <c r="DO24" i="29"/>
  <c r="DP24" i="29"/>
  <c r="DG25" i="29"/>
  <c r="DH25" i="29"/>
  <c r="DI25" i="29"/>
  <c r="DJ25" i="29"/>
  <c r="DK25" i="29"/>
  <c r="DL25" i="29"/>
  <c r="DM25" i="29"/>
  <c r="DN25" i="29"/>
  <c r="DO25" i="29"/>
  <c r="DP25" i="29"/>
  <c r="DG26" i="29"/>
  <c r="DH26" i="29"/>
  <c r="DI26" i="29"/>
  <c r="DJ26" i="29"/>
  <c r="DK26" i="29"/>
  <c r="DL26" i="29"/>
  <c r="DM26" i="29"/>
  <c r="DN26" i="29"/>
  <c r="DO26" i="29"/>
  <c r="DP26" i="29"/>
  <c r="DG27" i="29"/>
  <c r="DH27" i="29"/>
  <c r="DI27" i="29"/>
  <c r="DJ27" i="29"/>
  <c r="DK27" i="29"/>
  <c r="DL27" i="29"/>
  <c r="DM27" i="29"/>
  <c r="DN27" i="29"/>
  <c r="DO27" i="29"/>
  <c r="DP27" i="29"/>
  <c r="DG28" i="29"/>
  <c r="DH28" i="29"/>
  <c r="DI28" i="29"/>
  <c r="DJ28" i="29"/>
  <c r="DK28" i="29"/>
  <c r="DL28" i="29"/>
  <c r="DM28" i="29"/>
  <c r="DN28" i="29"/>
  <c r="DO28" i="29"/>
  <c r="DP28" i="29"/>
  <c r="DG29" i="29"/>
  <c r="DH29" i="29"/>
  <c r="DI29" i="29"/>
  <c r="DJ29" i="29"/>
  <c r="DK29" i="29"/>
  <c r="DL29" i="29"/>
  <c r="DM29" i="29"/>
  <c r="DN29" i="29"/>
  <c r="DO29" i="29"/>
  <c r="DP29" i="29"/>
  <c r="DG30" i="29"/>
  <c r="DH30" i="29"/>
  <c r="DI30" i="29"/>
  <c r="DJ30" i="29"/>
  <c r="DK30" i="29"/>
  <c r="DL30" i="29"/>
  <c r="DM30" i="29"/>
  <c r="DN30" i="29"/>
  <c r="DO30" i="29"/>
  <c r="DP30" i="29"/>
  <c r="DG31" i="29"/>
  <c r="DH31" i="29"/>
  <c r="DI31" i="29"/>
  <c r="DJ31" i="29"/>
  <c r="DK31" i="29"/>
  <c r="DL31" i="29"/>
  <c r="DM31" i="29"/>
  <c r="DN31" i="29"/>
  <c r="DO31" i="29"/>
  <c r="DP31" i="29"/>
  <c r="DG32" i="29"/>
  <c r="DH32" i="29"/>
  <c r="DI32" i="29"/>
  <c r="DJ32" i="29"/>
  <c r="DK32" i="29"/>
  <c r="DL32" i="29"/>
  <c r="DM32" i="29"/>
  <c r="DN32" i="29"/>
  <c r="DO32" i="29"/>
  <c r="DP32" i="29"/>
  <c r="DG33" i="29"/>
  <c r="DH33" i="29"/>
  <c r="DI33" i="29"/>
  <c r="DJ33" i="29"/>
  <c r="DK33" i="29"/>
  <c r="DL33" i="29"/>
  <c r="DM33" i="29"/>
  <c r="DN33" i="29"/>
  <c r="DO33" i="29"/>
  <c r="DP33" i="29"/>
  <c r="DG34" i="29"/>
  <c r="DH34" i="29"/>
  <c r="DI34" i="29"/>
  <c r="DJ34" i="29"/>
  <c r="DK34" i="29"/>
  <c r="DL34" i="29"/>
  <c r="DM34" i="29"/>
  <c r="DN34" i="29"/>
  <c r="DO34" i="29"/>
  <c r="DP34" i="29"/>
  <c r="DG35" i="29"/>
  <c r="DH35" i="29"/>
  <c r="DI35" i="29"/>
  <c r="DJ35" i="29"/>
  <c r="DK35" i="29"/>
  <c r="DL35" i="29"/>
  <c r="DM35" i="29"/>
  <c r="DN35" i="29"/>
  <c r="DO35" i="29"/>
  <c r="DP35" i="29"/>
  <c r="DG36" i="29"/>
  <c r="DH36" i="29"/>
  <c r="DI36" i="29"/>
  <c r="DJ36" i="29"/>
  <c r="DK36" i="29"/>
  <c r="DL36" i="29"/>
  <c r="DM36" i="29"/>
  <c r="DN36" i="29"/>
  <c r="DO36" i="29"/>
  <c r="DP36" i="29"/>
  <c r="DG37" i="29"/>
  <c r="DH37" i="29"/>
  <c r="DI37" i="29"/>
  <c r="DJ37" i="29"/>
  <c r="DK37" i="29"/>
  <c r="DL37" i="29"/>
  <c r="DM37" i="29"/>
  <c r="DN37" i="29"/>
  <c r="DO37" i="29"/>
  <c r="DP37" i="29"/>
  <c r="DG38" i="29"/>
  <c r="DH38" i="29"/>
  <c r="DI38" i="29"/>
  <c r="DJ38" i="29"/>
  <c r="DK38" i="29"/>
  <c r="DL38" i="29"/>
  <c r="DM38" i="29"/>
  <c r="DN38" i="29"/>
  <c r="DO38" i="29"/>
  <c r="DP38" i="29"/>
  <c r="DG39" i="29"/>
  <c r="DH39" i="29"/>
  <c r="DI39" i="29"/>
  <c r="DJ39" i="29"/>
  <c r="DK39" i="29"/>
  <c r="DL39" i="29"/>
  <c r="DM39" i="29"/>
  <c r="DN39" i="29"/>
  <c r="DO39" i="29"/>
  <c r="DP39" i="29"/>
  <c r="DG40" i="29"/>
  <c r="DH40" i="29"/>
  <c r="DI40" i="29"/>
  <c r="DJ40" i="29"/>
  <c r="DK40" i="29"/>
  <c r="DL40" i="29"/>
  <c r="DM40" i="29"/>
  <c r="DN40" i="29"/>
  <c r="DO40" i="29"/>
  <c r="DP40" i="29"/>
  <c r="DG41" i="29"/>
  <c r="DH41" i="29"/>
  <c r="DI41" i="29"/>
  <c r="DJ41" i="29"/>
  <c r="DK41" i="29"/>
  <c r="DL41" i="29"/>
  <c r="DM41" i="29"/>
  <c r="DN41" i="29"/>
  <c r="DO41" i="29"/>
  <c r="DP41" i="29"/>
  <c r="DG42" i="29"/>
  <c r="DH42" i="29"/>
  <c r="DI42" i="29"/>
  <c r="DJ42" i="29"/>
  <c r="DK42" i="29"/>
  <c r="DL42" i="29"/>
  <c r="DM42" i="29"/>
  <c r="DN42" i="29"/>
  <c r="DO42" i="29"/>
  <c r="DP42" i="29"/>
  <c r="DG43" i="29"/>
  <c r="DH43" i="29"/>
  <c r="DI43" i="29"/>
  <c r="DJ43" i="29"/>
  <c r="DK43" i="29"/>
  <c r="DL43" i="29"/>
  <c r="DM43" i="29"/>
  <c r="DN43" i="29"/>
  <c r="DO43" i="29"/>
  <c r="DP43" i="29"/>
  <c r="DG44" i="29"/>
  <c r="DH44" i="29"/>
  <c r="DI44" i="29"/>
  <c r="DJ44" i="29"/>
  <c r="DK44" i="29"/>
  <c r="DL44" i="29"/>
  <c r="DM44" i="29"/>
  <c r="DN44" i="29"/>
  <c r="DO44" i="29"/>
  <c r="DP44" i="29"/>
  <c r="DG45" i="29"/>
  <c r="DH45" i="29"/>
  <c r="DI45" i="29"/>
  <c r="DJ45" i="29"/>
  <c r="DK45" i="29"/>
  <c r="DL45" i="29"/>
  <c r="DM45" i="29"/>
  <c r="DN45" i="29"/>
  <c r="DO45" i="29"/>
  <c r="DP45" i="29"/>
  <c r="DG46" i="29"/>
  <c r="DH46" i="29"/>
  <c r="DI46" i="29"/>
  <c r="DJ46" i="29"/>
  <c r="DK46" i="29"/>
  <c r="DL46" i="29"/>
  <c r="DM46" i="29"/>
  <c r="DN46" i="29"/>
  <c r="DO46" i="29"/>
  <c r="DP46" i="29"/>
  <c r="DG47" i="29"/>
  <c r="DH47" i="29"/>
  <c r="DI47" i="29"/>
  <c r="DJ47" i="29"/>
  <c r="DK47" i="29"/>
  <c r="DL47" i="29"/>
  <c r="DM47" i="29"/>
  <c r="DN47" i="29"/>
  <c r="DO47" i="29"/>
  <c r="DP47" i="29"/>
  <c r="DG48" i="29"/>
  <c r="DH48" i="29"/>
  <c r="DI48" i="29"/>
  <c r="DJ48" i="29"/>
  <c r="DK48" i="29"/>
  <c r="DL48" i="29"/>
  <c r="DM48" i="29"/>
  <c r="DN48" i="29"/>
  <c r="DO48" i="29"/>
  <c r="DP48" i="29"/>
  <c r="DG49" i="29"/>
  <c r="DH49" i="29"/>
  <c r="DI49" i="29"/>
  <c r="DJ49" i="29"/>
  <c r="DK49" i="29"/>
  <c r="DL49" i="29"/>
  <c r="DM49" i="29"/>
  <c r="DN49" i="29"/>
  <c r="DO49" i="29"/>
  <c r="DP49" i="29"/>
  <c r="DG50" i="29"/>
  <c r="DH50" i="29"/>
  <c r="DI50" i="29"/>
  <c r="DJ50" i="29"/>
  <c r="DK50" i="29"/>
  <c r="DL50" i="29"/>
  <c r="DM50" i="29"/>
  <c r="DN50" i="29"/>
  <c r="DO50" i="29"/>
  <c r="DP50" i="29"/>
  <c r="DG51" i="29"/>
  <c r="DH51" i="29"/>
  <c r="DI51" i="29"/>
  <c r="DJ51" i="29"/>
  <c r="DK51" i="29"/>
  <c r="DL51" i="29"/>
  <c r="DM51" i="29"/>
  <c r="DN51" i="29"/>
  <c r="DO51" i="29"/>
  <c r="DP51" i="29"/>
  <c r="DG52" i="29"/>
  <c r="DH52" i="29"/>
  <c r="DI52" i="29"/>
  <c r="DJ52" i="29"/>
  <c r="DK52" i="29"/>
  <c r="DL52" i="29"/>
  <c r="DM52" i="29"/>
  <c r="DN52" i="29"/>
  <c r="DO52" i="29"/>
  <c r="DP52" i="29"/>
  <c r="DG53" i="29"/>
  <c r="DH53" i="29"/>
  <c r="DI53" i="29"/>
  <c r="DJ53" i="29"/>
  <c r="DK53" i="29"/>
  <c r="DL53" i="29"/>
  <c r="DM53" i="29"/>
  <c r="DN53" i="29"/>
  <c r="DO53" i="29"/>
  <c r="DP53" i="29"/>
  <c r="DG54" i="29"/>
  <c r="DH54" i="29"/>
  <c r="DI54" i="29"/>
  <c r="DJ54" i="29"/>
  <c r="DK54" i="29"/>
  <c r="DL54" i="29"/>
  <c r="DM54" i="29"/>
  <c r="DN54" i="29"/>
  <c r="DO54" i="29"/>
  <c r="DP54" i="29"/>
  <c r="DG55" i="29"/>
  <c r="DH55" i="29"/>
  <c r="DI55" i="29"/>
  <c r="DJ55" i="29"/>
  <c r="DK55" i="29"/>
  <c r="DL55" i="29"/>
  <c r="DM55" i="29"/>
  <c r="DN55" i="29"/>
  <c r="DO55" i="29"/>
  <c r="DP55" i="29"/>
  <c r="DG56" i="29"/>
  <c r="DH56" i="29"/>
  <c r="DI56" i="29"/>
  <c r="DJ56" i="29"/>
  <c r="DK56" i="29"/>
  <c r="DL56" i="29"/>
  <c r="DM56" i="29"/>
  <c r="DN56" i="29"/>
  <c r="DO56" i="29"/>
  <c r="DP56" i="29"/>
  <c r="DG57" i="29"/>
  <c r="DH57" i="29"/>
  <c r="DI57" i="29"/>
  <c r="DJ57" i="29"/>
  <c r="DK57" i="29"/>
  <c r="DL57" i="29"/>
  <c r="DM57" i="29"/>
  <c r="DN57" i="29"/>
  <c r="DO57" i="29"/>
  <c r="DP57" i="29"/>
  <c r="DG58" i="29"/>
  <c r="DH58" i="29"/>
  <c r="DI58" i="29"/>
  <c r="DJ58" i="29"/>
  <c r="DK58" i="29"/>
  <c r="DL58" i="29"/>
  <c r="DM58" i="29"/>
  <c r="DN58" i="29"/>
  <c r="DO58" i="29"/>
  <c r="DP58" i="29"/>
  <c r="DG59" i="29"/>
  <c r="DH59" i="29"/>
  <c r="DI59" i="29"/>
  <c r="DJ59" i="29"/>
  <c r="DK59" i="29"/>
  <c r="DL59" i="29"/>
  <c r="DM59" i="29"/>
  <c r="DN59" i="29"/>
  <c r="DO59" i="29"/>
  <c r="DP59" i="29"/>
  <c r="DG60" i="29"/>
  <c r="DH60" i="29"/>
  <c r="DI60" i="29"/>
  <c r="DJ60" i="29"/>
  <c r="DK60" i="29"/>
  <c r="DL60" i="29"/>
  <c r="DM60" i="29"/>
  <c r="DN60" i="29"/>
  <c r="DO60" i="29"/>
  <c r="DP60" i="29"/>
  <c r="DG61" i="29"/>
  <c r="DH61" i="29"/>
  <c r="DI61" i="29"/>
  <c r="DJ61" i="29"/>
  <c r="DK61" i="29"/>
  <c r="DL61" i="29"/>
  <c r="DM61" i="29"/>
  <c r="DN61" i="29"/>
  <c r="DO61" i="29"/>
  <c r="DP61" i="29"/>
  <c r="DG62" i="29"/>
  <c r="DH62" i="29"/>
  <c r="DI62" i="29"/>
  <c r="DJ62" i="29"/>
  <c r="DK62" i="29"/>
  <c r="DL62" i="29"/>
  <c r="DM62" i="29"/>
  <c r="DN62" i="29"/>
  <c r="DO62" i="29"/>
  <c r="DP62" i="29"/>
  <c r="DG63" i="29"/>
  <c r="DH63" i="29"/>
  <c r="DI63" i="29"/>
  <c r="DJ63" i="29"/>
  <c r="DK63" i="29"/>
  <c r="DL63" i="29"/>
  <c r="DM63" i="29"/>
  <c r="DN63" i="29"/>
  <c r="DO63" i="29"/>
  <c r="DP63" i="29"/>
  <c r="DG64" i="29"/>
  <c r="DH64" i="29"/>
  <c r="DI64" i="29"/>
  <c r="DJ64" i="29"/>
  <c r="DK64" i="29"/>
  <c r="DL64" i="29"/>
  <c r="DM64" i="29"/>
  <c r="DN64" i="29"/>
  <c r="DO64" i="29"/>
  <c r="DP64" i="29"/>
  <c r="DG65" i="29"/>
  <c r="DH65" i="29"/>
  <c r="DI65" i="29"/>
  <c r="DJ65" i="29"/>
  <c r="DK65" i="29"/>
  <c r="DL65" i="29"/>
  <c r="DM65" i="29"/>
  <c r="DN65" i="29"/>
  <c r="DO65" i="29"/>
  <c r="DP65" i="29"/>
  <c r="DG66" i="29"/>
  <c r="DH66" i="29"/>
  <c r="DI66" i="29"/>
  <c r="DJ66" i="29"/>
  <c r="DK66" i="29"/>
  <c r="DL66" i="29"/>
  <c r="DM66" i="29"/>
  <c r="DN66" i="29"/>
  <c r="DO66" i="29"/>
  <c r="DP66" i="29"/>
  <c r="DG67" i="29"/>
  <c r="DH67" i="29"/>
  <c r="DI67" i="29"/>
  <c r="DJ67" i="29"/>
  <c r="DK67" i="29"/>
  <c r="DL67" i="29"/>
  <c r="DM67" i="29"/>
  <c r="DN67" i="29"/>
  <c r="DO67" i="29"/>
  <c r="DP67" i="29"/>
  <c r="DG68" i="29"/>
  <c r="DH68" i="29"/>
  <c r="DI68" i="29"/>
  <c r="DJ68" i="29"/>
  <c r="DK68" i="29"/>
  <c r="DL68" i="29"/>
  <c r="DM68" i="29"/>
  <c r="DN68" i="29"/>
  <c r="DO68" i="29"/>
  <c r="DP68" i="29"/>
  <c r="DG69" i="29"/>
  <c r="DH69" i="29"/>
  <c r="DI69" i="29"/>
  <c r="DJ69" i="29"/>
  <c r="DK69" i="29"/>
  <c r="DL69" i="29"/>
  <c r="DM69" i="29"/>
  <c r="DN69" i="29"/>
  <c r="DO69" i="29"/>
  <c r="DP69" i="29"/>
  <c r="DG70" i="29"/>
  <c r="DH70" i="29"/>
  <c r="DI70" i="29"/>
  <c r="DJ70" i="29"/>
  <c r="DK70" i="29"/>
  <c r="DL70" i="29"/>
  <c r="DM70" i="29"/>
  <c r="DN70" i="29"/>
  <c r="DO70" i="29"/>
  <c r="DP70" i="29"/>
  <c r="DG71" i="29"/>
  <c r="DH71" i="29"/>
  <c r="DI71" i="29"/>
  <c r="DJ71" i="29"/>
  <c r="DK71" i="29"/>
  <c r="DL71" i="29"/>
  <c r="DM71" i="29"/>
  <c r="DN71" i="29"/>
  <c r="DO71" i="29"/>
  <c r="DP71" i="29"/>
  <c r="DG72" i="29"/>
  <c r="DH72" i="29"/>
  <c r="DI72" i="29"/>
  <c r="DJ72" i="29"/>
  <c r="DK72" i="29"/>
  <c r="DL72" i="29"/>
  <c r="DM72" i="29"/>
  <c r="DN72" i="29"/>
  <c r="DO72" i="29"/>
  <c r="DP72" i="29"/>
  <c r="DG73" i="29"/>
  <c r="DH73" i="29"/>
  <c r="DI73" i="29"/>
  <c r="DJ73" i="29"/>
  <c r="DK73" i="29"/>
  <c r="DL73" i="29"/>
  <c r="DM73" i="29"/>
  <c r="DN73" i="29"/>
  <c r="DO73" i="29"/>
  <c r="DP73" i="29"/>
  <c r="DG74" i="29"/>
  <c r="DH74" i="29"/>
  <c r="DI74" i="29"/>
  <c r="DJ74" i="29"/>
  <c r="DK74" i="29"/>
  <c r="DL74" i="29"/>
  <c r="DM74" i="29"/>
  <c r="DN74" i="29"/>
  <c r="DO74" i="29"/>
  <c r="DP74" i="29"/>
  <c r="DG75" i="29"/>
  <c r="DH75" i="29"/>
  <c r="DI75" i="29"/>
  <c r="DJ75" i="29"/>
  <c r="DK75" i="29"/>
  <c r="DL75" i="29"/>
  <c r="DM75" i="29"/>
  <c r="DN75" i="29"/>
  <c r="DO75" i="29"/>
  <c r="DP75" i="29"/>
  <c r="DG76" i="29"/>
  <c r="DH76" i="29"/>
  <c r="DI76" i="29"/>
  <c r="DJ76" i="29"/>
  <c r="DK76" i="29"/>
  <c r="DL76" i="29"/>
  <c r="DM76" i="29"/>
  <c r="DN76" i="29"/>
  <c r="DO76" i="29"/>
  <c r="DP76" i="29"/>
  <c r="DG77" i="29"/>
  <c r="DH77" i="29"/>
  <c r="DI77" i="29"/>
  <c r="DJ77" i="29"/>
  <c r="DK77" i="29"/>
  <c r="DL77" i="29"/>
  <c r="DM77" i="29"/>
  <c r="DN77" i="29"/>
  <c r="DO77" i="29"/>
  <c r="DP77" i="29"/>
  <c r="DG78" i="29"/>
  <c r="DH78" i="29"/>
  <c r="DI78" i="29"/>
  <c r="DJ78" i="29"/>
  <c r="DK78" i="29"/>
  <c r="DL78" i="29"/>
  <c r="DM78" i="29"/>
  <c r="DN78" i="29"/>
  <c r="DO78" i="29"/>
  <c r="DP78" i="29"/>
  <c r="DG79" i="29"/>
  <c r="DH79" i="29"/>
  <c r="DI79" i="29"/>
  <c r="DJ79" i="29"/>
  <c r="DK79" i="29"/>
  <c r="DL79" i="29"/>
  <c r="DM79" i="29"/>
  <c r="DN79" i="29"/>
  <c r="DO79" i="29"/>
  <c r="DP79" i="29"/>
  <c r="DG80" i="29"/>
  <c r="DH80" i="29"/>
  <c r="DI80" i="29"/>
  <c r="DJ80" i="29"/>
  <c r="DK80" i="29"/>
  <c r="DL80" i="29"/>
  <c r="DM80" i="29"/>
  <c r="DN80" i="29"/>
  <c r="DO80" i="29"/>
  <c r="DP80" i="29"/>
  <c r="DG81" i="29"/>
  <c r="DH81" i="29"/>
  <c r="DI81" i="29"/>
  <c r="DJ81" i="29"/>
  <c r="DK81" i="29"/>
  <c r="DL81" i="29"/>
  <c r="DM81" i="29"/>
  <c r="DN81" i="29"/>
  <c r="DO81" i="29"/>
  <c r="DP81" i="29"/>
  <c r="DG82" i="29"/>
  <c r="DH82" i="29"/>
  <c r="DI82" i="29"/>
  <c r="DJ82" i="29"/>
  <c r="DK82" i="29"/>
  <c r="DL82" i="29"/>
  <c r="DM82" i="29"/>
  <c r="DN82" i="29"/>
  <c r="DO82" i="29"/>
  <c r="DP82" i="29"/>
  <c r="DG83" i="29"/>
  <c r="DH83" i="29"/>
  <c r="DI83" i="29"/>
  <c r="DJ83" i="29"/>
  <c r="DK83" i="29"/>
  <c r="DL83" i="29"/>
  <c r="DM83" i="29"/>
  <c r="DN83" i="29"/>
  <c r="DO83" i="29"/>
  <c r="DP83" i="29"/>
  <c r="DG84" i="29"/>
  <c r="DH84" i="29"/>
  <c r="DI84" i="29"/>
  <c r="DJ84" i="29"/>
  <c r="DK84" i="29"/>
  <c r="DL84" i="29"/>
  <c r="DM84" i="29"/>
  <c r="DN84" i="29"/>
  <c r="DO84" i="29"/>
  <c r="DP84" i="29"/>
  <c r="DG85" i="29"/>
  <c r="DH85" i="29"/>
  <c r="DI85" i="29"/>
  <c r="DJ85" i="29"/>
  <c r="DK85" i="29"/>
  <c r="DL85" i="29"/>
  <c r="DM85" i="29"/>
  <c r="DN85" i="29"/>
  <c r="DO85" i="29"/>
  <c r="DP85" i="29"/>
  <c r="DG86" i="29"/>
  <c r="DH86" i="29"/>
  <c r="DI86" i="29"/>
  <c r="DJ86" i="29"/>
  <c r="DK86" i="29"/>
  <c r="DL86" i="29"/>
  <c r="DM86" i="29"/>
  <c r="DN86" i="29"/>
  <c r="DO86" i="29"/>
  <c r="DP86" i="29"/>
  <c r="DG87" i="29"/>
  <c r="DH87" i="29"/>
  <c r="DI87" i="29"/>
  <c r="DJ87" i="29"/>
  <c r="DK87" i="29"/>
  <c r="DL87" i="29"/>
  <c r="DM87" i="29"/>
  <c r="DN87" i="29"/>
  <c r="DO87" i="29"/>
  <c r="DP87" i="29"/>
  <c r="DG88" i="29"/>
  <c r="DH88" i="29"/>
  <c r="DI88" i="29"/>
  <c r="DJ88" i="29"/>
  <c r="DK88" i="29"/>
  <c r="DL88" i="29"/>
  <c r="DM88" i="29"/>
  <c r="DN88" i="29"/>
  <c r="DO88" i="29"/>
  <c r="DP88" i="29"/>
  <c r="DG89" i="29"/>
  <c r="DH89" i="29"/>
  <c r="DI89" i="29"/>
  <c r="DJ89" i="29"/>
  <c r="DK89" i="29"/>
  <c r="DL89" i="29"/>
  <c r="DM89" i="29"/>
  <c r="DN89" i="29"/>
  <c r="DO89" i="29"/>
  <c r="DP89" i="29"/>
  <c r="DG90" i="29"/>
  <c r="DH90" i="29"/>
  <c r="DI90" i="29"/>
  <c r="DJ90" i="29"/>
  <c r="DK90" i="29"/>
  <c r="DL90" i="29"/>
  <c r="DM90" i="29"/>
  <c r="DN90" i="29"/>
  <c r="DO90" i="29"/>
  <c r="DP90" i="29"/>
  <c r="DG91" i="29"/>
  <c r="DH91" i="29"/>
  <c r="DI91" i="29"/>
  <c r="DJ91" i="29"/>
  <c r="DK91" i="29"/>
  <c r="DL91" i="29"/>
  <c r="DM91" i="29"/>
  <c r="DN91" i="29"/>
  <c r="DO91" i="29"/>
  <c r="DP91" i="29"/>
  <c r="DG92" i="29"/>
  <c r="DH92" i="29"/>
  <c r="DI92" i="29"/>
  <c r="DJ92" i="29"/>
  <c r="DK92" i="29"/>
  <c r="DL92" i="29"/>
  <c r="DM92" i="29"/>
  <c r="DN92" i="29"/>
  <c r="DO92" i="29"/>
  <c r="DP92" i="29"/>
  <c r="DG93" i="29"/>
  <c r="DH93" i="29"/>
  <c r="DI93" i="29"/>
  <c r="DJ93" i="29"/>
  <c r="DK93" i="29"/>
  <c r="DL93" i="29"/>
  <c r="DM93" i="29"/>
  <c r="DN93" i="29"/>
  <c r="DO93" i="29"/>
  <c r="DP93" i="29"/>
  <c r="DG94" i="29"/>
  <c r="DH94" i="29"/>
  <c r="DI94" i="29"/>
  <c r="DJ94" i="29"/>
  <c r="DK94" i="29"/>
  <c r="DL94" i="29"/>
  <c r="DM94" i="29"/>
  <c r="DN94" i="29"/>
  <c r="DO94" i="29"/>
  <c r="DP94" i="29"/>
  <c r="DG95" i="29"/>
  <c r="DH95" i="29"/>
  <c r="DI95" i="29"/>
  <c r="DJ95" i="29"/>
  <c r="DK95" i="29"/>
  <c r="DL95" i="29"/>
  <c r="DM95" i="29"/>
  <c r="DN95" i="29"/>
  <c r="DO95" i="29"/>
  <c r="DP95" i="29"/>
  <c r="DG96" i="29"/>
  <c r="DH96" i="29"/>
  <c r="DI96" i="29"/>
  <c r="DJ96" i="29"/>
  <c r="DK96" i="29"/>
  <c r="DL96" i="29"/>
  <c r="DM96" i="29"/>
  <c r="DN96" i="29"/>
  <c r="DO96" i="29"/>
  <c r="DP96" i="29"/>
  <c r="DG97" i="29"/>
  <c r="DH97" i="29"/>
  <c r="DI97" i="29"/>
  <c r="DJ97" i="29"/>
  <c r="DK97" i="29"/>
  <c r="DL97" i="29"/>
  <c r="DM97" i="29"/>
  <c r="DN97" i="29"/>
  <c r="DO97" i="29"/>
  <c r="DP97" i="29"/>
  <c r="DG98" i="29"/>
  <c r="DH98" i="29"/>
  <c r="DI98" i="29"/>
  <c r="DJ98" i="29"/>
  <c r="DK98" i="29"/>
  <c r="DL98" i="29"/>
  <c r="DM98" i="29"/>
  <c r="DN98" i="29"/>
  <c r="DO98" i="29"/>
  <c r="DP98" i="29"/>
  <c r="DG99" i="29"/>
  <c r="DH99" i="29"/>
  <c r="DI99" i="29"/>
  <c r="DJ99" i="29"/>
  <c r="DK99" i="29"/>
  <c r="DL99" i="29"/>
  <c r="DM99" i="29"/>
  <c r="DN99" i="29"/>
  <c r="DO99" i="29"/>
  <c r="DP99" i="29"/>
  <c r="DG100" i="29"/>
  <c r="DH100" i="29"/>
  <c r="DI100" i="29"/>
  <c r="DJ100" i="29"/>
  <c r="DK100" i="29"/>
  <c r="DL100" i="29"/>
  <c r="DM100" i="29"/>
  <c r="DN100" i="29"/>
  <c r="DO100" i="29"/>
  <c r="DP100" i="29"/>
  <c r="DG101" i="29"/>
  <c r="DH101" i="29"/>
  <c r="DI101" i="29"/>
  <c r="DJ101" i="29"/>
  <c r="DK101" i="29"/>
  <c r="DL101" i="29"/>
  <c r="DM101" i="29"/>
  <c r="DN101" i="29"/>
  <c r="DO101" i="29"/>
  <c r="DP101" i="29"/>
  <c r="DG102" i="29"/>
  <c r="DH102" i="29"/>
  <c r="DI102" i="29"/>
  <c r="DJ102" i="29"/>
  <c r="DK102" i="29"/>
  <c r="DL102" i="29"/>
  <c r="DM102" i="29"/>
  <c r="DN102" i="29"/>
  <c r="DO102" i="29"/>
  <c r="DP102" i="29"/>
  <c r="DG103" i="29"/>
  <c r="DH103" i="29"/>
  <c r="DI103" i="29"/>
  <c r="DJ103" i="29"/>
  <c r="DK103" i="29"/>
  <c r="DL103" i="29"/>
  <c r="DM103" i="29"/>
  <c r="DN103" i="29"/>
  <c r="DO103" i="29"/>
  <c r="DP103" i="29"/>
  <c r="DG104" i="29"/>
  <c r="DH104" i="29"/>
  <c r="DI104" i="29"/>
  <c r="DJ104" i="29"/>
  <c r="DK104" i="29"/>
  <c r="DL104" i="29"/>
  <c r="DM104" i="29"/>
  <c r="DN104" i="29"/>
  <c r="DO104" i="29"/>
  <c r="DP104" i="29"/>
  <c r="DG105" i="29"/>
  <c r="DH105" i="29"/>
  <c r="DI105" i="29"/>
  <c r="DJ105" i="29"/>
  <c r="DK105" i="29"/>
  <c r="DL105" i="29"/>
  <c r="DM105" i="29"/>
  <c r="DN105" i="29"/>
  <c r="DO105" i="29"/>
  <c r="DP105" i="29"/>
  <c r="DG106" i="29"/>
  <c r="DH106" i="29"/>
  <c r="DI106" i="29"/>
  <c r="DJ106" i="29"/>
  <c r="DK106" i="29"/>
  <c r="DL106" i="29"/>
  <c r="DM106" i="29"/>
  <c r="DN106" i="29"/>
  <c r="DO106" i="29"/>
  <c r="DP106" i="29"/>
  <c r="DG107" i="29"/>
  <c r="DH107" i="29"/>
  <c r="DI107" i="29"/>
  <c r="DJ107" i="29"/>
  <c r="DK107" i="29"/>
  <c r="DL107" i="29"/>
  <c r="DM107" i="29"/>
  <c r="DN107" i="29"/>
  <c r="DO107" i="29"/>
  <c r="DP107" i="29"/>
  <c r="DG108" i="29"/>
  <c r="DH108" i="29"/>
  <c r="DI108" i="29"/>
  <c r="DJ108" i="29"/>
  <c r="DK108" i="29"/>
  <c r="DL108" i="29"/>
  <c r="DM108" i="29"/>
  <c r="DN108" i="29"/>
  <c r="DO108" i="29"/>
  <c r="DP108" i="29"/>
  <c r="DG109" i="29"/>
  <c r="DH109" i="29"/>
  <c r="DI109" i="29"/>
  <c r="DJ109" i="29"/>
  <c r="DK109" i="29"/>
  <c r="DL109" i="29"/>
  <c r="DM109" i="29"/>
  <c r="DN109" i="29"/>
  <c r="DO109" i="29"/>
  <c r="DP109" i="29"/>
  <c r="DG110" i="29"/>
  <c r="DH110" i="29"/>
  <c r="DI110" i="29"/>
  <c r="DJ110" i="29"/>
  <c r="DK110" i="29"/>
  <c r="DL110" i="29"/>
  <c r="DM110" i="29"/>
  <c r="DN110" i="29"/>
  <c r="DO110" i="29"/>
  <c r="DP110" i="29"/>
  <c r="DG111" i="29"/>
  <c r="DH111" i="29"/>
  <c r="DI111" i="29"/>
  <c r="DJ111" i="29"/>
  <c r="DK111" i="29"/>
  <c r="DL111" i="29"/>
  <c r="DM111" i="29"/>
  <c r="DN111" i="29"/>
  <c r="DO111" i="29"/>
  <c r="DP111" i="29"/>
  <c r="DG112" i="29"/>
  <c r="DH112" i="29"/>
  <c r="DI112" i="29"/>
  <c r="DJ112" i="29"/>
  <c r="DK112" i="29"/>
  <c r="DL112" i="29"/>
  <c r="DM112" i="29"/>
  <c r="DN112" i="29"/>
  <c r="DO112" i="29"/>
  <c r="DP112" i="29"/>
  <c r="DG113" i="29"/>
  <c r="DH113" i="29"/>
  <c r="DI113" i="29"/>
  <c r="DJ113" i="29"/>
  <c r="DK113" i="29"/>
  <c r="DL113" i="29"/>
  <c r="DM113" i="29"/>
  <c r="DN113" i="29"/>
  <c r="DO113" i="29"/>
  <c r="DP113" i="29"/>
  <c r="DG114" i="29"/>
  <c r="DH114" i="29"/>
  <c r="DI114" i="29"/>
  <c r="DJ114" i="29"/>
  <c r="DK114" i="29"/>
  <c r="DL114" i="29"/>
  <c r="DM114" i="29"/>
  <c r="DN114" i="29"/>
  <c r="DO114" i="29"/>
  <c r="DP114" i="29"/>
  <c r="DG115" i="29"/>
  <c r="DH115" i="29"/>
  <c r="DI115" i="29"/>
  <c r="DJ115" i="29"/>
  <c r="DK115" i="29"/>
  <c r="DL115" i="29"/>
  <c r="DM115" i="29"/>
  <c r="DN115" i="29"/>
  <c r="DO115" i="29"/>
  <c r="DP115" i="29"/>
  <c r="DG116" i="29"/>
  <c r="DH116" i="29"/>
  <c r="DI116" i="29"/>
  <c r="DJ116" i="29"/>
  <c r="DK116" i="29"/>
  <c r="DL116" i="29"/>
  <c r="DM116" i="29"/>
  <c r="DN116" i="29"/>
  <c r="DO116" i="29"/>
  <c r="DP116" i="29"/>
  <c r="DG117" i="29"/>
  <c r="DH117" i="29"/>
  <c r="DI117" i="29"/>
  <c r="DJ117" i="29"/>
  <c r="DK117" i="29"/>
  <c r="DL117" i="29"/>
  <c r="DM117" i="29"/>
  <c r="DN117" i="29"/>
  <c r="DO117" i="29"/>
  <c r="DP117" i="29"/>
  <c r="DG118" i="29"/>
  <c r="DH118" i="29"/>
  <c r="DI118" i="29"/>
  <c r="DJ118" i="29"/>
  <c r="DK118" i="29"/>
  <c r="DL118" i="29"/>
  <c r="DM118" i="29"/>
  <c r="DN118" i="29"/>
  <c r="DO118" i="29"/>
  <c r="DP118" i="29"/>
  <c r="DG119" i="29"/>
  <c r="DH119" i="29"/>
  <c r="DI119" i="29"/>
  <c r="DJ119" i="29"/>
  <c r="DK119" i="29"/>
  <c r="DL119" i="29"/>
  <c r="DM119" i="29"/>
  <c r="DN119" i="29"/>
  <c r="DO119" i="29"/>
  <c r="DP119" i="29"/>
  <c r="DG120" i="29"/>
  <c r="DH120" i="29"/>
  <c r="DI120" i="29"/>
  <c r="DJ120" i="29"/>
  <c r="DK120" i="29"/>
  <c r="DL120" i="29"/>
  <c r="DM120" i="29"/>
  <c r="DN120" i="29"/>
  <c r="DO120" i="29"/>
  <c r="DP120" i="29"/>
  <c r="DG121" i="29"/>
  <c r="DH121" i="29"/>
  <c r="DI121" i="29"/>
  <c r="DJ121" i="29"/>
  <c r="DK121" i="29"/>
  <c r="DL121" i="29"/>
  <c r="DM121" i="29"/>
  <c r="DN121" i="29"/>
  <c r="DO121" i="29"/>
  <c r="DP121" i="29"/>
  <c r="DG122" i="29"/>
  <c r="DH122" i="29"/>
  <c r="DI122" i="29"/>
  <c r="DJ122" i="29"/>
  <c r="DK122" i="29"/>
  <c r="DL122" i="29"/>
  <c r="DM122" i="29"/>
  <c r="DN122" i="29"/>
  <c r="DO122" i="29"/>
  <c r="DP122" i="29"/>
  <c r="DG123" i="29"/>
  <c r="DH123" i="29"/>
  <c r="DI123" i="29"/>
  <c r="DJ123" i="29"/>
  <c r="DK123" i="29"/>
  <c r="DL123" i="29"/>
  <c r="DM123" i="29"/>
  <c r="DN123" i="29"/>
  <c r="DO123" i="29"/>
  <c r="DP123" i="29"/>
  <c r="DG124" i="29"/>
  <c r="DH124" i="29"/>
  <c r="DI124" i="29"/>
  <c r="DJ124" i="29"/>
  <c r="DK124" i="29"/>
  <c r="DL124" i="29"/>
  <c r="DM124" i="29"/>
  <c r="DN124" i="29"/>
  <c r="DO124" i="29"/>
  <c r="DP124" i="29"/>
  <c r="DG125" i="29"/>
  <c r="DH125" i="29"/>
  <c r="DI125" i="29"/>
  <c r="DJ125" i="29"/>
  <c r="DK125" i="29"/>
  <c r="DL125" i="29"/>
  <c r="DM125" i="29"/>
  <c r="DN125" i="29"/>
  <c r="DO125" i="29"/>
  <c r="DP125" i="29"/>
  <c r="DG126" i="29"/>
  <c r="DH126" i="29"/>
  <c r="DI126" i="29"/>
  <c r="DJ126" i="29"/>
  <c r="DK126" i="29"/>
  <c r="DL126" i="29"/>
  <c r="DM126" i="29"/>
  <c r="DN126" i="29"/>
  <c r="DO126" i="29"/>
  <c r="DP126" i="29"/>
  <c r="DG127" i="29"/>
  <c r="DH127" i="29"/>
  <c r="DI127" i="29"/>
  <c r="DJ127" i="29"/>
  <c r="DK127" i="29"/>
  <c r="DL127" i="29"/>
  <c r="DM127" i="29"/>
  <c r="DN127" i="29"/>
  <c r="DO127" i="29"/>
  <c r="DP127" i="29"/>
  <c r="DG128" i="29"/>
  <c r="DH128" i="29"/>
  <c r="DI128" i="29"/>
  <c r="DJ128" i="29"/>
  <c r="DK128" i="29"/>
  <c r="DL128" i="29"/>
  <c r="DM128" i="29"/>
  <c r="DN128" i="29"/>
  <c r="DO128" i="29"/>
  <c r="DP128" i="29"/>
  <c r="DG129" i="29"/>
  <c r="DH129" i="29"/>
  <c r="DI129" i="29"/>
  <c r="DJ129" i="29"/>
  <c r="DK129" i="29"/>
  <c r="DL129" i="29"/>
  <c r="DM129" i="29"/>
  <c r="DN129" i="29"/>
  <c r="DO129" i="29"/>
  <c r="DP129" i="29"/>
  <c r="DG130" i="29"/>
  <c r="DH130" i="29"/>
  <c r="DI130" i="29"/>
  <c r="DJ130" i="29"/>
  <c r="DK130" i="29"/>
  <c r="DL130" i="29"/>
  <c r="DM130" i="29"/>
  <c r="DN130" i="29"/>
  <c r="DO130" i="29"/>
  <c r="DP130" i="29"/>
  <c r="DG131" i="29"/>
  <c r="DH131" i="29"/>
  <c r="DI131" i="29"/>
  <c r="DJ131" i="29"/>
  <c r="DK131" i="29"/>
  <c r="DL131" i="29"/>
  <c r="DM131" i="29"/>
  <c r="DN131" i="29"/>
  <c r="DO131" i="29"/>
  <c r="DP131" i="29"/>
  <c r="DG132" i="29"/>
  <c r="DH132" i="29"/>
  <c r="DI132" i="29"/>
  <c r="DJ132" i="29"/>
  <c r="DK132" i="29"/>
  <c r="DL132" i="29"/>
  <c r="DM132" i="29"/>
  <c r="DN132" i="29"/>
  <c r="DO132" i="29"/>
  <c r="DP132" i="29"/>
  <c r="DG133" i="29"/>
  <c r="DH133" i="29"/>
  <c r="DI133" i="29"/>
  <c r="DJ133" i="29"/>
  <c r="DK133" i="29"/>
  <c r="DL133" i="29"/>
  <c r="DM133" i="29"/>
  <c r="DN133" i="29"/>
  <c r="DO133" i="29"/>
  <c r="DP133" i="29"/>
  <c r="DG134" i="29"/>
  <c r="DH134" i="29"/>
  <c r="DI134" i="29"/>
  <c r="DJ134" i="29"/>
  <c r="DK134" i="29"/>
  <c r="DL134" i="29"/>
  <c r="DM134" i="29"/>
  <c r="DN134" i="29"/>
  <c r="DO134" i="29"/>
  <c r="DP134" i="29"/>
  <c r="DG135" i="29"/>
  <c r="DH135" i="29"/>
  <c r="DI135" i="29"/>
  <c r="DJ135" i="29"/>
  <c r="DK135" i="29"/>
  <c r="DL135" i="29"/>
  <c r="DM135" i="29"/>
  <c r="DN135" i="29"/>
  <c r="DO135" i="29"/>
  <c r="DP135" i="29"/>
  <c r="DG136" i="29"/>
  <c r="DH136" i="29"/>
  <c r="DI136" i="29"/>
  <c r="DJ136" i="29"/>
  <c r="DK136" i="29"/>
  <c r="DL136" i="29"/>
  <c r="DM136" i="29"/>
  <c r="DN136" i="29"/>
  <c r="DO136" i="29"/>
  <c r="DP136" i="29"/>
  <c r="DG137" i="29"/>
  <c r="DH137" i="29"/>
  <c r="DI137" i="29"/>
  <c r="DJ137" i="29"/>
  <c r="DK137" i="29"/>
  <c r="DL137" i="29"/>
  <c r="DM137" i="29"/>
  <c r="DN137" i="29"/>
  <c r="DO137" i="29"/>
  <c r="DP137" i="29"/>
  <c r="DG138" i="29"/>
  <c r="DH138" i="29"/>
  <c r="DI138" i="29"/>
  <c r="DJ138" i="29"/>
  <c r="DK138" i="29"/>
  <c r="DL138" i="29"/>
  <c r="DM138" i="29"/>
  <c r="DN138" i="29"/>
  <c r="DO138" i="29"/>
  <c r="DP138" i="29"/>
  <c r="DG139" i="29"/>
  <c r="DH139" i="29"/>
  <c r="DI139" i="29"/>
  <c r="DJ139" i="29"/>
  <c r="DK139" i="29"/>
  <c r="DL139" i="29"/>
  <c r="DM139" i="29"/>
  <c r="DN139" i="29"/>
  <c r="DO139" i="29"/>
  <c r="DP139" i="29"/>
  <c r="DG140" i="29"/>
  <c r="DH140" i="29"/>
  <c r="DI140" i="29"/>
  <c r="DJ140" i="29"/>
  <c r="DK140" i="29"/>
  <c r="DL140" i="29"/>
  <c r="DM140" i="29"/>
  <c r="DN140" i="29"/>
  <c r="DO140" i="29"/>
  <c r="DP140" i="29"/>
  <c r="DG141" i="29"/>
  <c r="DH141" i="29"/>
  <c r="DI141" i="29"/>
  <c r="DJ141" i="29"/>
  <c r="DK141" i="29"/>
  <c r="DL141" i="29"/>
  <c r="DM141" i="29"/>
  <c r="DN141" i="29"/>
  <c r="DO141" i="29"/>
  <c r="DP141" i="29"/>
  <c r="DG142" i="29"/>
  <c r="DH142" i="29"/>
  <c r="DI142" i="29"/>
  <c r="DJ142" i="29"/>
  <c r="DK142" i="29"/>
  <c r="DL142" i="29"/>
  <c r="DM142" i="29"/>
  <c r="DN142" i="29"/>
  <c r="DO142" i="29"/>
  <c r="DP142" i="29"/>
  <c r="DG143" i="29"/>
  <c r="DH143" i="29"/>
  <c r="DI143" i="29"/>
  <c r="DJ143" i="29"/>
  <c r="DK143" i="29"/>
  <c r="DL143" i="29"/>
  <c r="DM143" i="29"/>
  <c r="DN143" i="29"/>
  <c r="DO143" i="29"/>
  <c r="DP143" i="29"/>
  <c r="DG144" i="29"/>
  <c r="DH144" i="29"/>
  <c r="DI144" i="29"/>
  <c r="DJ144" i="29"/>
  <c r="DK144" i="29"/>
  <c r="DL144" i="29"/>
  <c r="DM144" i="29"/>
  <c r="DN144" i="29"/>
  <c r="DO144" i="29"/>
  <c r="DP144" i="29"/>
  <c r="DG145" i="29"/>
  <c r="DH145" i="29"/>
  <c r="DI145" i="29"/>
  <c r="DJ145" i="29"/>
  <c r="DK145" i="29"/>
  <c r="DL145" i="29"/>
  <c r="DM145" i="29"/>
  <c r="DN145" i="29"/>
  <c r="DO145" i="29"/>
  <c r="DP145" i="29"/>
  <c r="DG146" i="29"/>
  <c r="DH146" i="29"/>
  <c r="DI146" i="29"/>
  <c r="DJ146" i="29"/>
  <c r="DK146" i="29"/>
  <c r="DL146" i="29"/>
  <c r="DM146" i="29"/>
  <c r="DN146" i="29"/>
  <c r="DO146" i="29"/>
  <c r="DP146" i="29"/>
  <c r="DG147" i="29"/>
  <c r="DH147" i="29"/>
  <c r="DI147" i="29"/>
  <c r="DJ147" i="29"/>
  <c r="DK147" i="29"/>
  <c r="DL147" i="29"/>
  <c r="DM147" i="29"/>
  <c r="DN147" i="29"/>
  <c r="DO147" i="29"/>
  <c r="DP147" i="29"/>
  <c r="DG148" i="29"/>
  <c r="DH148" i="29"/>
  <c r="DI148" i="29"/>
  <c r="DJ148" i="29"/>
  <c r="DK148" i="29"/>
  <c r="DL148" i="29"/>
  <c r="DM148" i="29"/>
  <c r="DN148" i="29"/>
  <c r="DO148" i="29"/>
  <c r="DP148" i="29"/>
  <c r="DG149" i="29"/>
  <c r="DH149" i="29"/>
  <c r="DI149" i="29"/>
  <c r="DJ149" i="29"/>
  <c r="DK149" i="29"/>
  <c r="DL149" i="29"/>
  <c r="DM149" i="29"/>
  <c r="DN149" i="29"/>
  <c r="DO149" i="29"/>
  <c r="DP149" i="29"/>
  <c r="DG150" i="29"/>
  <c r="DH150" i="29"/>
  <c r="DI150" i="29"/>
  <c r="DJ150" i="29"/>
  <c r="DK150" i="29"/>
  <c r="DL150" i="29"/>
  <c r="DM150" i="29"/>
  <c r="DN150" i="29"/>
  <c r="DO150" i="29"/>
  <c r="DP150" i="29"/>
  <c r="DG151" i="29"/>
  <c r="DH151" i="29"/>
  <c r="DI151" i="29"/>
  <c r="DJ151" i="29"/>
  <c r="DK151" i="29"/>
  <c r="DL151" i="29"/>
  <c r="DM151" i="29"/>
  <c r="DN151" i="29"/>
  <c r="DO151" i="29"/>
  <c r="DP151" i="29"/>
  <c r="DG152" i="29"/>
  <c r="DH152" i="29"/>
  <c r="DI152" i="29"/>
  <c r="DJ152" i="29"/>
  <c r="DK152" i="29"/>
  <c r="DL152" i="29"/>
  <c r="DM152" i="29"/>
  <c r="DN152" i="29"/>
  <c r="DO152" i="29"/>
  <c r="DP152" i="29"/>
  <c r="DG153" i="29"/>
  <c r="DH153" i="29"/>
  <c r="DI153" i="29"/>
  <c r="DJ153" i="29"/>
  <c r="DK153" i="29"/>
  <c r="DL153" i="29"/>
  <c r="DM153" i="29"/>
  <c r="DN153" i="29"/>
  <c r="DO153" i="29"/>
  <c r="DP153" i="29"/>
  <c r="DG154" i="29"/>
  <c r="DH154" i="29"/>
  <c r="DI154" i="29"/>
  <c r="DJ154" i="29"/>
  <c r="DK154" i="29"/>
  <c r="DL154" i="29"/>
  <c r="DM154" i="29"/>
  <c r="DN154" i="29"/>
  <c r="DO154" i="29"/>
  <c r="DP154" i="29"/>
  <c r="DG155" i="29"/>
  <c r="DH155" i="29"/>
  <c r="DI155" i="29"/>
  <c r="DJ155" i="29"/>
  <c r="DK155" i="29"/>
  <c r="DL155" i="29"/>
  <c r="DM155" i="29"/>
  <c r="DN155" i="29"/>
  <c r="DO155" i="29"/>
  <c r="DP155" i="29"/>
  <c r="DG156" i="29"/>
  <c r="DH156" i="29"/>
  <c r="DI156" i="29"/>
  <c r="DJ156" i="29"/>
  <c r="DK156" i="29"/>
  <c r="DL156" i="29"/>
  <c r="DM156" i="29"/>
  <c r="DN156" i="29"/>
  <c r="DO156" i="29"/>
  <c r="DP156" i="29"/>
  <c r="DG157" i="29"/>
  <c r="DH157" i="29"/>
  <c r="DI157" i="29"/>
  <c r="DJ157" i="29"/>
  <c r="DK157" i="29"/>
  <c r="DL157" i="29"/>
  <c r="DM157" i="29"/>
  <c r="DN157" i="29"/>
  <c r="DO157" i="29"/>
  <c r="DP157" i="29"/>
  <c r="DG158" i="29"/>
  <c r="DH158" i="29"/>
  <c r="DI158" i="29"/>
  <c r="DJ158" i="29"/>
  <c r="DK158" i="29"/>
  <c r="DL158" i="29"/>
  <c r="DM158" i="29"/>
  <c r="DN158" i="29"/>
  <c r="DO158" i="29"/>
  <c r="DP158" i="29"/>
  <c r="DG159" i="29"/>
  <c r="DH159" i="29"/>
  <c r="DI159" i="29"/>
  <c r="DJ159" i="29"/>
  <c r="DK159" i="29"/>
  <c r="DL159" i="29"/>
  <c r="DM159" i="29"/>
  <c r="DN159" i="29"/>
  <c r="DO159" i="29"/>
  <c r="DP159" i="29"/>
  <c r="DG160" i="29"/>
  <c r="DH160" i="29"/>
  <c r="DI160" i="29"/>
  <c r="DJ160" i="29"/>
  <c r="DK160" i="29"/>
  <c r="DL160" i="29"/>
  <c r="DM160" i="29"/>
  <c r="DN160" i="29"/>
  <c r="DO160" i="29"/>
  <c r="DP160" i="29"/>
  <c r="DG161" i="29"/>
  <c r="DH161" i="29"/>
  <c r="DI161" i="29"/>
  <c r="DJ161" i="29"/>
  <c r="DK161" i="29"/>
  <c r="DL161" i="29"/>
  <c r="DM161" i="29"/>
  <c r="DN161" i="29"/>
  <c r="DO161" i="29"/>
  <c r="DP161" i="29"/>
  <c r="DG162" i="29"/>
  <c r="DH162" i="29"/>
  <c r="DI162" i="29"/>
  <c r="DJ162" i="29"/>
  <c r="DK162" i="29"/>
  <c r="DL162" i="29"/>
  <c r="DM162" i="29"/>
  <c r="DN162" i="29"/>
  <c r="DO162" i="29"/>
  <c r="DP162" i="29"/>
  <c r="DG163" i="29"/>
  <c r="DH163" i="29"/>
  <c r="DI163" i="29"/>
  <c r="DJ163" i="29"/>
  <c r="DK163" i="29"/>
  <c r="DL163" i="29"/>
  <c r="DM163" i="29"/>
  <c r="DN163" i="29"/>
  <c r="DO163" i="29"/>
  <c r="DP163" i="29"/>
  <c r="DG164" i="29"/>
  <c r="DH164" i="29"/>
  <c r="DI164" i="29"/>
  <c r="DJ164" i="29"/>
  <c r="DK164" i="29"/>
  <c r="DL164" i="29"/>
  <c r="DM164" i="29"/>
  <c r="DN164" i="29"/>
  <c r="DO164" i="29"/>
  <c r="DP164" i="29"/>
  <c r="DG165" i="29"/>
  <c r="DH165" i="29"/>
  <c r="DI165" i="29"/>
  <c r="DJ165" i="29"/>
  <c r="DK165" i="29"/>
  <c r="DL165" i="29"/>
  <c r="DM165" i="29"/>
  <c r="DN165" i="29"/>
  <c r="DO165" i="29"/>
  <c r="DP165" i="29"/>
  <c r="DG166" i="29"/>
  <c r="DH166" i="29"/>
  <c r="DI166" i="29"/>
  <c r="DJ166" i="29"/>
  <c r="DK166" i="29"/>
  <c r="DL166" i="29"/>
  <c r="DM166" i="29"/>
  <c r="DN166" i="29"/>
  <c r="DO166" i="29"/>
  <c r="DP166" i="29"/>
  <c r="DG167" i="29"/>
  <c r="DH167" i="29"/>
  <c r="DI167" i="29"/>
  <c r="DJ167" i="29"/>
  <c r="DK167" i="29"/>
  <c r="DL167" i="29"/>
  <c r="DM167" i="29"/>
  <c r="DN167" i="29"/>
  <c r="DO167" i="29"/>
  <c r="DP167" i="29"/>
  <c r="DG168" i="29"/>
  <c r="DH168" i="29"/>
  <c r="DI168" i="29"/>
  <c r="DJ168" i="29"/>
  <c r="DK168" i="29"/>
  <c r="DL168" i="29"/>
  <c r="DM168" i="29"/>
  <c r="DN168" i="29"/>
  <c r="DO168" i="29"/>
  <c r="DP168" i="29"/>
  <c r="DG169" i="29"/>
  <c r="DH169" i="29"/>
  <c r="DI169" i="29"/>
  <c r="DJ169" i="29"/>
  <c r="DK169" i="29"/>
  <c r="DL169" i="29"/>
  <c r="DM169" i="29"/>
  <c r="DN169" i="29"/>
  <c r="DO169" i="29"/>
  <c r="DP169" i="29"/>
  <c r="DG170" i="29"/>
  <c r="DH170" i="29"/>
  <c r="DI170" i="29"/>
  <c r="DJ170" i="29"/>
  <c r="DK170" i="29"/>
  <c r="DL170" i="29"/>
  <c r="DM170" i="29"/>
  <c r="DN170" i="29"/>
  <c r="DO170" i="29"/>
  <c r="DP170" i="29"/>
  <c r="DG171" i="29"/>
  <c r="DH171" i="29"/>
  <c r="DI171" i="29"/>
  <c r="DJ171" i="29"/>
  <c r="DK171" i="29"/>
  <c r="DL171" i="29"/>
  <c r="DM171" i="29"/>
  <c r="DN171" i="29"/>
  <c r="DO171" i="29"/>
  <c r="DP171" i="29"/>
  <c r="DG172" i="29"/>
  <c r="DH172" i="29"/>
  <c r="DI172" i="29"/>
  <c r="DJ172" i="29"/>
  <c r="DK172" i="29"/>
  <c r="DL172" i="29"/>
  <c r="DM172" i="29"/>
  <c r="DN172" i="29"/>
  <c r="DO172" i="29"/>
  <c r="DP172" i="29"/>
  <c r="DG173" i="29"/>
  <c r="DH173" i="29"/>
  <c r="DI173" i="29"/>
  <c r="DJ173" i="29"/>
  <c r="DK173" i="29"/>
  <c r="DL173" i="29"/>
  <c r="DM173" i="29"/>
  <c r="DN173" i="29"/>
  <c r="DO173" i="29"/>
  <c r="DP173" i="29"/>
  <c r="DG174" i="29"/>
  <c r="DH174" i="29"/>
  <c r="DI174" i="29"/>
  <c r="DJ174" i="29"/>
  <c r="DK174" i="29"/>
  <c r="DL174" i="29"/>
  <c r="DM174" i="29"/>
  <c r="DN174" i="29"/>
  <c r="DO174" i="29"/>
  <c r="DP174" i="29"/>
  <c r="DG175" i="29"/>
  <c r="DH175" i="29"/>
  <c r="DI175" i="29"/>
  <c r="DJ175" i="29"/>
  <c r="DK175" i="29"/>
  <c r="DL175" i="29"/>
  <c r="DM175" i="29"/>
  <c r="DN175" i="29"/>
  <c r="DO175" i="29"/>
  <c r="DP175" i="29"/>
  <c r="DG176" i="29"/>
  <c r="DH176" i="29"/>
  <c r="DI176" i="29"/>
  <c r="DJ176" i="29"/>
  <c r="DK176" i="29"/>
  <c r="DL176" i="29"/>
  <c r="DM176" i="29"/>
  <c r="DN176" i="29"/>
  <c r="DO176" i="29"/>
  <c r="DP176" i="29"/>
  <c r="DG177" i="29"/>
  <c r="DH177" i="29"/>
  <c r="DI177" i="29"/>
  <c r="DJ177" i="29"/>
  <c r="DK177" i="29"/>
  <c r="DL177" i="29"/>
  <c r="DM177" i="29"/>
  <c r="DN177" i="29"/>
  <c r="DO177" i="29"/>
  <c r="DP177" i="29"/>
  <c r="DG178" i="29"/>
  <c r="DH178" i="29"/>
  <c r="DI178" i="29"/>
  <c r="DJ178" i="29"/>
  <c r="DK178" i="29"/>
  <c r="DL178" i="29"/>
  <c r="DM178" i="29"/>
  <c r="DN178" i="29"/>
  <c r="DO178" i="29"/>
  <c r="DP178" i="29"/>
  <c r="DG179" i="29"/>
  <c r="DH179" i="29"/>
  <c r="DI179" i="29"/>
  <c r="DJ179" i="29"/>
  <c r="DK179" i="29"/>
  <c r="DL179" i="29"/>
  <c r="DM179" i="29"/>
  <c r="DN179" i="29"/>
  <c r="DO179" i="29"/>
  <c r="DP179" i="29"/>
  <c r="DG180" i="29"/>
  <c r="DH180" i="29"/>
  <c r="DI180" i="29"/>
  <c r="DJ180" i="29"/>
  <c r="DK180" i="29"/>
  <c r="DL180" i="29"/>
  <c r="DM180" i="29"/>
  <c r="DN180" i="29"/>
  <c r="DO180" i="29"/>
  <c r="DP180" i="29"/>
  <c r="DG181" i="29"/>
  <c r="DH181" i="29"/>
  <c r="DI181" i="29"/>
  <c r="DJ181" i="29"/>
  <c r="DK181" i="29"/>
  <c r="DL181" i="29"/>
  <c r="DM181" i="29"/>
  <c r="DN181" i="29"/>
  <c r="DO181" i="29"/>
  <c r="DP181" i="29"/>
  <c r="DG182" i="29"/>
  <c r="DH182" i="29"/>
  <c r="DI182" i="29"/>
  <c r="DJ182" i="29"/>
  <c r="DK182" i="29"/>
  <c r="DL182" i="29"/>
  <c r="DM182" i="29"/>
  <c r="DN182" i="29"/>
  <c r="DO182" i="29"/>
  <c r="DP182" i="29"/>
  <c r="DG183" i="29"/>
  <c r="DH183" i="29"/>
  <c r="DI183" i="29"/>
  <c r="DJ183" i="29"/>
  <c r="DK183" i="29"/>
  <c r="DL183" i="29"/>
  <c r="DM183" i="29"/>
  <c r="DN183" i="29"/>
  <c r="DO183" i="29"/>
  <c r="DP183" i="29"/>
  <c r="DG184" i="29"/>
  <c r="DH184" i="29"/>
  <c r="DI184" i="29"/>
  <c r="DJ184" i="29"/>
  <c r="DK184" i="29"/>
  <c r="DL184" i="29"/>
  <c r="DM184" i="29"/>
  <c r="DN184" i="29"/>
  <c r="DO184" i="29"/>
  <c r="DP184" i="29"/>
  <c r="DG185" i="29"/>
  <c r="DH185" i="29"/>
  <c r="DI185" i="29"/>
  <c r="DJ185" i="29"/>
  <c r="DK185" i="29"/>
  <c r="DL185" i="29"/>
  <c r="DM185" i="29"/>
  <c r="DN185" i="29"/>
  <c r="DO185" i="29"/>
  <c r="DP185" i="29"/>
  <c r="DG186" i="29"/>
  <c r="DH186" i="29"/>
  <c r="DI186" i="29"/>
  <c r="DJ186" i="29"/>
  <c r="DK186" i="29"/>
  <c r="DL186" i="29"/>
  <c r="DM186" i="29"/>
  <c r="DN186" i="29"/>
  <c r="DO186" i="29"/>
  <c r="DP186" i="29"/>
  <c r="DG187" i="29"/>
  <c r="DH187" i="29"/>
  <c r="DI187" i="29"/>
  <c r="DJ187" i="29"/>
  <c r="DK187" i="29"/>
  <c r="DL187" i="29"/>
  <c r="DM187" i="29"/>
  <c r="DN187" i="29"/>
  <c r="DO187" i="29"/>
  <c r="DP187" i="29"/>
  <c r="DG188" i="29"/>
  <c r="DH188" i="29"/>
  <c r="DI188" i="29"/>
  <c r="DJ188" i="29"/>
  <c r="DK188" i="29"/>
  <c r="DL188" i="29"/>
  <c r="DM188" i="29"/>
  <c r="DN188" i="29"/>
  <c r="DO188" i="29"/>
  <c r="DP188" i="29"/>
  <c r="DG189" i="29"/>
  <c r="DH189" i="29"/>
  <c r="DI189" i="29"/>
  <c r="DJ189" i="29"/>
  <c r="DK189" i="29"/>
  <c r="DL189" i="29"/>
  <c r="DM189" i="29"/>
  <c r="DN189" i="29"/>
  <c r="DO189" i="29"/>
  <c r="DP189" i="29"/>
  <c r="DG190" i="29"/>
  <c r="DH190" i="29"/>
  <c r="DI190" i="29"/>
  <c r="DJ190" i="29"/>
  <c r="DK190" i="29"/>
  <c r="DL190" i="29"/>
  <c r="DM190" i="29"/>
  <c r="DN190" i="29"/>
  <c r="DO190" i="29"/>
  <c r="DP190" i="29"/>
  <c r="DG191" i="29"/>
  <c r="DH191" i="29"/>
  <c r="DI191" i="29"/>
  <c r="DJ191" i="29"/>
  <c r="DK191" i="29"/>
  <c r="DL191" i="29"/>
  <c r="DM191" i="29"/>
  <c r="DN191" i="29"/>
  <c r="DO191" i="29"/>
  <c r="DP191" i="29"/>
  <c r="DG192" i="29"/>
  <c r="DH192" i="29"/>
  <c r="DI192" i="29"/>
  <c r="DJ192" i="29"/>
  <c r="DK192" i="29"/>
  <c r="DL192" i="29"/>
  <c r="DM192" i="29"/>
  <c r="DN192" i="29"/>
  <c r="DO192" i="29"/>
  <c r="DP192" i="29"/>
  <c r="DG193" i="29"/>
  <c r="DH193" i="29"/>
  <c r="DI193" i="29"/>
  <c r="DJ193" i="29"/>
  <c r="DK193" i="29"/>
  <c r="DL193" i="29"/>
  <c r="DM193" i="29"/>
  <c r="DN193" i="29"/>
  <c r="DO193" i="29"/>
  <c r="DP193" i="29"/>
  <c r="DG194" i="29"/>
  <c r="DH194" i="29"/>
  <c r="DI194" i="29"/>
  <c r="DJ194" i="29"/>
  <c r="DK194" i="29"/>
  <c r="DL194" i="29"/>
  <c r="DM194" i="29"/>
  <c r="DN194" i="29"/>
  <c r="DO194" i="29"/>
  <c r="DP194" i="29"/>
  <c r="DG195" i="29"/>
  <c r="DH195" i="29"/>
  <c r="DI195" i="29"/>
  <c r="DJ195" i="29"/>
  <c r="DK195" i="29"/>
  <c r="DL195" i="29"/>
  <c r="DM195" i="29"/>
  <c r="DN195" i="29"/>
  <c r="DO195" i="29"/>
  <c r="DP195" i="29"/>
  <c r="DG196" i="29"/>
  <c r="DH196" i="29"/>
  <c r="DI196" i="29"/>
  <c r="DJ196" i="29"/>
  <c r="DK196" i="29"/>
  <c r="DL196" i="29"/>
  <c r="DM196" i="29"/>
  <c r="DN196" i="29"/>
  <c r="DO196" i="29"/>
  <c r="DP196" i="29"/>
  <c r="DG197" i="29"/>
  <c r="DH197" i="29"/>
  <c r="DI197" i="29"/>
  <c r="DJ197" i="29"/>
  <c r="DK197" i="29"/>
  <c r="DL197" i="29"/>
  <c r="DM197" i="29"/>
  <c r="DN197" i="29"/>
  <c r="DO197" i="29"/>
  <c r="DP197" i="29"/>
  <c r="DG198" i="29"/>
  <c r="DH198" i="29"/>
  <c r="DI198" i="29"/>
  <c r="DJ198" i="29"/>
  <c r="DK198" i="29"/>
  <c r="DL198" i="29"/>
  <c r="DM198" i="29"/>
  <c r="DN198" i="29"/>
  <c r="DO198" i="29"/>
  <c r="DP198" i="29"/>
  <c r="DG199" i="29"/>
  <c r="DH199" i="29"/>
  <c r="DI199" i="29"/>
  <c r="DJ199" i="29"/>
  <c r="DK199" i="29"/>
  <c r="DL199" i="29"/>
  <c r="DM199" i="29"/>
  <c r="DN199" i="29"/>
  <c r="DO199" i="29"/>
  <c r="DP199" i="29"/>
  <c r="DG200" i="29"/>
  <c r="DH200" i="29"/>
  <c r="DI200" i="29"/>
  <c r="DJ200" i="29"/>
  <c r="DK200" i="29"/>
  <c r="DL200" i="29"/>
  <c r="DM200" i="29"/>
  <c r="DN200" i="29"/>
  <c r="DO200" i="29"/>
  <c r="DP200" i="29"/>
  <c r="DG201" i="29"/>
  <c r="DH201" i="29"/>
  <c r="DI201" i="29"/>
  <c r="DJ201" i="29"/>
  <c r="DK201" i="29"/>
  <c r="DL201" i="29"/>
  <c r="DM201" i="29"/>
  <c r="DN201" i="29"/>
  <c r="DO201" i="29"/>
  <c r="DP201" i="29"/>
  <c r="DG202" i="29"/>
  <c r="DH202" i="29"/>
  <c r="DI202" i="29"/>
  <c r="DJ202" i="29"/>
  <c r="DK202" i="29"/>
  <c r="DL202" i="29"/>
  <c r="DM202" i="29"/>
  <c r="DN202" i="29"/>
  <c r="DO202" i="29"/>
  <c r="DP202" i="29"/>
  <c r="DG203" i="29"/>
  <c r="DH203" i="29"/>
  <c r="DI203" i="29"/>
  <c r="DJ203" i="29"/>
  <c r="DK203" i="29"/>
  <c r="DL203" i="29"/>
  <c r="DM203" i="29"/>
  <c r="DN203" i="29"/>
  <c r="DO203" i="29"/>
  <c r="DP203" i="29"/>
  <c r="DG204" i="29"/>
  <c r="DH204" i="29"/>
  <c r="DI204" i="29"/>
  <c r="DJ204" i="29"/>
  <c r="DK204" i="29"/>
  <c r="DL204" i="29"/>
  <c r="DM204" i="29"/>
  <c r="DN204" i="29"/>
  <c r="DO204" i="29"/>
  <c r="DP204" i="29"/>
  <c r="DG205" i="29"/>
  <c r="DH205" i="29"/>
  <c r="DI205" i="29"/>
  <c r="DJ205" i="29"/>
  <c r="DK205" i="29"/>
  <c r="DL205" i="29"/>
  <c r="DM205" i="29"/>
  <c r="DN205" i="29"/>
  <c r="DO205" i="29"/>
  <c r="DP205" i="29"/>
  <c r="DG206" i="29"/>
  <c r="DH206" i="29"/>
  <c r="DI206" i="29"/>
  <c r="DJ206" i="29"/>
  <c r="DK206" i="29"/>
  <c r="DL206" i="29"/>
  <c r="DM206" i="29"/>
  <c r="DN206" i="29"/>
  <c r="DO206" i="29"/>
  <c r="DP206" i="29"/>
  <c r="DG207" i="29"/>
  <c r="DH207" i="29"/>
  <c r="DI207" i="29"/>
  <c r="DJ207" i="29"/>
  <c r="DK207" i="29"/>
  <c r="DL207" i="29"/>
  <c r="DM207" i="29"/>
  <c r="DN207" i="29"/>
  <c r="DO207" i="29"/>
  <c r="DP207" i="29"/>
  <c r="DG208" i="29"/>
  <c r="DH208" i="29"/>
  <c r="DI208" i="29"/>
  <c r="DJ208" i="29"/>
  <c r="DK208" i="29"/>
  <c r="DL208" i="29"/>
  <c r="DM208" i="29"/>
  <c r="DN208" i="29"/>
  <c r="DO208" i="29"/>
  <c r="DP208" i="29"/>
  <c r="DG209" i="29"/>
  <c r="DH209" i="29"/>
  <c r="DI209" i="29"/>
  <c r="DJ209" i="29"/>
  <c r="DK209" i="29"/>
  <c r="DL209" i="29"/>
  <c r="DM209" i="29"/>
  <c r="DN209" i="29"/>
  <c r="DO209" i="29"/>
  <c r="DP209" i="29"/>
  <c r="DG210" i="29"/>
  <c r="DH210" i="29"/>
  <c r="DI210" i="29"/>
  <c r="DJ210" i="29"/>
  <c r="DK210" i="29"/>
  <c r="DL210" i="29"/>
  <c r="DM210" i="29"/>
  <c r="DN210" i="29"/>
  <c r="DO210" i="29"/>
  <c r="DP210" i="29"/>
  <c r="DG211" i="29"/>
  <c r="DH211" i="29"/>
  <c r="DI211" i="29"/>
  <c r="DJ211" i="29"/>
  <c r="DK211" i="29"/>
  <c r="DL211" i="29"/>
  <c r="DM211" i="29"/>
  <c r="DN211" i="29"/>
  <c r="DO211" i="29"/>
  <c r="DP211" i="29"/>
  <c r="DG212" i="29"/>
  <c r="DH212" i="29"/>
  <c r="DI212" i="29"/>
  <c r="DJ212" i="29"/>
  <c r="DK212" i="29"/>
  <c r="DL212" i="29"/>
  <c r="DM212" i="29"/>
  <c r="DN212" i="29"/>
  <c r="DO212" i="29"/>
  <c r="DP212" i="29"/>
  <c r="DG213" i="29"/>
  <c r="DH213" i="29"/>
  <c r="DI213" i="29"/>
  <c r="DJ213" i="29"/>
  <c r="DK213" i="29"/>
  <c r="DL213" i="29"/>
  <c r="DM213" i="29"/>
  <c r="DN213" i="29"/>
  <c r="DO213" i="29"/>
  <c r="DP213" i="29"/>
  <c r="DG214" i="29"/>
  <c r="DH214" i="29"/>
  <c r="DI214" i="29"/>
  <c r="DJ214" i="29"/>
  <c r="DK214" i="29"/>
  <c r="DL214" i="29"/>
  <c r="DM214" i="29"/>
  <c r="DN214" i="29"/>
  <c r="DO214" i="29"/>
  <c r="DP214" i="29"/>
  <c r="DG215" i="29"/>
  <c r="DH215" i="29"/>
  <c r="DI215" i="29"/>
  <c r="DJ215" i="29"/>
  <c r="DK215" i="29"/>
  <c r="DL215" i="29"/>
  <c r="DM215" i="29"/>
  <c r="DN215" i="29"/>
  <c r="DO215" i="29"/>
  <c r="DP215" i="29"/>
  <c r="DG216" i="29"/>
  <c r="DH216" i="29"/>
  <c r="DI216" i="29"/>
  <c r="DJ216" i="29"/>
  <c r="DK216" i="29"/>
  <c r="DL216" i="29"/>
  <c r="DM216" i="29"/>
  <c r="DN216" i="29"/>
  <c r="DO216" i="29"/>
  <c r="DP216" i="29"/>
  <c r="DG217" i="29"/>
  <c r="DH217" i="29"/>
  <c r="DI217" i="29"/>
  <c r="DJ217" i="29"/>
  <c r="DK217" i="29"/>
  <c r="DL217" i="29"/>
  <c r="DM217" i="29"/>
  <c r="DN217" i="29"/>
  <c r="DO217" i="29"/>
  <c r="DP217" i="29"/>
  <c r="DG218" i="29"/>
  <c r="DH218" i="29"/>
  <c r="DI218" i="29"/>
  <c r="DJ218" i="29"/>
  <c r="DK218" i="29"/>
  <c r="DL218" i="29"/>
  <c r="DM218" i="29"/>
  <c r="DN218" i="29"/>
  <c r="DO218" i="29"/>
  <c r="DP218" i="29"/>
  <c r="DG219" i="29"/>
  <c r="DH219" i="29"/>
  <c r="DI219" i="29"/>
  <c r="DJ219" i="29"/>
  <c r="DK219" i="29"/>
  <c r="DL219" i="29"/>
  <c r="DM219" i="29"/>
  <c r="DN219" i="29"/>
  <c r="DO219" i="29"/>
  <c r="DP219" i="29"/>
  <c r="DG220" i="29"/>
  <c r="DH220" i="29"/>
  <c r="DI220" i="29"/>
  <c r="DJ220" i="29"/>
  <c r="DK220" i="29"/>
  <c r="DL220" i="29"/>
  <c r="DM220" i="29"/>
  <c r="DN220" i="29"/>
  <c r="DO220" i="29"/>
  <c r="DP220" i="29"/>
  <c r="DG221" i="29"/>
  <c r="DH221" i="29"/>
  <c r="DI221" i="29"/>
  <c r="DJ221" i="29"/>
  <c r="DK221" i="29"/>
  <c r="DL221" i="29"/>
  <c r="DM221" i="29"/>
  <c r="DN221" i="29"/>
  <c r="DO221" i="29"/>
  <c r="DP221" i="29"/>
  <c r="DG222" i="29"/>
  <c r="DH222" i="29"/>
  <c r="DI222" i="29"/>
  <c r="DJ222" i="29"/>
  <c r="DK222" i="29"/>
  <c r="DL222" i="29"/>
  <c r="DM222" i="29"/>
  <c r="DN222" i="29"/>
  <c r="DO222" i="29"/>
  <c r="DP222" i="29"/>
  <c r="DG223" i="29"/>
  <c r="DH223" i="29"/>
  <c r="DI223" i="29"/>
  <c r="DJ223" i="29"/>
  <c r="DK223" i="29"/>
  <c r="DL223" i="29"/>
  <c r="DM223" i="29"/>
  <c r="DN223" i="29"/>
  <c r="DO223" i="29"/>
  <c r="DP223" i="29"/>
  <c r="DG224" i="29"/>
  <c r="DH224" i="29"/>
  <c r="DI224" i="29"/>
  <c r="DJ224" i="29"/>
  <c r="DK224" i="29"/>
  <c r="DL224" i="29"/>
  <c r="DM224" i="29"/>
  <c r="DN224" i="29"/>
  <c r="DO224" i="29"/>
  <c r="DP224" i="29"/>
  <c r="DG225" i="29"/>
  <c r="DH225" i="29"/>
  <c r="DI225" i="29"/>
  <c r="DJ225" i="29"/>
  <c r="DK225" i="29"/>
  <c r="DL225" i="29"/>
  <c r="DM225" i="29"/>
  <c r="DN225" i="29"/>
  <c r="DO225" i="29"/>
  <c r="DP225" i="29"/>
  <c r="DG226" i="29"/>
  <c r="DH226" i="29"/>
  <c r="DI226" i="29"/>
  <c r="DJ226" i="29"/>
  <c r="DK226" i="29"/>
  <c r="DL226" i="29"/>
  <c r="DM226" i="29"/>
  <c r="DN226" i="29"/>
  <c r="DO226" i="29"/>
  <c r="DP226" i="29"/>
  <c r="DG227" i="29"/>
  <c r="DH227" i="29"/>
  <c r="DI227" i="29"/>
  <c r="DJ227" i="29"/>
  <c r="DK227" i="29"/>
  <c r="DL227" i="29"/>
  <c r="DM227" i="29"/>
  <c r="DN227" i="29"/>
  <c r="DO227" i="29"/>
  <c r="DP227" i="29"/>
  <c r="DG228" i="29"/>
  <c r="DH228" i="29"/>
  <c r="DI228" i="29"/>
  <c r="DJ228" i="29"/>
  <c r="DK228" i="29"/>
  <c r="DL228" i="29"/>
  <c r="DM228" i="29"/>
  <c r="DN228" i="29"/>
  <c r="DO228" i="29"/>
  <c r="DP228" i="29"/>
  <c r="DG229" i="29"/>
  <c r="DH229" i="29"/>
  <c r="DI229" i="29"/>
  <c r="DJ229" i="29"/>
  <c r="DK229" i="29"/>
  <c r="DL229" i="29"/>
  <c r="DM229" i="29"/>
  <c r="DN229" i="29"/>
  <c r="DO229" i="29"/>
  <c r="DP229" i="29"/>
  <c r="DG230" i="29"/>
  <c r="DH230" i="29"/>
  <c r="DI230" i="29"/>
  <c r="DJ230" i="29"/>
  <c r="DK230" i="29"/>
  <c r="DL230" i="29"/>
  <c r="DM230" i="29"/>
  <c r="DN230" i="29"/>
  <c r="DO230" i="29"/>
  <c r="DP230" i="29"/>
  <c r="DG231" i="29"/>
  <c r="DH231" i="29"/>
  <c r="DI231" i="29"/>
  <c r="DJ231" i="29"/>
  <c r="DK231" i="29"/>
  <c r="DL231" i="29"/>
  <c r="DM231" i="29"/>
  <c r="DN231" i="29"/>
  <c r="DO231" i="29"/>
  <c r="DP231" i="29"/>
  <c r="DG232" i="29"/>
  <c r="DH232" i="29"/>
  <c r="DI232" i="29"/>
  <c r="DJ232" i="29"/>
  <c r="DK232" i="29"/>
  <c r="DL232" i="29"/>
  <c r="DM232" i="29"/>
  <c r="DN232" i="29"/>
  <c r="DO232" i="29"/>
  <c r="DP232" i="29"/>
  <c r="DG233" i="29"/>
  <c r="DH233" i="29"/>
  <c r="DI233" i="29"/>
  <c r="DJ233" i="29"/>
  <c r="DK233" i="29"/>
  <c r="DL233" i="29"/>
  <c r="DM233" i="29"/>
  <c r="DN233" i="29"/>
  <c r="DO233" i="29"/>
  <c r="DP233" i="29"/>
  <c r="DG234" i="29"/>
  <c r="DH234" i="29"/>
  <c r="DI234" i="29"/>
  <c r="DJ234" i="29"/>
  <c r="DK234" i="29"/>
  <c r="DL234" i="29"/>
  <c r="DM234" i="29"/>
  <c r="DN234" i="29"/>
  <c r="DO234" i="29"/>
  <c r="DP234" i="29"/>
  <c r="DG235" i="29"/>
  <c r="DH235" i="29"/>
  <c r="DI235" i="29"/>
  <c r="DJ235" i="29"/>
  <c r="DK235" i="29"/>
  <c r="DL235" i="29"/>
  <c r="DM235" i="29"/>
  <c r="DN235" i="29"/>
  <c r="DO235" i="29"/>
  <c r="DP235" i="29"/>
  <c r="DG236" i="29"/>
  <c r="DH236" i="29"/>
  <c r="DI236" i="29"/>
  <c r="DJ236" i="29"/>
  <c r="DK236" i="29"/>
  <c r="DL236" i="29"/>
  <c r="DM236" i="29"/>
  <c r="DN236" i="29"/>
  <c r="DO236" i="29"/>
  <c r="DP236" i="29"/>
  <c r="DG237" i="29"/>
  <c r="DH237" i="29"/>
  <c r="DI237" i="29"/>
  <c r="DJ237" i="29"/>
  <c r="DK237" i="29"/>
  <c r="DL237" i="29"/>
  <c r="DM237" i="29"/>
  <c r="DN237" i="29"/>
  <c r="DO237" i="29"/>
  <c r="DP237" i="29"/>
  <c r="DG238" i="29"/>
  <c r="DH238" i="29"/>
  <c r="DI238" i="29"/>
  <c r="DJ238" i="29"/>
  <c r="DK238" i="29"/>
  <c r="DL238" i="29"/>
  <c r="DM238" i="29"/>
  <c r="DN238" i="29"/>
  <c r="DO238" i="29"/>
  <c r="DP238" i="29"/>
  <c r="DG239" i="29"/>
  <c r="DH239" i="29"/>
  <c r="DI239" i="29"/>
  <c r="DJ239" i="29"/>
  <c r="DK239" i="29"/>
  <c r="DL239" i="29"/>
  <c r="DM239" i="29"/>
  <c r="DN239" i="29"/>
  <c r="DO239" i="29"/>
  <c r="DP239" i="29"/>
  <c r="DG240" i="29"/>
  <c r="DH240" i="29"/>
  <c r="DI240" i="29"/>
  <c r="DJ240" i="29"/>
  <c r="DK240" i="29"/>
  <c r="DL240" i="29"/>
  <c r="DM240" i="29"/>
  <c r="DN240" i="29"/>
  <c r="DO240" i="29"/>
  <c r="DP240" i="29"/>
  <c r="DG241" i="29"/>
  <c r="DH241" i="29"/>
  <c r="DI241" i="29"/>
  <c r="DJ241" i="29"/>
  <c r="DK241" i="29"/>
  <c r="DL241" i="29"/>
  <c r="DM241" i="29"/>
  <c r="DN241" i="29"/>
  <c r="DO241" i="29"/>
  <c r="DP241" i="29"/>
  <c r="DG242" i="29"/>
  <c r="DH242" i="29"/>
  <c r="DI242" i="29"/>
  <c r="DJ242" i="29"/>
  <c r="DK242" i="29"/>
  <c r="DL242" i="29"/>
  <c r="DM242" i="29"/>
  <c r="DN242" i="29"/>
  <c r="DO242" i="29"/>
  <c r="DP242" i="29"/>
  <c r="DG243" i="29"/>
  <c r="DH243" i="29"/>
  <c r="DI243" i="29"/>
  <c r="DJ243" i="29"/>
  <c r="DK243" i="29"/>
  <c r="DL243" i="29"/>
  <c r="DM243" i="29"/>
  <c r="DN243" i="29"/>
  <c r="DO243" i="29"/>
  <c r="DP243" i="29"/>
  <c r="DG244" i="29"/>
  <c r="DH244" i="29"/>
  <c r="DI244" i="29"/>
  <c r="DJ244" i="29"/>
  <c r="DK244" i="29"/>
  <c r="DL244" i="29"/>
  <c r="DM244" i="29"/>
  <c r="DN244" i="29"/>
  <c r="DO244" i="29"/>
  <c r="DP244" i="29"/>
  <c r="DG245" i="29"/>
  <c r="DH245" i="29"/>
  <c r="DI245" i="29"/>
  <c r="DJ245" i="29"/>
  <c r="DK245" i="29"/>
  <c r="DL245" i="29"/>
  <c r="DM245" i="29"/>
  <c r="DN245" i="29"/>
  <c r="DO245" i="29"/>
  <c r="DP245" i="29"/>
  <c r="DG246" i="29"/>
  <c r="DH246" i="29"/>
  <c r="DI246" i="29"/>
  <c r="DJ246" i="29"/>
  <c r="DK246" i="29"/>
  <c r="DL246" i="29"/>
  <c r="DM246" i="29"/>
  <c r="DN246" i="29"/>
  <c r="DO246" i="29"/>
  <c r="DP246" i="29"/>
  <c r="DG247" i="29"/>
  <c r="DH247" i="29"/>
  <c r="DI247" i="29"/>
  <c r="DJ247" i="29"/>
  <c r="DK247" i="29"/>
  <c r="DL247" i="29"/>
  <c r="DM247" i="29"/>
  <c r="DN247" i="29"/>
  <c r="DO247" i="29"/>
  <c r="DP247" i="29"/>
  <c r="DG248" i="29"/>
  <c r="DH248" i="29"/>
  <c r="DI248" i="29"/>
  <c r="DJ248" i="29"/>
  <c r="DK248" i="29"/>
  <c r="DL248" i="29"/>
  <c r="DM248" i="29"/>
  <c r="DN248" i="29"/>
  <c r="DO248" i="29"/>
  <c r="DP248" i="29"/>
  <c r="DG249" i="29"/>
  <c r="DH249" i="29"/>
  <c r="DI249" i="29"/>
  <c r="DJ249" i="29"/>
  <c r="DK249" i="29"/>
  <c r="DL249" i="29"/>
  <c r="DM249" i="29"/>
  <c r="DN249" i="29"/>
  <c r="DO249" i="29"/>
  <c r="DP249" i="29"/>
  <c r="DG250" i="29"/>
  <c r="DH250" i="29"/>
  <c r="DI250" i="29"/>
  <c r="DJ250" i="29"/>
  <c r="DK250" i="29"/>
  <c r="DL250" i="29"/>
  <c r="DM250" i="29"/>
  <c r="DN250" i="29"/>
  <c r="DO250" i="29"/>
  <c r="DP250" i="29"/>
  <c r="DG251" i="29"/>
  <c r="DH251" i="29"/>
  <c r="DI251" i="29"/>
  <c r="DJ251" i="29"/>
  <c r="DK251" i="29"/>
  <c r="DL251" i="29"/>
  <c r="DM251" i="29"/>
  <c r="DN251" i="29"/>
  <c r="DO251" i="29"/>
  <c r="DP251" i="29"/>
  <c r="DG252" i="29"/>
  <c r="DH252" i="29"/>
  <c r="DI252" i="29"/>
  <c r="DJ252" i="29"/>
  <c r="DK252" i="29"/>
  <c r="DL252" i="29"/>
  <c r="DM252" i="29"/>
  <c r="DN252" i="29"/>
  <c r="DO252" i="29"/>
  <c r="DP252" i="29"/>
  <c r="DG253" i="29"/>
  <c r="DH253" i="29"/>
  <c r="DI253" i="29"/>
  <c r="DJ253" i="29"/>
  <c r="DK253" i="29"/>
  <c r="DL253" i="29"/>
  <c r="DM253" i="29"/>
  <c r="DN253" i="29"/>
  <c r="DO253" i="29"/>
  <c r="DP253" i="29"/>
  <c r="DG254" i="29"/>
  <c r="DH254" i="29"/>
  <c r="DI254" i="29"/>
  <c r="DJ254" i="29"/>
  <c r="DK254" i="29"/>
  <c r="DL254" i="29"/>
  <c r="DM254" i="29"/>
  <c r="DN254" i="29"/>
  <c r="DO254" i="29"/>
  <c r="DP254" i="29"/>
  <c r="DG255" i="29"/>
  <c r="DH255" i="29"/>
  <c r="DI255" i="29"/>
  <c r="DJ255" i="29"/>
  <c r="DK255" i="29"/>
  <c r="DL255" i="29"/>
  <c r="DM255" i="29"/>
  <c r="DN255" i="29"/>
  <c r="DO255" i="29"/>
  <c r="DP255" i="29"/>
  <c r="DG256" i="29"/>
  <c r="DH256" i="29"/>
  <c r="DI256" i="29"/>
  <c r="DJ256" i="29"/>
  <c r="DK256" i="29"/>
  <c r="DL256" i="29"/>
  <c r="DM256" i="29"/>
  <c r="DN256" i="29"/>
  <c r="DO256" i="29"/>
  <c r="DP256" i="29"/>
  <c r="DG257" i="29"/>
  <c r="DH257" i="29"/>
  <c r="DI257" i="29"/>
  <c r="DJ257" i="29"/>
  <c r="DK257" i="29"/>
  <c r="DL257" i="29"/>
  <c r="DM257" i="29"/>
  <c r="DN257" i="29"/>
  <c r="DO257" i="29"/>
  <c r="DP257" i="29"/>
  <c r="DG258" i="29"/>
  <c r="DH258" i="29"/>
  <c r="DI258" i="29"/>
  <c r="DJ258" i="29"/>
  <c r="DK258" i="29"/>
  <c r="DL258" i="29"/>
  <c r="DM258" i="29"/>
  <c r="DN258" i="29"/>
  <c r="DO258" i="29"/>
  <c r="DP258" i="29"/>
  <c r="DG259" i="29"/>
  <c r="DH259" i="29"/>
  <c r="DI259" i="29"/>
  <c r="DJ259" i="29"/>
  <c r="DK259" i="29"/>
  <c r="DL259" i="29"/>
  <c r="DM259" i="29"/>
  <c r="DN259" i="29"/>
  <c r="DO259" i="29"/>
  <c r="DP259" i="29"/>
  <c r="DG260" i="29"/>
  <c r="DH260" i="29"/>
  <c r="DI260" i="29"/>
  <c r="DJ260" i="29"/>
  <c r="DK260" i="29"/>
  <c r="DL260" i="29"/>
  <c r="DM260" i="29"/>
  <c r="DN260" i="29"/>
  <c r="DO260" i="29"/>
  <c r="DP260" i="29"/>
  <c r="DG261" i="29"/>
  <c r="DH261" i="29"/>
  <c r="DI261" i="29"/>
  <c r="DJ261" i="29"/>
  <c r="DK261" i="29"/>
  <c r="DL261" i="29"/>
  <c r="DM261" i="29"/>
  <c r="DN261" i="29"/>
  <c r="DO261" i="29"/>
  <c r="DP261" i="29"/>
  <c r="DG262" i="29"/>
  <c r="DH262" i="29"/>
  <c r="DI262" i="29"/>
  <c r="DJ262" i="29"/>
  <c r="DK262" i="29"/>
  <c r="DL262" i="29"/>
  <c r="DM262" i="29"/>
  <c r="DN262" i="29"/>
  <c r="DO262" i="29"/>
  <c r="DP262" i="29"/>
  <c r="DG263" i="29"/>
  <c r="DH263" i="29"/>
  <c r="DI263" i="29"/>
  <c r="DJ263" i="29"/>
  <c r="DK263" i="29"/>
  <c r="DL263" i="29"/>
  <c r="DM263" i="29"/>
  <c r="DN263" i="29"/>
  <c r="DO263" i="29"/>
  <c r="DP263" i="29"/>
  <c r="DG264" i="29"/>
  <c r="DH264" i="29"/>
  <c r="DI264" i="29"/>
  <c r="DJ264" i="29"/>
  <c r="DK264" i="29"/>
  <c r="DL264" i="29"/>
  <c r="DM264" i="29"/>
  <c r="DN264" i="29"/>
  <c r="DO264" i="29"/>
  <c r="DP264" i="29"/>
  <c r="DG265" i="29"/>
  <c r="DH265" i="29"/>
  <c r="DI265" i="29"/>
  <c r="DJ265" i="29"/>
  <c r="DK265" i="29"/>
  <c r="DL265" i="29"/>
  <c r="DM265" i="29"/>
  <c r="DN265" i="29"/>
  <c r="DO265" i="29"/>
  <c r="DP265" i="29"/>
  <c r="DG266" i="29"/>
  <c r="DH266" i="29"/>
  <c r="DI266" i="29"/>
  <c r="DJ266" i="29"/>
  <c r="DK266" i="29"/>
  <c r="DL266" i="29"/>
  <c r="DM266" i="29"/>
  <c r="DN266" i="29"/>
  <c r="DO266" i="29"/>
  <c r="DP266" i="29"/>
  <c r="DG267" i="29"/>
  <c r="DH267" i="29"/>
  <c r="DI267" i="29"/>
  <c r="DJ267" i="29"/>
  <c r="DK267" i="29"/>
  <c r="DL267" i="29"/>
  <c r="DM267" i="29"/>
  <c r="DN267" i="29"/>
  <c r="DO267" i="29"/>
  <c r="DP267" i="29"/>
  <c r="DG268" i="29"/>
  <c r="DH268" i="29"/>
  <c r="DI268" i="29"/>
  <c r="DJ268" i="29"/>
  <c r="DK268" i="29"/>
  <c r="DL268" i="29"/>
  <c r="DM268" i="29"/>
  <c r="DN268" i="29"/>
  <c r="DO268" i="29"/>
  <c r="DP268" i="29"/>
  <c r="DG269" i="29"/>
  <c r="DH269" i="29"/>
  <c r="DI269" i="29"/>
  <c r="DJ269" i="29"/>
  <c r="DK269" i="29"/>
  <c r="DL269" i="29"/>
  <c r="DM269" i="29"/>
  <c r="DN269" i="29"/>
  <c r="DO269" i="29"/>
  <c r="DP269" i="29"/>
  <c r="DG270" i="29"/>
  <c r="DH270" i="29"/>
  <c r="DI270" i="29"/>
  <c r="DJ270" i="29"/>
  <c r="DK270" i="29"/>
  <c r="DL270" i="29"/>
  <c r="DM270" i="29"/>
  <c r="DN270" i="29"/>
  <c r="DO270" i="29"/>
  <c r="DP270" i="29"/>
  <c r="DG271" i="29"/>
  <c r="DH271" i="29"/>
  <c r="DI271" i="29"/>
  <c r="DJ271" i="29"/>
  <c r="DK271" i="29"/>
  <c r="DL271" i="29"/>
  <c r="DM271" i="29"/>
  <c r="DN271" i="29"/>
  <c r="DO271" i="29"/>
  <c r="DP271" i="29"/>
  <c r="DG272" i="29"/>
  <c r="DH272" i="29"/>
  <c r="DI272" i="29"/>
  <c r="DJ272" i="29"/>
  <c r="DK272" i="29"/>
  <c r="DL272" i="29"/>
  <c r="DM272" i="29"/>
  <c r="DN272" i="29"/>
  <c r="DO272" i="29"/>
  <c r="DP272" i="29"/>
  <c r="DG273" i="29"/>
  <c r="DH273" i="29"/>
  <c r="DI273" i="29"/>
  <c r="DJ273" i="29"/>
  <c r="DK273" i="29"/>
  <c r="DL273" i="29"/>
  <c r="DM273" i="29"/>
  <c r="DN273" i="29"/>
  <c r="DO273" i="29"/>
  <c r="DP273" i="29"/>
  <c r="DG274" i="29"/>
  <c r="DH274" i="29"/>
  <c r="DI274" i="29"/>
  <c r="DJ274" i="29"/>
  <c r="DK274" i="29"/>
  <c r="DL274" i="29"/>
  <c r="DM274" i="29"/>
  <c r="DN274" i="29"/>
  <c r="DO274" i="29"/>
  <c r="DP274" i="29"/>
  <c r="DG275" i="29"/>
  <c r="DH275" i="29"/>
  <c r="DI275" i="29"/>
  <c r="DJ275" i="29"/>
  <c r="DK275" i="29"/>
  <c r="DL275" i="29"/>
  <c r="DM275" i="29"/>
  <c r="DN275" i="29"/>
  <c r="DO275" i="29"/>
  <c r="DP275" i="29"/>
  <c r="DG276" i="29"/>
  <c r="DH276" i="29"/>
  <c r="DI276" i="29"/>
  <c r="DJ276" i="29"/>
  <c r="DK276" i="29"/>
  <c r="DL276" i="29"/>
  <c r="DM276" i="29"/>
  <c r="DN276" i="29"/>
  <c r="DO276" i="29"/>
  <c r="DP276" i="29"/>
  <c r="DG277" i="29"/>
  <c r="DH277" i="29"/>
  <c r="DI277" i="29"/>
  <c r="DJ277" i="29"/>
  <c r="DK277" i="29"/>
  <c r="DL277" i="29"/>
  <c r="DM277" i="29"/>
  <c r="DN277" i="29"/>
  <c r="DO277" i="29"/>
  <c r="DP277" i="29"/>
  <c r="DG278" i="29"/>
  <c r="DH278" i="29"/>
  <c r="DI278" i="29"/>
  <c r="DJ278" i="29"/>
  <c r="DK278" i="29"/>
  <c r="DL278" i="29"/>
  <c r="DM278" i="29"/>
  <c r="DN278" i="29"/>
  <c r="DO278" i="29"/>
  <c r="DP278" i="29"/>
  <c r="DG279" i="29"/>
  <c r="DH279" i="29"/>
  <c r="DI279" i="29"/>
  <c r="DJ279" i="29"/>
  <c r="DK279" i="29"/>
  <c r="DL279" i="29"/>
  <c r="DM279" i="29"/>
  <c r="DN279" i="29"/>
  <c r="DO279" i="29"/>
  <c r="DP279" i="29"/>
  <c r="DG280" i="29"/>
  <c r="DH280" i="29"/>
  <c r="DI280" i="29"/>
  <c r="DJ280" i="29"/>
  <c r="DK280" i="29"/>
  <c r="DL280" i="29"/>
  <c r="DM280" i="29"/>
  <c r="DN280" i="29"/>
  <c r="DO280" i="29"/>
  <c r="DP280" i="29"/>
  <c r="DG281" i="29"/>
  <c r="DH281" i="29"/>
  <c r="DI281" i="29"/>
  <c r="DJ281" i="29"/>
  <c r="DK281" i="29"/>
  <c r="DL281" i="29"/>
  <c r="DM281" i="29"/>
  <c r="DN281" i="29"/>
  <c r="DO281" i="29"/>
  <c r="DP281" i="29"/>
  <c r="DG282" i="29"/>
  <c r="DH282" i="29"/>
  <c r="DI282" i="29"/>
  <c r="DJ282" i="29"/>
  <c r="DK282" i="29"/>
  <c r="DL282" i="29"/>
  <c r="DM282" i="29"/>
  <c r="DN282" i="29"/>
  <c r="DO282" i="29"/>
  <c r="DP282" i="29"/>
  <c r="DG283" i="29"/>
  <c r="DH283" i="29"/>
  <c r="DI283" i="29"/>
  <c r="DJ283" i="29"/>
  <c r="DK283" i="29"/>
  <c r="DL283" i="29"/>
  <c r="DM283" i="29"/>
  <c r="DN283" i="29"/>
  <c r="DO283" i="29"/>
  <c r="DP283" i="29"/>
  <c r="DG284" i="29"/>
  <c r="DH284" i="29"/>
  <c r="DI284" i="29"/>
  <c r="DJ284" i="29"/>
  <c r="DK284" i="29"/>
  <c r="DL284" i="29"/>
  <c r="DM284" i="29"/>
  <c r="DN284" i="29"/>
  <c r="DO284" i="29"/>
  <c r="DP284" i="29"/>
  <c r="DG285" i="29"/>
  <c r="DH285" i="29"/>
  <c r="DI285" i="29"/>
  <c r="DJ285" i="29"/>
  <c r="DK285" i="29"/>
  <c r="DL285" i="29"/>
  <c r="DM285" i="29"/>
  <c r="DN285" i="29"/>
  <c r="DO285" i="29"/>
  <c r="DP285" i="29"/>
  <c r="DG286" i="29"/>
  <c r="DH286" i="29"/>
  <c r="DI286" i="29"/>
  <c r="DJ286" i="29"/>
  <c r="DK286" i="29"/>
  <c r="DL286" i="29"/>
  <c r="DM286" i="29"/>
  <c r="DN286" i="29"/>
  <c r="DO286" i="29"/>
  <c r="DP286" i="29"/>
  <c r="DG287" i="29"/>
  <c r="DH287" i="29"/>
  <c r="DI287" i="29"/>
  <c r="DJ287" i="29"/>
  <c r="DK287" i="29"/>
  <c r="DL287" i="29"/>
  <c r="DM287" i="29"/>
  <c r="DN287" i="29"/>
  <c r="DO287" i="29"/>
  <c r="DP287" i="29"/>
  <c r="DG288" i="29"/>
  <c r="DH288" i="29"/>
  <c r="DI288" i="29"/>
  <c r="DJ288" i="29"/>
  <c r="DK288" i="29"/>
  <c r="DL288" i="29"/>
  <c r="DM288" i="29"/>
  <c r="DN288" i="29"/>
  <c r="DO288" i="29"/>
  <c r="DP288" i="29"/>
  <c r="DG289" i="29"/>
  <c r="DH289" i="29"/>
  <c r="DI289" i="29"/>
  <c r="DJ289" i="29"/>
  <c r="DK289" i="29"/>
  <c r="DL289" i="29"/>
  <c r="DM289" i="29"/>
  <c r="DN289" i="29"/>
  <c r="DO289" i="29"/>
  <c r="DP289" i="29"/>
  <c r="DG290" i="29"/>
  <c r="DH290" i="29"/>
  <c r="DI290" i="29"/>
  <c r="DJ290" i="29"/>
  <c r="DK290" i="29"/>
  <c r="DL290" i="29"/>
  <c r="DM290" i="29"/>
  <c r="DN290" i="29"/>
  <c r="DO290" i="29"/>
  <c r="DP290" i="29"/>
  <c r="DG291" i="29"/>
  <c r="DH291" i="29"/>
  <c r="DI291" i="29"/>
  <c r="DJ291" i="29"/>
  <c r="DK291" i="29"/>
  <c r="DL291" i="29"/>
  <c r="DM291" i="29"/>
  <c r="DN291" i="29"/>
  <c r="DO291" i="29"/>
  <c r="DP291" i="29"/>
  <c r="DG292" i="29"/>
  <c r="DH292" i="29"/>
  <c r="DI292" i="29"/>
  <c r="DJ292" i="29"/>
  <c r="DK292" i="29"/>
  <c r="DL292" i="29"/>
  <c r="DM292" i="29"/>
  <c r="DN292" i="29"/>
  <c r="DO292" i="29"/>
  <c r="DP292" i="29"/>
  <c r="DG293" i="29"/>
  <c r="DH293" i="29"/>
  <c r="DI293" i="29"/>
  <c r="DJ293" i="29"/>
  <c r="DK293" i="29"/>
  <c r="DL293" i="29"/>
  <c r="DM293" i="29"/>
  <c r="DN293" i="29"/>
  <c r="DO293" i="29"/>
  <c r="DP293" i="29"/>
  <c r="DG294" i="29"/>
  <c r="DH294" i="29"/>
  <c r="DI294" i="29"/>
  <c r="DJ294" i="29"/>
  <c r="DK294" i="29"/>
  <c r="DL294" i="29"/>
  <c r="DM294" i="29"/>
  <c r="DN294" i="29"/>
  <c r="DO294" i="29"/>
  <c r="DP294" i="29"/>
  <c r="DG295" i="29"/>
  <c r="DH295" i="29"/>
  <c r="DI295" i="29"/>
  <c r="DJ295" i="29"/>
  <c r="DK295" i="29"/>
  <c r="DL295" i="29"/>
  <c r="DM295" i="29"/>
  <c r="DN295" i="29"/>
  <c r="DO295" i="29"/>
  <c r="DP295" i="29"/>
  <c r="DG296" i="29"/>
  <c r="DH296" i="29"/>
  <c r="DI296" i="29"/>
  <c r="DJ296" i="29"/>
  <c r="DK296" i="29"/>
  <c r="DL296" i="29"/>
  <c r="DM296" i="29"/>
  <c r="DN296" i="29"/>
  <c r="DO296" i="29"/>
  <c r="DP296" i="29"/>
  <c r="DG297" i="29"/>
  <c r="DH297" i="29"/>
  <c r="DI297" i="29"/>
  <c r="DJ297" i="29"/>
  <c r="DK297" i="29"/>
  <c r="DL297" i="29"/>
  <c r="DM297" i="29"/>
  <c r="DN297" i="29"/>
  <c r="DO297" i="29"/>
  <c r="DP297" i="29"/>
  <c r="DG298" i="29"/>
  <c r="DH298" i="29"/>
  <c r="DI298" i="29"/>
  <c r="DJ298" i="29"/>
  <c r="DK298" i="29"/>
  <c r="DL298" i="29"/>
  <c r="DM298" i="29"/>
  <c r="DN298" i="29"/>
  <c r="DO298" i="29"/>
  <c r="DP298" i="29"/>
  <c r="DG299" i="29"/>
  <c r="DH299" i="29"/>
  <c r="DI299" i="29"/>
  <c r="DJ299" i="29"/>
  <c r="DK299" i="29"/>
  <c r="DL299" i="29"/>
  <c r="DM299" i="29"/>
  <c r="DN299" i="29"/>
  <c r="DO299" i="29"/>
  <c r="DP299" i="29"/>
  <c r="DG300" i="29"/>
  <c r="DH300" i="29"/>
  <c r="DI300" i="29"/>
  <c r="DJ300" i="29"/>
  <c r="DK300" i="29"/>
  <c r="DL300" i="29"/>
  <c r="DM300" i="29"/>
  <c r="DN300" i="29"/>
  <c r="DO300" i="29"/>
  <c r="DP300" i="29"/>
  <c r="DG301" i="29"/>
  <c r="DH301" i="29"/>
  <c r="DI301" i="29"/>
  <c r="DJ301" i="29"/>
  <c r="DK301" i="29"/>
  <c r="DL301" i="29"/>
  <c r="DM301" i="29"/>
  <c r="DN301" i="29"/>
  <c r="DO301" i="29"/>
  <c r="DP301" i="29"/>
  <c r="DG302" i="29"/>
  <c r="DH302" i="29"/>
  <c r="DI302" i="29"/>
  <c r="DJ302" i="29"/>
  <c r="DK302" i="29"/>
  <c r="DL302" i="29"/>
  <c r="DM302" i="29"/>
  <c r="DN302" i="29"/>
  <c r="DO302" i="29"/>
  <c r="DP302" i="29"/>
  <c r="DG303" i="29"/>
  <c r="DH303" i="29"/>
  <c r="DI303" i="29"/>
  <c r="DJ303" i="29"/>
  <c r="DK303" i="29"/>
  <c r="DL303" i="29"/>
  <c r="DM303" i="29"/>
  <c r="DN303" i="29"/>
  <c r="DO303" i="29"/>
  <c r="DP303" i="29"/>
  <c r="DG304" i="29"/>
  <c r="DH304" i="29"/>
  <c r="DI304" i="29"/>
  <c r="DJ304" i="29"/>
  <c r="DK304" i="29"/>
  <c r="DL304" i="29"/>
  <c r="DM304" i="29"/>
  <c r="DN304" i="29"/>
  <c r="DO304" i="29"/>
  <c r="DP304" i="29"/>
  <c r="DG305" i="29"/>
  <c r="DH305" i="29"/>
  <c r="DI305" i="29"/>
  <c r="DJ305" i="29"/>
  <c r="DK305" i="29"/>
  <c r="DL305" i="29"/>
  <c r="DM305" i="29"/>
  <c r="DN305" i="29"/>
  <c r="DO305" i="29"/>
  <c r="DP305" i="29"/>
  <c r="DG306" i="29"/>
  <c r="DH306" i="29"/>
  <c r="DI306" i="29"/>
  <c r="DJ306" i="29"/>
  <c r="DK306" i="29"/>
  <c r="DL306" i="29"/>
  <c r="DM306" i="29"/>
  <c r="DN306" i="29"/>
  <c r="DO306" i="29"/>
  <c r="DP306" i="29"/>
  <c r="DG307" i="29"/>
  <c r="DH307" i="29"/>
  <c r="DI307" i="29"/>
  <c r="DJ307" i="29"/>
  <c r="DK307" i="29"/>
  <c r="DL307" i="29"/>
  <c r="DM307" i="29"/>
  <c r="DN307" i="29"/>
  <c r="DO307" i="29"/>
  <c r="DP307" i="29"/>
  <c r="DG308" i="29"/>
  <c r="DH308" i="29"/>
  <c r="DI308" i="29"/>
  <c r="DJ308" i="29"/>
  <c r="DK308" i="29"/>
  <c r="DL308" i="29"/>
  <c r="DM308" i="29"/>
  <c r="DN308" i="29"/>
  <c r="DO308" i="29"/>
  <c r="DP308" i="29"/>
  <c r="DG309" i="29"/>
  <c r="DH309" i="29"/>
  <c r="DI309" i="29"/>
  <c r="DJ309" i="29"/>
  <c r="DK309" i="29"/>
  <c r="DL309" i="29"/>
  <c r="DM309" i="29"/>
  <c r="DN309" i="29"/>
  <c r="DO309" i="29"/>
  <c r="DP309" i="29"/>
  <c r="DG310" i="29"/>
  <c r="DH310" i="29"/>
  <c r="DI310" i="29"/>
  <c r="DJ310" i="29"/>
  <c r="DK310" i="29"/>
  <c r="DL310" i="29"/>
  <c r="DM310" i="29"/>
  <c r="DN310" i="29"/>
  <c r="DO310" i="29"/>
  <c r="DP310" i="29"/>
  <c r="DG311" i="29"/>
  <c r="DH311" i="29"/>
  <c r="DI311" i="29"/>
  <c r="DJ311" i="29"/>
  <c r="DK311" i="29"/>
  <c r="DL311" i="29"/>
  <c r="DM311" i="29"/>
  <c r="DN311" i="29"/>
  <c r="DO311" i="29"/>
  <c r="DP311" i="29"/>
  <c r="DG312" i="29"/>
  <c r="DH312" i="29"/>
  <c r="DI312" i="29"/>
  <c r="DJ312" i="29"/>
  <c r="DK312" i="29"/>
  <c r="DL312" i="29"/>
  <c r="DM312" i="29"/>
  <c r="DN312" i="29"/>
  <c r="DO312" i="29"/>
  <c r="DP312" i="29"/>
  <c r="DG313" i="29"/>
  <c r="DH313" i="29"/>
  <c r="DI313" i="29"/>
  <c r="DJ313" i="29"/>
  <c r="DK313" i="29"/>
  <c r="DL313" i="29"/>
  <c r="DM313" i="29"/>
  <c r="DN313" i="29"/>
  <c r="DO313" i="29"/>
  <c r="DP313" i="29"/>
  <c r="DG314" i="29"/>
  <c r="DH314" i="29"/>
  <c r="DI314" i="29"/>
  <c r="DJ314" i="29"/>
  <c r="DK314" i="29"/>
  <c r="DL314" i="29"/>
  <c r="DM314" i="29"/>
  <c r="DN314" i="29"/>
  <c r="DO314" i="29"/>
  <c r="DP314" i="29"/>
  <c r="DG315" i="29"/>
  <c r="DH315" i="29"/>
  <c r="DI315" i="29"/>
  <c r="DJ315" i="29"/>
  <c r="DK315" i="29"/>
  <c r="DL315" i="29"/>
  <c r="DM315" i="29"/>
  <c r="DN315" i="29"/>
  <c r="DO315" i="29"/>
  <c r="DP315" i="29"/>
  <c r="DG316" i="29"/>
  <c r="DH316" i="29"/>
  <c r="DI316" i="29"/>
  <c r="DJ316" i="29"/>
  <c r="DK316" i="29"/>
  <c r="DL316" i="29"/>
  <c r="DM316" i="29"/>
  <c r="DN316" i="29"/>
  <c r="DO316" i="29"/>
  <c r="DP316" i="29"/>
  <c r="DG317" i="29"/>
  <c r="DH317" i="29"/>
  <c r="DI317" i="29"/>
  <c r="DJ317" i="29"/>
  <c r="DK317" i="29"/>
  <c r="DL317" i="29"/>
  <c r="DM317" i="29"/>
  <c r="DN317" i="29"/>
  <c r="DO317" i="29"/>
  <c r="DP317" i="29"/>
  <c r="DG318" i="29"/>
  <c r="DH318" i="29"/>
  <c r="DI318" i="29"/>
  <c r="DJ318" i="29"/>
  <c r="DK318" i="29"/>
  <c r="DL318" i="29"/>
  <c r="DM318" i="29"/>
  <c r="DN318" i="29"/>
  <c r="DO318" i="29"/>
  <c r="DP318" i="29"/>
  <c r="DG319" i="29"/>
  <c r="DH319" i="29"/>
  <c r="DI319" i="29"/>
  <c r="DJ319" i="29"/>
  <c r="DK319" i="29"/>
  <c r="DL319" i="29"/>
  <c r="DM319" i="29"/>
  <c r="DN319" i="29"/>
  <c r="DO319" i="29"/>
  <c r="DP319" i="29"/>
  <c r="DG320" i="29"/>
  <c r="DH320" i="29"/>
  <c r="DI320" i="29"/>
  <c r="DJ320" i="29"/>
  <c r="DK320" i="29"/>
  <c r="DL320" i="29"/>
  <c r="DM320" i="29"/>
  <c r="DN320" i="29"/>
  <c r="DO320" i="29"/>
  <c r="DP320" i="29"/>
  <c r="DG321" i="29"/>
  <c r="DH321" i="29"/>
  <c r="DI321" i="29"/>
  <c r="DJ321" i="29"/>
  <c r="DK321" i="29"/>
  <c r="DL321" i="29"/>
  <c r="DM321" i="29"/>
  <c r="DN321" i="29"/>
  <c r="DO321" i="29"/>
  <c r="DP321" i="29"/>
  <c r="DG322" i="29"/>
  <c r="DH322" i="29"/>
  <c r="DI322" i="29"/>
  <c r="DJ322" i="29"/>
  <c r="DK322" i="29"/>
  <c r="DL322" i="29"/>
  <c r="DM322" i="29"/>
  <c r="DN322" i="29"/>
  <c r="DO322" i="29"/>
  <c r="DP322" i="29"/>
  <c r="DG323" i="29"/>
  <c r="DH323" i="29"/>
  <c r="DI323" i="29"/>
  <c r="DJ323" i="29"/>
  <c r="DK323" i="29"/>
  <c r="DL323" i="29"/>
  <c r="DM323" i="29"/>
  <c r="DN323" i="29"/>
  <c r="DO323" i="29"/>
  <c r="DP323" i="29"/>
  <c r="DG324" i="29"/>
  <c r="DH324" i="29"/>
  <c r="DI324" i="29"/>
  <c r="DJ324" i="29"/>
  <c r="DK324" i="29"/>
  <c r="DL324" i="29"/>
  <c r="DM324" i="29"/>
  <c r="DN324" i="29"/>
  <c r="DO324" i="29"/>
  <c r="DP324" i="29"/>
  <c r="DG325" i="29"/>
  <c r="DH325" i="29"/>
  <c r="DI325" i="29"/>
  <c r="DJ325" i="29"/>
  <c r="DK325" i="29"/>
  <c r="DL325" i="29"/>
  <c r="DM325" i="29"/>
  <c r="DN325" i="29"/>
  <c r="DO325" i="29"/>
  <c r="DP325" i="29"/>
  <c r="DG326" i="29"/>
  <c r="DH326" i="29"/>
  <c r="DI326" i="29"/>
  <c r="DJ326" i="29"/>
  <c r="DK326" i="29"/>
  <c r="DL326" i="29"/>
  <c r="DM326" i="29"/>
  <c r="DN326" i="29"/>
  <c r="DO326" i="29"/>
  <c r="DP326" i="29"/>
  <c r="DG327" i="29"/>
  <c r="DH327" i="29"/>
  <c r="DI327" i="29"/>
  <c r="DJ327" i="29"/>
  <c r="DK327" i="29"/>
  <c r="DL327" i="29"/>
  <c r="DM327" i="29"/>
  <c r="DN327" i="29"/>
  <c r="DO327" i="29"/>
  <c r="DP327" i="29"/>
  <c r="DG328" i="29"/>
  <c r="DH328" i="29"/>
  <c r="DI328" i="29"/>
  <c r="DJ328" i="29"/>
  <c r="DK328" i="29"/>
  <c r="DL328" i="29"/>
  <c r="DM328" i="29"/>
  <c r="DN328" i="29"/>
  <c r="DO328" i="29"/>
  <c r="DP328" i="29"/>
  <c r="DG329" i="29"/>
  <c r="DH329" i="29"/>
  <c r="DI329" i="29"/>
  <c r="DJ329" i="29"/>
  <c r="DK329" i="29"/>
  <c r="DL329" i="29"/>
  <c r="DM329" i="29"/>
  <c r="DN329" i="29"/>
  <c r="DO329" i="29"/>
  <c r="DP329" i="29"/>
  <c r="DG330" i="29"/>
  <c r="DH330" i="29"/>
  <c r="DI330" i="29"/>
  <c r="DJ330" i="29"/>
  <c r="DK330" i="29"/>
  <c r="DL330" i="29"/>
  <c r="DM330" i="29"/>
  <c r="DN330" i="29"/>
  <c r="DO330" i="29"/>
  <c r="DP330" i="29"/>
  <c r="DG331" i="29"/>
  <c r="DH331" i="29"/>
  <c r="DI331" i="29"/>
  <c r="DJ331" i="29"/>
  <c r="DK331" i="29"/>
  <c r="DL331" i="29"/>
  <c r="DM331" i="29"/>
  <c r="DN331" i="29"/>
  <c r="DO331" i="29"/>
  <c r="DP331" i="29"/>
  <c r="DG332" i="29"/>
  <c r="DH332" i="29"/>
  <c r="DI332" i="29"/>
  <c r="DJ332" i="29"/>
  <c r="DK332" i="29"/>
  <c r="DL332" i="29"/>
  <c r="DM332" i="29"/>
  <c r="DN332" i="29"/>
  <c r="DO332" i="29"/>
  <c r="DP332" i="29"/>
  <c r="DG333" i="29"/>
  <c r="DH333" i="29"/>
  <c r="DI333" i="29"/>
  <c r="DJ333" i="29"/>
  <c r="DK333" i="29"/>
  <c r="DL333" i="29"/>
  <c r="DM333" i="29"/>
  <c r="DN333" i="29"/>
  <c r="DO333" i="29"/>
  <c r="DP333" i="29"/>
  <c r="DG334" i="29"/>
  <c r="DH334" i="29"/>
  <c r="DI334" i="29"/>
  <c r="DJ334" i="29"/>
  <c r="DK334" i="29"/>
  <c r="DL334" i="29"/>
  <c r="DM334" i="29"/>
  <c r="DN334" i="29"/>
  <c r="DO334" i="29"/>
  <c r="DP334" i="29"/>
  <c r="DG335" i="29"/>
  <c r="DH335" i="29"/>
  <c r="DI335" i="29"/>
  <c r="DJ335" i="29"/>
  <c r="DK335" i="29"/>
  <c r="DL335" i="29"/>
  <c r="DM335" i="29"/>
  <c r="DN335" i="29"/>
  <c r="DO335" i="29"/>
  <c r="DP335" i="29"/>
  <c r="DG336" i="29"/>
  <c r="DH336" i="29"/>
  <c r="DI336" i="29"/>
  <c r="DJ336" i="29"/>
  <c r="DK336" i="29"/>
  <c r="DL336" i="29"/>
  <c r="DM336" i="29"/>
  <c r="DN336" i="29"/>
  <c r="DO336" i="29"/>
  <c r="DP336" i="29"/>
  <c r="DG337" i="29"/>
  <c r="DH337" i="29"/>
  <c r="DI337" i="29"/>
  <c r="DJ337" i="29"/>
  <c r="DK337" i="29"/>
  <c r="DL337" i="29"/>
  <c r="DM337" i="29"/>
  <c r="DN337" i="29"/>
  <c r="DO337" i="29"/>
  <c r="DP337" i="29"/>
  <c r="DG338" i="29"/>
  <c r="DH338" i="29"/>
  <c r="DI338" i="29"/>
  <c r="DJ338" i="29"/>
  <c r="DK338" i="29"/>
  <c r="DL338" i="29"/>
  <c r="DM338" i="29"/>
  <c r="DN338" i="29"/>
  <c r="DO338" i="29"/>
  <c r="DP338" i="29"/>
  <c r="DG339" i="29"/>
  <c r="DH339" i="29"/>
  <c r="DI339" i="29"/>
  <c r="DJ339" i="29"/>
  <c r="DK339" i="29"/>
  <c r="DL339" i="29"/>
  <c r="DM339" i="29"/>
  <c r="DN339" i="29"/>
  <c r="DO339" i="29"/>
  <c r="DP339" i="29"/>
  <c r="DG340" i="29"/>
  <c r="DH340" i="29"/>
  <c r="DI340" i="29"/>
  <c r="DJ340" i="29"/>
  <c r="DK340" i="29"/>
  <c r="DL340" i="29"/>
  <c r="DM340" i="29"/>
  <c r="DN340" i="29"/>
  <c r="DO340" i="29"/>
  <c r="DP340" i="29"/>
  <c r="DG341" i="29"/>
  <c r="DH341" i="29"/>
  <c r="DI341" i="29"/>
  <c r="DJ341" i="29"/>
  <c r="DK341" i="29"/>
  <c r="DL341" i="29"/>
  <c r="DM341" i="29"/>
  <c r="DN341" i="29"/>
  <c r="DO341" i="29"/>
  <c r="DP341" i="29"/>
  <c r="DG342" i="29"/>
  <c r="DH342" i="29"/>
  <c r="DI342" i="29"/>
  <c r="DJ342" i="29"/>
  <c r="DK342" i="29"/>
  <c r="DL342" i="29"/>
  <c r="DM342" i="29"/>
  <c r="DN342" i="29"/>
  <c r="DO342" i="29"/>
  <c r="DP342" i="29"/>
  <c r="DG343" i="29"/>
  <c r="DH343" i="29"/>
  <c r="DI343" i="29"/>
  <c r="DJ343" i="29"/>
  <c r="DK343" i="29"/>
  <c r="DL343" i="29"/>
  <c r="DM343" i="29"/>
  <c r="DN343" i="29"/>
  <c r="DO343" i="29"/>
  <c r="DP343" i="29"/>
  <c r="DG344" i="29"/>
  <c r="DH344" i="29"/>
  <c r="DI344" i="29"/>
  <c r="DJ344" i="29"/>
  <c r="DK344" i="29"/>
  <c r="DL344" i="29"/>
  <c r="DM344" i="29"/>
  <c r="DN344" i="29"/>
  <c r="DO344" i="29"/>
  <c r="DP344" i="29"/>
  <c r="DG345" i="29"/>
  <c r="DH345" i="29"/>
  <c r="DI345" i="29"/>
  <c r="DJ345" i="29"/>
  <c r="DK345" i="29"/>
  <c r="DL345" i="29"/>
  <c r="DM345" i="29"/>
  <c r="DN345" i="29"/>
  <c r="DO345" i="29"/>
  <c r="DP345" i="29"/>
  <c r="DG346" i="29"/>
  <c r="DH346" i="29"/>
  <c r="DI346" i="29"/>
  <c r="DJ346" i="29"/>
  <c r="DK346" i="29"/>
  <c r="DL346" i="29"/>
  <c r="DM346" i="29"/>
  <c r="DN346" i="29"/>
  <c r="DO346" i="29"/>
  <c r="DP346" i="29"/>
  <c r="DG347" i="29"/>
  <c r="DH347" i="29"/>
  <c r="DI347" i="29"/>
  <c r="DJ347" i="29"/>
  <c r="DK347" i="29"/>
  <c r="DL347" i="29"/>
  <c r="DM347" i="29"/>
  <c r="DN347" i="29"/>
  <c r="DO347" i="29"/>
  <c r="DP347" i="29"/>
  <c r="DG348" i="29"/>
  <c r="DH348" i="29"/>
  <c r="DI348" i="29"/>
  <c r="DJ348" i="29"/>
  <c r="DK348" i="29"/>
  <c r="DL348" i="29"/>
  <c r="DM348" i="29"/>
  <c r="DN348" i="29"/>
  <c r="DO348" i="29"/>
  <c r="DP348" i="29"/>
  <c r="DG349" i="29"/>
  <c r="DH349" i="29"/>
  <c r="DI349" i="29"/>
  <c r="DJ349" i="29"/>
  <c r="DK349" i="29"/>
  <c r="DL349" i="29"/>
  <c r="DM349" i="29"/>
  <c r="DN349" i="29"/>
  <c r="DO349" i="29"/>
  <c r="DP349" i="29"/>
  <c r="DG350" i="29"/>
  <c r="DH350" i="29"/>
  <c r="DI350" i="29"/>
  <c r="DJ350" i="29"/>
  <c r="DK350" i="29"/>
  <c r="DL350" i="29"/>
  <c r="DM350" i="29"/>
  <c r="DN350" i="29"/>
  <c r="DO350" i="29"/>
  <c r="DP350" i="29"/>
  <c r="DG351" i="29"/>
  <c r="DH351" i="29"/>
  <c r="DI351" i="29"/>
  <c r="DJ351" i="29"/>
  <c r="DK351" i="29"/>
  <c r="DL351" i="29"/>
  <c r="DM351" i="29"/>
  <c r="DN351" i="29"/>
  <c r="DO351" i="29"/>
  <c r="DP351" i="29"/>
  <c r="DG352" i="29"/>
  <c r="DH352" i="29"/>
  <c r="DI352" i="29"/>
  <c r="DJ352" i="29"/>
  <c r="DK352" i="29"/>
  <c r="DL352" i="29"/>
  <c r="DM352" i="29"/>
  <c r="DN352" i="29"/>
  <c r="DO352" i="29"/>
  <c r="DP352" i="29"/>
  <c r="DG353" i="29"/>
  <c r="DH353" i="29"/>
  <c r="DI353" i="29"/>
  <c r="DJ353" i="29"/>
  <c r="DK353" i="29"/>
  <c r="DL353" i="29"/>
  <c r="DM353" i="29"/>
  <c r="DN353" i="29"/>
  <c r="DO353" i="29"/>
  <c r="DP353" i="29"/>
  <c r="DG354" i="29"/>
  <c r="DH354" i="29"/>
  <c r="DI354" i="29"/>
  <c r="DJ354" i="29"/>
  <c r="DK354" i="29"/>
  <c r="DL354" i="29"/>
  <c r="DM354" i="29"/>
  <c r="DN354" i="29"/>
  <c r="DO354" i="29"/>
  <c r="DP354" i="29"/>
  <c r="DG355" i="29"/>
  <c r="DH355" i="29"/>
  <c r="DI355" i="29"/>
  <c r="DJ355" i="29"/>
  <c r="DK355" i="29"/>
  <c r="DL355" i="29"/>
  <c r="DM355" i="29"/>
  <c r="DN355" i="29"/>
  <c r="DO355" i="29"/>
  <c r="DP355" i="29"/>
  <c r="DG356" i="29"/>
  <c r="DH356" i="29"/>
  <c r="DI356" i="29"/>
  <c r="DJ356" i="29"/>
  <c r="DK356" i="29"/>
  <c r="DL356" i="29"/>
  <c r="DM356" i="29"/>
  <c r="DN356" i="29"/>
  <c r="DO356" i="29"/>
  <c r="DP356" i="29"/>
  <c r="DG357" i="29"/>
  <c r="DH357" i="29"/>
  <c r="DI357" i="29"/>
  <c r="DJ357" i="29"/>
  <c r="DK357" i="29"/>
  <c r="DL357" i="29"/>
  <c r="DM357" i="29"/>
  <c r="DN357" i="29"/>
  <c r="DO357" i="29"/>
  <c r="DP357" i="29"/>
  <c r="DG358" i="29"/>
  <c r="DH358" i="29"/>
  <c r="DI358" i="29"/>
  <c r="DJ358" i="29"/>
  <c r="DK358" i="29"/>
  <c r="DL358" i="29"/>
  <c r="DM358" i="29"/>
  <c r="DN358" i="29"/>
  <c r="DO358" i="29"/>
  <c r="DP358" i="29"/>
  <c r="DG359" i="29"/>
  <c r="DH359" i="29"/>
  <c r="DI359" i="29"/>
  <c r="DJ359" i="29"/>
  <c r="DK359" i="29"/>
  <c r="DL359" i="29"/>
  <c r="DM359" i="29"/>
  <c r="DN359" i="29"/>
  <c r="DO359" i="29"/>
  <c r="DP359" i="29"/>
  <c r="DG360" i="29"/>
  <c r="DH360" i="29"/>
  <c r="DI360" i="29"/>
  <c r="DJ360" i="29"/>
  <c r="DK360" i="29"/>
  <c r="DL360" i="29"/>
  <c r="DM360" i="29"/>
  <c r="DN360" i="29"/>
  <c r="DO360" i="29"/>
  <c r="DP360" i="29"/>
  <c r="DG361" i="29"/>
  <c r="DH361" i="29"/>
  <c r="DI361" i="29"/>
  <c r="DJ361" i="29"/>
  <c r="DK361" i="29"/>
  <c r="DL361" i="29"/>
  <c r="DM361" i="29"/>
  <c r="DN361" i="29"/>
  <c r="DO361" i="29"/>
  <c r="DP361" i="29"/>
  <c r="DG362" i="29"/>
  <c r="DH362" i="29"/>
  <c r="DI362" i="29"/>
  <c r="DJ362" i="29"/>
  <c r="DK362" i="29"/>
  <c r="DL362" i="29"/>
  <c r="DM362" i="29"/>
  <c r="DN362" i="29"/>
  <c r="DO362" i="29"/>
  <c r="DP362" i="29"/>
  <c r="DG363" i="29"/>
  <c r="DH363" i="29"/>
  <c r="DI363" i="29"/>
  <c r="DJ363" i="29"/>
  <c r="DK363" i="29"/>
  <c r="DL363" i="29"/>
  <c r="DM363" i="29"/>
  <c r="DN363" i="29"/>
  <c r="DO363" i="29"/>
  <c r="DP363" i="29"/>
  <c r="DG364" i="29"/>
  <c r="DH364" i="29"/>
  <c r="DI364" i="29"/>
  <c r="DJ364" i="29"/>
  <c r="DK364" i="29"/>
  <c r="DL364" i="29"/>
  <c r="DM364" i="29"/>
  <c r="DN364" i="29"/>
  <c r="DO364" i="29"/>
  <c r="DP364" i="29"/>
  <c r="DG365" i="29"/>
  <c r="DH365" i="29"/>
  <c r="DI365" i="29"/>
  <c r="DJ365" i="29"/>
  <c r="DK365" i="29"/>
  <c r="DL365" i="29"/>
  <c r="DM365" i="29"/>
  <c r="DN365" i="29"/>
  <c r="DO365" i="29"/>
  <c r="DP365" i="29"/>
  <c r="DG366" i="29"/>
  <c r="DH366" i="29"/>
  <c r="DI366" i="29"/>
  <c r="DJ366" i="29"/>
  <c r="DK366" i="29"/>
  <c r="DL366" i="29"/>
  <c r="DM366" i="29"/>
  <c r="DN366" i="29"/>
  <c r="DO366" i="29"/>
  <c r="DP366" i="29"/>
  <c r="DG367" i="29"/>
  <c r="DH367" i="29"/>
  <c r="DI367" i="29"/>
  <c r="DJ367" i="29"/>
  <c r="DK367" i="29"/>
  <c r="DL367" i="29"/>
  <c r="DM367" i="29"/>
  <c r="DN367" i="29"/>
  <c r="DO367" i="29"/>
  <c r="DP367" i="29"/>
  <c r="DG368" i="29"/>
  <c r="DH368" i="29"/>
  <c r="DI368" i="29"/>
  <c r="DJ368" i="29"/>
  <c r="DK368" i="29"/>
  <c r="DL368" i="29"/>
  <c r="DM368" i="29"/>
  <c r="DN368" i="29"/>
  <c r="DO368" i="29"/>
  <c r="DP368" i="29"/>
  <c r="DP3" i="29"/>
  <c r="DO3" i="29"/>
  <c r="DN3" i="29"/>
  <c r="DM3" i="29"/>
  <c r="DL3" i="29"/>
  <c r="DK3" i="29"/>
  <c r="DJ3" i="29"/>
  <c r="DI3" i="29"/>
  <c r="DH3" i="29"/>
  <c r="DG3" i="29"/>
  <c r="BS4" i="29"/>
  <c r="BT4" i="29"/>
  <c r="BU4" i="29"/>
  <c r="BV4" i="29"/>
  <c r="BW4" i="29"/>
  <c r="BX4" i="29"/>
  <c r="BY4" i="29"/>
  <c r="BZ4" i="29"/>
  <c r="CA4" i="29"/>
  <c r="CB4" i="29"/>
  <c r="BS5" i="29"/>
  <c r="BT5" i="29"/>
  <c r="BU5" i="29"/>
  <c r="BV5" i="29"/>
  <c r="BW5" i="29"/>
  <c r="BX5" i="29"/>
  <c r="BY5" i="29"/>
  <c r="BZ5" i="29"/>
  <c r="CA5" i="29"/>
  <c r="CB5" i="29"/>
  <c r="BS6" i="29"/>
  <c r="BT6" i="29"/>
  <c r="BU6" i="29"/>
  <c r="BV6" i="29"/>
  <c r="BW6" i="29"/>
  <c r="BX6" i="29"/>
  <c r="BY6" i="29"/>
  <c r="BZ6" i="29"/>
  <c r="CA6" i="29"/>
  <c r="CB6" i="29"/>
  <c r="BS7" i="29"/>
  <c r="BT7" i="29"/>
  <c r="BU7" i="29"/>
  <c r="BV7" i="29"/>
  <c r="BW7" i="29"/>
  <c r="BX7" i="29"/>
  <c r="BY7" i="29"/>
  <c r="BZ7" i="29"/>
  <c r="CA7" i="29"/>
  <c r="CB7" i="29"/>
  <c r="BS8" i="29"/>
  <c r="BT8" i="29"/>
  <c r="BU8" i="29"/>
  <c r="BV8" i="29"/>
  <c r="BW8" i="29"/>
  <c r="BX8" i="29"/>
  <c r="BY8" i="29"/>
  <c r="BZ8" i="29"/>
  <c r="CA8" i="29"/>
  <c r="CB8" i="29"/>
  <c r="BS9" i="29"/>
  <c r="BT9" i="29"/>
  <c r="BU9" i="29"/>
  <c r="BV9" i="29"/>
  <c r="BW9" i="29"/>
  <c r="BX9" i="29"/>
  <c r="BY9" i="29"/>
  <c r="BZ9" i="29"/>
  <c r="CA9" i="29"/>
  <c r="CB9" i="29"/>
  <c r="BS10" i="29"/>
  <c r="BT10" i="29"/>
  <c r="BU10" i="29"/>
  <c r="BV10" i="29"/>
  <c r="BW10" i="29"/>
  <c r="BX10" i="29"/>
  <c r="BY10" i="29"/>
  <c r="BZ10" i="29"/>
  <c r="CA10" i="29"/>
  <c r="CB10" i="29"/>
  <c r="BS11" i="29"/>
  <c r="BT11" i="29"/>
  <c r="BU11" i="29"/>
  <c r="BV11" i="29"/>
  <c r="BW11" i="29"/>
  <c r="BX11" i="29"/>
  <c r="BY11" i="29"/>
  <c r="BZ11" i="29"/>
  <c r="CA11" i="29"/>
  <c r="CB11" i="29"/>
  <c r="BS12" i="29"/>
  <c r="BT12" i="29"/>
  <c r="BU12" i="29"/>
  <c r="BV12" i="29"/>
  <c r="BW12" i="29"/>
  <c r="BX12" i="29"/>
  <c r="BY12" i="29"/>
  <c r="BZ12" i="29"/>
  <c r="CA12" i="29"/>
  <c r="CB12" i="29"/>
  <c r="BS13" i="29"/>
  <c r="BT13" i="29"/>
  <c r="BU13" i="29"/>
  <c r="BV13" i="29"/>
  <c r="BW13" i="29"/>
  <c r="BX13" i="29"/>
  <c r="BY13" i="29"/>
  <c r="BZ13" i="29"/>
  <c r="CA13" i="29"/>
  <c r="CB13" i="29"/>
  <c r="BS14" i="29"/>
  <c r="BT14" i="29"/>
  <c r="BU14" i="29"/>
  <c r="BV14" i="29"/>
  <c r="BW14" i="29"/>
  <c r="BX14" i="29"/>
  <c r="BY14" i="29"/>
  <c r="BZ14" i="29"/>
  <c r="CA14" i="29"/>
  <c r="CB14" i="29"/>
  <c r="BS15" i="29"/>
  <c r="BT15" i="29"/>
  <c r="BU15" i="29"/>
  <c r="BV15" i="29"/>
  <c r="BW15" i="29"/>
  <c r="BX15" i="29"/>
  <c r="BY15" i="29"/>
  <c r="BZ15" i="29"/>
  <c r="CA15" i="29"/>
  <c r="CB15" i="29"/>
  <c r="BS16" i="29"/>
  <c r="BT16" i="29"/>
  <c r="BU16" i="29"/>
  <c r="BV16" i="29"/>
  <c r="BW16" i="29"/>
  <c r="BX16" i="29"/>
  <c r="BY16" i="29"/>
  <c r="BZ16" i="29"/>
  <c r="CA16" i="29"/>
  <c r="CB16" i="29"/>
  <c r="BS17" i="29"/>
  <c r="BT17" i="29"/>
  <c r="BU17" i="29"/>
  <c r="BV17" i="29"/>
  <c r="BW17" i="29"/>
  <c r="BX17" i="29"/>
  <c r="BY17" i="29"/>
  <c r="BZ17" i="29"/>
  <c r="CA17" i="29"/>
  <c r="CB17" i="29"/>
  <c r="BS18" i="29"/>
  <c r="BT18" i="29"/>
  <c r="BU18" i="29"/>
  <c r="BV18" i="29"/>
  <c r="BW18" i="29"/>
  <c r="BX18" i="29"/>
  <c r="BY18" i="29"/>
  <c r="BZ18" i="29"/>
  <c r="CA18" i="29"/>
  <c r="CB18" i="29"/>
  <c r="BS19" i="29"/>
  <c r="BT19" i="29"/>
  <c r="BU19" i="29"/>
  <c r="BV19" i="29"/>
  <c r="BW19" i="29"/>
  <c r="BX19" i="29"/>
  <c r="BY19" i="29"/>
  <c r="BZ19" i="29"/>
  <c r="CA19" i="29"/>
  <c r="CB19" i="29"/>
  <c r="BS20" i="29"/>
  <c r="BT20" i="29"/>
  <c r="BU20" i="29"/>
  <c r="BV20" i="29"/>
  <c r="BW20" i="29"/>
  <c r="BX20" i="29"/>
  <c r="BY20" i="29"/>
  <c r="BZ20" i="29"/>
  <c r="CA20" i="29"/>
  <c r="CB20" i="29"/>
  <c r="BS21" i="29"/>
  <c r="BT21" i="29"/>
  <c r="BU21" i="29"/>
  <c r="BV21" i="29"/>
  <c r="BW21" i="29"/>
  <c r="BX21" i="29"/>
  <c r="BY21" i="29"/>
  <c r="BZ21" i="29"/>
  <c r="CA21" i="29"/>
  <c r="CB21" i="29"/>
  <c r="BS22" i="29"/>
  <c r="BT22" i="29"/>
  <c r="BU22" i="29"/>
  <c r="BV22" i="29"/>
  <c r="BW22" i="29"/>
  <c r="BX22" i="29"/>
  <c r="BY22" i="29"/>
  <c r="BZ22" i="29"/>
  <c r="CA22" i="29"/>
  <c r="CB22" i="29"/>
  <c r="BS23" i="29"/>
  <c r="BT23" i="29"/>
  <c r="BU23" i="29"/>
  <c r="BV23" i="29"/>
  <c r="BW23" i="29"/>
  <c r="BX23" i="29"/>
  <c r="BY23" i="29"/>
  <c r="BZ23" i="29"/>
  <c r="CA23" i="29"/>
  <c r="CB23" i="29"/>
  <c r="BS24" i="29"/>
  <c r="BT24" i="29"/>
  <c r="BU24" i="29"/>
  <c r="BV24" i="29"/>
  <c r="BW24" i="29"/>
  <c r="BX24" i="29"/>
  <c r="BY24" i="29"/>
  <c r="BZ24" i="29"/>
  <c r="CA24" i="29"/>
  <c r="CB24" i="29"/>
  <c r="BS25" i="29"/>
  <c r="BT25" i="29"/>
  <c r="BU25" i="29"/>
  <c r="BV25" i="29"/>
  <c r="BW25" i="29"/>
  <c r="BX25" i="29"/>
  <c r="BY25" i="29"/>
  <c r="BZ25" i="29"/>
  <c r="CA25" i="29"/>
  <c r="CB25" i="29"/>
  <c r="BS26" i="29"/>
  <c r="BT26" i="29"/>
  <c r="BU26" i="29"/>
  <c r="BV26" i="29"/>
  <c r="BW26" i="29"/>
  <c r="BX26" i="29"/>
  <c r="BY26" i="29"/>
  <c r="BZ26" i="29"/>
  <c r="CA26" i="29"/>
  <c r="CB26" i="29"/>
  <c r="BS27" i="29"/>
  <c r="BT27" i="29"/>
  <c r="BU27" i="29"/>
  <c r="BV27" i="29"/>
  <c r="BW27" i="29"/>
  <c r="BX27" i="29"/>
  <c r="BY27" i="29"/>
  <c r="BZ27" i="29"/>
  <c r="CA27" i="29"/>
  <c r="CB27" i="29"/>
  <c r="BS28" i="29"/>
  <c r="BT28" i="29"/>
  <c r="BU28" i="29"/>
  <c r="BV28" i="29"/>
  <c r="BW28" i="29"/>
  <c r="BX28" i="29"/>
  <c r="BY28" i="29"/>
  <c r="BZ28" i="29"/>
  <c r="CA28" i="29"/>
  <c r="CB28" i="29"/>
  <c r="BS29" i="29"/>
  <c r="BT29" i="29"/>
  <c r="BU29" i="29"/>
  <c r="BV29" i="29"/>
  <c r="BW29" i="29"/>
  <c r="BX29" i="29"/>
  <c r="BY29" i="29"/>
  <c r="BZ29" i="29"/>
  <c r="CA29" i="29"/>
  <c r="CB29" i="29"/>
  <c r="BS30" i="29"/>
  <c r="BT30" i="29"/>
  <c r="BU30" i="29"/>
  <c r="BV30" i="29"/>
  <c r="BW30" i="29"/>
  <c r="BX30" i="29"/>
  <c r="BY30" i="29"/>
  <c r="BZ30" i="29"/>
  <c r="CA30" i="29"/>
  <c r="CB30" i="29"/>
  <c r="BS31" i="29"/>
  <c r="BT31" i="29"/>
  <c r="BU31" i="29"/>
  <c r="BV31" i="29"/>
  <c r="BW31" i="29"/>
  <c r="BX31" i="29"/>
  <c r="BY31" i="29"/>
  <c r="BZ31" i="29"/>
  <c r="CA31" i="29"/>
  <c r="CB31" i="29"/>
  <c r="BS32" i="29"/>
  <c r="BT32" i="29"/>
  <c r="BU32" i="29"/>
  <c r="BV32" i="29"/>
  <c r="BW32" i="29"/>
  <c r="BX32" i="29"/>
  <c r="BY32" i="29"/>
  <c r="BZ32" i="29"/>
  <c r="CA32" i="29"/>
  <c r="CB32" i="29"/>
  <c r="BS33" i="29"/>
  <c r="BT33" i="29"/>
  <c r="BU33" i="29"/>
  <c r="BV33" i="29"/>
  <c r="BW33" i="29"/>
  <c r="BX33" i="29"/>
  <c r="BY33" i="29"/>
  <c r="BZ33" i="29"/>
  <c r="CA33" i="29"/>
  <c r="CB33" i="29"/>
  <c r="BS34" i="29"/>
  <c r="BT34" i="29"/>
  <c r="BU34" i="29"/>
  <c r="BV34" i="29"/>
  <c r="BW34" i="29"/>
  <c r="BX34" i="29"/>
  <c r="BY34" i="29"/>
  <c r="BZ34" i="29"/>
  <c r="CA34" i="29"/>
  <c r="CB34" i="29"/>
  <c r="BS35" i="29"/>
  <c r="BT35" i="29"/>
  <c r="BU35" i="29"/>
  <c r="BV35" i="29"/>
  <c r="BW35" i="29"/>
  <c r="BX35" i="29"/>
  <c r="BY35" i="29"/>
  <c r="BZ35" i="29"/>
  <c r="CA35" i="29"/>
  <c r="CB35" i="29"/>
  <c r="BS36" i="29"/>
  <c r="BT36" i="29"/>
  <c r="BU36" i="29"/>
  <c r="BV36" i="29"/>
  <c r="BW36" i="29"/>
  <c r="BX36" i="29"/>
  <c r="BY36" i="29"/>
  <c r="BZ36" i="29"/>
  <c r="CA36" i="29"/>
  <c r="CB36" i="29"/>
  <c r="BS37" i="29"/>
  <c r="BT37" i="29"/>
  <c r="BU37" i="29"/>
  <c r="BV37" i="29"/>
  <c r="BW37" i="29"/>
  <c r="BX37" i="29"/>
  <c r="BY37" i="29"/>
  <c r="BZ37" i="29"/>
  <c r="CA37" i="29"/>
  <c r="CB37" i="29"/>
  <c r="BS38" i="29"/>
  <c r="BT38" i="29"/>
  <c r="BU38" i="29"/>
  <c r="BV38" i="29"/>
  <c r="BW38" i="29"/>
  <c r="BX38" i="29"/>
  <c r="BY38" i="29"/>
  <c r="BZ38" i="29"/>
  <c r="CA38" i="29"/>
  <c r="CB38" i="29"/>
  <c r="BS39" i="29"/>
  <c r="BT39" i="29"/>
  <c r="BU39" i="29"/>
  <c r="BV39" i="29"/>
  <c r="BW39" i="29"/>
  <c r="BX39" i="29"/>
  <c r="BY39" i="29"/>
  <c r="BZ39" i="29"/>
  <c r="CA39" i="29"/>
  <c r="CB39" i="29"/>
  <c r="BS40" i="29"/>
  <c r="BT40" i="29"/>
  <c r="BU40" i="29"/>
  <c r="BV40" i="29"/>
  <c r="BW40" i="29"/>
  <c r="BX40" i="29"/>
  <c r="BY40" i="29"/>
  <c r="BZ40" i="29"/>
  <c r="CA40" i="29"/>
  <c r="CB40" i="29"/>
  <c r="BS41" i="29"/>
  <c r="BT41" i="29"/>
  <c r="BU41" i="29"/>
  <c r="BV41" i="29"/>
  <c r="BW41" i="29"/>
  <c r="BX41" i="29"/>
  <c r="BY41" i="29"/>
  <c r="BZ41" i="29"/>
  <c r="CA41" i="29"/>
  <c r="CB41" i="29"/>
  <c r="BS42" i="29"/>
  <c r="BT42" i="29"/>
  <c r="BU42" i="29"/>
  <c r="BV42" i="29"/>
  <c r="BW42" i="29"/>
  <c r="BX42" i="29"/>
  <c r="BY42" i="29"/>
  <c r="BZ42" i="29"/>
  <c r="CA42" i="29"/>
  <c r="CB42" i="29"/>
  <c r="BS43" i="29"/>
  <c r="BT43" i="29"/>
  <c r="BU43" i="29"/>
  <c r="BV43" i="29"/>
  <c r="BW43" i="29"/>
  <c r="BX43" i="29"/>
  <c r="BY43" i="29"/>
  <c r="BZ43" i="29"/>
  <c r="CA43" i="29"/>
  <c r="CB43" i="29"/>
  <c r="BS44" i="29"/>
  <c r="BT44" i="29"/>
  <c r="BU44" i="29"/>
  <c r="BV44" i="29"/>
  <c r="BW44" i="29"/>
  <c r="BX44" i="29"/>
  <c r="BY44" i="29"/>
  <c r="BZ44" i="29"/>
  <c r="CA44" i="29"/>
  <c r="CB44" i="29"/>
  <c r="BS45" i="29"/>
  <c r="BT45" i="29"/>
  <c r="BU45" i="29"/>
  <c r="BV45" i="29"/>
  <c r="BW45" i="29"/>
  <c r="BX45" i="29"/>
  <c r="BY45" i="29"/>
  <c r="BZ45" i="29"/>
  <c r="CA45" i="29"/>
  <c r="CB45" i="29"/>
  <c r="BS46" i="29"/>
  <c r="BT46" i="29"/>
  <c r="BU46" i="29"/>
  <c r="BV46" i="29"/>
  <c r="BW46" i="29"/>
  <c r="BX46" i="29"/>
  <c r="BY46" i="29"/>
  <c r="BZ46" i="29"/>
  <c r="CA46" i="29"/>
  <c r="CB46" i="29"/>
  <c r="BS47" i="29"/>
  <c r="BT47" i="29"/>
  <c r="BU47" i="29"/>
  <c r="BV47" i="29"/>
  <c r="BW47" i="29"/>
  <c r="BX47" i="29"/>
  <c r="BY47" i="29"/>
  <c r="BZ47" i="29"/>
  <c r="CA47" i="29"/>
  <c r="CB47" i="29"/>
  <c r="BS48" i="29"/>
  <c r="BT48" i="29"/>
  <c r="BU48" i="29"/>
  <c r="BV48" i="29"/>
  <c r="BW48" i="29"/>
  <c r="BX48" i="29"/>
  <c r="BY48" i="29"/>
  <c r="BZ48" i="29"/>
  <c r="CA48" i="29"/>
  <c r="CB48" i="29"/>
  <c r="BS49" i="29"/>
  <c r="BT49" i="29"/>
  <c r="BU49" i="29"/>
  <c r="BV49" i="29"/>
  <c r="BW49" i="29"/>
  <c r="BX49" i="29"/>
  <c r="BY49" i="29"/>
  <c r="BZ49" i="29"/>
  <c r="CA49" i="29"/>
  <c r="CB49" i="29"/>
  <c r="BS50" i="29"/>
  <c r="BT50" i="29"/>
  <c r="BU50" i="29"/>
  <c r="BV50" i="29"/>
  <c r="BW50" i="29"/>
  <c r="BX50" i="29"/>
  <c r="BY50" i="29"/>
  <c r="BZ50" i="29"/>
  <c r="CA50" i="29"/>
  <c r="CB50" i="29"/>
  <c r="BS51" i="29"/>
  <c r="BT51" i="29"/>
  <c r="BU51" i="29"/>
  <c r="BV51" i="29"/>
  <c r="BW51" i="29"/>
  <c r="BX51" i="29"/>
  <c r="BY51" i="29"/>
  <c r="BZ51" i="29"/>
  <c r="CA51" i="29"/>
  <c r="CB51" i="29"/>
  <c r="BS52" i="29"/>
  <c r="BT52" i="29"/>
  <c r="BU52" i="29"/>
  <c r="BV52" i="29"/>
  <c r="BW52" i="29"/>
  <c r="BX52" i="29"/>
  <c r="BY52" i="29"/>
  <c r="BZ52" i="29"/>
  <c r="CA52" i="29"/>
  <c r="CB52" i="29"/>
  <c r="BS53" i="29"/>
  <c r="BT53" i="29"/>
  <c r="BU53" i="29"/>
  <c r="BV53" i="29"/>
  <c r="BW53" i="29"/>
  <c r="BX53" i="29"/>
  <c r="BY53" i="29"/>
  <c r="BZ53" i="29"/>
  <c r="CA53" i="29"/>
  <c r="CB53" i="29"/>
  <c r="BS54" i="29"/>
  <c r="BT54" i="29"/>
  <c r="BU54" i="29"/>
  <c r="BV54" i="29"/>
  <c r="BW54" i="29"/>
  <c r="BX54" i="29"/>
  <c r="BY54" i="29"/>
  <c r="BZ54" i="29"/>
  <c r="CA54" i="29"/>
  <c r="CB54" i="29"/>
  <c r="BS55" i="29"/>
  <c r="BT55" i="29"/>
  <c r="BU55" i="29"/>
  <c r="BV55" i="29"/>
  <c r="BW55" i="29"/>
  <c r="BX55" i="29"/>
  <c r="BY55" i="29"/>
  <c r="BZ55" i="29"/>
  <c r="CA55" i="29"/>
  <c r="CB55" i="29"/>
  <c r="BS56" i="29"/>
  <c r="BT56" i="29"/>
  <c r="BU56" i="29"/>
  <c r="BV56" i="29"/>
  <c r="BW56" i="29"/>
  <c r="BX56" i="29"/>
  <c r="BY56" i="29"/>
  <c r="BZ56" i="29"/>
  <c r="CA56" i="29"/>
  <c r="CB56" i="29"/>
  <c r="BS57" i="29"/>
  <c r="BT57" i="29"/>
  <c r="BU57" i="29"/>
  <c r="BV57" i="29"/>
  <c r="BW57" i="29"/>
  <c r="BX57" i="29"/>
  <c r="BY57" i="29"/>
  <c r="BZ57" i="29"/>
  <c r="CA57" i="29"/>
  <c r="CB57" i="29"/>
  <c r="BS58" i="29"/>
  <c r="BT58" i="29"/>
  <c r="BU58" i="29"/>
  <c r="BV58" i="29"/>
  <c r="BW58" i="29"/>
  <c r="BX58" i="29"/>
  <c r="BY58" i="29"/>
  <c r="BZ58" i="29"/>
  <c r="CA58" i="29"/>
  <c r="CB58" i="29"/>
  <c r="BS59" i="29"/>
  <c r="BT59" i="29"/>
  <c r="BU59" i="29"/>
  <c r="BV59" i="29"/>
  <c r="BW59" i="29"/>
  <c r="BX59" i="29"/>
  <c r="BY59" i="29"/>
  <c r="BZ59" i="29"/>
  <c r="CA59" i="29"/>
  <c r="CB59" i="29"/>
  <c r="BS60" i="29"/>
  <c r="BT60" i="29"/>
  <c r="BU60" i="29"/>
  <c r="BV60" i="29"/>
  <c r="BW60" i="29"/>
  <c r="BX60" i="29"/>
  <c r="BY60" i="29"/>
  <c r="BZ60" i="29"/>
  <c r="CA60" i="29"/>
  <c r="CB60" i="29"/>
  <c r="BS61" i="29"/>
  <c r="BT61" i="29"/>
  <c r="BU61" i="29"/>
  <c r="BV61" i="29"/>
  <c r="BW61" i="29"/>
  <c r="BX61" i="29"/>
  <c r="BY61" i="29"/>
  <c r="BZ61" i="29"/>
  <c r="CA61" i="29"/>
  <c r="CB61" i="29"/>
  <c r="BS62" i="29"/>
  <c r="BT62" i="29"/>
  <c r="BU62" i="29"/>
  <c r="BV62" i="29"/>
  <c r="BW62" i="29"/>
  <c r="BX62" i="29"/>
  <c r="BY62" i="29"/>
  <c r="BZ62" i="29"/>
  <c r="CA62" i="29"/>
  <c r="CB62" i="29"/>
  <c r="BS63" i="29"/>
  <c r="BT63" i="29"/>
  <c r="BU63" i="29"/>
  <c r="BV63" i="29"/>
  <c r="BW63" i="29"/>
  <c r="BX63" i="29"/>
  <c r="BY63" i="29"/>
  <c r="BZ63" i="29"/>
  <c r="CA63" i="29"/>
  <c r="CB63" i="29"/>
  <c r="BS64" i="29"/>
  <c r="BT64" i="29"/>
  <c r="BU64" i="29"/>
  <c r="BV64" i="29"/>
  <c r="BW64" i="29"/>
  <c r="BX64" i="29"/>
  <c r="BY64" i="29"/>
  <c r="BZ64" i="29"/>
  <c r="CA64" i="29"/>
  <c r="CB64" i="29"/>
  <c r="BS65" i="29"/>
  <c r="BT65" i="29"/>
  <c r="BU65" i="29"/>
  <c r="BV65" i="29"/>
  <c r="BW65" i="29"/>
  <c r="BX65" i="29"/>
  <c r="BY65" i="29"/>
  <c r="BZ65" i="29"/>
  <c r="CA65" i="29"/>
  <c r="CB65" i="29"/>
  <c r="BS66" i="29"/>
  <c r="BT66" i="29"/>
  <c r="BU66" i="29"/>
  <c r="BV66" i="29"/>
  <c r="BW66" i="29"/>
  <c r="BX66" i="29"/>
  <c r="BY66" i="29"/>
  <c r="BZ66" i="29"/>
  <c r="CA66" i="29"/>
  <c r="CB66" i="29"/>
  <c r="BS67" i="29"/>
  <c r="BT67" i="29"/>
  <c r="BU67" i="29"/>
  <c r="BV67" i="29"/>
  <c r="BW67" i="29"/>
  <c r="BX67" i="29"/>
  <c r="BY67" i="29"/>
  <c r="BZ67" i="29"/>
  <c r="CA67" i="29"/>
  <c r="CB67" i="29"/>
  <c r="BS68" i="29"/>
  <c r="BT68" i="29"/>
  <c r="BU68" i="29"/>
  <c r="BV68" i="29"/>
  <c r="BW68" i="29"/>
  <c r="BX68" i="29"/>
  <c r="BY68" i="29"/>
  <c r="BZ68" i="29"/>
  <c r="CA68" i="29"/>
  <c r="CB68" i="29"/>
  <c r="BS69" i="29"/>
  <c r="BT69" i="29"/>
  <c r="BU69" i="29"/>
  <c r="BV69" i="29"/>
  <c r="BW69" i="29"/>
  <c r="BX69" i="29"/>
  <c r="BY69" i="29"/>
  <c r="BZ69" i="29"/>
  <c r="CA69" i="29"/>
  <c r="CB69" i="29"/>
  <c r="BS70" i="29"/>
  <c r="BT70" i="29"/>
  <c r="BU70" i="29"/>
  <c r="BV70" i="29"/>
  <c r="BW70" i="29"/>
  <c r="BX70" i="29"/>
  <c r="BY70" i="29"/>
  <c r="BZ70" i="29"/>
  <c r="CA70" i="29"/>
  <c r="CB70" i="29"/>
  <c r="BS71" i="29"/>
  <c r="BT71" i="29"/>
  <c r="BU71" i="29"/>
  <c r="BV71" i="29"/>
  <c r="BW71" i="29"/>
  <c r="BX71" i="29"/>
  <c r="BY71" i="29"/>
  <c r="BZ71" i="29"/>
  <c r="CA71" i="29"/>
  <c r="CB71" i="29"/>
  <c r="BS72" i="29"/>
  <c r="BT72" i="29"/>
  <c r="BU72" i="29"/>
  <c r="BV72" i="29"/>
  <c r="BW72" i="29"/>
  <c r="BX72" i="29"/>
  <c r="BY72" i="29"/>
  <c r="BZ72" i="29"/>
  <c r="CA72" i="29"/>
  <c r="CB72" i="29"/>
  <c r="BS73" i="29"/>
  <c r="BT73" i="29"/>
  <c r="BU73" i="29"/>
  <c r="BV73" i="29"/>
  <c r="BW73" i="29"/>
  <c r="BX73" i="29"/>
  <c r="BY73" i="29"/>
  <c r="BZ73" i="29"/>
  <c r="CA73" i="29"/>
  <c r="CB73" i="29"/>
  <c r="BS74" i="29"/>
  <c r="BT74" i="29"/>
  <c r="BU74" i="29"/>
  <c r="BV74" i="29"/>
  <c r="BW74" i="29"/>
  <c r="BX74" i="29"/>
  <c r="BY74" i="29"/>
  <c r="BZ74" i="29"/>
  <c r="CA74" i="29"/>
  <c r="CB74" i="29"/>
  <c r="BS75" i="29"/>
  <c r="BT75" i="29"/>
  <c r="BU75" i="29"/>
  <c r="BV75" i="29"/>
  <c r="BW75" i="29"/>
  <c r="BX75" i="29"/>
  <c r="BY75" i="29"/>
  <c r="BZ75" i="29"/>
  <c r="CA75" i="29"/>
  <c r="CB75" i="29"/>
  <c r="BS76" i="29"/>
  <c r="BT76" i="29"/>
  <c r="BU76" i="29"/>
  <c r="BV76" i="29"/>
  <c r="BW76" i="29"/>
  <c r="BX76" i="29"/>
  <c r="BY76" i="29"/>
  <c r="BZ76" i="29"/>
  <c r="CA76" i="29"/>
  <c r="CB76" i="29"/>
  <c r="BS77" i="29"/>
  <c r="BT77" i="29"/>
  <c r="BU77" i="29"/>
  <c r="BV77" i="29"/>
  <c r="BW77" i="29"/>
  <c r="BX77" i="29"/>
  <c r="BY77" i="29"/>
  <c r="BZ77" i="29"/>
  <c r="CA77" i="29"/>
  <c r="CB77" i="29"/>
  <c r="BS78" i="29"/>
  <c r="BT78" i="29"/>
  <c r="BU78" i="29"/>
  <c r="BV78" i="29"/>
  <c r="BW78" i="29"/>
  <c r="BX78" i="29"/>
  <c r="BY78" i="29"/>
  <c r="BZ78" i="29"/>
  <c r="CA78" i="29"/>
  <c r="CB78" i="29"/>
  <c r="BS79" i="29"/>
  <c r="BT79" i="29"/>
  <c r="BU79" i="29"/>
  <c r="BV79" i="29"/>
  <c r="BW79" i="29"/>
  <c r="BX79" i="29"/>
  <c r="BY79" i="29"/>
  <c r="BZ79" i="29"/>
  <c r="CA79" i="29"/>
  <c r="CB79" i="29"/>
  <c r="BS80" i="29"/>
  <c r="BT80" i="29"/>
  <c r="BU80" i="29"/>
  <c r="BV80" i="29"/>
  <c r="BW80" i="29"/>
  <c r="BX80" i="29"/>
  <c r="BY80" i="29"/>
  <c r="BZ80" i="29"/>
  <c r="CA80" i="29"/>
  <c r="CB80" i="29"/>
  <c r="BS81" i="29"/>
  <c r="BT81" i="29"/>
  <c r="BU81" i="29"/>
  <c r="BV81" i="29"/>
  <c r="BW81" i="29"/>
  <c r="BX81" i="29"/>
  <c r="BY81" i="29"/>
  <c r="BZ81" i="29"/>
  <c r="CA81" i="29"/>
  <c r="CB81" i="29"/>
  <c r="BS82" i="29"/>
  <c r="BT82" i="29"/>
  <c r="BU82" i="29"/>
  <c r="BV82" i="29"/>
  <c r="BW82" i="29"/>
  <c r="BX82" i="29"/>
  <c r="BY82" i="29"/>
  <c r="BZ82" i="29"/>
  <c r="CA82" i="29"/>
  <c r="CB82" i="29"/>
  <c r="BS83" i="29"/>
  <c r="BT83" i="29"/>
  <c r="BU83" i="29"/>
  <c r="BV83" i="29"/>
  <c r="BW83" i="29"/>
  <c r="BX83" i="29"/>
  <c r="BY83" i="29"/>
  <c r="BZ83" i="29"/>
  <c r="CA83" i="29"/>
  <c r="CB83" i="29"/>
  <c r="BS84" i="29"/>
  <c r="BT84" i="29"/>
  <c r="BU84" i="29"/>
  <c r="BV84" i="29"/>
  <c r="BW84" i="29"/>
  <c r="BX84" i="29"/>
  <c r="BY84" i="29"/>
  <c r="BZ84" i="29"/>
  <c r="CA84" i="29"/>
  <c r="CB84" i="29"/>
  <c r="BS85" i="29"/>
  <c r="BT85" i="29"/>
  <c r="BU85" i="29"/>
  <c r="BV85" i="29"/>
  <c r="BW85" i="29"/>
  <c r="BX85" i="29"/>
  <c r="BY85" i="29"/>
  <c r="BZ85" i="29"/>
  <c r="CA85" i="29"/>
  <c r="CB85" i="29"/>
  <c r="BS86" i="29"/>
  <c r="BT86" i="29"/>
  <c r="BU86" i="29"/>
  <c r="BV86" i="29"/>
  <c r="BW86" i="29"/>
  <c r="BX86" i="29"/>
  <c r="BY86" i="29"/>
  <c r="BZ86" i="29"/>
  <c r="CA86" i="29"/>
  <c r="CB86" i="29"/>
  <c r="BS87" i="29"/>
  <c r="BT87" i="29"/>
  <c r="BU87" i="29"/>
  <c r="BV87" i="29"/>
  <c r="BW87" i="29"/>
  <c r="BX87" i="29"/>
  <c r="BY87" i="29"/>
  <c r="BZ87" i="29"/>
  <c r="CA87" i="29"/>
  <c r="CB87" i="29"/>
  <c r="BS88" i="29"/>
  <c r="BT88" i="29"/>
  <c r="BU88" i="29"/>
  <c r="BV88" i="29"/>
  <c r="BW88" i="29"/>
  <c r="BX88" i="29"/>
  <c r="BY88" i="29"/>
  <c r="BZ88" i="29"/>
  <c r="CA88" i="29"/>
  <c r="CB88" i="29"/>
  <c r="BS89" i="29"/>
  <c r="BT89" i="29"/>
  <c r="BU89" i="29"/>
  <c r="BV89" i="29"/>
  <c r="BW89" i="29"/>
  <c r="BX89" i="29"/>
  <c r="BY89" i="29"/>
  <c r="BZ89" i="29"/>
  <c r="CA89" i="29"/>
  <c r="CB89" i="29"/>
  <c r="BS90" i="29"/>
  <c r="BT90" i="29"/>
  <c r="BU90" i="29"/>
  <c r="BV90" i="29"/>
  <c r="BW90" i="29"/>
  <c r="BX90" i="29"/>
  <c r="BY90" i="29"/>
  <c r="BZ90" i="29"/>
  <c r="CA90" i="29"/>
  <c r="CB90" i="29"/>
  <c r="BS91" i="29"/>
  <c r="BT91" i="29"/>
  <c r="BU91" i="29"/>
  <c r="BV91" i="29"/>
  <c r="BW91" i="29"/>
  <c r="BX91" i="29"/>
  <c r="BY91" i="29"/>
  <c r="BZ91" i="29"/>
  <c r="CA91" i="29"/>
  <c r="CB91" i="29"/>
  <c r="BS92" i="29"/>
  <c r="BT92" i="29"/>
  <c r="BU92" i="29"/>
  <c r="BV92" i="29"/>
  <c r="BW92" i="29"/>
  <c r="BX92" i="29"/>
  <c r="BY92" i="29"/>
  <c r="BZ92" i="29"/>
  <c r="CA92" i="29"/>
  <c r="CB92" i="29"/>
  <c r="BS93" i="29"/>
  <c r="BT93" i="29"/>
  <c r="BU93" i="29"/>
  <c r="BV93" i="29"/>
  <c r="BW93" i="29"/>
  <c r="BX93" i="29"/>
  <c r="BY93" i="29"/>
  <c r="BZ93" i="29"/>
  <c r="CA93" i="29"/>
  <c r="CB93" i="29"/>
  <c r="BS94" i="29"/>
  <c r="BT94" i="29"/>
  <c r="BU94" i="29"/>
  <c r="BV94" i="29"/>
  <c r="BW94" i="29"/>
  <c r="BX94" i="29"/>
  <c r="BY94" i="29"/>
  <c r="BZ94" i="29"/>
  <c r="CA94" i="29"/>
  <c r="CB94" i="29"/>
  <c r="BS95" i="29"/>
  <c r="BT95" i="29"/>
  <c r="BU95" i="29"/>
  <c r="BV95" i="29"/>
  <c r="BW95" i="29"/>
  <c r="BX95" i="29"/>
  <c r="BY95" i="29"/>
  <c r="BZ95" i="29"/>
  <c r="CA95" i="29"/>
  <c r="CB95" i="29"/>
  <c r="BS96" i="29"/>
  <c r="BT96" i="29"/>
  <c r="BU96" i="29"/>
  <c r="BV96" i="29"/>
  <c r="BW96" i="29"/>
  <c r="BX96" i="29"/>
  <c r="BY96" i="29"/>
  <c r="BZ96" i="29"/>
  <c r="CA96" i="29"/>
  <c r="CB96" i="29"/>
  <c r="BS97" i="29"/>
  <c r="BT97" i="29"/>
  <c r="BU97" i="29"/>
  <c r="BV97" i="29"/>
  <c r="BW97" i="29"/>
  <c r="BX97" i="29"/>
  <c r="BY97" i="29"/>
  <c r="BZ97" i="29"/>
  <c r="CA97" i="29"/>
  <c r="CB97" i="29"/>
  <c r="BS98" i="29"/>
  <c r="BT98" i="29"/>
  <c r="BU98" i="29"/>
  <c r="BV98" i="29"/>
  <c r="BW98" i="29"/>
  <c r="BX98" i="29"/>
  <c r="BY98" i="29"/>
  <c r="BZ98" i="29"/>
  <c r="CA98" i="29"/>
  <c r="CB98" i="29"/>
  <c r="BS99" i="29"/>
  <c r="BT99" i="29"/>
  <c r="BU99" i="29"/>
  <c r="BV99" i="29"/>
  <c r="BW99" i="29"/>
  <c r="BX99" i="29"/>
  <c r="BY99" i="29"/>
  <c r="BZ99" i="29"/>
  <c r="CA99" i="29"/>
  <c r="CB99" i="29"/>
  <c r="BS100" i="29"/>
  <c r="BT100" i="29"/>
  <c r="BU100" i="29"/>
  <c r="BV100" i="29"/>
  <c r="BW100" i="29"/>
  <c r="BX100" i="29"/>
  <c r="BY100" i="29"/>
  <c r="BZ100" i="29"/>
  <c r="CA100" i="29"/>
  <c r="CB100" i="29"/>
  <c r="BS101" i="29"/>
  <c r="BT101" i="29"/>
  <c r="BU101" i="29"/>
  <c r="BV101" i="29"/>
  <c r="BW101" i="29"/>
  <c r="BX101" i="29"/>
  <c r="BY101" i="29"/>
  <c r="BZ101" i="29"/>
  <c r="CA101" i="29"/>
  <c r="CB101" i="29"/>
  <c r="BS102" i="29"/>
  <c r="BT102" i="29"/>
  <c r="BU102" i="29"/>
  <c r="BV102" i="29"/>
  <c r="BW102" i="29"/>
  <c r="BX102" i="29"/>
  <c r="BY102" i="29"/>
  <c r="BZ102" i="29"/>
  <c r="CA102" i="29"/>
  <c r="CB102" i="29"/>
  <c r="BS103" i="29"/>
  <c r="BT103" i="29"/>
  <c r="BU103" i="29"/>
  <c r="BV103" i="29"/>
  <c r="BW103" i="29"/>
  <c r="BX103" i="29"/>
  <c r="BY103" i="29"/>
  <c r="BZ103" i="29"/>
  <c r="CA103" i="29"/>
  <c r="CB103" i="29"/>
  <c r="BS104" i="29"/>
  <c r="BT104" i="29"/>
  <c r="BU104" i="29"/>
  <c r="BV104" i="29"/>
  <c r="BW104" i="29"/>
  <c r="BX104" i="29"/>
  <c r="BY104" i="29"/>
  <c r="BZ104" i="29"/>
  <c r="CA104" i="29"/>
  <c r="CB104" i="29"/>
  <c r="BS105" i="29"/>
  <c r="BT105" i="29"/>
  <c r="BU105" i="29"/>
  <c r="BV105" i="29"/>
  <c r="BW105" i="29"/>
  <c r="BX105" i="29"/>
  <c r="BY105" i="29"/>
  <c r="BZ105" i="29"/>
  <c r="CA105" i="29"/>
  <c r="CB105" i="29"/>
  <c r="BS106" i="29"/>
  <c r="BT106" i="29"/>
  <c r="BU106" i="29"/>
  <c r="BV106" i="29"/>
  <c r="BW106" i="29"/>
  <c r="BX106" i="29"/>
  <c r="BY106" i="29"/>
  <c r="BZ106" i="29"/>
  <c r="CA106" i="29"/>
  <c r="CB106" i="29"/>
  <c r="BS107" i="29"/>
  <c r="BT107" i="29"/>
  <c r="BU107" i="29"/>
  <c r="BV107" i="29"/>
  <c r="BW107" i="29"/>
  <c r="BX107" i="29"/>
  <c r="BY107" i="29"/>
  <c r="BZ107" i="29"/>
  <c r="CA107" i="29"/>
  <c r="CB107" i="29"/>
  <c r="BS108" i="29"/>
  <c r="BT108" i="29"/>
  <c r="BU108" i="29"/>
  <c r="BV108" i="29"/>
  <c r="BW108" i="29"/>
  <c r="BX108" i="29"/>
  <c r="BY108" i="29"/>
  <c r="BZ108" i="29"/>
  <c r="CA108" i="29"/>
  <c r="CB108" i="29"/>
  <c r="BS109" i="29"/>
  <c r="BT109" i="29"/>
  <c r="BU109" i="29"/>
  <c r="BV109" i="29"/>
  <c r="BW109" i="29"/>
  <c r="BX109" i="29"/>
  <c r="BY109" i="29"/>
  <c r="BZ109" i="29"/>
  <c r="CA109" i="29"/>
  <c r="CB109" i="29"/>
  <c r="BS110" i="29"/>
  <c r="BT110" i="29"/>
  <c r="BU110" i="29"/>
  <c r="BV110" i="29"/>
  <c r="BW110" i="29"/>
  <c r="BX110" i="29"/>
  <c r="BY110" i="29"/>
  <c r="BZ110" i="29"/>
  <c r="CA110" i="29"/>
  <c r="CB110" i="29"/>
  <c r="BS111" i="29"/>
  <c r="BT111" i="29"/>
  <c r="BU111" i="29"/>
  <c r="BV111" i="29"/>
  <c r="BW111" i="29"/>
  <c r="BX111" i="29"/>
  <c r="BY111" i="29"/>
  <c r="BZ111" i="29"/>
  <c r="CA111" i="29"/>
  <c r="CB111" i="29"/>
  <c r="BS112" i="29"/>
  <c r="BT112" i="29"/>
  <c r="BU112" i="29"/>
  <c r="BV112" i="29"/>
  <c r="BW112" i="29"/>
  <c r="BX112" i="29"/>
  <c r="BY112" i="29"/>
  <c r="BZ112" i="29"/>
  <c r="CA112" i="29"/>
  <c r="CB112" i="29"/>
  <c r="BS113" i="29"/>
  <c r="BT113" i="29"/>
  <c r="BU113" i="29"/>
  <c r="BV113" i="29"/>
  <c r="BW113" i="29"/>
  <c r="BX113" i="29"/>
  <c r="BY113" i="29"/>
  <c r="BZ113" i="29"/>
  <c r="CA113" i="29"/>
  <c r="CB113" i="29"/>
  <c r="BS114" i="29"/>
  <c r="BT114" i="29"/>
  <c r="BU114" i="29"/>
  <c r="BV114" i="29"/>
  <c r="BW114" i="29"/>
  <c r="BX114" i="29"/>
  <c r="BY114" i="29"/>
  <c r="BZ114" i="29"/>
  <c r="CA114" i="29"/>
  <c r="CB114" i="29"/>
  <c r="BS115" i="29"/>
  <c r="BT115" i="29"/>
  <c r="BU115" i="29"/>
  <c r="BV115" i="29"/>
  <c r="BW115" i="29"/>
  <c r="BX115" i="29"/>
  <c r="BY115" i="29"/>
  <c r="BZ115" i="29"/>
  <c r="CA115" i="29"/>
  <c r="CB115" i="29"/>
  <c r="BS116" i="29"/>
  <c r="BT116" i="29"/>
  <c r="BU116" i="29"/>
  <c r="BV116" i="29"/>
  <c r="BW116" i="29"/>
  <c r="BX116" i="29"/>
  <c r="BY116" i="29"/>
  <c r="BZ116" i="29"/>
  <c r="CA116" i="29"/>
  <c r="CB116" i="29"/>
  <c r="BS117" i="29"/>
  <c r="BT117" i="29"/>
  <c r="BU117" i="29"/>
  <c r="BV117" i="29"/>
  <c r="BW117" i="29"/>
  <c r="BX117" i="29"/>
  <c r="BY117" i="29"/>
  <c r="BZ117" i="29"/>
  <c r="CA117" i="29"/>
  <c r="CB117" i="29"/>
  <c r="BS118" i="29"/>
  <c r="BT118" i="29"/>
  <c r="BU118" i="29"/>
  <c r="BV118" i="29"/>
  <c r="BW118" i="29"/>
  <c r="BX118" i="29"/>
  <c r="BY118" i="29"/>
  <c r="BZ118" i="29"/>
  <c r="CA118" i="29"/>
  <c r="CB118" i="29"/>
  <c r="BS119" i="29"/>
  <c r="BT119" i="29"/>
  <c r="BU119" i="29"/>
  <c r="BV119" i="29"/>
  <c r="BW119" i="29"/>
  <c r="BX119" i="29"/>
  <c r="BY119" i="29"/>
  <c r="BZ119" i="29"/>
  <c r="CA119" i="29"/>
  <c r="CB119" i="29"/>
  <c r="BS120" i="29"/>
  <c r="BT120" i="29"/>
  <c r="BU120" i="29"/>
  <c r="BV120" i="29"/>
  <c r="BW120" i="29"/>
  <c r="BX120" i="29"/>
  <c r="BY120" i="29"/>
  <c r="BZ120" i="29"/>
  <c r="CA120" i="29"/>
  <c r="CB120" i="29"/>
  <c r="BS121" i="29"/>
  <c r="BT121" i="29"/>
  <c r="BU121" i="29"/>
  <c r="BV121" i="29"/>
  <c r="BW121" i="29"/>
  <c r="BX121" i="29"/>
  <c r="BY121" i="29"/>
  <c r="BZ121" i="29"/>
  <c r="CA121" i="29"/>
  <c r="CB121" i="29"/>
  <c r="BS122" i="29"/>
  <c r="BT122" i="29"/>
  <c r="BU122" i="29"/>
  <c r="BV122" i="29"/>
  <c r="BW122" i="29"/>
  <c r="BX122" i="29"/>
  <c r="BY122" i="29"/>
  <c r="BZ122" i="29"/>
  <c r="CA122" i="29"/>
  <c r="CB122" i="29"/>
  <c r="BS123" i="29"/>
  <c r="BT123" i="29"/>
  <c r="BU123" i="29"/>
  <c r="BV123" i="29"/>
  <c r="BW123" i="29"/>
  <c r="BX123" i="29"/>
  <c r="BY123" i="29"/>
  <c r="BZ123" i="29"/>
  <c r="CA123" i="29"/>
  <c r="CB123" i="29"/>
  <c r="BS124" i="29"/>
  <c r="BT124" i="29"/>
  <c r="BU124" i="29"/>
  <c r="BV124" i="29"/>
  <c r="BW124" i="29"/>
  <c r="BX124" i="29"/>
  <c r="BY124" i="29"/>
  <c r="BZ124" i="29"/>
  <c r="CA124" i="29"/>
  <c r="CB124" i="29"/>
  <c r="BS125" i="29"/>
  <c r="BT125" i="29"/>
  <c r="BU125" i="29"/>
  <c r="BV125" i="29"/>
  <c r="BW125" i="29"/>
  <c r="BX125" i="29"/>
  <c r="BY125" i="29"/>
  <c r="BZ125" i="29"/>
  <c r="CA125" i="29"/>
  <c r="CB125" i="29"/>
  <c r="BS126" i="29"/>
  <c r="BT126" i="29"/>
  <c r="BU126" i="29"/>
  <c r="BV126" i="29"/>
  <c r="BW126" i="29"/>
  <c r="BX126" i="29"/>
  <c r="BY126" i="29"/>
  <c r="BZ126" i="29"/>
  <c r="CA126" i="29"/>
  <c r="CB126" i="29"/>
  <c r="BS127" i="29"/>
  <c r="BT127" i="29"/>
  <c r="BU127" i="29"/>
  <c r="BV127" i="29"/>
  <c r="BW127" i="29"/>
  <c r="BX127" i="29"/>
  <c r="BY127" i="29"/>
  <c r="BZ127" i="29"/>
  <c r="CA127" i="29"/>
  <c r="CB127" i="29"/>
  <c r="BS128" i="29"/>
  <c r="BT128" i="29"/>
  <c r="BU128" i="29"/>
  <c r="BV128" i="29"/>
  <c r="BW128" i="29"/>
  <c r="BX128" i="29"/>
  <c r="BY128" i="29"/>
  <c r="BZ128" i="29"/>
  <c r="CA128" i="29"/>
  <c r="CB128" i="29"/>
  <c r="BS129" i="29"/>
  <c r="BT129" i="29"/>
  <c r="BU129" i="29"/>
  <c r="BV129" i="29"/>
  <c r="BW129" i="29"/>
  <c r="BX129" i="29"/>
  <c r="BY129" i="29"/>
  <c r="BZ129" i="29"/>
  <c r="CA129" i="29"/>
  <c r="CB129" i="29"/>
  <c r="BS130" i="29"/>
  <c r="BT130" i="29"/>
  <c r="BU130" i="29"/>
  <c r="BV130" i="29"/>
  <c r="BW130" i="29"/>
  <c r="BX130" i="29"/>
  <c r="BY130" i="29"/>
  <c r="BZ130" i="29"/>
  <c r="CA130" i="29"/>
  <c r="CB130" i="29"/>
  <c r="BS131" i="29"/>
  <c r="BT131" i="29"/>
  <c r="BU131" i="29"/>
  <c r="BV131" i="29"/>
  <c r="BW131" i="29"/>
  <c r="BX131" i="29"/>
  <c r="BY131" i="29"/>
  <c r="BZ131" i="29"/>
  <c r="CA131" i="29"/>
  <c r="CB131" i="29"/>
  <c r="BS132" i="29"/>
  <c r="BT132" i="29"/>
  <c r="BU132" i="29"/>
  <c r="BV132" i="29"/>
  <c r="BW132" i="29"/>
  <c r="BX132" i="29"/>
  <c r="BY132" i="29"/>
  <c r="BZ132" i="29"/>
  <c r="CA132" i="29"/>
  <c r="CB132" i="29"/>
  <c r="BS133" i="29"/>
  <c r="BT133" i="29"/>
  <c r="BU133" i="29"/>
  <c r="BV133" i="29"/>
  <c r="BW133" i="29"/>
  <c r="BX133" i="29"/>
  <c r="BY133" i="29"/>
  <c r="BZ133" i="29"/>
  <c r="CA133" i="29"/>
  <c r="CB133" i="29"/>
  <c r="BS134" i="29"/>
  <c r="BT134" i="29"/>
  <c r="BU134" i="29"/>
  <c r="BV134" i="29"/>
  <c r="BW134" i="29"/>
  <c r="BX134" i="29"/>
  <c r="BY134" i="29"/>
  <c r="BZ134" i="29"/>
  <c r="CA134" i="29"/>
  <c r="CB134" i="29"/>
  <c r="BS135" i="29"/>
  <c r="BT135" i="29"/>
  <c r="BU135" i="29"/>
  <c r="BV135" i="29"/>
  <c r="BW135" i="29"/>
  <c r="BX135" i="29"/>
  <c r="BY135" i="29"/>
  <c r="BZ135" i="29"/>
  <c r="CA135" i="29"/>
  <c r="CB135" i="29"/>
  <c r="BS136" i="29"/>
  <c r="BT136" i="29"/>
  <c r="BU136" i="29"/>
  <c r="BV136" i="29"/>
  <c r="BW136" i="29"/>
  <c r="BX136" i="29"/>
  <c r="BY136" i="29"/>
  <c r="BZ136" i="29"/>
  <c r="CA136" i="29"/>
  <c r="CB136" i="29"/>
  <c r="BS137" i="29"/>
  <c r="BT137" i="29"/>
  <c r="BU137" i="29"/>
  <c r="BV137" i="29"/>
  <c r="BW137" i="29"/>
  <c r="BX137" i="29"/>
  <c r="BY137" i="29"/>
  <c r="BZ137" i="29"/>
  <c r="CA137" i="29"/>
  <c r="CB137" i="29"/>
  <c r="BS138" i="29"/>
  <c r="BT138" i="29"/>
  <c r="BU138" i="29"/>
  <c r="BV138" i="29"/>
  <c r="BW138" i="29"/>
  <c r="BX138" i="29"/>
  <c r="BY138" i="29"/>
  <c r="BZ138" i="29"/>
  <c r="CA138" i="29"/>
  <c r="CB138" i="29"/>
  <c r="BS139" i="29"/>
  <c r="BT139" i="29"/>
  <c r="BU139" i="29"/>
  <c r="BV139" i="29"/>
  <c r="BW139" i="29"/>
  <c r="BX139" i="29"/>
  <c r="BY139" i="29"/>
  <c r="BZ139" i="29"/>
  <c r="CA139" i="29"/>
  <c r="CB139" i="29"/>
  <c r="BS140" i="29"/>
  <c r="BT140" i="29"/>
  <c r="BU140" i="29"/>
  <c r="BV140" i="29"/>
  <c r="BW140" i="29"/>
  <c r="BX140" i="29"/>
  <c r="BY140" i="29"/>
  <c r="BZ140" i="29"/>
  <c r="CA140" i="29"/>
  <c r="CB140" i="29"/>
  <c r="BS141" i="29"/>
  <c r="BT141" i="29"/>
  <c r="BU141" i="29"/>
  <c r="BV141" i="29"/>
  <c r="BW141" i="29"/>
  <c r="BX141" i="29"/>
  <c r="BY141" i="29"/>
  <c r="BZ141" i="29"/>
  <c r="CA141" i="29"/>
  <c r="CB141" i="29"/>
  <c r="BS142" i="29"/>
  <c r="BT142" i="29"/>
  <c r="BU142" i="29"/>
  <c r="BV142" i="29"/>
  <c r="BW142" i="29"/>
  <c r="BX142" i="29"/>
  <c r="BY142" i="29"/>
  <c r="BZ142" i="29"/>
  <c r="CA142" i="29"/>
  <c r="CB142" i="29"/>
  <c r="BS143" i="29"/>
  <c r="BT143" i="29"/>
  <c r="BU143" i="29"/>
  <c r="BV143" i="29"/>
  <c r="BW143" i="29"/>
  <c r="BX143" i="29"/>
  <c r="BY143" i="29"/>
  <c r="BZ143" i="29"/>
  <c r="CA143" i="29"/>
  <c r="CB143" i="29"/>
  <c r="BS144" i="29"/>
  <c r="BT144" i="29"/>
  <c r="BU144" i="29"/>
  <c r="BV144" i="29"/>
  <c r="BW144" i="29"/>
  <c r="BX144" i="29"/>
  <c r="BY144" i="29"/>
  <c r="BZ144" i="29"/>
  <c r="CA144" i="29"/>
  <c r="CB144" i="29"/>
  <c r="BS145" i="29"/>
  <c r="BT145" i="29"/>
  <c r="BU145" i="29"/>
  <c r="BV145" i="29"/>
  <c r="BW145" i="29"/>
  <c r="BX145" i="29"/>
  <c r="BY145" i="29"/>
  <c r="BZ145" i="29"/>
  <c r="CA145" i="29"/>
  <c r="CB145" i="29"/>
  <c r="BS146" i="29"/>
  <c r="BT146" i="29"/>
  <c r="BU146" i="29"/>
  <c r="BV146" i="29"/>
  <c r="BW146" i="29"/>
  <c r="BX146" i="29"/>
  <c r="BY146" i="29"/>
  <c r="BZ146" i="29"/>
  <c r="CA146" i="29"/>
  <c r="CB146" i="29"/>
  <c r="BS147" i="29"/>
  <c r="BT147" i="29"/>
  <c r="BU147" i="29"/>
  <c r="BV147" i="29"/>
  <c r="BW147" i="29"/>
  <c r="BX147" i="29"/>
  <c r="BY147" i="29"/>
  <c r="BZ147" i="29"/>
  <c r="CA147" i="29"/>
  <c r="CB147" i="29"/>
  <c r="BS148" i="29"/>
  <c r="BT148" i="29"/>
  <c r="BU148" i="29"/>
  <c r="BV148" i="29"/>
  <c r="BW148" i="29"/>
  <c r="BX148" i="29"/>
  <c r="BY148" i="29"/>
  <c r="BZ148" i="29"/>
  <c r="CA148" i="29"/>
  <c r="CB148" i="29"/>
  <c r="BS149" i="29"/>
  <c r="BT149" i="29"/>
  <c r="BU149" i="29"/>
  <c r="BV149" i="29"/>
  <c r="BW149" i="29"/>
  <c r="BX149" i="29"/>
  <c r="BY149" i="29"/>
  <c r="BZ149" i="29"/>
  <c r="CA149" i="29"/>
  <c r="CB149" i="29"/>
  <c r="BS150" i="29"/>
  <c r="BT150" i="29"/>
  <c r="BU150" i="29"/>
  <c r="BV150" i="29"/>
  <c r="BW150" i="29"/>
  <c r="BX150" i="29"/>
  <c r="BY150" i="29"/>
  <c r="BZ150" i="29"/>
  <c r="CA150" i="29"/>
  <c r="CB150" i="29"/>
  <c r="BS151" i="29"/>
  <c r="BT151" i="29"/>
  <c r="BU151" i="29"/>
  <c r="BV151" i="29"/>
  <c r="BW151" i="29"/>
  <c r="BX151" i="29"/>
  <c r="BY151" i="29"/>
  <c r="BZ151" i="29"/>
  <c r="CA151" i="29"/>
  <c r="CB151" i="29"/>
  <c r="BS152" i="29"/>
  <c r="BT152" i="29"/>
  <c r="BU152" i="29"/>
  <c r="BV152" i="29"/>
  <c r="BW152" i="29"/>
  <c r="BX152" i="29"/>
  <c r="BY152" i="29"/>
  <c r="BZ152" i="29"/>
  <c r="CA152" i="29"/>
  <c r="CB152" i="29"/>
  <c r="BS153" i="29"/>
  <c r="BT153" i="29"/>
  <c r="BU153" i="29"/>
  <c r="BV153" i="29"/>
  <c r="BW153" i="29"/>
  <c r="BX153" i="29"/>
  <c r="BY153" i="29"/>
  <c r="BZ153" i="29"/>
  <c r="CA153" i="29"/>
  <c r="CB153" i="29"/>
  <c r="BS154" i="29"/>
  <c r="BT154" i="29"/>
  <c r="BU154" i="29"/>
  <c r="BV154" i="29"/>
  <c r="BW154" i="29"/>
  <c r="BX154" i="29"/>
  <c r="BY154" i="29"/>
  <c r="BZ154" i="29"/>
  <c r="CA154" i="29"/>
  <c r="CB154" i="29"/>
  <c r="BS155" i="29"/>
  <c r="BT155" i="29"/>
  <c r="BU155" i="29"/>
  <c r="BV155" i="29"/>
  <c r="BW155" i="29"/>
  <c r="BX155" i="29"/>
  <c r="BY155" i="29"/>
  <c r="BZ155" i="29"/>
  <c r="CA155" i="29"/>
  <c r="CB155" i="29"/>
  <c r="BS156" i="29"/>
  <c r="BT156" i="29"/>
  <c r="BU156" i="29"/>
  <c r="BV156" i="29"/>
  <c r="BW156" i="29"/>
  <c r="BX156" i="29"/>
  <c r="BY156" i="29"/>
  <c r="BZ156" i="29"/>
  <c r="CA156" i="29"/>
  <c r="CB156" i="29"/>
  <c r="BS157" i="29"/>
  <c r="BT157" i="29"/>
  <c r="BU157" i="29"/>
  <c r="BV157" i="29"/>
  <c r="BW157" i="29"/>
  <c r="BX157" i="29"/>
  <c r="BY157" i="29"/>
  <c r="BZ157" i="29"/>
  <c r="CA157" i="29"/>
  <c r="CB157" i="29"/>
  <c r="BS158" i="29"/>
  <c r="BT158" i="29"/>
  <c r="BU158" i="29"/>
  <c r="BV158" i="29"/>
  <c r="BW158" i="29"/>
  <c r="BX158" i="29"/>
  <c r="BY158" i="29"/>
  <c r="BZ158" i="29"/>
  <c r="CA158" i="29"/>
  <c r="CB158" i="29"/>
  <c r="BS159" i="29"/>
  <c r="BT159" i="29"/>
  <c r="BU159" i="29"/>
  <c r="BV159" i="29"/>
  <c r="BW159" i="29"/>
  <c r="BX159" i="29"/>
  <c r="BY159" i="29"/>
  <c r="BZ159" i="29"/>
  <c r="CA159" i="29"/>
  <c r="CB159" i="29"/>
  <c r="BS160" i="29"/>
  <c r="BT160" i="29"/>
  <c r="BU160" i="29"/>
  <c r="BV160" i="29"/>
  <c r="BW160" i="29"/>
  <c r="BX160" i="29"/>
  <c r="BY160" i="29"/>
  <c r="BZ160" i="29"/>
  <c r="CA160" i="29"/>
  <c r="CB160" i="29"/>
  <c r="BS161" i="29"/>
  <c r="BT161" i="29"/>
  <c r="BU161" i="29"/>
  <c r="BV161" i="29"/>
  <c r="BW161" i="29"/>
  <c r="BX161" i="29"/>
  <c r="BY161" i="29"/>
  <c r="BZ161" i="29"/>
  <c r="CA161" i="29"/>
  <c r="CB161" i="29"/>
  <c r="BS162" i="29"/>
  <c r="BT162" i="29"/>
  <c r="BU162" i="29"/>
  <c r="BV162" i="29"/>
  <c r="BW162" i="29"/>
  <c r="BX162" i="29"/>
  <c r="BY162" i="29"/>
  <c r="BZ162" i="29"/>
  <c r="CA162" i="29"/>
  <c r="CB162" i="29"/>
  <c r="BS163" i="29"/>
  <c r="BT163" i="29"/>
  <c r="BU163" i="29"/>
  <c r="BV163" i="29"/>
  <c r="BW163" i="29"/>
  <c r="BX163" i="29"/>
  <c r="BY163" i="29"/>
  <c r="BZ163" i="29"/>
  <c r="CA163" i="29"/>
  <c r="CB163" i="29"/>
  <c r="BS164" i="29"/>
  <c r="BT164" i="29"/>
  <c r="BU164" i="29"/>
  <c r="BV164" i="29"/>
  <c r="BW164" i="29"/>
  <c r="BX164" i="29"/>
  <c r="BY164" i="29"/>
  <c r="BZ164" i="29"/>
  <c r="CA164" i="29"/>
  <c r="CB164" i="29"/>
  <c r="BS165" i="29"/>
  <c r="BT165" i="29"/>
  <c r="BU165" i="29"/>
  <c r="BV165" i="29"/>
  <c r="BW165" i="29"/>
  <c r="BX165" i="29"/>
  <c r="BY165" i="29"/>
  <c r="BZ165" i="29"/>
  <c r="CA165" i="29"/>
  <c r="CB165" i="29"/>
  <c r="BS166" i="29"/>
  <c r="BT166" i="29"/>
  <c r="BU166" i="29"/>
  <c r="BV166" i="29"/>
  <c r="BW166" i="29"/>
  <c r="BX166" i="29"/>
  <c r="BY166" i="29"/>
  <c r="BZ166" i="29"/>
  <c r="CA166" i="29"/>
  <c r="CB166" i="29"/>
  <c r="BS167" i="29"/>
  <c r="BT167" i="29"/>
  <c r="BU167" i="29"/>
  <c r="BV167" i="29"/>
  <c r="BW167" i="29"/>
  <c r="BX167" i="29"/>
  <c r="BY167" i="29"/>
  <c r="BZ167" i="29"/>
  <c r="CA167" i="29"/>
  <c r="CB167" i="29"/>
  <c r="BS168" i="29"/>
  <c r="BT168" i="29"/>
  <c r="BU168" i="29"/>
  <c r="BV168" i="29"/>
  <c r="BW168" i="29"/>
  <c r="BX168" i="29"/>
  <c r="BY168" i="29"/>
  <c r="BZ168" i="29"/>
  <c r="CA168" i="29"/>
  <c r="CB168" i="29"/>
  <c r="BS169" i="29"/>
  <c r="BT169" i="29"/>
  <c r="BU169" i="29"/>
  <c r="BV169" i="29"/>
  <c r="BW169" i="29"/>
  <c r="BX169" i="29"/>
  <c r="BY169" i="29"/>
  <c r="BZ169" i="29"/>
  <c r="CA169" i="29"/>
  <c r="CB169" i="29"/>
  <c r="BS170" i="29"/>
  <c r="BT170" i="29"/>
  <c r="BU170" i="29"/>
  <c r="BV170" i="29"/>
  <c r="BW170" i="29"/>
  <c r="BX170" i="29"/>
  <c r="BY170" i="29"/>
  <c r="BZ170" i="29"/>
  <c r="CA170" i="29"/>
  <c r="CB170" i="29"/>
  <c r="BS171" i="29"/>
  <c r="BT171" i="29"/>
  <c r="BU171" i="29"/>
  <c r="BV171" i="29"/>
  <c r="BW171" i="29"/>
  <c r="BX171" i="29"/>
  <c r="BY171" i="29"/>
  <c r="BZ171" i="29"/>
  <c r="CA171" i="29"/>
  <c r="CB171" i="29"/>
  <c r="BS172" i="29"/>
  <c r="BT172" i="29"/>
  <c r="BU172" i="29"/>
  <c r="BV172" i="29"/>
  <c r="BW172" i="29"/>
  <c r="BX172" i="29"/>
  <c r="BY172" i="29"/>
  <c r="BZ172" i="29"/>
  <c r="CA172" i="29"/>
  <c r="CB172" i="29"/>
  <c r="BS173" i="29"/>
  <c r="BT173" i="29"/>
  <c r="BU173" i="29"/>
  <c r="BV173" i="29"/>
  <c r="BW173" i="29"/>
  <c r="BX173" i="29"/>
  <c r="BY173" i="29"/>
  <c r="BZ173" i="29"/>
  <c r="CA173" i="29"/>
  <c r="CB173" i="29"/>
  <c r="BS174" i="29"/>
  <c r="BT174" i="29"/>
  <c r="BU174" i="29"/>
  <c r="BV174" i="29"/>
  <c r="BW174" i="29"/>
  <c r="BX174" i="29"/>
  <c r="BY174" i="29"/>
  <c r="BZ174" i="29"/>
  <c r="CA174" i="29"/>
  <c r="CB174" i="29"/>
  <c r="BS175" i="29"/>
  <c r="BT175" i="29"/>
  <c r="BU175" i="29"/>
  <c r="BV175" i="29"/>
  <c r="BW175" i="29"/>
  <c r="BX175" i="29"/>
  <c r="BY175" i="29"/>
  <c r="BZ175" i="29"/>
  <c r="CA175" i="29"/>
  <c r="CB175" i="29"/>
  <c r="BS176" i="29"/>
  <c r="BT176" i="29"/>
  <c r="BU176" i="29"/>
  <c r="BV176" i="29"/>
  <c r="BW176" i="29"/>
  <c r="BX176" i="29"/>
  <c r="BY176" i="29"/>
  <c r="BZ176" i="29"/>
  <c r="CA176" i="29"/>
  <c r="CB176" i="29"/>
  <c r="BS177" i="29"/>
  <c r="BT177" i="29"/>
  <c r="BU177" i="29"/>
  <c r="BV177" i="29"/>
  <c r="BW177" i="29"/>
  <c r="BX177" i="29"/>
  <c r="BY177" i="29"/>
  <c r="BZ177" i="29"/>
  <c r="CA177" i="29"/>
  <c r="CB177" i="29"/>
  <c r="BS178" i="29"/>
  <c r="BT178" i="29"/>
  <c r="BU178" i="29"/>
  <c r="BV178" i="29"/>
  <c r="BW178" i="29"/>
  <c r="BX178" i="29"/>
  <c r="BY178" i="29"/>
  <c r="BZ178" i="29"/>
  <c r="CA178" i="29"/>
  <c r="CB178" i="29"/>
  <c r="BS179" i="29"/>
  <c r="BT179" i="29"/>
  <c r="BU179" i="29"/>
  <c r="BV179" i="29"/>
  <c r="BW179" i="29"/>
  <c r="BX179" i="29"/>
  <c r="BY179" i="29"/>
  <c r="BZ179" i="29"/>
  <c r="CA179" i="29"/>
  <c r="CB179" i="29"/>
  <c r="BS180" i="29"/>
  <c r="BT180" i="29"/>
  <c r="BU180" i="29"/>
  <c r="BV180" i="29"/>
  <c r="BW180" i="29"/>
  <c r="BX180" i="29"/>
  <c r="BY180" i="29"/>
  <c r="BZ180" i="29"/>
  <c r="CA180" i="29"/>
  <c r="CB180" i="29"/>
  <c r="BS181" i="29"/>
  <c r="BT181" i="29"/>
  <c r="BU181" i="29"/>
  <c r="BV181" i="29"/>
  <c r="BW181" i="29"/>
  <c r="BX181" i="29"/>
  <c r="BY181" i="29"/>
  <c r="BZ181" i="29"/>
  <c r="CA181" i="29"/>
  <c r="CB181" i="29"/>
  <c r="BS182" i="29"/>
  <c r="BT182" i="29"/>
  <c r="BU182" i="29"/>
  <c r="BV182" i="29"/>
  <c r="BW182" i="29"/>
  <c r="BX182" i="29"/>
  <c r="BY182" i="29"/>
  <c r="BZ182" i="29"/>
  <c r="CA182" i="29"/>
  <c r="CB182" i="29"/>
  <c r="BS183" i="29"/>
  <c r="BT183" i="29"/>
  <c r="BU183" i="29"/>
  <c r="BV183" i="29"/>
  <c r="BW183" i="29"/>
  <c r="BX183" i="29"/>
  <c r="BY183" i="29"/>
  <c r="BZ183" i="29"/>
  <c r="CA183" i="29"/>
  <c r="CB183" i="29"/>
  <c r="BS184" i="29"/>
  <c r="BT184" i="29"/>
  <c r="BU184" i="29"/>
  <c r="BV184" i="29"/>
  <c r="BW184" i="29"/>
  <c r="BX184" i="29"/>
  <c r="BY184" i="29"/>
  <c r="BZ184" i="29"/>
  <c r="CA184" i="29"/>
  <c r="CB184" i="29"/>
  <c r="BS185" i="29"/>
  <c r="BT185" i="29"/>
  <c r="BU185" i="29"/>
  <c r="BV185" i="29"/>
  <c r="BW185" i="29"/>
  <c r="BX185" i="29"/>
  <c r="BY185" i="29"/>
  <c r="BZ185" i="29"/>
  <c r="CA185" i="29"/>
  <c r="CB185" i="29"/>
  <c r="BS186" i="29"/>
  <c r="BT186" i="29"/>
  <c r="BU186" i="29"/>
  <c r="BV186" i="29"/>
  <c r="BW186" i="29"/>
  <c r="BX186" i="29"/>
  <c r="BY186" i="29"/>
  <c r="BZ186" i="29"/>
  <c r="CA186" i="29"/>
  <c r="CB186" i="29"/>
  <c r="BS187" i="29"/>
  <c r="BT187" i="29"/>
  <c r="BU187" i="29"/>
  <c r="BV187" i="29"/>
  <c r="BW187" i="29"/>
  <c r="BX187" i="29"/>
  <c r="BY187" i="29"/>
  <c r="BZ187" i="29"/>
  <c r="CA187" i="29"/>
  <c r="CB187" i="29"/>
  <c r="BS188" i="29"/>
  <c r="BT188" i="29"/>
  <c r="BU188" i="29"/>
  <c r="BV188" i="29"/>
  <c r="BW188" i="29"/>
  <c r="BX188" i="29"/>
  <c r="BY188" i="29"/>
  <c r="BZ188" i="29"/>
  <c r="CA188" i="29"/>
  <c r="CB188" i="29"/>
  <c r="BS189" i="29"/>
  <c r="BT189" i="29"/>
  <c r="BU189" i="29"/>
  <c r="BV189" i="29"/>
  <c r="BW189" i="29"/>
  <c r="BX189" i="29"/>
  <c r="BY189" i="29"/>
  <c r="BZ189" i="29"/>
  <c r="CA189" i="29"/>
  <c r="CB189" i="29"/>
  <c r="BS190" i="29"/>
  <c r="BT190" i="29"/>
  <c r="BU190" i="29"/>
  <c r="BV190" i="29"/>
  <c r="BW190" i="29"/>
  <c r="BX190" i="29"/>
  <c r="BY190" i="29"/>
  <c r="BZ190" i="29"/>
  <c r="CA190" i="29"/>
  <c r="CB190" i="29"/>
  <c r="BS191" i="29"/>
  <c r="BT191" i="29"/>
  <c r="BU191" i="29"/>
  <c r="BV191" i="29"/>
  <c r="BW191" i="29"/>
  <c r="BX191" i="29"/>
  <c r="BY191" i="29"/>
  <c r="BZ191" i="29"/>
  <c r="CA191" i="29"/>
  <c r="CB191" i="29"/>
  <c r="BS192" i="29"/>
  <c r="BT192" i="29"/>
  <c r="BU192" i="29"/>
  <c r="BV192" i="29"/>
  <c r="BW192" i="29"/>
  <c r="BX192" i="29"/>
  <c r="BY192" i="29"/>
  <c r="BZ192" i="29"/>
  <c r="CA192" i="29"/>
  <c r="CB192" i="29"/>
  <c r="BS193" i="29"/>
  <c r="BT193" i="29"/>
  <c r="BU193" i="29"/>
  <c r="BV193" i="29"/>
  <c r="BW193" i="29"/>
  <c r="BX193" i="29"/>
  <c r="BY193" i="29"/>
  <c r="BZ193" i="29"/>
  <c r="CA193" i="29"/>
  <c r="CB193" i="29"/>
  <c r="BS194" i="29"/>
  <c r="BT194" i="29"/>
  <c r="BU194" i="29"/>
  <c r="BV194" i="29"/>
  <c r="BW194" i="29"/>
  <c r="BX194" i="29"/>
  <c r="BY194" i="29"/>
  <c r="BZ194" i="29"/>
  <c r="CA194" i="29"/>
  <c r="CB194" i="29"/>
  <c r="BS195" i="29"/>
  <c r="BT195" i="29"/>
  <c r="BU195" i="29"/>
  <c r="BV195" i="29"/>
  <c r="BW195" i="29"/>
  <c r="BX195" i="29"/>
  <c r="BY195" i="29"/>
  <c r="BZ195" i="29"/>
  <c r="CA195" i="29"/>
  <c r="CB195" i="29"/>
  <c r="BS196" i="29"/>
  <c r="BT196" i="29"/>
  <c r="BU196" i="29"/>
  <c r="BV196" i="29"/>
  <c r="BW196" i="29"/>
  <c r="BX196" i="29"/>
  <c r="BY196" i="29"/>
  <c r="BZ196" i="29"/>
  <c r="CA196" i="29"/>
  <c r="CB196" i="29"/>
  <c r="BS197" i="29"/>
  <c r="BT197" i="29"/>
  <c r="BU197" i="29"/>
  <c r="BV197" i="29"/>
  <c r="BW197" i="29"/>
  <c r="BX197" i="29"/>
  <c r="BY197" i="29"/>
  <c r="BZ197" i="29"/>
  <c r="CA197" i="29"/>
  <c r="CB197" i="29"/>
  <c r="BS198" i="29"/>
  <c r="BT198" i="29"/>
  <c r="BU198" i="29"/>
  <c r="BV198" i="29"/>
  <c r="BW198" i="29"/>
  <c r="BX198" i="29"/>
  <c r="BY198" i="29"/>
  <c r="BZ198" i="29"/>
  <c r="CA198" i="29"/>
  <c r="CB198" i="29"/>
  <c r="BS199" i="29"/>
  <c r="BT199" i="29"/>
  <c r="BU199" i="29"/>
  <c r="BV199" i="29"/>
  <c r="BW199" i="29"/>
  <c r="BX199" i="29"/>
  <c r="BY199" i="29"/>
  <c r="BZ199" i="29"/>
  <c r="CA199" i="29"/>
  <c r="CB199" i="29"/>
  <c r="BS200" i="29"/>
  <c r="BT200" i="29"/>
  <c r="BU200" i="29"/>
  <c r="BV200" i="29"/>
  <c r="BW200" i="29"/>
  <c r="BX200" i="29"/>
  <c r="BY200" i="29"/>
  <c r="BZ200" i="29"/>
  <c r="CA200" i="29"/>
  <c r="CB200" i="29"/>
  <c r="BS201" i="29"/>
  <c r="BT201" i="29"/>
  <c r="BU201" i="29"/>
  <c r="BV201" i="29"/>
  <c r="BW201" i="29"/>
  <c r="BX201" i="29"/>
  <c r="BY201" i="29"/>
  <c r="BZ201" i="29"/>
  <c r="CA201" i="29"/>
  <c r="CB201" i="29"/>
  <c r="BS202" i="29"/>
  <c r="BT202" i="29"/>
  <c r="BU202" i="29"/>
  <c r="BV202" i="29"/>
  <c r="BW202" i="29"/>
  <c r="BX202" i="29"/>
  <c r="BY202" i="29"/>
  <c r="BZ202" i="29"/>
  <c r="CA202" i="29"/>
  <c r="CB202" i="29"/>
  <c r="BS203" i="29"/>
  <c r="BT203" i="29"/>
  <c r="BU203" i="29"/>
  <c r="BV203" i="29"/>
  <c r="BW203" i="29"/>
  <c r="BX203" i="29"/>
  <c r="BY203" i="29"/>
  <c r="BZ203" i="29"/>
  <c r="CA203" i="29"/>
  <c r="CB203" i="29"/>
  <c r="BS204" i="29"/>
  <c r="BT204" i="29"/>
  <c r="BU204" i="29"/>
  <c r="BV204" i="29"/>
  <c r="BW204" i="29"/>
  <c r="BX204" i="29"/>
  <c r="BY204" i="29"/>
  <c r="BZ204" i="29"/>
  <c r="CA204" i="29"/>
  <c r="CB204" i="29"/>
  <c r="BS205" i="29"/>
  <c r="BT205" i="29"/>
  <c r="BU205" i="29"/>
  <c r="BV205" i="29"/>
  <c r="BW205" i="29"/>
  <c r="BX205" i="29"/>
  <c r="BY205" i="29"/>
  <c r="BZ205" i="29"/>
  <c r="CA205" i="29"/>
  <c r="CB205" i="29"/>
  <c r="BS206" i="29"/>
  <c r="BT206" i="29"/>
  <c r="BU206" i="29"/>
  <c r="BV206" i="29"/>
  <c r="BW206" i="29"/>
  <c r="BX206" i="29"/>
  <c r="BY206" i="29"/>
  <c r="BZ206" i="29"/>
  <c r="CA206" i="29"/>
  <c r="CB206" i="29"/>
  <c r="BS207" i="29"/>
  <c r="BT207" i="29"/>
  <c r="BU207" i="29"/>
  <c r="BV207" i="29"/>
  <c r="BW207" i="29"/>
  <c r="BX207" i="29"/>
  <c r="BY207" i="29"/>
  <c r="BZ207" i="29"/>
  <c r="CA207" i="29"/>
  <c r="CB207" i="29"/>
  <c r="BS208" i="29"/>
  <c r="BT208" i="29"/>
  <c r="BU208" i="29"/>
  <c r="BV208" i="29"/>
  <c r="BW208" i="29"/>
  <c r="BX208" i="29"/>
  <c r="BY208" i="29"/>
  <c r="BZ208" i="29"/>
  <c r="CA208" i="29"/>
  <c r="CB208" i="29"/>
  <c r="BS209" i="29"/>
  <c r="BT209" i="29"/>
  <c r="BU209" i="29"/>
  <c r="BV209" i="29"/>
  <c r="BW209" i="29"/>
  <c r="BX209" i="29"/>
  <c r="BY209" i="29"/>
  <c r="BZ209" i="29"/>
  <c r="CA209" i="29"/>
  <c r="CB209" i="29"/>
  <c r="BS210" i="29"/>
  <c r="BT210" i="29"/>
  <c r="BU210" i="29"/>
  <c r="BV210" i="29"/>
  <c r="BW210" i="29"/>
  <c r="BX210" i="29"/>
  <c r="BY210" i="29"/>
  <c r="BZ210" i="29"/>
  <c r="CA210" i="29"/>
  <c r="CB210" i="29"/>
  <c r="BS211" i="29"/>
  <c r="BT211" i="29"/>
  <c r="BU211" i="29"/>
  <c r="BV211" i="29"/>
  <c r="BW211" i="29"/>
  <c r="BX211" i="29"/>
  <c r="BY211" i="29"/>
  <c r="BZ211" i="29"/>
  <c r="CA211" i="29"/>
  <c r="CB211" i="29"/>
  <c r="BS212" i="29"/>
  <c r="BT212" i="29"/>
  <c r="BU212" i="29"/>
  <c r="BV212" i="29"/>
  <c r="BW212" i="29"/>
  <c r="BX212" i="29"/>
  <c r="BY212" i="29"/>
  <c r="BZ212" i="29"/>
  <c r="CA212" i="29"/>
  <c r="CB212" i="29"/>
  <c r="BS213" i="29"/>
  <c r="BT213" i="29"/>
  <c r="BU213" i="29"/>
  <c r="BV213" i="29"/>
  <c r="BW213" i="29"/>
  <c r="BX213" i="29"/>
  <c r="BY213" i="29"/>
  <c r="BZ213" i="29"/>
  <c r="CA213" i="29"/>
  <c r="CB213" i="29"/>
  <c r="BS214" i="29"/>
  <c r="BT214" i="29"/>
  <c r="BU214" i="29"/>
  <c r="BV214" i="29"/>
  <c r="BW214" i="29"/>
  <c r="BX214" i="29"/>
  <c r="BY214" i="29"/>
  <c r="BZ214" i="29"/>
  <c r="CA214" i="29"/>
  <c r="CB214" i="29"/>
  <c r="BS215" i="29"/>
  <c r="BT215" i="29"/>
  <c r="BU215" i="29"/>
  <c r="BV215" i="29"/>
  <c r="BW215" i="29"/>
  <c r="BX215" i="29"/>
  <c r="BY215" i="29"/>
  <c r="BZ215" i="29"/>
  <c r="CA215" i="29"/>
  <c r="CB215" i="29"/>
  <c r="BS216" i="29"/>
  <c r="BT216" i="29"/>
  <c r="BU216" i="29"/>
  <c r="BV216" i="29"/>
  <c r="BW216" i="29"/>
  <c r="BX216" i="29"/>
  <c r="BY216" i="29"/>
  <c r="BZ216" i="29"/>
  <c r="CA216" i="29"/>
  <c r="CB216" i="29"/>
  <c r="BS217" i="29"/>
  <c r="BT217" i="29"/>
  <c r="BU217" i="29"/>
  <c r="BV217" i="29"/>
  <c r="BW217" i="29"/>
  <c r="BX217" i="29"/>
  <c r="BY217" i="29"/>
  <c r="BZ217" i="29"/>
  <c r="CA217" i="29"/>
  <c r="CB217" i="29"/>
  <c r="BS218" i="29"/>
  <c r="BT218" i="29"/>
  <c r="BU218" i="29"/>
  <c r="BV218" i="29"/>
  <c r="BW218" i="29"/>
  <c r="BX218" i="29"/>
  <c r="BY218" i="29"/>
  <c r="BZ218" i="29"/>
  <c r="CA218" i="29"/>
  <c r="CB218" i="29"/>
  <c r="BS219" i="29"/>
  <c r="BT219" i="29"/>
  <c r="BU219" i="29"/>
  <c r="BV219" i="29"/>
  <c r="BW219" i="29"/>
  <c r="BX219" i="29"/>
  <c r="BY219" i="29"/>
  <c r="BZ219" i="29"/>
  <c r="CA219" i="29"/>
  <c r="CB219" i="29"/>
  <c r="BS220" i="29"/>
  <c r="BT220" i="29"/>
  <c r="BU220" i="29"/>
  <c r="BV220" i="29"/>
  <c r="BW220" i="29"/>
  <c r="BX220" i="29"/>
  <c r="BY220" i="29"/>
  <c r="BZ220" i="29"/>
  <c r="CA220" i="29"/>
  <c r="CB220" i="29"/>
  <c r="BS221" i="29"/>
  <c r="BT221" i="29"/>
  <c r="BU221" i="29"/>
  <c r="BV221" i="29"/>
  <c r="BW221" i="29"/>
  <c r="BX221" i="29"/>
  <c r="BY221" i="29"/>
  <c r="BZ221" i="29"/>
  <c r="CA221" i="29"/>
  <c r="CB221" i="29"/>
  <c r="BS222" i="29"/>
  <c r="BT222" i="29"/>
  <c r="BU222" i="29"/>
  <c r="BV222" i="29"/>
  <c r="BW222" i="29"/>
  <c r="BX222" i="29"/>
  <c r="BY222" i="29"/>
  <c r="BZ222" i="29"/>
  <c r="CA222" i="29"/>
  <c r="CB222" i="29"/>
  <c r="BS223" i="29"/>
  <c r="BT223" i="29"/>
  <c r="BU223" i="29"/>
  <c r="BV223" i="29"/>
  <c r="BW223" i="29"/>
  <c r="BX223" i="29"/>
  <c r="BY223" i="29"/>
  <c r="BZ223" i="29"/>
  <c r="CA223" i="29"/>
  <c r="CB223" i="29"/>
  <c r="BS224" i="29"/>
  <c r="BT224" i="29"/>
  <c r="BU224" i="29"/>
  <c r="BV224" i="29"/>
  <c r="BW224" i="29"/>
  <c r="BX224" i="29"/>
  <c r="BY224" i="29"/>
  <c r="BZ224" i="29"/>
  <c r="CA224" i="29"/>
  <c r="CB224" i="29"/>
  <c r="BS225" i="29"/>
  <c r="BT225" i="29"/>
  <c r="BU225" i="29"/>
  <c r="BV225" i="29"/>
  <c r="BW225" i="29"/>
  <c r="BX225" i="29"/>
  <c r="BY225" i="29"/>
  <c r="BZ225" i="29"/>
  <c r="CA225" i="29"/>
  <c r="CB225" i="29"/>
  <c r="BS226" i="29"/>
  <c r="BT226" i="29"/>
  <c r="BU226" i="29"/>
  <c r="BV226" i="29"/>
  <c r="BW226" i="29"/>
  <c r="BX226" i="29"/>
  <c r="BY226" i="29"/>
  <c r="BZ226" i="29"/>
  <c r="CA226" i="29"/>
  <c r="CB226" i="29"/>
  <c r="BS227" i="29"/>
  <c r="BT227" i="29"/>
  <c r="BU227" i="29"/>
  <c r="BV227" i="29"/>
  <c r="BW227" i="29"/>
  <c r="BX227" i="29"/>
  <c r="BY227" i="29"/>
  <c r="BZ227" i="29"/>
  <c r="CA227" i="29"/>
  <c r="CB227" i="29"/>
  <c r="BS228" i="29"/>
  <c r="BT228" i="29"/>
  <c r="BU228" i="29"/>
  <c r="BV228" i="29"/>
  <c r="BW228" i="29"/>
  <c r="BX228" i="29"/>
  <c r="BY228" i="29"/>
  <c r="BZ228" i="29"/>
  <c r="CA228" i="29"/>
  <c r="CB228" i="29"/>
  <c r="BS229" i="29"/>
  <c r="BT229" i="29"/>
  <c r="BU229" i="29"/>
  <c r="BV229" i="29"/>
  <c r="BW229" i="29"/>
  <c r="BX229" i="29"/>
  <c r="BY229" i="29"/>
  <c r="BZ229" i="29"/>
  <c r="CA229" i="29"/>
  <c r="CB229" i="29"/>
  <c r="BS230" i="29"/>
  <c r="BT230" i="29"/>
  <c r="BU230" i="29"/>
  <c r="BV230" i="29"/>
  <c r="BW230" i="29"/>
  <c r="BX230" i="29"/>
  <c r="BY230" i="29"/>
  <c r="BZ230" i="29"/>
  <c r="CA230" i="29"/>
  <c r="CB230" i="29"/>
  <c r="BS231" i="29"/>
  <c r="BT231" i="29"/>
  <c r="BU231" i="29"/>
  <c r="BV231" i="29"/>
  <c r="BW231" i="29"/>
  <c r="BX231" i="29"/>
  <c r="BY231" i="29"/>
  <c r="BZ231" i="29"/>
  <c r="CA231" i="29"/>
  <c r="CB231" i="29"/>
  <c r="BS232" i="29"/>
  <c r="BT232" i="29"/>
  <c r="BU232" i="29"/>
  <c r="BV232" i="29"/>
  <c r="BW232" i="29"/>
  <c r="BX232" i="29"/>
  <c r="BY232" i="29"/>
  <c r="BZ232" i="29"/>
  <c r="CA232" i="29"/>
  <c r="CB232" i="29"/>
  <c r="BS233" i="29"/>
  <c r="BT233" i="29"/>
  <c r="BU233" i="29"/>
  <c r="BV233" i="29"/>
  <c r="BW233" i="29"/>
  <c r="BX233" i="29"/>
  <c r="BY233" i="29"/>
  <c r="BZ233" i="29"/>
  <c r="CA233" i="29"/>
  <c r="CB233" i="29"/>
  <c r="BS234" i="29"/>
  <c r="BT234" i="29"/>
  <c r="BU234" i="29"/>
  <c r="BV234" i="29"/>
  <c r="BW234" i="29"/>
  <c r="BX234" i="29"/>
  <c r="BY234" i="29"/>
  <c r="BZ234" i="29"/>
  <c r="CA234" i="29"/>
  <c r="CB234" i="29"/>
  <c r="BS235" i="29"/>
  <c r="BT235" i="29"/>
  <c r="BU235" i="29"/>
  <c r="BV235" i="29"/>
  <c r="BW235" i="29"/>
  <c r="BX235" i="29"/>
  <c r="BY235" i="29"/>
  <c r="BZ235" i="29"/>
  <c r="CA235" i="29"/>
  <c r="CB235" i="29"/>
  <c r="BS236" i="29"/>
  <c r="BT236" i="29"/>
  <c r="BU236" i="29"/>
  <c r="BV236" i="29"/>
  <c r="BW236" i="29"/>
  <c r="BX236" i="29"/>
  <c r="BY236" i="29"/>
  <c r="BZ236" i="29"/>
  <c r="CA236" i="29"/>
  <c r="CB236" i="29"/>
  <c r="BS237" i="29"/>
  <c r="BT237" i="29"/>
  <c r="BU237" i="29"/>
  <c r="BV237" i="29"/>
  <c r="BW237" i="29"/>
  <c r="BX237" i="29"/>
  <c r="BY237" i="29"/>
  <c r="BZ237" i="29"/>
  <c r="CA237" i="29"/>
  <c r="CB237" i="29"/>
  <c r="BS238" i="29"/>
  <c r="BT238" i="29"/>
  <c r="BU238" i="29"/>
  <c r="BV238" i="29"/>
  <c r="BW238" i="29"/>
  <c r="BX238" i="29"/>
  <c r="BY238" i="29"/>
  <c r="BZ238" i="29"/>
  <c r="CA238" i="29"/>
  <c r="CB238" i="29"/>
  <c r="BS239" i="29"/>
  <c r="BT239" i="29"/>
  <c r="BU239" i="29"/>
  <c r="BV239" i="29"/>
  <c r="BW239" i="29"/>
  <c r="BX239" i="29"/>
  <c r="BY239" i="29"/>
  <c r="BZ239" i="29"/>
  <c r="CA239" i="29"/>
  <c r="CB239" i="29"/>
  <c r="BS240" i="29"/>
  <c r="BT240" i="29"/>
  <c r="BU240" i="29"/>
  <c r="BV240" i="29"/>
  <c r="BW240" i="29"/>
  <c r="BX240" i="29"/>
  <c r="BY240" i="29"/>
  <c r="BZ240" i="29"/>
  <c r="CA240" i="29"/>
  <c r="CB240" i="29"/>
  <c r="BS241" i="29"/>
  <c r="BT241" i="29"/>
  <c r="BU241" i="29"/>
  <c r="BV241" i="29"/>
  <c r="BW241" i="29"/>
  <c r="BX241" i="29"/>
  <c r="BY241" i="29"/>
  <c r="BZ241" i="29"/>
  <c r="CA241" i="29"/>
  <c r="CB241" i="29"/>
  <c r="BS242" i="29"/>
  <c r="BT242" i="29"/>
  <c r="BU242" i="29"/>
  <c r="BV242" i="29"/>
  <c r="BW242" i="29"/>
  <c r="BX242" i="29"/>
  <c r="BY242" i="29"/>
  <c r="BZ242" i="29"/>
  <c r="CA242" i="29"/>
  <c r="CB242" i="29"/>
  <c r="BS243" i="29"/>
  <c r="BT243" i="29"/>
  <c r="BU243" i="29"/>
  <c r="BV243" i="29"/>
  <c r="BW243" i="29"/>
  <c r="BX243" i="29"/>
  <c r="BY243" i="29"/>
  <c r="BZ243" i="29"/>
  <c r="CA243" i="29"/>
  <c r="CB243" i="29"/>
  <c r="BS244" i="29"/>
  <c r="BT244" i="29"/>
  <c r="BU244" i="29"/>
  <c r="BV244" i="29"/>
  <c r="BW244" i="29"/>
  <c r="BX244" i="29"/>
  <c r="BY244" i="29"/>
  <c r="BZ244" i="29"/>
  <c r="CA244" i="29"/>
  <c r="CB244" i="29"/>
  <c r="BS245" i="29"/>
  <c r="BT245" i="29"/>
  <c r="BU245" i="29"/>
  <c r="BV245" i="29"/>
  <c r="BW245" i="29"/>
  <c r="BX245" i="29"/>
  <c r="BY245" i="29"/>
  <c r="BZ245" i="29"/>
  <c r="CA245" i="29"/>
  <c r="CB245" i="29"/>
  <c r="BS246" i="29"/>
  <c r="BT246" i="29"/>
  <c r="BU246" i="29"/>
  <c r="BV246" i="29"/>
  <c r="BW246" i="29"/>
  <c r="BX246" i="29"/>
  <c r="BY246" i="29"/>
  <c r="BZ246" i="29"/>
  <c r="CA246" i="29"/>
  <c r="CB246" i="29"/>
  <c r="BS247" i="29"/>
  <c r="BT247" i="29"/>
  <c r="BU247" i="29"/>
  <c r="BV247" i="29"/>
  <c r="BW247" i="29"/>
  <c r="BX247" i="29"/>
  <c r="BY247" i="29"/>
  <c r="BZ247" i="29"/>
  <c r="CA247" i="29"/>
  <c r="CB247" i="29"/>
  <c r="BS248" i="29"/>
  <c r="BT248" i="29"/>
  <c r="BU248" i="29"/>
  <c r="BV248" i="29"/>
  <c r="BW248" i="29"/>
  <c r="BX248" i="29"/>
  <c r="BY248" i="29"/>
  <c r="BZ248" i="29"/>
  <c r="CA248" i="29"/>
  <c r="CB248" i="29"/>
  <c r="BS249" i="29"/>
  <c r="BT249" i="29"/>
  <c r="BU249" i="29"/>
  <c r="BV249" i="29"/>
  <c r="BW249" i="29"/>
  <c r="BX249" i="29"/>
  <c r="BY249" i="29"/>
  <c r="BZ249" i="29"/>
  <c r="CA249" i="29"/>
  <c r="CB249" i="29"/>
  <c r="BS250" i="29"/>
  <c r="BT250" i="29"/>
  <c r="BU250" i="29"/>
  <c r="BV250" i="29"/>
  <c r="BW250" i="29"/>
  <c r="BX250" i="29"/>
  <c r="BY250" i="29"/>
  <c r="BZ250" i="29"/>
  <c r="CA250" i="29"/>
  <c r="CB250" i="29"/>
  <c r="BS251" i="29"/>
  <c r="BT251" i="29"/>
  <c r="BU251" i="29"/>
  <c r="BV251" i="29"/>
  <c r="BW251" i="29"/>
  <c r="BX251" i="29"/>
  <c r="BY251" i="29"/>
  <c r="BZ251" i="29"/>
  <c r="CA251" i="29"/>
  <c r="CB251" i="29"/>
  <c r="BS252" i="29"/>
  <c r="BT252" i="29"/>
  <c r="BU252" i="29"/>
  <c r="BV252" i="29"/>
  <c r="BW252" i="29"/>
  <c r="BX252" i="29"/>
  <c r="BY252" i="29"/>
  <c r="BZ252" i="29"/>
  <c r="CA252" i="29"/>
  <c r="CB252" i="29"/>
  <c r="BS253" i="29"/>
  <c r="BT253" i="29"/>
  <c r="BU253" i="29"/>
  <c r="BV253" i="29"/>
  <c r="BW253" i="29"/>
  <c r="BX253" i="29"/>
  <c r="BY253" i="29"/>
  <c r="BZ253" i="29"/>
  <c r="CA253" i="29"/>
  <c r="CB253" i="29"/>
  <c r="BS254" i="29"/>
  <c r="BT254" i="29"/>
  <c r="BU254" i="29"/>
  <c r="BV254" i="29"/>
  <c r="BW254" i="29"/>
  <c r="BX254" i="29"/>
  <c r="BY254" i="29"/>
  <c r="BZ254" i="29"/>
  <c r="CA254" i="29"/>
  <c r="CB254" i="29"/>
  <c r="BS255" i="29"/>
  <c r="BT255" i="29"/>
  <c r="BU255" i="29"/>
  <c r="BV255" i="29"/>
  <c r="BW255" i="29"/>
  <c r="BX255" i="29"/>
  <c r="BY255" i="29"/>
  <c r="BZ255" i="29"/>
  <c r="CA255" i="29"/>
  <c r="CB255" i="29"/>
  <c r="BS256" i="29"/>
  <c r="BT256" i="29"/>
  <c r="BU256" i="29"/>
  <c r="BV256" i="29"/>
  <c r="BW256" i="29"/>
  <c r="BX256" i="29"/>
  <c r="BY256" i="29"/>
  <c r="BZ256" i="29"/>
  <c r="CA256" i="29"/>
  <c r="CB256" i="29"/>
  <c r="BS257" i="29"/>
  <c r="BT257" i="29"/>
  <c r="BU257" i="29"/>
  <c r="BV257" i="29"/>
  <c r="BW257" i="29"/>
  <c r="BX257" i="29"/>
  <c r="BY257" i="29"/>
  <c r="BZ257" i="29"/>
  <c r="CA257" i="29"/>
  <c r="CB257" i="29"/>
  <c r="BS258" i="29"/>
  <c r="BT258" i="29"/>
  <c r="BU258" i="29"/>
  <c r="BV258" i="29"/>
  <c r="BW258" i="29"/>
  <c r="BX258" i="29"/>
  <c r="BY258" i="29"/>
  <c r="BZ258" i="29"/>
  <c r="CA258" i="29"/>
  <c r="CB258" i="29"/>
  <c r="BS259" i="29"/>
  <c r="BT259" i="29"/>
  <c r="BU259" i="29"/>
  <c r="BV259" i="29"/>
  <c r="BW259" i="29"/>
  <c r="BX259" i="29"/>
  <c r="BY259" i="29"/>
  <c r="BZ259" i="29"/>
  <c r="CA259" i="29"/>
  <c r="CB259" i="29"/>
  <c r="BS260" i="29"/>
  <c r="BT260" i="29"/>
  <c r="BU260" i="29"/>
  <c r="BV260" i="29"/>
  <c r="BW260" i="29"/>
  <c r="BX260" i="29"/>
  <c r="BY260" i="29"/>
  <c r="BZ260" i="29"/>
  <c r="CA260" i="29"/>
  <c r="CB260" i="29"/>
  <c r="BS261" i="29"/>
  <c r="BT261" i="29"/>
  <c r="BU261" i="29"/>
  <c r="BV261" i="29"/>
  <c r="BW261" i="29"/>
  <c r="BX261" i="29"/>
  <c r="BY261" i="29"/>
  <c r="BZ261" i="29"/>
  <c r="CA261" i="29"/>
  <c r="CB261" i="29"/>
  <c r="BS262" i="29"/>
  <c r="BT262" i="29"/>
  <c r="BU262" i="29"/>
  <c r="BV262" i="29"/>
  <c r="BW262" i="29"/>
  <c r="BX262" i="29"/>
  <c r="BY262" i="29"/>
  <c r="BZ262" i="29"/>
  <c r="CA262" i="29"/>
  <c r="CB262" i="29"/>
  <c r="BS263" i="29"/>
  <c r="BT263" i="29"/>
  <c r="BU263" i="29"/>
  <c r="BV263" i="29"/>
  <c r="BW263" i="29"/>
  <c r="BX263" i="29"/>
  <c r="BY263" i="29"/>
  <c r="BZ263" i="29"/>
  <c r="CA263" i="29"/>
  <c r="CB263" i="29"/>
  <c r="BS264" i="29"/>
  <c r="BT264" i="29"/>
  <c r="BU264" i="29"/>
  <c r="BV264" i="29"/>
  <c r="BW264" i="29"/>
  <c r="BX264" i="29"/>
  <c r="BY264" i="29"/>
  <c r="BZ264" i="29"/>
  <c r="CA264" i="29"/>
  <c r="CB264" i="29"/>
  <c r="BS265" i="29"/>
  <c r="BT265" i="29"/>
  <c r="BU265" i="29"/>
  <c r="BV265" i="29"/>
  <c r="BW265" i="29"/>
  <c r="BX265" i="29"/>
  <c r="BY265" i="29"/>
  <c r="BZ265" i="29"/>
  <c r="CA265" i="29"/>
  <c r="CB265" i="29"/>
  <c r="BS266" i="29"/>
  <c r="BT266" i="29"/>
  <c r="BU266" i="29"/>
  <c r="BV266" i="29"/>
  <c r="BW266" i="29"/>
  <c r="BX266" i="29"/>
  <c r="BY266" i="29"/>
  <c r="BZ266" i="29"/>
  <c r="CA266" i="29"/>
  <c r="CB266" i="29"/>
  <c r="BS267" i="29"/>
  <c r="BT267" i="29"/>
  <c r="BU267" i="29"/>
  <c r="BV267" i="29"/>
  <c r="BW267" i="29"/>
  <c r="BX267" i="29"/>
  <c r="BY267" i="29"/>
  <c r="BZ267" i="29"/>
  <c r="CA267" i="29"/>
  <c r="CB267" i="29"/>
  <c r="BS268" i="29"/>
  <c r="BT268" i="29"/>
  <c r="BU268" i="29"/>
  <c r="BV268" i="29"/>
  <c r="BW268" i="29"/>
  <c r="BX268" i="29"/>
  <c r="BY268" i="29"/>
  <c r="BZ268" i="29"/>
  <c r="CA268" i="29"/>
  <c r="CB268" i="29"/>
  <c r="BS269" i="29"/>
  <c r="BT269" i="29"/>
  <c r="BU269" i="29"/>
  <c r="BV269" i="29"/>
  <c r="BW269" i="29"/>
  <c r="BX269" i="29"/>
  <c r="BY269" i="29"/>
  <c r="BZ269" i="29"/>
  <c r="CA269" i="29"/>
  <c r="CB269" i="29"/>
  <c r="BS270" i="29"/>
  <c r="BT270" i="29"/>
  <c r="BU270" i="29"/>
  <c r="BV270" i="29"/>
  <c r="BW270" i="29"/>
  <c r="BX270" i="29"/>
  <c r="BY270" i="29"/>
  <c r="BZ270" i="29"/>
  <c r="CA270" i="29"/>
  <c r="CB270" i="29"/>
  <c r="BS271" i="29"/>
  <c r="BT271" i="29"/>
  <c r="BU271" i="29"/>
  <c r="BV271" i="29"/>
  <c r="BW271" i="29"/>
  <c r="BX271" i="29"/>
  <c r="BY271" i="29"/>
  <c r="BZ271" i="29"/>
  <c r="CA271" i="29"/>
  <c r="CB271" i="29"/>
  <c r="BS272" i="29"/>
  <c r="BT272" i="29"/>
  <c r="BU272" i="29"/>
  <c r="BV272" i="29"/>
  <c r="BW272" i="29"/>
  <c r="BX272" i="29"/>
  <c r="BY272" i="29"/>
  <c r="BZ272" i="29"/>
  <c r="CA272" i="29"/>
  <c r="CB272" i="29"/>
  <c r="BS273" i="29"/>
  <c r="BT273" i="29"/>
  <c r="BU273" i="29"/>
  <c r="BV273" i="29"/>
  <c r="BW273" i="29"/>
  <c r="BX273" i="29"/>
  <c r="BY273" i="29"/>
  <c r="BZ273" i="29"/>
  <c r="CA273" i="29"/>
  <c r="CB273" i="29"/>
  <c r="BS274" i="29"/>
  <c r="BT274" i="29"/>
  <c r="BU274" i="29"/>
  <c r="BV274" i="29"/>
  <c r="BW274" i="29"/>
  <c r="BX274" i="29"/>
  <c r="BY274" i="29"/>
  <c r="BZ274" i="29"/>
  <c r="CA274" i="29"/>
  <c r="CB274" i="29"/>
  <c r="BS275" i="29"/>
  <c r="BT275" i="29"/>
  <c r="BU275" i="29"/>
  <c r="BV275" i="29"/>
  <c r="BW275" i="29"/>
  <c r="BX275" i="29"/>
  <c r="BY275" i="29"/>
  <c r="BZ275" i="29"/>
  <c r="CA275" i="29"/>
  <c r="CB275" i="29"/>
  <c r="BS276" i="29"/>
  <c r="BT276" i="29"/>
  <c r="BU276" i="29"/>
  <c r="BV276" i="29"/>
  <c r="BW276" i="29"/>
  <c r="BX276" i="29"/>
  <c r="BY276" i="29"/>
  <c r="BZ276" i="29"/>
  <c r="CA276" i="29"/>
  <c r="CB276" i="29"/>
  <c r="BS277" i="29"/>
  <c r="BT277" i="29"/>
  <c r="BU277" i="29"/>
  <c r="BV277" i="29"/>
  <c r="BW277" i="29"/>
  <c r="BX277" i="29"/>
  <c r="BY277" i="29"/>
  <c r="BZ277" i="29"/>
  <c r="CA277" i="29"/>
  <c r="CB277" i="29"/>
  <c r="BS278" i="29"/>
  <c r="BT278" i="29"/>
  <c r="BU278" i="29"/>
  <c r="BV278" i="29"/>
  <c r="BW278" i="29"/>
  <c r="BX278" i="29"/>
  <c r="BY278" i="29"/>
  <c r="BZ278" i="29"/>
  <c r="CA278" i="29"/>
  <c r="CB278" i="29"/>
  <c r="BS279" i="29"/>
  <c r="BT279" i="29"/>
  <c r="BU279" i="29"/>
  <c r="BV279" i="29"/>
  <c r="BW279" i="29"/>
  <c r="BX279" i="29"/>
  <c r="BY279" i="29"/>
  <c r="BZ279" i="29"/>
  <c r="CA279" i="29"/>
  <c r="CB279" i="29"/>
  <c r="BS280" i="29"/>
  <c r="BT280" i="29"/>
  <c r="BU280" i="29"/>
  <c r="BV280" i="29"/>
  <c r="BW280" i="29"/>
  <c r="BX280" i="29"/>
  <c r="BY280" i="29"/>
  <c r="BZ280" i="29"/>
  <c r="CA280" i="29"/>
  <c r="CB280" i="29"/>
  <c r="BS281" i="29"/>
  <c r="BT281" i="29"/>
  <c r="BU281" i="29"/>
  <c r="BV281" i="29"/>
  <c r="BW281" i="29"/>
  <c r="BX281" i="29"/>
  <c r="BY281" i="29"/>
  <c r="BZ281" i="29"/>
  <c r="CA281" i="29"/>
  <c r="CB281" i="29"/>
  <c r="BS282" i="29"/>
  <c r="BT282" i="29"/>
  <c r="BU282" i="29"/>
  <c r="BV282" i="29"/>
  <c r="BW282" i="29"/>
  <c r="BX282" i="29"/>
  <c r="BY282" i="29"/>
  <c r="BZ282" i="29"/>
  <c r="CA282" i="29"/>
  <c r="CB282" i="29"/>
  <c r="BS283" i="29"/>
  <c r="BT283" i="29"/>
  <c r="BU283" i="29"/>
  <c r="BV283" i="29"/>
  <c r="BW283" i="29"/>
  <c r="BX283" i="29"/>
  <c r="BY283" i="29"/>
  <c r="BZ283" i="29"/>
  <c r="CA283" i="29"/>
  <c r="CB283" i="29"/>
  <c r="BS284" i="29"/>
  <c r="BT284" i="29"/>
  <c r="BU284" i="29"/>
  <c r="BV284" i="29"/>
  <c r="BW284" i="29"/>
  <c r="BX284" i="29"/>
  <c r="BY284" i="29"/>
  <c r="BZ284" i="29"/>
  <c r="CA284" i="29"/>
  <c r="CB284" i="29"/>
  <c r="BS285" i="29"/>
  <c r="BT285" i="29"/>
  <c r="BU285" i="29"/>
  <c r="BV285" i="29"/>
  <c r="BW285" i="29"/>
  <c r="BX285" i="29"/>
  <c r="BY285" i="29"/>
  <c r="BZ285" i="29"/>
  <c r="CA285" i="29"/>
  <c r="CB285" i="29"/>
  <c r="BS286" i="29"/>
  <c r="BT286" i="29"/>
  <c r="BU286" i="29"/>
  <c r="BV286" i="29"/>
  <c r="BW286" i="29"/>
  <c r="BX286" i="29"/>
  <c r="BY286" i="29"/>
  <c r="BZ286" i="29"/>
  <c r="CA286" i="29"/>
  <c r="CB286" i="29"/>
  <c r="BS287" i="29"/>
  <c r="BT287" i="29"/>
  <c r="BU287" i="29"/>
  <c r="BV287" i="29"/>
  <c r="BW287" i="29"/>
  <c r="BX287" i="29"/>
  <c r="BY287" i="29"/>
  <c r="BZ287" i="29"/>
  <c r="CA287" i="29"/>
  <c r="CB287" i="29"/>
  <c r="BS288" i="29"/>
  <c r="BT288" i="29"/>
  <c r="BU288" i="29"/>
  <c r="BV288" i="29"/>
  <c r="BW288" i="29"/>
  <c r="BX288" i="29"/>
  <c r="BY288" i="29"/>
  <c r="BZ288" i="29"/>
  <c r="CA288" i="29"/>
  <c r="CB288" i="29"/>
  <c r="BS289" i="29"/>
  <c r="BT289" i="29"/>
  <c r="BU289" i="29"/>
  <c r="BV289" i="29"/>
  <c r="BW289" i="29"/>
  <c r="BX289" i="29"/>
  <c r="BY289" i="29"/>
  <c r="BZ289" i="29"/>
  <c r="CA289" i="29"/>
  <c r="CB289" i="29"/>
  <c r="BS290" i="29"/>
  <c r="BT290" i="29"/>
  <c r="BU290" i="29"/>
  <c r="BV290" i="29"/>
  <c r="BW290" i="29"/>
  <c r="BX290" i="29"/>
  <c r="BY290" i="29"/>
  <c r="BZ290" i="29"/>
  <c r="CA290" i="29"/>
  <c r="CB290" i="29"/>
  <c r="BS291" i="29"/>
  <c r="BT291" i="29"/>
  <c r="BU291" i="29"/>
  <c r="BV291" i="29"/>
  <c r="BW291" i="29"/>
  <c r="BX291" i="29"/>
  <c r="BY291" i="29"/>
  <c r="BZ291" i="29"/>
  <c r="CA291" i="29"/>
  <c r="CB291" i="29"/>
  <c r="BS292" i="29"/>
  <c r="BT292" i="29"/>
  <c r="BU292" i="29"/>
  <c r="BV292" i="29"/>
  <c r="BW292" i="29"/>
  <c r="BX292" i="29"/>
  <c r="BY292" i="29"/>
  <c r="BZ292" i="29"/>
  <c r="CA292" i="29"/>
  <c r="CB292" i="29"/>
  <c r="BS293" i="29"/>
  <c r="BT293" i="29"/>
  <c r="BU293" i="29"/>
  <c r="BV293" i="29"/>
  <c r="BW293" i="29"/>
  <c r="BX293" i="29"/>
  <c r="BY293" i="29"/>
  <c r="BZ293" i="29"/>
  <c r="CA293" i="29"/>
  <c r="CB293" i="29"/>
  <c r="BS294" i="29"/>
  <c r="BT294" i="29"/>
  <c r="BU294" i="29"/>
  <c r="BV294" i="29"/>
  <c r="BW294" i="29"/>
  <c r="BX294" i="29"/>
  <c r="BY294" i="29"/>
  <c r="BZ294" i="29"/>
  <c r="CA294" i="29"/>
  <c r="CB294" i="29"/>
  <c r="BS295" i="29"/>
  <c r="BT295" i="29"/>
  <c r="BU295" i="29"/>
  <c r="BV295" i="29"/>
  <c r="BW295" i="29"/>
  <c r="BX295" i="29"/>
  <c r="BY295" i="29"/>
  <c r="BZ295" i="29"/>
  <c r="CA295" i="29"/>
  <c r="CB295" i="29"/>
  <c r="BS296" i="29"/>
  <c r="BT296" i="29"/>
  <c r="BU296" i="29"/>
  <c r="BV296" i="29"/>
  <c r="BW296" i="29"/>
  <c r="BX296" i="29"/>
  <c r="BY296" i="29"/>
  <c r="BZ296" i="29"/>
  <c r="CA296" i="29"/>
  <c r="CB296" i="29"/>
  <c r="BS297" i="29"/>
  <c r="BT297" i="29"/>
  <c r="BU297" i="29"/>
  <c r="BV297" i="29"/>
  <c r="BW297" i="29"/>
  <c r="BX297" i="29"/>
  <c r="BY297" i="29"/>
  <c r="BZ297" i="29"/>
  <c r="CA297" i="29"/>
  <c r="CB297" i="29"/>
  <c r="BS298" i="29"/>
  <c r="BT298" i="29"/>
  <c r="BU298" i="29"/>
  <c r="BV298" i="29"/>
  <c r="BW298" i="29"/>
  <c r="BX298" i="29"/>
  <c r="BY298" i="29"/>
  <c r="BZ298" i="29"/>
  <c r="CA298" i="29"/>
  <c r="CB298" i="29"/>
  <c r="BS299" i="29"/>
  <c r="BT299" i="29"/>
  <c r="BU299" i="29"/>
  <c r="BV299" i="29"/>
  <c r="BW299" i="29"/>
  <c r="BX299" i="29"/>
  <c r="BY299" i="29"/>
  <c r="BZ299" i="29"/>
  <c r="CA299" i="29"/>
  <c r="CB299" i="29"/>
  <c r="BS300" i="29"/>
  <c r="BT300" i="29"/>
  <c r="BU300" i="29"/>
  <c r="BV300" i="29"/>
  <c r="BW300" i="29"/>
  <c r="BX300" i="29"/>
  <c r="BY300" i="29"/>
  <c r="BZ300" i="29"/>
  <c r="CA300" i="29"/>
  <c r="CB300" i="29"/>
  <c r="BS301" i="29"/>
  <c r="BT301" i="29"/>
  <c r="BU301" i="29"/>
  <c r="BV301" i="29"/>
  <c r="BW301" i="29"/>
  <c r="BX301" i="29"/>
  <c r="BY301" i="29"/>
  <c r="BZ301" i="29"/>
  <c r="CA301" i="29"/>
  <c r="CB301" i="29"/>
  <c r="BS302" i="29"/>
  <c r="BT302" i="29"/>
  <c r="BU302" i="29"/>
  <c r="BV302" i="29"/>
  <c r="BW302" i="29"/>
  <c r="BX302" i="29"/>
  <c r="BY302" i="29"/>
  <c r="BZ302" i="29"/>
  <c r="CA302" i="29"/>
  <c r="CB302" i="29"/>
  <c r="BS303" i="29"/>
  <c r="BT303" i="29"/>
  <c r="BU303" i="29"/>
  <c r="BV303" i="29"/>
  <c r="BW303" i="29"/>
  <c r="BX303" i="29"/>
  <c r="BY303" i="29"/>
  <c r="BZ303" i="29"/>
  <c r="CA303" i="29"/>
  <c r="CB303" i="29"/>
  <c r="BS304" i="29"/>
  <c r="BT304" i="29"/>
  <c r="BU304" i="29"/>
  <c r="BV304" i="29"/>
  <c r="BW304" i="29"/>
  <c r="BX304" i="29"/>
  <c r="BY304" i="29"/>
  <c r="BZ304" i="29"/>
  <c r="CA304" i="29"/>
  <c r="CB304" i="29"/>
  <c r="BS305" i="29"/>
  <c r="BT305" i="29"/>
  <c r="BU305" i="29"/>
  <c r="BV305" i="29"/>
  <c r="BW305" i="29"/>
  <c r="BX305" i="29"/>
  <c r="BY305" i="29"/>
  <c r="BZ305" i="29"/>
  <c r="CA305" i="29"/>
  <c r="CB305" i="29"/>
  <c r="BS306" i="29"/>
  <c r="BT306" i="29"/>
  <c r="BU306" i="29"/>
  <c r="BV306" i="29"/>
  <c r="BW306" i="29"/>
  <c r="BX306" i="29"/>
  <c r="BY306" i="29"/>
  <c r="BZ306" i="29"/>
  <c r="CA306" i="29"/>
  <c r="CB306" i="29"/>
  <c r="BS307" i="29"/>
  <c r="BT307" i="29"/>
  <c r="BU307" i="29"/>
  <c r="BV307" i="29"/>
  <c r="BW307" i="29"/>
  <c r="BX307" i="29"/>
  <c r="BY307" i="29"/>
  <c r="BZ307" i="29"/>
  <c r="CA307" i="29"/>
  <c r="CB307" i="29"/>
  <c r="BS308" i="29"/>
  <c r="BT308" i="29"/>
  <c r="BU308" i="29"/>
  <c r="BV308" i="29"/>
  <c r="BW308" i="29"/>
  <c r="BX308" i="29"/>
  <c r="BY308" i="29"/>
  <c r="BZ308" i="29"/>
  <c r="CA308" i="29"/>
  <c r="CB308" i="29"/>
  <c r="BS309" i="29"/>
  <c r="BT309" i="29"/>
  <c r="BU309" i="29"/>
  <c r="BV309" i="29"/>
  <c r="BW309" i="29"/>
  <c r="BX309" i="29"/>
  <c r="BY309" i="29"/>
  <c r="BZ309" i="29"/>
  <c r="CA309" i="29"/>
  <c r="CB309" i="29"/>
  <c r="BS310" i="29"/>
  <c r="BT310" i="29"/>
  <c r="BU310" i="29"/>
  <c r="BV310" i="29"/>
  <c r="BW310" i="29"/>
  <c r="BX310" i="29"/>
  <c r="BY310" i="29"/>
  <c r="BZ310" i="29"/>
  <c r="CA310" i="29"/>
  <c r="CB310" i="29"/>
  <c r="BS311" i="29"/>
  <c r="BT311" i="29"/>
  <c r="BU311" i="29"/>
  <c r="BV311" i="29"/>
  <c r="BW311" i="29"/>
  <c r="BX311" i="29"/>
  <c r="BY311" i="29"/>
  <c r="BZ311" i="29"/>
  <c r="CA311" i="29"/>
  <c r="CB311" i="29"/>
  <c r="BS312" i="29"/>
  <c r="BT312" i="29"/>
  <c r="BU312" i="29"/>
  <c r="BV312" i="29"/>
  <c r="BW312" i="29"/>
  <c r="BX312" i="29"/>
  <c r="BY312" i="29"/>
  <c r="BZ312" i="29"/>
  <c r="CA312" i="29"/>
  <c r="CB312" i="29"/>
  <c r="BS313" i="29"/>
  <c r="BT313" i="29"/>
  <c r="BU313" i="29"/>
  <c r="BV313" i="29"/>
  <c r="BW313" i="29"/>
  <c r="BX313" i="29"/>
  <c r="BY313" i="29"/>
  <c r="BZ313" i="29"/>
  <c r="CA313" i="29"/>
  <c r="CB313" i="29"/>
  <c r="BS314" i="29"/>
  <c r="BT314" i="29"/>
  <c r="BU314" i="29"/>
  <c r="BV314" i="29"/>
  <c r="BW314" i="29"/>
  <c r="BX314" i="29"/>
  <c r="BY314" i="29"/>
  <c r="BZ314" i="29"/>
  <c r="CA314" i="29"/>
  <c r="CB314" i="29"/>
  <c r="BS315" i="29"/>
  <c r="BT315" i="29"/>
  <c r="BU315" i="29"/>
  <c r="BV315" i="29"/>
  <c r="BW315" i="29"/>
  <c r="BX315" i="29"/>
  <c r="BY315" i="29"/>
  <c r="BZ315" i="29"/>
  <c r="CA315" i="29"/>
  <c r="CB315" i="29"/>
  <c r="BS316" i="29"/>
  <c r="BT316" i="29"/>
  <c r="BU316" i="29"/>
  <c r="BV316" i="29"/>
  <c r="BW316" i="29"/>
  <c r="BX316" i="29"/>
  <c r="BY316" i="29"/>
  <c r="BZ316" i="29"/>
  <c r="CA316" i="29"/>
  <c r="CB316" i="29"/>
  <c r="BS317" i="29"/>
  <c r="BT317" i="29"/>
  <c r="BU317" i="29"/>
  <c r="BV317" i="29"/>
  <c r="BW317" i="29"/>
  <c r="BX317" i="29"/>
  <c r="BY317" i="29"/>
  <c r="BZ317" i="29"/>
  <c r="CA317" i="29"/>
  <c r="CB317" i="29"/>
  <c r="BS318" i="29"/>
  <c r="BT318" i="29"/>
  <c r="BU318" i="29"/>
  <c r="BV318" i="29"/>
  <c r="BW318" i="29"/>
  <c r="BX318" i="29"/>
  <c r="BY318" i="29"/>
  <c r="BZ318" i="29"/>
  <c r="CA318" i="29"/>
  <c r="CB318" i="29"/>
  <c r="BS319" i="29"/>
  <c r="BT319" i="29"/>
  <c r="BU319" i="29"/>
  <c r="BV319" i="29"/>
  <c r="BW319" i="29"/>
  <c r="BX319" i="29"/>
  <c r="BY319" i="29"/>
  <c r="BZ319" i="29"/>
  <c r="CA319" i="29"/>
  <c r="CB319" i="29"/>
  <c r="BS320" i="29"/>
  <c r="BT320" i="29"/>
  <c r="BU320" i="29"/>
  <c r="BV320" i="29"/>
  <c r="BW320" i="29"/>
  <c r="BX320" i="29"/>
  <c r="BY320" i="29"/>
  <c r="BZ320" i="29"/>
  <c r="CA320" i="29"/>
  <c r="CB320" i="29"/>
  <c r="BS321" i="29"/>
  <c r="BT321" i="29"/>
  <c r="BU321" i="29"/>
  <c r="BV321" i="29"/>
  <c r="BW321" i="29"/>
  <c r="BX321" i="29"/>
  <c r="BY321" i="29"/>
  <c r="BZ321" i="29"/>
  <c r="CA321" i="29"/>
  <c r="CB321" i="29"/>
  <c r="BS322" i="29"/>
  <c r="BT322" i="29"/>
  <c r="BU322" i="29"/>
  <c r="BV322" i="29"/>
  <c r="BW322" i="29"/>
  <c r="BX322" i="29"/>
  <c r="BY322" i="29"/>
  <c r="BZ322" i="29"/>
  <c r="CA322" i="29"/>
  <c r="CB322" i="29"/>
  <c r="BS323" i="29"/>
  <c r="BT323" i="29"/>
  <c r="BU323" i="29"/>
  <c r="BV323" i="29"/>
  <c r="BW323" i="29"/>
  <c r="BX323" i="29"/>
  <c r="BY323" i="29"/>
  <c r="BZ323" i="29"/>
  <c r="CA323" i="29"/>
  <c r="CB323" i="29"/>
  <c r="BS324" i="29"/>
  <c r="BT324" i="29"/>
  <c r="BU324" i="29"/>
  <c r="BV324" i="29"/>
  <c r="BW324" i="29"/>
  <c r="BX324" i="29"/>
  <c r="BY324" i="29"/>
  <c r="BZ324" i="29"/>
  <c r="CA324" i="29"/>
  <c r="CB324" i="29"/>
  <c r="BS325" i="29"/>
  <c r="BT325" i="29"/>
  <c r="BU325" i="29"/>
  <c r="BV325" i="29"/>
  <c r="BW325" i="29"/>
  <c r="BX325" i="29"/>
  <c r="BY325" i="29"/>
  <c r="BZ325" i="29"/>
  <c r="CA325" i="29"/>
  <c r="CB325" i="29"/>
  <c r="BS326" i="29"/>
  <c r="BT326" i="29"/>
  <c r="BU326" i="29"/>
  <c r="BV326" i="29"/>
  <c r="BW326" i="29"/>
  <c r="BX326" i="29"/>
  <c r="BY326" i="29"/>
  <c r="BZ326" i="29"/>
  <c r="CA326" i="29"/>
  <c r="CB326" i="29"/>
  <c r="BS327" i="29"/>
  <c r="BT327" i="29"/>
  <c r="BU327" i="29"/>
  <c r="BV327" i="29"/>
  <c r="BW327" i="29"/>
  <c r="BX327" i="29"/>
  <c r="BY327" i="29"/>
  <c r="BZ327" i="29"/>
  <c r="CA327" i="29"/>
  <c r="CB327" i="29"/>
  <c r="BS328" i="29"/>
  <c r="BT328" i="29"/>
  <c r="BU328" i="29"/>
  <c r="BV328" i="29"/>
  <c r="BW328" i="29"/>
  <c r="BX328" i="29"/>
  <c r="BY328" i="29"/>
  <c r="BZ328" i="29"/>
  <c r="CA328" i="29"/>
  <c r="CB328" i="29"/>
  <c r="BS329" i="29"/>
  <c r="BT329" i="29"/>
  <c r="BU329" i="29"/>
  <c r="BV329" i="29"/>
  <c r="BW329" i="29"/>
  <c r="BX329" i="29"/>
  <c r="BY329" i="29"/>
  <c r="BZ329" i="29"/>
  <c r="CA329" i="29"/>
  <c r="CB329" i="29"/>
  <c r="BS330" i="29"/>
  <c r="BT330" i="29"/>
  <c r="BU330" i="29"/>
  <c r="BV330" i="29"/>
  <c r="BW330" i="29"/>
  <c r="BX330" i="29"/>
  <c r="BY330" i="29"/>
  <c r="BZ330" i="29"/>
  <c r="CA330" i="29"/>
  <c r="CB330" i="29"/>
  <c r="BS331" i="29"/>
  <c r="BT331" i="29"/>
  <c r="BU331" i="29"/>
  <c r="BV331" i="29"/>
  <c r="BW331" i="29"/>
  <c r="BX331" i="29"/>
  <c r="BY331" i="29"/>
  <c r="BZ331" i="29"/>
  <c r="CA331" i="29"/>
  <c r="CB331" i="29"/>
  <c r="BS332" i="29"/>
  <c r="BT332" i="29"/>
  <c r="BU332" i="29"/>
  <c r="BV332" i="29"/>
  <c r="BW332" i="29"/>
  <c r="BX332" i="29"/>
  <c r="BY332" i="29"/>
  <c r="BZ332" i="29"/>
  <c r="CA332" i="29"/>
  <c r="CB332" i="29"/>
  <c r="BS333" i="29"/>
  <c r="BT333" i="29"/>
  <c r="BU333" i="29"/>
  <c r="BV333" i="29"/>
  <c r="BW333" i="29"/>
  <c r="BX333" i="29"/>
  <c r="BY333" i="29"/>
  <c r="BZ333" i="29"/>
  <c r="CA333" i="29"/>
  <c r="CB333" i="29"/>
  <c r="BS334" i="29"/>
  <c r="BT334" i="29"/>
  <c r="BU334" i="29"/>
  <c r="BV334" i="29"/>
  <c r="BW334" i="29"/>
  <c r="BX334" i="29"/>
  <c r="BY334" i="29"/>
  <c r="BZ334" i="29"/>
  <c r="CA334" i="29"/>
  <c r="CB334" i="29"/>
  <c r="BS335" i="29"/>
  <c r="BT335" i="29"/>
  <c r="BU335" i="29"/>
  <c r="BV335" i="29"/>
  <c r="BW335" i="29"/>
  <c r="BX335" i="29"/>
  <c r="BY335" i="29"/>
  <c r="BZ335" i="29"/>
  <c r="CA335" i="29"/>
  <c r="CB335" i="29"/>
  <c r="BS336" i="29"/>
  <c r="BT336" i="29"/>
  <c r="BU336" i="29"/>
  <c r="BV336" i="29"/>
  <c r="BW336" i="29"/>
  <c r="BX336" i="29"/>
  <c r="BY336" i="29"/>
  <c r="BZ336" i="29"/>
  <c r="CA336" i="29"/>
  <c r="CB336" i="29"/>
  <c r="BS337" i="29"/>
  <c r="BT337" i="29"/>
  <c r="BU337" i="29"/>
  <c r="BV337" i="29"/>
  <c r="BW337" i="29"/>
  <c r="BX337" i="29"/>
  <c r="BY337" i="29"/>
  <c r="BZ337" i="29"/>
  <c r="CA337" i="29"/>
  <c r="CB337" i="29"/>
  <c r="BS338" i="29"/>
  <c r="BT338" i="29"/>
  <c r="BU338" i="29"/>
  <c r="BV338" i="29"/>
  <c r="BW338" i="29"/>
  <c r="BX338" i="29"/>
  <c r="BY338" i="29"/>
  <c r="BZ338" i="29"/>
  <c r="CA338" i="29"/>
  <c r="CB338" i="29"/>
  <c r="BS339" i="29"/>
  <c r="BT339" i="29"/>
  <c r="BU339" i="29"/>
  <c r="BV339" i="29"/>
  <c r="BW339" i="29"/>
  <c r="BX339" i="29"/>
  <c r="BY339" i="29"/>
  <c r="BZ339" i="29"/>
  <c r="CA339" i="29"/>
  <c r="CB339" i="29"/>
  <c r="BS340" i="29"/>
  <c r="BT340" i="29"/>
  <c r="BU340" i="29"/>
  <c r="BV340" i="29"/>
  <c r="BW340" i="29"/>
  <c r="BX340" i="29"/>
  <c r="BY340" i="29"/>
  <c r="BZ340" i="29"/>
  <c r="CA340" i="29"/>
  <c r="CB340" i="29"/>
  <c r="BS341" i="29"/>
  <c r="BT341" i="29"/>
  <c r="BU341" i="29"/>
  <c r="BV341" i="29"/>
  <c r="BW341" i="29"/>
  <c r="BX341" i="29"/>
  <c r="BY341" i="29"/>
  <c r="BZ341" i="29"/>
  <c r="CA341" i="29"/>
  <c r="CB341" i="29"/>
  <c r="BS342" i="29"/>
  <c r="BT342" i="29"/>
  <c r="BU342" i="29"/>
  <c r="BV342" i="29"/>
  <c r="BW342" i="29"/>
  <c r="BX342" i="29"/>
  <c r="BY342" i="29"/>
  <c r="BZ342" i="29"/>
  <c r="CA342" i="29"/>
  <c r="CB342" i="29"/>
  <c r="BS343" i="29"/>
  <c r="BT343" i="29"/>
  <c r="BU343" i="29"/>
  <c r="BV343" i="29"/>
  <c r="BW343" i="29"/>
  <c r="BX343" i="29"/>
  <c r="BY343" i="29"/>
  <c r="BZ343" i="29"/>
  <c r="CA343" i="29"/>
  <c r="CB343" i="29"/>
  <c r="BS344" i="29"/>
  <c r="BT344" i="29"/>
  <c r="BU344" i="29"/>
  <c r="BV344" i="29"/>
  <c r="BW344" i="29"/>
  <c r="BX344" i="29"/>
  <c r="BY344" i="29"/>
  <c r="BZ344" i="29"/>
  <c r="CA344" i="29"/>
  <c r="CB344" i="29"/>
  <c r="BS345" i="29"/>
  <c r="BT345" i="29"/>
  <c r="BU345" i="29"/>
  <c r="BV345" i="29"/>
  <c r="BW345" i="29"/>
  <c r="BX345" i="29"/>
  <c r="BY345" i="29"/>
  <c r="BZ345" i="29"/>
  <c r="CA345" i="29"/>
  <c r="CB345" i="29"/>
  <c r="BS346" i="29"/>
  <c r="BT346" i="29"/>
  <c r="BU346" i="29"/>
  <c r="BV346" i="29"/>
  <c r="BW346" i="29"/>
  <c r="BX346" i="29"/>
  <c r="BY346" i="29"/>
  <c r="BZ346" i="29"/>
  <c r="CA346" i="29"/>
  <c r="CB346" i="29"/>
  <c r="BS347" i="29"/>
  <c r="BT347" i="29"/>
  <c r="BU347" i="29"/>
  <c r="BV347" i="29"/>
  <c r="BW347" i="29"/>
  <c r="BX347" i="29"/>
  <c r="BY347" i="29"/>
  <c r="BZ347" i="29"/>
  <c r="CA347" i="29"/>
  <c r="CB347" i="29"/>
  <c r="BS348" i="29"/>
  <c r="BT348" i="29"/>
  <c r="BU348" i="29"/>
  <c r="BV348" i="29"/>
  <c r="BW348" i="29"/>
  <c r="BX348" i="29"/>
  <c r="BY348" i="29"/>
  <c r="BZ348" i="29"/>
  <c r="CA348" i="29"/>
  <c r="CB348" i="29"/>
  <c r="BS349" i="29"/>
  <c r="BT349" i="29"/>
  <c r="BU349" i="29"/>
  <c r="BV349" i="29"/>
  <c r="BW349" i="29"/>
  <c r="BX349" i="29"/>
  <c r="BY349" i="29"/>
  <c r="BZ349" i="29"/>
  <c r="CA349" i="29"/>
  <c r="CB349" i="29"/>
  <c r="BS350" i="29"/>
  <c r="BT350" i="29"/>
  <c r="BU350" i="29"/>
  <c r="BV350" i="29"/>
  <c r="BW350" i="29"/>
  <c r="BX350" i="29"/>
  <c r="BY350" i="29"/>
  <c r="BZ350" i="29"/>
  <c r="CA350" i="29"/>
  <c r="CB350" i="29"/>
  <c r="BS351" i="29"/>
  <c r="BT351" i="29"/>
  <c r="BU351" i="29"/>
  <c r="BV351" i="29"/>
  <c r="BW351" i="29"/>
  <c r="BX351" i="29"/>
  <c r="BY351" i="29"/>
  <c r="BZ351" i="29"/>
  <c r="CA351" i="29"/>
  <c r="CB351" i="29"/>
  <c r="BS352" i="29"/>
  <c r="BT352" i="29"/>
  <c r="BU352" i="29"/>
  <c r="BV352" i="29"/>
  <c r="BW352" i="29"/>
  <c r="BX352" i="29"/>
  <c r="BY352" i="29"/>
  <c r="BZ352" i="29"/>
  <c r="CA352" i="29"/>
  <c r="CB352" i="29"/>
  <c r="BS353" i="29"/>
  <c r="BT353" i="29"/>
  <c r="BU353" i="29"/>
  <c r="BV353" i="29"/>
  <c r="BW353" i="29"/>
  <c r="BX353" i="29"/>
  <c r="BY353" i="29"/>
  <c r="BZ353" i="29"/>
  <c r="CA353" i="29"/>
  <c r="CB353" i="29"/>
  <c r="BS354" i="29"/>
  <c r="BT354" i="29"/>
  <c r="BU354" i="29"/>
  <c r="BV354" i="29"/>
  <c r="BW354" i="29"/>
  <c r="BX354" i="29"/>
  <c r="BY354" i="29"/>
  <c r="BZ354" i="29"/>
  <c r="CA354" i="29"/>
  <c r="CB354" i="29"/>
  <c r="BS355" i="29"/>
  <c r="BT355" i="29"/>
  <c r="BU355" i="29"/>
  <c r="BV355" i="29"/>
  <c r="BW355" i="29"/>
  <c r="BX355" i="29"/>
  <c r="BY355" i="29"/>
  <c r="BZ355" i="29"/>
  <c r="CA355" i="29"/>
  <c r="CB355" i="29"/>
  <c r="BS356" i="29"/>
  <c r="BT356" i="29"/>
  <c r="BU356" i="29"/>
  <c r="BV356" i="29"/>
  <c r="BW356" i="29"/>
  <c r="BX356" i="29"/>
  <c r="BY356" i="29"/>
  <c r="BZ356" i="29"/>
  <c r="CA356" i="29"/>
  <c r="CB356" i="29"/>
  <c r="BS357" i="29"/>
  <c r="BT357" i="29"/>
  <c r="BU357" i="29"/>
  <c r="BV357" i="29"/>
  <c r="BW357" i="29"/>
  <c r="BX357" i="29"/>
  <c r="BY357" i="29"/>
  <c r="BZ357" i="29"/>
  <c r="CA357" i="29"/>
  <c r="CB357" i="29"/>
  <c r="BS358" i="29"/>
  <c r="BT358" i="29"/>
  <c r="BU358" i="29"/>
  <c r="BV358" i="29"/>
  <c r="BW358" i="29"/>
  <c r="BX358" i="29"/>
  <c r="BY358" i="29"/>
  <c r="BZ358" i="29"/>
  <c r="CA358" i="29"/>
  <c r="CB358" i="29"/>
  <c r="BS359" i="29"/>
  <c r="BT359" i="29"/>
  <c r="BU359" i="29"/>
  <c r="BV359" i="29"/>
  <c r="BW359" i="29"/>
  <c r="BX359" i="29"/>
  <c r="BY359" i="29"/>
  <c r="BZ359" i="29"/>
  <c r="CA359" i="29"/>
  <c r="CB359" i="29"/>
  <c r="BS360" i="29"/>
  <c r="BT360" i="29"/>
  <c r="BU360" i="29"/>
  <c r="BV360" i="29"/>
  <c r="BW360" i="29"/>
  <c r="BX360" i="29"/>
  <c r="BY360" i="29"/>
  <c r="BZ360" i="29"/>
  <c r="CA360" i="29"/>
  <c r="CB360" i="29"/>
  <c r="BS361" i="29"/>
  <c r="BT361" i="29"/>
  <c r="BU361" i="29"/>
  <c r="BV361" i="29"/>
  <c r="BW361" i="29"/>
  <c r="BX361" i="29"/>
  <c r="BY361" i="29"/>
  <c r="BZ361" i="29"/>
  <c r="CA361" i="29"/>
  <c r="CB361" i="29"/>
  <c r="BS362" i="29"/>
  <c r="BT362" i="29"/>
  <c r="BU362" i="29"/>
  <c r="BV362" i="29"/>
  <c r="BW362" i="29"/>
  <c r="BX362" i="29"/>
  <c r="BY362" i="29"/>
  <c r="BZ362" i="29"/>
  <c r="CA362" i="29"/>
  <c r="CB362" i="29"/>
  <c r="BS363" i="29"/>
  <c r="BT363" i="29"/>
  <c r="BU363" i="29"/>
  <c r="BV363" i="29"/>
  <c r="BW363" i="29"/>
  <c r="BX363" i="29"/>
  <c r="BY363" i="29"/>
  <c r="BZ363" i="29"/>
  <c r="CA363" i="29"/>
  <c r="CB363" i="29"/>
  <c r="BS364" i="29"/>
  <c r="BT364" i="29"/>
  <c r="BU364" i="29"/>
  <c r="BV364" i="29"/>
  <c r="BW364" i="29"/>
  <c r="BX364" i="29"/>
  <c r="BY364" i="29"/>
  <c r="BZ364" i="29"/>
  <c r="CA364" i="29"/>
  <c r="CB364" i="29"/>
  <c r="BS365" i="29"/>
  <c r="BT365" i="29"/>
  <c r="BU365" i="29"/>
  <c r="BV365" i="29"/>
  <c r="BW365" i="29"/>
  <c r="BX365" i="29"/>
  <c r="BY365" i="29"/>
  <c r="BZ365" i="29"/>
  <c r="CA365" i="29"/>
  <c r="CB365" i="29"/>
  <c r="BS366" i="29"/>
  <c r="BT366" i="29"/>
  <c r="BU366" i="29"/>
  <c r="BV366" i="29"/>
  <c r="BW366" i="29"/>
  <c r="BX366" i="29"/>
  <c r="BY366" i="29"/>
  <c r="BZ366" i="29"/>
  <c r="CA366" i="29"/>
  <c r="CB366" i="29"/>
  <c r="BS367" i="29"/>
  <c r="BT367" i="29"/>
  <c r="BU367" i="29"/>
  <c r="BV367" i="29"/>
  <c r="BW367" i="29"/>
  <c r="BX367" i="29"/>
  <c r="BY367" i="29"/>
  <c r="BZ367" i="29"/>
  <c r="CA367" i="29"/>
  <c r="CB367" i="29"/>
  <c r="BS368" i="29"/>
  <c r="BT368" i="29"/>
  <c r="BU368" i="29"/>
  <c r="BV368" i="29"/>
  <c r="BW368" i="29"/>
  <c r="BX368" i="29"/>
  <c r="BY368" i="29"/>
  <c r="BZ368" i="29"/>
  <c r="CA368" i="29"/>
  <c r="CB368" i="29"/>
  <c r="CB3" i="29"/>
  <c r="CA3" i="29"/>
  <c r="BZ3" i="29"/>
  <c r="BY3" i="29"/>
  <c r="BX3" i="29"/>
  <c r="BW3" i="29"/>
  <c r="BV3" i="29"/>
  <c r="BU3" i="29"/>
  <c r="BT3" i="29"/>
  <c r="BS3" i="29"/>
  <c r="AE4" i="29"/>
  <c r="AF4" i="29"/>
  <c r="AG4" i="29"/>
  <c r="AH4" i="29"/>
  <c r="AI4" i="29"/>
  <c r="AJ4" i="29"/>
  <c r="AK4" i="29"/>
  <c r="AL4" i="29"/>
  <c r="AM4" i="29"/>
  <c r="AN4" i="29"/>
  <c r="AE5" i="29"/>
  <c r="AF5" i="29"/>
  <c r="AG5" i="29"/>
  <c r="AH5" i="29"/>
  <c r="AI5" i="29"/>
  <c r="AJ5" i="29"/>
  <c r="AK5" i="29"/>
  <c r="AL5" i="29"/>
  <c r="AM5" i="29"/>
  <c r="AN5" i="29"/>
  <c r="AE6" i="29"/>
  <c r="AF6" i="29"/>
  <c r="AG6" i="29"/>
  <c r="AH6" i="29"/>
  <c r="AI6" i="29"/>
  <c r="AJ6" i="29"/>
  <c r="AK6" i="29"/>
  <c r="AL6" i="29"/>
  <c r="AM6" i="29"/>
  <c r="AN6" i="29"/>
  <c r="AE7" i="29"/>
  <c r="AF7" i="29"/>
  <c r="AG7" i="29"/>
  <c r="AH7" i="29"/>
  <c r="AI7" i="29"/>
  <c r="AJ7" i="29"/>
  <c r="AK7" i="29"/>
  <c r="AL7" i="29"/>
  <c r="AM7" i="29"/>
  <c r="AN7" i="29"/>
  <c r="AE8" i="29"/>
  <c r="AF8" i="29"/>
  <c r="AG8" i="29"/>
  <c r="AH8" i="29"/>
  <c r="AI8" i="29"/>
  <c r="AJ8" i="29"/>
  <c r="AK8" i="29"/>
  <c r="AL8" i="29"/>
  <c r="AM8" i="29"/>
  <c r="AN8" i="29"/>
  <c r="AE9" i="29"/>
  <c r="AF9" i="29"/>
  <c r="AG9" i="29"/>
  <c r="AH9" i="29"/>
  <c r="AI9" i="29"/>
  <c r="AJ9" i="29"/>
  <c r="AK9" i="29"/>
  <c r="AL9" i="29"/>
  <c r="AM9" i="29"/>
  <c r="AN9" i="29"/>
  <c r="AE10" i="29"/>
  <c r="AF10" i="29"/>
  <c r="AG10" i="29"/>
  <c r="AH10" i="29"/>
  <c r="AI10" i="29"/>
  <c r="AJ10" i="29"/>
  <c r="AK10" i="29"/>
  <c r="AL10" i="29"/>
  <c r="AM10" i="29"/>
  <c r="AN10" i="29"/>
  <c r="AE11" i="29"/>
  <c r="AF11" i="29"/>
  <c r="AG11" i="29"/>
  <c r="AH11" i="29"/>
  <c r="AI11" i="29"/>
  <c r="AJ11" i="29"/>
  <c r="AK11" i="29"/>
  <c r="AL11" i="29"/>
  <c r="AM11" i="29"/>
  <c r="AN11" i="29"/>
  <c r="AE12" i="29"/>
  <c r="AF12" i="29"/>
  <c r="AG12" i="29"/>
  <c r="AH12" i="29"/>
  <c r="AI12" i="29"/>
  <c r="AJ12" i="29"/>
  <c r="AK12" i="29"/>
  <c r="AL12" i="29"/>
  <c r="AM12" i="29"/>
  <c r="AN12" i="29"/>
  <c r="AE13" i="29"/>
  <c r="AF13" i="29"/>
  <c r="AG13" i="29"/>
  <c r="AH13" i="29"/>
  <c r="AI13" i="29"/>
  <c r="AJ13" i="29"/>
  <c r="AK13" i="29"/>
  <c r="AL13" i="29"/>
  <c r="AM13" i="29"/>
  <c r="AN13" i="29"/>
  <c r="AE14" i="29"/>
  <c r="AF14" i="29"/>
  <c r="AG14" i="29"/>
  <c r="AH14" i="29"/>
  <c r="AI14" i="29"/>
  <c r="AJ14" i="29"/>
  <c r="AK14" i="29"/>
  <c r="AL14" i="29"/>
  <c r="AM14" i="29"/>
  <c r="AN14" i="29"/>
  <c r="AE15" i="29"/>
  <c r="AF15" i="29"/>
  <c r="AG15" i="29"/>
  <c r="AH15" i="29"/>
  <c r="AI15" i="29"/>
  <c r="AJ15" i="29"/>
  <c r="AK15" i="29"/>
  <c r="AL15" i="29"/>
  <c r="AM15" i="29"/>
  <c r="AN15" i="29"/>
  <c r="AE16" i="29"/>
  <c r="AF16" i="29"/>
  <c r="AG16" i="29"/>
  <c r="AH16" i="29"/>
  <c r="AI16" i="29"/>
  <c r="AJ16" i="29"/>
  <c r="AK16" i="29"/>
  <c r="AL16" i="29"/>
  <c r="AM16" i="29"/>
  <c r="AN16" i="29"/>
  <c r="AE17" i="29"/>
  <c r="AF17" i="29"/>
  <c r="AG17" i="29"/>
  <c r="AH17" i="29"/>
  <c r="AI17" i="29"/>
  <c r="AJ17" i="29"/>
  <c r="AK17" i="29"/>
  <c r="AL17" i="29"/>
  <c r="AM17" i="29"/>
  <c r="AN17" i="29"/>
  <c r="AE18" i="29"/>
  <c r="AF18" i="29"/>
  <c r="AG18" i="29"/>
  <c r="AH18" i="29"/>
  <c r="AI18" i="29"/>
  <c r="AJ18" i="29"/>
  <c r="AK18" i="29"/>
  <c r="AL18" i="29"/>
  <c r="AM18" i="29"/>
  <c r="AN18" i="29"/>
  <c r="AE19" i="29"/>
  <c r="AF19" i="29"/>
  <c r="AG19" i="29"/>
  <c r="AH19" i="29"/>
  <c r="AI19" i="29"/>
  <c r="AJ19" i="29"/>
  <c r="AK19" i="29"/>
  <c r="AL19" i="29"/>
  <c r="AM19" i="29"/>
  <c r="AN19" i="29"/>
  <c r="AE20" i="29"/>
  <c r="AF20" i="29"/>
  <c r="AG20" i="29"/>
  <c r="AH20" i="29"/>
  <c r="AI20" i="29"/>
  <c r="AJ20" i="29"/>
  <c r="AK20" i="29"/>
  <c r="AL20" i="29"/>
  <c r="AM20" i="29"/>
  <c r="AN20" i="29"/>
  <c r="AE21" i="29"/>
  <c r="AF21" i="29"/>
  <c r="AG21" i="29"/>
  <c r="AH21" i="29"/>
  <c r="AI21" i="29"/>
  <c r="AJ21" i="29"/>
  <c r="AK21" i="29"/>
  <c r="AL21" i="29"/>
  <c r="AM21" i="29"/>
  <c r="AN21" i="29"/>
  <c r="AE22" i="29"/>
  <c r="AF22" i="29"/>
  <c r="AG22" i="29"/>
  <c r="AH22" i="29"/>
  <c r="AI22" i="29"/>
  <c r="AJ22" i="29"/>
  <c r="AK22" i="29"/>
  <c r="AL22" i="29"/>
  <c r="AM22" i="29"/>
  <c r="AN22" i="29"/>
  <c r="AE23" i="29"/>
  <c r="AF23" i="29"/>
  <c r="AG23" i="29"/>
  <c r="AH23" i="29"/>
  <c r="AI23" i="29"/>
  <c r="AJ23" i="29"/>
  <c r="AK23" i="29"/>
  <c r="AL23" i="29"/>
  <c r="AM23" i="29"/>
  <c r="AN23" i="29"/>
  <c r="AE24" i="29"/>
  <c r="AF24" i="29"/>
  <c r="AG24" i="29"/>
  <c r="AH24" i="29"/>
  <c r="AI24" i="29"/>
  <c r="AJ24" i="29"/>
  <c r="AK24" i="29"/>
  <c r="AL24" i="29"/>
  <c r="AM24" i="29"/>
  <c r="AN24" i="29"/>
  <c r="AE25" i="29"/>
  <c r="AF25" i="29"/>
  <c r="AG25" i="29"/>
  <c r="AH25" i="29"/>
  <c r="AI25" i="29"/>
  <c r="AJ25" i="29"/>
  <c r="AK25" i="29"/>
  <c r="AL25" i="29"/>
  <c r="AM25" i="29"/>
  <c r="AN25" i="29"/>
  <c r="AE26" i="29"/>
  <c r="AF26" i="29"/>
  <c r="AG26" i="29"/>
  <c r="AH26" i="29"/>
  <c r="AI26" i="29"/>
  <c r="AJ26" i="29"/>
  <c r="AK26" i="29"/>
  <c r="AL26" i="29"/>
  <c r="AM26" i="29"/>
  <c r="AN26" i="29"/>
  <c r="AE27" i="29"/>
  <c r="AF27" i="29"/>
  <c r="AG27" i="29"/>
  <c r="AH27" i="29"/>
  <c r="AI27" i="29"/>
  <c r="AJ27" i="29"/>
  <c r="AK27" i="29"/>
  <c r="AL27" i="29"/>
  <c r="AM27" i="29"/>
  <c r="AN27" i="29"/>
  <c r="AE28" i="29"/>
  <c r="AF28" i="29"/>
  <c r="AG28" i="29"/>
  <c r="AH28" i="29"/>
  <c r="AI28" i="29"/>
  <c r="AJ28" i="29"/>
  <c r="AK28" i="29"/>
  <c r="AL28" i="29"/>
  <c r="AM28" i="29"/>
  <c r="AN28" i="29"/>
  <c r="AE29" i="29"/>
  <c r="AF29" i="29"/>
  <c r="AG29" i="29"/>
  <c r="AH29" i="29"/>
  <c r="AI29" i="29"/>
  <c r="AJ29" i="29"/>
  <c r="AK29" i="29"/>
  <c r="AL29" i="29"/>
  <c r="AM29" i="29"/>
  <c r="AN29" i="29"/>
  <c r="AE30" i="29"/>
  <c r="AF30" i="29"/>
  <c r="AG30" i="29"/>
  <c r="AH30" i="29"/>
  <c r="AI30" i="29"/>
  <c r="AJ30" i="29"/>
  <c r="AK30" i="29"/>
  <c r="AL30" i="29"/>
  <c r="AM30" i="29"/>
  <c r="AN30" i="29"/>
  <c r="AE31" i="29"/>
  <c r="AF31" i="29"/>
  <c r="AG31" i="29"/>
  <c r="AH31" i="29"/>
  <c r="AI31" i="29"/>
  <c r="AJ31" i="29"/>
  <c r="AK31" i="29"/>
  <c r="AL31" i="29"/>
  <c r="AM31" i="29"/>
  <c r="AN31" i="29"/>
  <c r="AE32" i="29"/>
  <c r="AF32" i="29"/>
  <c r="AG32" i="29"/>
  <c r="AH32" i="29"/>
  <c r="AI32" i="29"/>
  <c r="AJ32" i="29"/>
  <c r="AK32" i="29"/>
  <c r="AL32" i="29"/>
  <c r="AM32" i="29"/>
  <c r="AN32" i="29"/>
  <c r="AE33" i="29"/>
  <c r="AF33" i="29"/>
  <c r="AG33" i="29"/>
  <c r="AH33" i="29"/>
  <c r="AI33" i="29"/>
  <c r="AJ33" i="29"/>
  <c r="AK33" i="29"/>
  <c r="AL33" i="29"/>
  <c r="AM33" i="29"/>
  <c r="AN33" i="29"/>
  <c r="AE34" i="29"/>
  <c r="AF34" i="29"/>
  <c r="AG34" i="29"/>
  <c r="AH34" i="29"/>
  <c r="AI34" i="29"/>
  <c r="AJ34" i="29"/>
  <c r="AK34" i="29"/>
  <c r="AL34" i="29"/>
  <c r="AM34" i="29"/>
  <c r="AN34" i="29"/>
  <c r="AE35" i="29"/>
  <c r="AF35" i="29"/>
  <c r="AG35" i="29"/>
  <c r="AH35" i="29"/>
  <c r="AI35" i="29"/>
  <c r="AJ35" i="29"/>
  <c r="AK35" i="29"/>
  <c r="AL35" i="29"/>
  <c r="AM35" i="29"/>
  <c r="AN35" i="29"/>
  <c r="AE36" i="29"/>
  <c r="AF36" i="29"/>
  <c r="AG36" i="29"/>
  <c r="AH36" i="29"/>
  <c r="AI36" i="29"/>
  <c r="AJ36" i="29"/>
  <c r="AK36" i="29"/>
  <c r="AL36" i="29"/>
  <c r="AM36" i="29"/>
  <c r="AN36" i="29"/>
  <c r="AE37" i="29"/>
  <c r="AF37" i="29"/>
  <c r="AG37" i="29"/>
  <c r="AH37" i="29"/>
  <c r="AI37" i="29"/>
  <c r="AJ37" i="29"/>
  <c r="AK37" i="29"/>
  <c r="AL37" i="29"/>
  <c r="AM37" i="29"/>
  <c r="AN37" i="29"/>
  <c r="AE38" i="29"/>
  <c r="AF38" i="29"/>
  <c r="AG38" i="29"/>
  <c r="AH38" i="29"/>
  <c r="AI38" i="29"/>
  <c r="AJ38" i="29"/>
  <c r="AK38" i="29"/>
  <c r="AL38" i="29"/>
  <c r="AM38" i="29"/>
  <c r="AN38" i="29"/>
  <c r="AE39" i="29"/>
  <c r="AF39" i="29"/>
  <c r="AG39" i="29"/>
  <c r="AH39" i="29"/>
  <c r="AI39" i="29"/>
  <c r="AJ39" i="29"/>
  <c r="AK39" i="29"/>
  <c r="AL39" i="29"/>
  <c r="AM39" i="29"/>
  <c r="AN39" i="29"/>
  <c r="AE40" i="29"/>
  <c r="AF40" i="29"/>
  <c r="AG40" i="29"/>
  <c r="AH40" i="29"/>
  <c r="AI40" i="29"/>
  <c r="AJ40" i="29"/>
  <c r="AK40" i="29"/>
  <c r="AL40" i="29"/>
  <c r="AM40" i="29"/>
  <c r="AN40" i="29"/>
  <c r="AE41" i="29"/>
  <c r="AF41" i="29"/>
  <c r="AG41" i="29"/>
  <c r="AH41" i="29"/>
  <c r="AI41" i="29"/>
  <c r="AJ41" i="29"/>
  <c r="AK41" i="29"/>
  <c r="AL41" i="29"/>
  <c r="AM41" i="29"/>
  <c r="AN41" i="29"/>
  <c r="AE42" i="29"/>
  <c r="AF42" i="29"/>
  <c r="AG42" i="29"/>
  <c r="AH42" i="29"/>
  <c r="AI42" i="29"/>
  <c r="AJ42" i="29"/>
  <c r="AK42" i="29"/>
  <c r="AL42" i="29"/>
  <c r="AM42" i="29"/>
  <c r="AN42" i="29"/>
  <c r="AE43" i="29"/>
  <c r="AF43" i="29"/>
  <c r="AG43" i="29"/>
  <c r="AH43" i="29"/>
  <c r="AI43" i="29"/>
  <c r="AJ43" i="29"/>
  <c r="AK43" i="29"/>
  <c r="AL43" i="29"/>
  <c r="AM43" i="29"/>
  <c r="AN43" i="29"/>
  <c r="AE44" i="29"/>
  <c r="AF44" i="29"/>
  <c r="AG44" i="29"/>
  <c r="AH44" i="29"/>
  <c r="AI44" i="29"/>
  <c r="AJ44" i="29"/>
  <c r="AK44" i="29"/>
  <c r="AL44" i="29"/>
  <c r="AM44" i="29"/>
  <c r="AN44" i="29"/>
  <c r="AE45" i="29"/>
  <c r="AF45" i="29"/>
  <c r="AG45" i="29"/>
  <c r="AH45" i="29"/>
  <c r="AI45" i="29"/>
  <c r="AJ45" i="29"/>
  <c r="AK45" i="29"/>
  <c r="AL45" i="29"/>
  <c r="AM45" i="29"/>
  <c r="AN45" i="29"/>
  <c r="AE46" i="29"/>
  <c r="AF46" i="29"/>
  <c r="AG46" i="29"/>
  <c r="AH46" i="29"/>
  <c r="AI46" i="29"/>
  <c r="AJ46" i="29"/>
  <c r="AK46" i="29"/>
  <c r="AL46" i="29"/>
  <c r="AM46" i="29"/>
  <c r="AN46" i="29"/>
  <c r="AE47" i="29"/>
  <c r="AF47" i="29"/>
  <c r="AG47" i="29"/>
  <c r="AH47" i="29"/>
  <c r="AI47" i="29"/>
  <c r="AJ47" i="29"/>
  <c r="AK47" i="29"/>
  <c r="AL47" i="29"/>
  <c r="AM47" i="29"/>
  <c r="AN47" i="29"/>
  <c r="AE48" i="29"/>
  <c r="AF48" i="29"/>
  <c r="AG48" i="29"/>
  <c r="AH48" i="29"/>
  <c r="AI48" i="29"/>
  <c r="AJ48" i="29"/>
  <c r="AK48" i="29"/>
  <c r="AL48" i="29"/>
  <c r="AM48" i="29"/>
  <c r="AN48" i="29"/>
  <c r="AE49" i="29"/>
  <c r="AF49" i="29"/>
  <c r="AG49" i="29"/>
  <c r="AH49" i="29"/>
  <c r="AI49" i="29"/>
  <c r="AJ49" i="29"/>
  <c r="AK49" i="29"/>
  <c r="AL49" i="29"/>
  <c r="AM49" i="29"/>
  <c r="AN49" i="29"/>
  <c r="AE50" i="29"/>
  <c r="AF50" i="29"/>
  <c r="AG50" i="29"/>
  <c r="AH50" i="29"/>
  <c r="AI50" i="29"/>
  <c r="AJ50" i="29"/>
  <c r="AK50" i="29"/>
  <c r="AL50" i="29"/>
  <c r="AM50" i="29"/>
  <c r="AN50" i="29"/>
  <c r="AE51" i="29"/>
  <c r="AF51" i="29"/>
  <c r="AG51" i="29"/>
  <c r="AH51" i="29"/>
  <c r="AI51" i="29"/>
  <c r="AJ51" i="29"/>
  <c r="AK51" i="29"/>
  <c r="AL51" i="29"/>
  <c r="AM51" i="29"/>
  <c r="AN51" i="29"/>
  <c r="AE52" i="29"/>
  <c r="AF52" i="29"/>
  <c r="AG52" i="29"/>
  <c r="AH52" i="29"/>
  <c r="AI52" i="29"/>
  <c r="AJ52" i="29"/>
  <c r="AK52" i="29"/>
  <c r="AL52" i="29"/>
  <c r="AM52" i="29"/>
  <c r="AN52" i="29"/>
  <c r="AE53" i="29"/>
  <c r="AF53" i="29"/>
  <c r="AG53" i="29"/>
  <c r="AH53" i="29"/>
  <c r="AI53" i="29"/>
  <c r="AJ53" i="29"/>
  <c r="AK53" i="29"/>
  <c r="AL53" i="29"/>
  <c r="AM53" i="29"/>
  <c r="AN53" i="29"/>
  <c r="AE54" i="29"/>
  <c r="AF54" i="29"/>
  <c r="AG54" i="29"/>
  <c r="AH54" i="29"/>
  <c r="AI54" i="29"/>
  <c r="AJ54" i="29"/>
  <c r="AK54" i="29"/>
  <c r="AL54" i="29"/>
  <c r="AM54" i="29"/>
  <c r="AN54" i="29"/>
  <c r="AE55" i="29"/>
  <c r="AF55" i="29"/>
  <c r="AG55" i="29"/>
  <c r="AH55" i="29"/>
  <c r="AI55" i="29"/>
  <c r="AJ55" i="29"/>
  <c r="AK55" i="29"/>
  <c r="AL55" i="29"/>
  <c r="AM55" i="29"/>
  <c r="AN55" i="29"/>
  <c r="AE56" i="29"/>
  <c r="AF56" i="29"/>
  <c r="AG56" i="29"/>
  <c r="AH56" i="29"/>
  <c r="AI56" i="29"/>
  <c r="AJ56" i="29"/>
  <c r="AK56" i="29"/>
  <c r="AL56" i="29"/>
  <c r="AM56" i="29"/>
  <c r="AN56" i="29"/>
  <c r="AE57" i="29"/>
  <c r="AF57" i="29"/>
  <c r="AG57" i="29"/>
  <c r="AH57" i="29"/>
  <c r="AI57" i="29"/>
  <c r="AJ57" i="29"/>
  <c r="AK57" i="29"/>
  <c r="AL57" i="29"/>
  <c r="AM57" i="29"/>
  <c r="AN57" i="29"/>
  <c r="AE58" i="29"/>
  <c r="AF58" i="29"/>
  <c r="AG58" i="29"/>
  <c r="AH58" i="29"/>
  <c r="AI58" i="29"/>
  <c r="AJ58" i="29"/>
  <c r="AK58" i="29"/>
  <c r="AL58" i="29"/>
  <c r="AM58" i="29"/>
  <c r="AN58" i="29"/>
  <c r="AE59" i="29"/>
  <c r="AF59" i="29"/>
  <c r="AG59" i="29"/>
  <c r="AH59" i="29"/>
  <c r="AI59" i="29"/>
  <c r="AJ59" i="29"/>
  <c r="AK59" i="29"/>
  <c r="AL59" i="29"/>
  <c r="AM59" i="29"/>
  <c r="AN59" i="29"/>
  <c r="AE60" i="29"/>
  <c r="AF60" i="29"/>
  <c r="AG60" i="29"/>
  <c r="AH60" i="29"/>
  <c r="AI60" i="29"/>
  <c r="AJ60" i="29"/>
  <c r="AK60" i="29"/>
  <c r="AL60" i="29"/>
  <c r="AM60" i="29"/>
  <c r="AN60" i="29"/>
  <c r="AE61" i="29"/>
  <c r="AF61" i="29"/>
  <c r="AG61" i="29"/>
  <c r="AH61" i="29"/>
  <c r="AI61" i="29"/>
  <c r="AJ61" i="29"/>
  <c r="AK61" i="29"/>
  <c r="AL61" i="29"/>
  <c r="AM61" i="29"/>
  <c r="AN61" i="29"/>
  <c r="AE62" i="29"/>
  <c r="AF62" i="29"/>
  <c r="AG62" i="29"/>
  <c r="AH62" i="29"/>
  <c r="AI62" i="29"/>
  <c r="AJ62" i="29"/>
  <c r="AK62" i="29"/>
  <c r="AL62" i="29"/>
  <c r="AM62" i="29"/>
  <c r="AN62" i="29"/>
  <c r="AE63" i="29"/>
  <c r="AF63" i="29"/>
  <c r="AG63" i="29"/>
  <c r="AH63" i="29"/>
  <c r="AI63" i="29"/>
  <c r="AJ63" i="29"/>
  <c r="AK63" i="29"/>
  <c r="AL63" i="29"/>
  <c r="AM63" i="29"/>
  <c r="AN63" i="29"/>
  <c r="AE64" i="29"/>
  <c r="AF64" i="29"/>
  <c r="AG64" i="29"/>
  <c r="AH64" i="29"/>
  <c r="AI64" i="29"/>
  <c r="AJ64" i="29"/>
  <c r="AK64" i="29"/>
  <c r="AL64" i="29"/>
  <c r="AM64" i="29"/>
  <c r="AN64" i="29"/>
  <c r="AE65" i="29"/>
  <c r="AF65" i="29"/>
  <c r="AG65" i="29"/>
  <c r="AH65" i="29"/>
  <c r="AI65" i="29"/>
  <c r="AJ65" i="29"/>
  <c r="AK65" i="29"/>
  <c r="AL65" i="29"/>
  <c r="AM65" i="29"/>
  <c r="AN65" i="29"/>
  <c r="AE66" i="29"/>
  <c r="AF66" i="29"/>
  <c r="AG66" i="29"/>
  <c r="AH66" i="29"/>
  <c r="AI66" i="29"/>
  <c r="AJ66" i="29"/>
  <c r="AK66" i="29"/>
  <c r="AL66" i="29"/>
  <c r="AM66" i="29"/>
  <c r="AN66" i="29"/>
  <c r="AE67" i="29"/>
  <c r="AF67" i="29"/>
  <c r="AG67" i="29"/>
  <c r="AH67" i="29"/>
  <c r="AI67" i="29"/>
  <c r="AJ67" i="29"/>
  <c r="AK67" i="29"/>
  <c r="AL67" i="29"/>
  <c r="AM67" i="29"/>
  <c r="AN67" i="29"/>
  <c r="AE68" i="29"/>
  <c r="AF68" i="29"/>
  <c r="AG68" i="29"/>
  <c r="AH68" i="29"/>
  <c r="AI68" i="29"/>
  <c r="AJ68" i="29"/>
  <c r="AK68" i="29"/>
  <c r="AL68" i="29"/>
  <c r="AM68" i="29"/>
  <c r="AN68" i="29"/>
  <c r="AE69" i="29"/>
  <c r="AF69" i="29"/>
  <c r="AG69" i="29"/>
  <c r="AH69" i="29"/>
  <c r="AI69" i="29"/>
  <c r="AJ69" i="29"/>
  <c r="AK69" i="29"/>
  <c r="AL69" i="29"/>
  <c r="AM69" i="29"/>
  <c r="AN69" i="29"/>
  <c r="AE70" i="29"/>
  <c r="AF70" i="29"/>
  <c r="AG70" i="29"/>
  <c r="AH70" i="29"/>
  <c r="AI70" i="29"/>
  <c r="AJ70" i="29"/>
  <c r="AK70" i="29"/>
  <c r="AL70" i="29"/>
  <c r="AM70" i="29"/>
  <c r="AN70" i="29"/>
  <c r="AE71" i="29"/>
  <c r="AF71" i="29"/>
  <c r="AG71" i="29"/>
  <c r="AH71" i="29"/>
  <c r="AI71" i="29"/>
  <c r="AJ71" i="29"/>
  <c r="AK71" i="29"/>
  <c r="AL71" i="29"/>
  <c r="AM71" i="29"/>
  <c r="AN71" i="29"/>
  <c r="AE72" i="29"/>
  <c r="AF72" i="29"/>
  <c r="AG72" i="29"/>
  <c r="AH72" i="29"/>
  <c r="AI72" i="29"/>
  <c r="AJ72" i="29"/>
  <c r="AK72" i="29"/>
  <c r="AL72" i="29"/>
  <c r="AM72" i="29"/>
  <c r="AN72" i="29"/>
  <c r="AE73" i="29"/>
  <c r="AF73" i="29"/>
  <c r="AG73" i="29"/>
  <c r="AH73" i="29"/>
  <c r="AI73" i="29"/>
  <c r="AJ73" i="29"/>
  <c r="AK73" i="29"/>
  <c r="AL73" i="29"/>
  <c r="AM73" i="29"/>
  <c r="AN73" i="29"/>
  <c r="AE74" i="29"/>
  <c r="AF74" i="29"/>
  <c r="AG74" i="29"/>
  <c r="AH74" i="29"/>
  <c r="AI74" i="29"/>
  <c r="AJ74" i="29"/>
  <c r="AK74" i="29"/>
  <c r="AL74" i="29"/>
  <c r="AM74" i="29"/>
  <c r="AN74" i="29"/>
  <c r="AE75" i="29"/>
  <c r="AF75" i="29"/>
  <c r="AG75" i="29"/>
  <c r="AH75" i="29"/>
  <c r="AI75" i="29"/>
  <c r="AJ75" i="29"/>
  <c r="AK75" i="29"/>
  <c r="AL75" i="29"/>
  <c r="AM75" i="29"/>
  <c r="AN75" i="29"/>
  <c r="AE76" i="29"/>
  <c r="AF76" i="29"/>
  <c r="AG76" i="29"/>
  <c r="AH76" i="29"/>
  <c r="AI76" i="29"/>
  <c r="AJ76" i="29"/>
  <c r="AK76" i="29"/>
  <c r="AL76" i="29"/>
  <c r="AM76" i="29"/>
  <c r="AN76" i="29"/>
  <c r="AE77" i="29"/>
  <c r="AF77" i="29"/>
  <c r="AG77" i="29"/>
  <c r="AH77" i="29"/>
  <c r="AI77" i="29"/>
  <c r="AJ77" i="29"/>
  <c r="AK77" i="29"/>
  <c r="AL77" i="29"/>
  <c r="AM77" i="29"/>
  <c r="AN77" i="29"/>
  <c r="AE78" i="29"/>
  <c r="AF78" i="29"/>
  <c r="AG78" i="29"/>
  <c r="AH78" i="29"/>
  <c r="AI78" i="29"/>
  <c r="AJ78" i="29"/>
  <c r="AK78" i="29"/>
  <c r="AL78" i="29"/>
  <c r="AM78" i="29"/>
  <c r="AN78" i="29"/>
  <c r="AE79" i="29"/>
  <c r="AF79" i="29"/>
  <c r="AG79" i="29"/>
  <c r="AH79" i="29"/>
  <c r="AI79" i="29"/>
  <c r="AJ79" i="29"/>
  <c r="AK79" i="29"/>
  <c r="AL79" i="29"/>
  <c r="AM79" i="29"/>
  <c r="AN79" i="29"/>
  <c r="AE80" i="29"/>
  <c r="AF80" i="29"/>
  <c r="AG80" i="29"/>
  <c r="AH80" i="29"/>
  <c r="AI80" i="29"/>
  <c r="AJ80" i="29"/>
  <c r="AK80" i="29"/>
  <c r="AL80" i="29"/>
  <c r="AM80" i="29"/>
  <c r="AN80" i="29"/>
  <c r="AE81" i="29"/>
  <c r="AF81" i="29"/>
  <c r="AG81" i="29"/>
  <c r="AH81" i="29"/>
  <c r="AI81" i="29"/>
  <c r="AJ81" i="29"/>
  <c r="AK81" i="29"/>
  <c r="AL81" i="29"/>
  <c r="AM81" i="29"/>
  <c r="AN81" i="29"/>
  <c r="AE82" i="29"/>
  <c r="AF82" i="29"/>
  <c r="AG82" i="29"/>
  <c r="AH82" i="29"/>
  <c r="AI82" i="29"/>
  <c r="AJ82" i="29"/>
  <c r="AK82" i="29"/>
  <c r="AL82" i="29"/>
  <c r="AM82" i="29"/>
  <c r="AN82" i="29"/>
  <c r="AE83" i="29"/>
  <c r="AF83" i="29"/>
  <c r="AG83" i="29"/>
  <c r="AH83" i="29"/>
  <c r="AI83" i="29"/>
  <c r="AJ83" i="29"/>
  <c r="AK83" i="29"/>
  <c r="AL83" i="29"/>
  <c r="AM83" i="29"/>
  <c r="AN83" i="29"/>
  <c r="AE84" i="29"/>
  <c r="AF84" i="29"/>
  <c r="AG84" i="29"/>
  <c r="AH84" i="29"/>
  <c r="AI84" i="29"/>
  <c r="AJ84" i="29"/>
  <c r="AK84" i="29"/>
  <c r="AL84" i="29"/>
  <c r="AM84" i="29"/>
  <c r="AN84" i="29"/>
  <c r="AE85" i="29"/>
  <c r="AF85" i="29"/>
  <c r="AG85" i="29"/>
  <c r="AH85" i="29"/>
  <c r="AI85" i="29"/>
  <c r="AJ85" i="29"/>
  <c r="AK85" i="29"/>
  <c r="AL85" i="29"/>
  <c r="AM85" i="29"/>
  <c r="AN85" i="29"/>
  <c r="AE86" i="29"/>
  <c r="AF86" i="29"/>
  <c r="AG86" i="29"/>
  <c r="AH86" i="29"/>
  <c r="AI86" i="29"/>
  <c r="AJ86" i="29"/>
  <c r="AK86" i="29"/>
  <c r="AL86" i="29"/>
  <c r="AM86" i="29"/>
  <c r="AN86" i="29"/>
  <c r="AE87" i="29"/>
  <c r="AF87" i="29"/>
  <c r="AG87" i="29"/>
  <c r="AH87" i="29"/>
  <c r="AI87" i="29"/>
  <c r="AJ87" i="29"/>
  <c r="AK87" i="29"/>
  <c r="AL87" i="29"/>
  <c r="AM87" i="29"/>
  <c r="AN87" i="29"/>
  <c r="AE88" i="29"/>
  <c r="AF88" i="29"/>
  <c r="AG88" i="29"/>
  <c r="AH88" i="29"/>
  <c r="AI88" i="29"/>
  <c r="AJ88" i="29"/>
  <c r="AK88" i="29"/>
  <c r="AL88" i="29"/>
  <c r="AM88" i="29"/>
  <c r="AN88" i="29"/>
  <c r="AE89" i="29"/>
  <c r="AF89" i="29"/>
  <c r="AG89" i="29"/>
  <c r="AH89" i="29"/>
  <c r="AI89" i="29"/>
  <c r="AJ89" i="29"/>
  <c r="AK89" i="29"/>
  <c r="AL89" i="29"/>
  <c r="AM89" i="29"/>
  <c r="AN89" i="29"/>
  <c r="AE90" i="29"/>
  <c r="AF90" i="29"/>
  <c r="AG90" i="29"/>
  <c r="AH90" i="29"/>
  <c r="AI90" i="29"/>
  <c r="AJ90" i="29"/>
  <c r="AK90" i="29"/>
  <c r="AL90" i="29"/>
  <c r="AM90" i="29"/>
  <c r="AN90" i="29"/>
  <c r="AE91" i="29"/>
  <c r="AF91" i="29"/>
  <c r="AG91" i="29"/>
  <c r="AH91" i="29"/>
  <c r="AI91" i="29"/>
  <c r="AJ91" i="29"/>
  <c r="AK91" i="29"/>
  <c r="AL91" i="29"/>
  <c r="AM91" i="29"/>
  <c r="AN91" i="29"/>
  <c r="AE92" i="29"/>
  <c r="AF92" i="29"/>
  <c r="AG92" i="29"/>
  <c r="AH92" i="29"/>
  <c r="AI92" i="29"/>
  <c r="AJ92" i="29"/>
  <c r="AK92" i="29"/>
  <c r="AL92" i="29"/>
  <c r="AM92" i="29"/>
  <c r="AN92" i="29"/>
  <c r="AE93" i="29"/>
  <c r="AF93" i="29"/>
  <c r="AG93" i="29"/>
  <c r="AH93" i="29"/>
  <c r="AI93" i="29"/>
  <c r="AJ93" i="29"/>
  <c r="AK93" i="29"/>
  <c r="AL93" i="29"/>
  <c r="AM93" i="29"/>
  <c r="AN93" i="29"/>
  <c r="AE94" i="29"/>
  <c r="AF94" i="29"/>
  <c r="AG94" i="29"/>
  <c r="AH94" i="29"/>
  <c r="AI94" i="29"/>
  <c r="AJ94" i="29"/>
  <c r="AK94" i="29"/>
  <c r="AL94" i="29"/>
  <c r="AM94" i="29"/>
  <c r="AN94" i="29"/>
  <c r="AE95" i="29"/>
  <c r="AF95" i="29"/>
  <c r="AG95" i="29"/>
  <c r="AH95" i="29"/>
  <c r="AI95" i="29"/>
  <c r="AJ95" i="29"/>
  <c r="AK95" i="29"/>
  <c r="AL95" i="29"/>
  <c r="AM95" i="29"/>
  <c r="AN95" i="29"/>
  <c r="AE96" i="29"/>
  <c r="AF96" i="29"/>
  <c r="AG96" i="29"/>
  <c r="AH96" i="29"/>
  <c r="AI96" i="29"/>
  <c r="AJ96" i="29"/>
  <c r="AK96" i="29"/>
  <c r="AL96" i="29"/>
  <c r="AM96" i="29"/>
  <c r="AN96" i="29"/>
  <c r="AE97" i="29"/>
  <c r="AF97" i="29"/>
  <c r="AG97" i="29"/>
  <c r="AH97" i="29"/>
  <c r="AI97" i="29"/>
  <c r="AJ97" i="29"/>
  <c r="AK97" i="29"/>
  <c r="AL97" i="29"/>
  <c r="AM97" i="29"/>
  <c r="AN97" i="29"/>
  <c r="AE98" i="29"/>
  <c r="AF98" i="29"/>
  <c r="AG98" i="29"/>
  <c r="AH98" i="29"/>
  <c r="AI98" i="29"/>
  <c r="AJ98" i="29"/>
  <c r="AK98" i="29"/>
  <c r="AL98" i="29"/>
  <c r="AM98" i="29"/>
  <c r="AN98" i="29"/>
  <c r="AE99" i="29"/>
  <c r="AF99" i="29"/>
  <c r="AG99" i="29"/>
  <c r="AH99" i="29"/>
  <c r="AI99" i="29"/>
  <c r="AJ99" i="29"/>
  <c r="AK99" i="29"/>
  <c r="AL99" i="29"/>
  <c r="AM99" i="29"/>
  <c r="AN99" i="29"/>
  <c r="AE100" i="29"/>
  <c r="AF100" i="29"/>
  <c r="AG100" i="29"/>
  <c r="AH100" i="29"/>
  <c r="AI100" i="29"/>
  <c r="AJ100" i="29"/>
  <c r="AK100" i="29"/>
  <c r="AL100" i="29"/>
  <c r="AM100" i="29"/>
  <c r="AN100" i="29"/>
  <c r="AE101" i="29"/>
  <c r="AF101" i="29"/>
  <c r="AG101" i="29"/>
  <c r="AH101" i="29"/>
  <c r="AI101" i="29"/>
  <c r="AJ101" i="29"/>
  <c r="AK101" i="29"/>
  <c r="AL101" i="29"/>
  <c r="AM101" i="29"/>
  <c r="AN101" i="29"/>
  <c r="AE102" i="29"/>
  <c r="AF102" i="29"/>
  <c r="AG102" i="29"/>
  <c r="AH102" i="29"/>
  <c r="AI102" i="29"/>
  <c r="AJ102" i="29"/>
  <c r="AK102" i="29"/>
  <c r="AL102" i="29"/>
  <c r="AM102" i="29"/>
  <c r="AN102" i="29"/>
  <c r="AE103" i="29"/>
  <c r="AF103" i="29"/>
  <c r="AG103" i="29"/>
  <c r="AH103" i="29"/>
  <c r="AI103" i="29"/>
  <c r="AJ103" i="29"/>
  <c r="AK103" i="29"/>
  <c r="AL103" i="29"/>
  <c r="AM103" i="29"/>
  <c r="AN103" i="29"/>
  <c r="AE104" i="29"/>
  <c r="AF104" i="29"/>
  <c r="AG104" i="29"/>
  <c r="AH104" i="29"/>
  <c r="AI104" i="29"/>
  <c r="AJ104" i="29"/>
  <c r="AK104" i="29"/>
  <c r="AL104" i="29"/>
  <c r="AM104" i="29"/>
  <c r="AN104" i="29"/>
  <c r="AE105" i="29"/>
  <c r="AF105" i="29"/>
  <c r="AG105" i="29"/>
  <c r="AH105" i="29"/>
  <c r="AI105" i="29"/>
  <c r="AJ105" i="29"/>
  <c r="AK105" i="29"/>
  <c r="AL105" i="29"/>
  <c r="AM105" i="29"/>
  <c r="AN105" i="29"/>
  <c r="AE106" i="29"/>
  <c r="AF106" i="29"/>
  <c r="AG106" i="29"/>
  <c r="AH106" i="29"/>
  <c r="AI106" i="29"/>
  <c r="AJ106" i="29"/>
  <c r="AK106" i="29"/>
  <c r="AL106" i="29"/>
  <c r="AM106" i="29"/>
  <c r="AN106" i="29"/>
  <c r="AE107" i="29"/>
  <c r="AF107" i="29"/>
  <c r="AG107" i="29"/>
  <c r="AH107" i="29"/>
  <c r="AI107" i="29"/>
  <c r="AJ107" i="29"/>
  <c r="AK107" i="29"/>
  <c r="AL107" i="29"/>
  <c r="AM107" i="29"/>
  <c r="AN107" i="29"/>
  <c r="AE108" i="29"/>
  <c r="AF108" i="29"/>
  <c r="AG108" i="29"/>
  <c r="AH108" i="29"/>
  <c r="AI108" i="29"/>
  <c r="AJ108" i="29"/>
  <c r="AK108" i="29"/>
  <c r="AL108" i="29"/>
  <c r="AM108" i="29"/>
  <c r="AN108" i="29"/>
  <c r="AE109" i="29"/>
  <c r="AF109" i="29"/>
  <c r="AG109" i="29"/>
  <c r="AH109" i="29"/>
  <c r="AI109" i="29"/>
  <c r="AJ109" i="29"/>
  <c r="AK109" i="29"/>
  <c r="AL109" i="29"/>
  <c r="AM109" i="29"/>
  <c r="AN109" i="29"/>
  <c r="AE110" i="29"/>
  <c r="AF110" i="29"/>
  <c r="AG110" i="29"/>
  <c r="AH110" i="29"/>
  <c r="AI110" i="29"/>
  <c r="AJ110" i="29"/>
  <c r="AK110" i="29"/>
  <c r="AL110" i="29"/>
  <c r="AM110" i="29"/>
  <c r="AN110" i="29"/>
  <c r="AE111" i="29"/>
  <c r="AF111" i="29"/>
  <c r="AG111" i="29"/>
  <c r="AH111" i="29"/>
  <c r="AI111" i="29"/>
  <c r="AJ111" i="29"/>
  <c r="AK111" i="29"/>
  <c r="AL111" i="29"/>
  <c r="AM111" i="29"/>
  <c r="AN111" i="29"/>
  <c r="AE112" i="29"/>
  <c r="AF112" i="29"/>
  <c r="AG112" i="29"/>
  <c r="AH112" i="29"/>
  <c r="AI112" i="29"/>
  <c r="AJ112" i="29"/>
  <c r="AK112" i="29"/>
  <c r="AL112" i="29"/>
  <c r="AM112" i="29"/>
  <c r="AN112" i="29"/>
  <c r="AE113" i="29"/>
  <c r="AF113" i="29"/>
  <c r="AG113" i="29"/>
  <c r="AH113" i="29"/>
  <c r="AI113" i="29"/>
  <c r="AJ113" i="29"/>
  <c r="AK113" i="29"/>
  <c r="AL113" i="29"/>
  <c r="AM113" i="29"/>
  <c r="AN113" i="29"/>
  <c r="AE114" i="29"/>
  <c r="AF114" i="29"/>
  <c r="AG114" i="29"/>
  <c r="AH114" i="29"/>
  <c r="AI114" i="29"/>
  <c r="AJ114" i="29"/>
  <c r="AK114" i="29"/>
  <c r="AL114" i="29"/>
  <c r="AM114" i="29"/>
  <c r="AN114" i="29"/>
  <c r="AE115" i="29"/>
  <c r="AF115" i="29"/>
  <c r="AG115" i="29"/>
  <c r="AH115" i="29"/>
  <c r="AI115" i="29"/>
  <c r="AJ115" i="29"/>
  <c r="AK115" i="29"/>
  <c r="AL115" i="29"/>
  <c r="AM115" i="29"/>
  <c r="AN115" i="29"/>
  <c r="AE116" i="29"/>
  <c r="AF116" i="29"/>
  <c r="AG116" i="29"/>
  <c r="AH116" i="29"/>
  <c r="AI116" i="29"/>
  <c r="AJ116" i="29"/>
  <c r="AK116" i="29"/>
  <c r="AL116" i="29"/>
  <c r="AM116" i="29"/>
  <c r="AN116" i="29"/>
  <c r="AE117" i="29"/>
  <c r="AF117" i="29"/>
  <c r="AG117" i="29"/>
  <c r="AH117" i="29"/>
  <c r="AI117" i="29"/>
  <c r="AJ117" i="29"/>
  <c r="AK117" i="29"/>
  <c r="AL117" i="29"/>
  <c r="AM117" i="29"/>
  <c r="AN117" i="29"/>
  <c r="AE118" i="29"/>
  <c r="AF118" i="29"/>
  <c r="AG118" i="29"/>
  <c r="AH118" i="29"/>
  <c r="AI118" i="29"/>
  <c r="AJ118" i="29"/>
  <c r="AK118" i="29"/>
  <c r="AL118" i="29"/>
  <c r="AM118" i="29"/>
  <c r="AN118" i="29"/>
  <c r="AE119" i="29"/>
  <c r="AF119" i="29"/>
  <c r="AG119" i="29"/>
  <c r="AH119" i="29"/>
  <c r="AI119" i="29"/>
  <c r="AJ119" i="29"/>
  <c r="AK119" i="29"/>
  <c r="AL119" i="29"/>
  <c r="AM119" i="29"/>
  <c r="AN119" i="29"/>
  <c r="AE120" i="29"/>
  <c r="AF120" i="29"/>
  <c r="AG120" i="29"/>
  <c r="AH120" i="29"/>
  <c r="AI120" i="29"/>
  <c r="AJ120" i="29"/>
  <c r="AK120" i="29"/>
  <c r="AL120" i="29"/>
  <c r="AM120" i="29"/>
  <c r="AN120" i="29"/>
  <c r="AE121" i="29"/>
  <c r="AF121" i="29"/>
  <c r="AG121" i="29"/>
  <c r="AH121" i="29"/>
  <c r="AI121" i="29"/>
  <c r="AJ121" i="29"/>
  <c r="AK121" i="29"/>
  <c r="AL121" i="29"/>
  <c r="AM121" i="29"/>
  <c r="AN121" i="29"/>
  <c r="AE122" i="29"/>
  <c r="AF122" i="29"/>
  <c r="AG122" i="29"/>
  <c r="AH122" i="29"/>
  <c r="AI122" i="29"/>
  <c r="AJ122" i="29"/>
  <c r="AK122" i="29"/>
  <c r="AL122" i="29"/>
  <c r="AM122" i="29"/>
  <c r="AN122" i="29"/>
  <c r="AE123" i="29"/>
  <c r="AF123" i="29"/>
  <c r="AG123" i="29"/>
  <c r="AH123" i="29"/>
  <c r="AI123" i="29"/>
  <c r="AJ123" i="29"/>
  <c r="AK123" i="29"/>
  <c r="AL123" i="29"/>
  <c r="AM123" i="29"/>
  <c r="AN123" i="29"/>
  <c r="AE124" i="29"/>
  <c r="AF124" i="29"/>
  <c r="AG124" i="29"/>
  <c r="AH124" i="29"/>
  <c r="AI124" i="29"/>
  <c r="AJ124" i="29"/>
  <c r="AK124" i="29"/>
  <c r="AL124" i="29"/>
  <c r="AM124" i="29"/>
  <c r="AN124" i="29"/>
  <c r="AE125" i="29"/>
  <c r="AF125" i="29"/>
  <c r="AG125" i="29"/>
  <c r="AH125" i="29"/>
  <c r="AI125" i="29"/>
  <c r="AJ125" i="29"/>
  <c r="AK125" i="29"/>
  <c r="AL125" i="29"/>
  <c r="AM125" i="29"/>
  <c r="AN125" i="29"/>
  <c r="AE126" i="29"/>
  <c r="AF126" i="29"/>
  <c r="AG126" i="29"/>
  <c r="AH126" i="29"/>
  <c r="AI126" i="29"/>
  <c r="AJ126" i="29"/>
  <c r="AK126" i="29"/>
  <c r="AL126" i="29"/>
  <c r="AM126" i="29"/>
  <c r="AN126" i="29"/>
  <c r="AE127" i="29"/>
  <c r="AF127" i="29"/>
  <c r="AG127" i="29"/>
  <c r="AH127" i="29"/>
  <c r="AI127" i="29"/>
  <c r="AJ127" i="29"/>
  <c r="AK127" i="29"/>
  <c r="AL127" i="29"/>
  <c r="AM127" i="29"/>
  <c r="AN127" i="29"/>
  <c r="AE128" i="29"/>
  <c r="AF128" i="29"/>
  <c r="AG128" i="29"/>
  <c r="AH128" i="29"/>
  <c r="AI128" i="29"/>
  <c r="AJ128" i="29"/>
  <c r="AK128" i="29"/>
  <c r="AL128" i="29"/>
  <c r="AM128" i="29"/>
  <c r="AN128" i="29"/>
  <c r="AE129" i="29"/>
  <c r="AF129" i="29"/>
  <c r="AG129" i="29"/>
  <c r="AH129" i="29"/>
  <c r="AI129" i="29"/>
  <c r="AJ129" i="29"/>
  <c r="AK129" i="29"/>
  <c r="AL129" i="29"/>
  <c r="AM129" i="29"/>
  <c r="AN129" i="29"/>
  <c r="AE130" i="29"/>
  <c r="AF130" i="29"/>
  <c r="AG130" i="29"/>
  <c r="AH130" i="29"/>
  <c r="AI130" i="29"/>
  <c r="AJ130" i="29"/>
  <c r="AK130" i="29"/>
  <c r="AL130" i="29"/>
  <c r="AM130" i="29"/>
  <c r="AN130" i="29"/>
  <c r="AE131" i="29"/>
  <c r="AF131" i="29"/>
  <c r="AG131" i="29"/>
  <c r="AH131" i="29"/>
  <c r="AI131" i="29"/>
  <c r="AJ131" i="29"/>
  <c r="AK131" i="29"/>
  <c r="AL131" i="29"/>
  <c r="AM131" i="29"/>
  <c r="AN131" i="29"/>
  <c r="AE132" i="29"/>
  <c r="AF132" i="29"/>
  <c r="AG132" i="29"/>
  <c r="AH132" i="29"/>
  <c r="AI132" i="29"/>
  <c r="AJ132" i="29"/>
  <c r="AK132" i="29"/>
  <c r="AL132" i="29"/>
  <c r="AM132" i="29"/>
  <c r="AN132" i="29"/>
  <c r="AE133" i="29"/>
  <c r="AF133" i="29"/>
  <c r="AG133" i="29"/>
  <c r="AH133" i="29"/>
  <c r="AI133" i="29"/>
  <c r="AJ133" i="29"/>
  <c r="AK133" i="29"/>
  <c r="AL133" i="29"/>
  <c r="AM133" i="29"/>
  <c r="AN133" i="29"/>
  <c r="AE134" i="29"/>
  <c r="AF134" i="29"/>
  <c r="AG134" i="29"/>
  <c r="AH134" i="29"/>
  <c r="AI134" i="29"/>
  <c r="AJ134" i="29"/>
  <c r="AK134" i="29"/>
  <c r="AL134" i="29"/>
  <c r="AM134" i="29"/>
  <c r="AN134" i="29"/>
  <c r="AE135" i="29"/>
  <c r="AF135" i="29"/>
  <c r="AG135" i="29"/>
  <c r="AH135" i="29"/>
  <c r="AI135" i="29"/>
  <c r="AJ135" i="29"/>
  <c r="AK135" i="29"/>
  <c r="AL135" i="29"/>
  <c r="AM135" i="29"/>
  <c r="AN135" i="29"/>
  <c r="AE136" i="29"/>
  <c r="AF136" i="29"/>
  <c r="AG136" i="29"/>
  <c r="AH136" i="29"/>
  <c r="AI136" i="29"/>
  <c r="AJ136" i="29"/>
  <c r="AK136" i="29"/>
  <c r="AL136" i="29"/>
  <c r="AM136" i="29"/>
  <c r="AN136" i="29"/>
  <c r="AE137" i="29"/>
  <c r="AF137" i="29"/>
  <c r="AG137" i="29"/>
  <c r="AH137" i="29"/>
  <c r="AI137" i="29"/>
  <c r="AJ137" i="29"/>
  <c r="AK137" i="29"/>
  <c r="AL137" i="29"/>
  <c r="AM137" i="29"/>
  <c r="AN137" i="29"/>
  <c r="AE138" i="29"/>
  <c r="AF138" i="29"/>
  <c r="AG138" i="29"/>
  <c r="AH138" i="29"/>
  <c r="AI138" i="29"/>
  <c r="AJ138" i="29"/>
  <c r="AK138" i="29"/>
  <c r="AL138" i="29"/>
  <c r="AM138" i="29"/>
  <c r="AN138" i="29"/>
  <c r="AE139" i="29"/>
  <c r="AF139" i="29"/>
  <c r="AG139" i="29"/>
  <c r="AH139" i="29"/>
  <c r="AI139" i="29"/>
  <c r="AJ139" i="29"/>
  <c r="AK139" i="29"/>
  <c r="AL139" i="29"/>
  <c r="AM139" i="29"/>
  <c r="AN139" i="29"/>
  <c r="AE140" i="29"/>
  <c r="AF140" i="29"/>
  <c r="AG140" i="29"/>
  <c r="AH140" i="29"/>
  <c r="AI140" i="29"/>
  <c r="AJ140" i="29"/>
  <c r="AK140" i="29"/>
  <c r="AL140" i="29"/>
  <c r="AM140" i="29"/>
  <c r="AN140" i="29"/>
  <c r="AE141" i="29"/>
  <c r="AF141" i="29"/>
  <c r="AG141" i="29"/>
  <c r="AH141" i="29"/>
  <c r="AI141" i="29"/>
  <c r="AJ141" i="29"/>
  <c r="AK141" i="29"/>
  <c r="AL141" i="29"/>
  <c r="AM141" i="29"/>
  <c r="AN141" i="29"/>
  <c r="AE142" i="29"/>
  <c r="AF142" i="29"/>
  <c r="AG142" i="29"/>
  <c r="AH142" i="29"/>
  <c r="AI142" i="29"/>
  <c r="AJ142" i="29"/>
  <c r="AK142" i="29"/>
  <c r="AL142" i="29"/>
  <c r="AM142" i="29"/>
  <c r="AN142" i="29"/>
  <c r="AE143" i="29"/>
  <c r="AF143" i="29"/>
  <c r="AG143" i="29"/>
  <c r="AH143" i="29"/>
  <c r="AI143" i="29"/>
  <c r="AJ143" i="29"/>
  <c r="AK143" i="29"/>
  <c r="AL143" i="29"/>
  <c r="AM143" i="29"/>
  <c r="AN143" i="29"/>
  <c r="AE144" i="29"/>
  <c r="AF144" i="29"/>
  <c r="AG144" i="29"/>
  <c r="AH144" i="29"/>
  <c r="AI144" i="29"/>
  <c r="AJ144" i="29"/>
  <c r="AK144" i="29"/>
  <c r="AL144" i="29"/>
  <c r="AM144" i="29"/>
  <c r="AN144" i="29"/>
  <c r="AE145" i="29"/>
  <c r="AF145" i="29"/>
  <c r="AG145" i="29"/>
  <c r="AH145" i="29"/>
  <c r="AI145" i="29"/>
  <c r="AJ145" i="29"/>
  <c r="AK145" i="29"/>
  <c r="AL145" i="29"/>
  <c r="AM145" i="29"/>
  <c r="AN145" i="29"/>
  <c r="AE146" i="29"/>
  <c r="AF146" i="29"/>
  <c r="AG146" i="29"/>
  <c r="AH146" i="29"/>
  <c r="AI146" i="29"/>
  <c r="AJ146" i="29"/>
  <c r="AK146" i="29"/>
  <c r="AL146" i="29"/>
  <c r="AM146" i="29"/>
  <c r="AN146" i="29"/>
  <c r="AE147" i="29"/>
  <c r="AF147" i="29"/>
  <c r="AG147" i="29"/>
  <c r="AH147" i="29"/>
  <c r="AI147" i="29"/>
  <c r="AJ147" i="29"/>
  <c r="AK147" i="29"/>
  <c r="AL147" i="29"/>
  <c r="AM147" i="29"/>
  <c r="AN147" i="29"/>
  <c r="AE148" i="29"/>
  <c r="AF148" i="29"/>
  <c r="AG148" i="29"/>
  <c r="AH148" i="29"/>
  <c r="AI148" i="29"/>
  <c r="AJ148" i="29"/>
  <c r="AK148" i="29"/>
  <c r="AL148" i="29"/>
  <c r="AM148" i="29"/>
  <c r="AN148" i="29"/>
  <c r="AE149" i="29"/>
  <c r="AF149" i="29"/>
  <c r="AG149" i="29"/>
  <c r="AH149" i="29"/>
  <c r="AI149" i="29"/>
  <c r="AJ149" i="29"/>
  <c r="AK149" i="29"/>
  <c r="AL149" i="29"/>
  <c r="AM149" i="29"/>
  <c r="AN149" i="29"/>
  <c r="AE150" i="29"/>
  <c r="AF150" i="29"/>
  <c r="AG150" i="29"/>
  <c r="AH150" i="29"/>
  <c r="AI150" i="29"/>
  <c r="AJ150" i="29"/>
  <c r="AK150" i="29"/>
  <c r="AL150" i="29"/>
  <c r="AM150" i="29"/>
  <c r="AN150" i="29"/>
  <c r="AE151" i="29"/>
  <c r="AF151" i="29"/>
  <c r="AG151" i="29"/>
  <c r="AH151" i="29"/>
  <c r="AI151" i="29"/>
  <c r="AJ151" i="29"/>
  <c r="AK151" i="29"/>
  <c r="AL151" i="29"/>
  <c r="AM151" i="29"/>
  <c r="AN151" i="29"/>
  <c r="AE152" i="29"/>
  <c r="AF152" i="29"/>
  <c r="AG152" i="29"/>
  <c r="AH152" i="29"/>
  <c r="AI152" i="29"/>
  <c r="AJ152" i="29"/>
  <c r="AK152" i="29"/>
  <c r="AL152" i="29"/>
  <c r="AM152" i="29"/>
  <c r="AN152" i="29"/>
  <c r="AE153" i="29"/>
  <c r="AF153" i="29"/>
  <c r="AG153" i="29"/>
  <c r="AH153" i="29"/>
  <c r="AI153" i="29"/>
  <c r="AJ153" i="29"/>
  <c r="AK153" i="29"/>
  <c r="AL153" i="29"/>
  <c r="AM153" i="29"/>
  <c r="AN153" i="29"/>
  <c r="AE154" i="29"/>
  <c r="AF154" i="29"/>
  <c r="AG154" i="29"/>
  <c r="AH154" i="29"/>
  <c r="AI154" i="29"/>
  <c r="AJ154" i="29"/>
  <c r="AK154" i="29"/>
  <c r="AL154" i="29"/>
  <c r="AM154" i="29"/>
  <c r="AN154" i="29"/>
  <c r="AE155" i="29"/>
  <c r="AF155" i="29"/>
  <c r="AG155" i="29"/>
  <c r="AH155" i="29"/>
  <c r="AI155" i="29"/>
  <c r="AJ155" i="29"/>
  <c r="AK155" i="29"/>
  <c r="AL155" i="29"/>
  <c r="AM155" i="29"/>
  <c r="AN155" i="29"/>
  <c r="AE156" i="29"/>
  <c r="AF156" i="29"/>
  <c r="AG156" i="29"/>
  <c r="AH156" i="29"/>
  <c r="AI156" i="29"/>
  <c r="AJ156" i="29"/>
  <c r="AK156" i="29"/>
  <c r="AL156" i="29"/>
  <c r="AM156" i="29"/>
  <c r="AN156" i="29"/>
  <c r="AE157" i="29"/>
  <c r="AF157" i="29"/>
  <c r="AG157" i="29"/>
  <c r="AH157" i="29"/>
  <c r="AI157" i="29"/>
  <c r="AJ157" i="29"/>
  <c r="AK157" i="29"/>
  <c r="AL157" i="29"/>
  <c r="AM157" i="29"/>
  <c r="AN157" i="29"/>
  <c r="AE158" i="29"/>
  <c r="AF158" i="29"/>
  <c r="AG158" i="29"/>
  <c r="AH158" i="29"/>
  <c r="AI158" i="29"/>
  <c r="AJ158" i="29"/>
  <c r="AK158" i="29"/>
  <c r="AL158" i="29"/>
  <c r="AM158" i="29"/>
  <c r="AN158" i="29"/>
  <c r="AE159" i="29"/>
  <c r="AF159" i="29"/>
  <c r="AG159" i="29"/>
  <c r="AH159" i="29"/>
  <c r="AI159" i="29"/>
  <c r="AJ159" i="29"/>
  <c r="AK159" i="29"/>
  <c r="AL159" i="29"/>
  <c r="AM159" i="29"/>
  <c r="AN159" i="29"/>
  <c r="AE160" i="29"/>
  <c r="AF160" i="29"/>
  <c r="AG160" i="29"/>
  <c r="AH160" i="29"/>
  <c r="AI160" i="29"/>
  <c r="AJ160" i="29"/>
  <c r="AK160" i="29"/>
  <c r="AL160" i="29"/>
  <c r="AM160" i="29"/>
  <c r="AN160" i="29"/>
  <c r="AE161" i="29"/>
  <c r="AF161" i="29"/>
  <c r="AG161" i="29"/>
  <c r="AH161" i="29"/>
  <c r="AI161" i="29"/>
  <c r="AJ161" i="29"/>
  <c r="AK161" i="29"/>
  <c r="AL161" i="29"/>
  <c r="AM161" i="29"/>
  <c r="AN161" i="29"/>
  <c r="AE162" i="29"/>
  <c r="AF162" i="29"/>
  <c r="AG162" i="29"/>
  <c r="AH162" i="29"/>
  <c r="AI162" i="29"/>
  <c r="AJ162" i="29"/>
  <c r="AK162" i="29"/>
  <c r="AL162" i="29"/>
  <c r="AM162" i="29"/>
  <c r="AN162" i="29"/>
  <c r="AE163" i="29"/>
  <c r="AF163" i="29"/>
  <c r="AG163" i="29"/>
  <c r="AH163" i="29"/>
  <c r="AI163" i="29"/>
  <c r="AJ163" i="29"/>
  <c r="AK163" i="29"/>
  <c r="AL163" i="29"/>
  <c r="AM163" i="29"/>
  <c r="AN163" i="29"/>
  <c r="AE164" i="29"/>
  <c r="AF164" i="29"/>
  <c r="AG164" i="29"/>
  <c r="AH164" i="29"/>
  <c r="AI164" i="29"/>
  <c r="AJ164" i="29"/>
  <c r="AK164" i="29"/>
  <c r="AL164" i="29"/>
  <c r="AM164" i="29"/>
  <c r="AN164" i="29"/>
  <c r="AE165" i="29"/>
  <c r="AF165" i="29"/>
  <c r="AG165" i="29"/>
  <c r="AH165" i="29"/>
  <c r="AI165" i="29"/>
  <c r="AJ165" i="29"/>
  <c r="AK165" i="29"/>
  <c r="AL165" i="29"/>
  <c r="AM165" i="29"/>
  <c r="AN165" i="29"/>
  <c r="AE166" i="29"/>
  <c r="AF166" i="29"/>
  <c r="AG166" i="29"/>
  <c r="AH166" i="29"/>
  <c r="AI166" i="29"/>
  <c r="AJ166" i="29"/>
  <c r="AK166" i="29"/>
  <c r="AL166" i="29"/>
  <c r="AM166" i="29"/>
  <c r="AN166" i="29"/>
  <c r="AE167" i="29"/>
  <c r="AF167" i="29"/>
  <c r="AG167" i="29"/>
  <c r="AH167" i="29"/>
  <c r="AI167" i="29"/>
  <c r="AJ167" i="29"/>
  <c r="AK167" i="29"/>
  <c r="AL167" i="29"/>
  <c r="AM167" i="29"/>
  <c r="AN167" i="29"/>
  <c r="AE168" i="29"/>
  <c r="AF168" i="29"/>
  <c r="AG168" i="29"/>
  <c r="AH168" i="29"/>
  <c r="AI168" i="29"/>
  <c r="AJ168" i="29"/>
  <c r="AK168" i="29"/>
  <c r="AL168" i="29"/>
  <c r="AM168" i="29"/>
  <c r="AN168" i="29"/>
  <c r="AE169" i="29"/>
  <c r="AF169" i="29"/>
  <c r="AG169" i="29"/>
  <c r="AH169" i="29"/>
  <c r="AI169" i="29"/>
  <c r="AJ169" i="29"/>
  <c r="AK169" i="29"/>
  <c r="AL169" i="29"/>
  <c r="AM169" i="29"/>
  <c r="AN169" i="29"/>
  <c r="AE170" i="29"/>
  <c r="AF170" i="29"/>
  <c r="AG170" i="29"/>
  <c r="AH170" i="29"/>
  <c r="AI170" i="29"/>
  <c r="AJ170" i="29"/>
  <c r="AK170" i="29"/>
  <c r="AL170" i="29"/>
  <c r="AM170" i="29"/>
  <c r="AN170" i="29"/>
  <c r="AE171" i="29"/>
  <c r="AF171" i="29"/>
  <c r="AG171" i="29"/>
  <c r="AH171" i="29"/>
  <c r="AI171" i="29"/>
  <c r="AJ171" i="29"/>
  <c r="AK171" i="29"/>
  <c r="AL171" i="29"/>
  <c r="AM171" i="29"/>
  <c r="AN171" i="29"/>
  <c r="AE172" i="29"/>
  <c r="AF172" i="29"/>
  <c r="AG172" i="29"/>
  <c r="AH172" i="29"/>
  <c r="AI172" i="29"/>
  <c r="AJ172" i="29"/>
  <c r="AK172" i="29"/>
  <c r="AL172" i="29"/>
  <c r="AM172" i="29"/>
  <c r="AN172" i="29"/>
  <c r="AE173" i="29"/>
  <c r="AF173" i="29"/>
  <c r="AG173" i="29"/>
  <c r="AH173" i="29"/>
  <c r="AI173" i="29"/>
  <c r="AJ173" i="29"/>
  <c r="AK173" i="29"/>
  <c r="AL173" i="29"/>
  <c r="AM173" i="29"/>
  <c r="AN173" i="29"/>
  <c r="AE174" i="29"/>
  <c r="AF174" i="29"/>
  <c r="AG174" i="29"/>
  <c r="AH174" i="29"/>
  <c r="AI174" i="29"/>
  <c r="AJ174" i="29"/>
  <c r="AK174" i="29"/>
  <c r="AL174" i="29"/>
  <c r="AM174" i="29"/>
  <c r="AN174" i="29"/>
  <c r="AE175" i="29"/>
  <c r="AF175" i="29"/>
  <c r="AG175" i="29"/>
  <c r="AH175" i="29"/>
  <c r="AI175" i="29"/>
  <c r="AJ175" i="29"/>
  <c r="AK175" i="29"/>
  <c r="AL175" i="29"/>
  <c r="AM175" i="29"/>
  <c r="AN175" i="29"/>
  <c r="AE176" i="29"/>
  <c r="AF176" i="29"/>
  <c r="AG176" i="29"/>
  <c r="AH176" i="29"/>
  <c r="AI176" i="29"/>
  <c r="AJ176" i="29"/>
  <c r="AK176" i="29"/>
  <c r="AL176" i="29"/>
  <c r="AM176" i="29"/>
  <c r="AN176" i="29"/>
  <c r="AE177" i="29"/>
  <c r="AF177" i="29"/>
  <c r="AG177" i="29"/>
  <c r="AH177" i="29"/>
  <c r="AI177" i="29"/>
  <c r="AJ177" i="29"/>
  <c r="AK177" i="29"/>
  <c r="AL177" i="29"/>
  <c r="AM177" i="29"/>
  <c r="AN177" i="29"/>
  <c r="AE178" i="29"/>
  <c r="AF178" i="29"/>
  <c r="AG178" i="29"/>
  <c r="AH178" i="29"/>
  <c r="AI178" i="29"/>
  <c r="AJ178" i="29"/>
  <c r="AK178" i="29"/>
  <c r="AL178" i="29"/>
  <c r="AM178" i="29"/>
  <c r="AN178" i="29"/>
  <c r="AE179" i="29"/>
  <c r="AF179" i="29"/>
  <c r="AG179" i="29"/>
  <c r="AH179" i="29"/>
  <c r="AI179" i="29"/>
  <c r="AJ179" i="29"/>
  <c r="AK179" i="29"/>
  <c r="AL179" i="29"/>
  <c r="AM179" i="29"/>
  <c r="AN179" i="29"/>
  <c r="AE180" i="29"/>
  <c r="AF180" i="29"/>
  <c r="AG180" i="29"/>
  <c r="AH180" i="29"/>
  <c r="AI180" i="29"/>
  <c r="AJ180" i="29"/>
  <c r="AK180" i="29"/>
  <c r="AL180" i="29"/>
  <c r="AM180" i="29"/>
  <c r="AN180" i="29"/>
  <c r="AE181" i="29"/>
  <c r="AF181" i="29"/>
  <c r="AG181" i="29"/>
  <c r="AH181" i="29"/>
  <c r="AI181" i="29"/>
  <c r="AJ181" i="29"/>
  <c r="AK181" i="29"/>
  <c r="AL181" i="29"/>
  <c r="AM181" i="29"/>
  <c r="AN181" i="29"/>
  <c r="AE182" i="29"/>
  <c r="AF182" i="29"/>
  <c r="AG182" i="29"/>
  <c r="AH182" i="29"/>
  <c r="AI182" i="29"/>
  <c r="AJ182" i="29"/>
  <c r="AK182" i="29"/>
  <c r="AL182" i="29"/>
  <c r="AM182" i="29"/>
  <c r="AN182" i="29"/>
  <c r="AE183" i="29"/>
  <c r="AF183" i="29"/>
  <c r="AG183" i="29"/>
  <c r="AH183" i="29"/>
  <c r="AI183" i="29"/>
  <c r="AJ183" i="29"/>
  <c r="AK183" i="29"/>
  <c r="AL183" i="29"/>
  <c r="AM183" i="29"/>
  <c r="AN183" i="29"/>
  <c r="AE184" i="29"/>
  <c r="AF184" i="29"/>
  <c r="AG184" i="29"/>
  <c r="AH184" i="29"/>
  <c r="AI184" i="29"/>
  <c r="AJ184" i="29"/>
  <c r="AK184" i="29"/>
  <c r="AL184" i="29"/>
  <c r="AM184" i="29"/>
  <c r="AN184" i="29"/>
  <c r="AE185" i="29"/>
  <c r="AF185" i="29"/>
  <c r="AG185" i="29"/>
  <c r="AH185" i="29"/>
  <c r="AI185" i="29"/>
  <c r="AJ185" i="29"/>
  <c r="AK185" i="29"/>
  <c r="AL185" i="29"/>
  <c r="AM185" i="29"/>
  <c r="AN185" i="29"/>
  <c r="AE186" i="29"/>
  <c r="AF186" i="29"/>
  <c r="AG186" i="29"/>
  <c r="AH186" i="29"/>
  <c r="AI186" i="29"/>
  <c r="AJ186" i="29"/>
  <c r="AK186" i="29"/>
  <c r="AL186" i="29"/>
  <c r="AM186" i="29"/>
  <c r="AN186" i="29"/>
  <c r="AE187" i="29"/>
  <c r="AF187" i="29"/>
  <c r="AG187" i="29"/>
  <c r="AH187" i="29"/>
  <c r="AI187" i="29"/>
  <c r="AJ187" i="29"/>
  <c r="AK187" i="29"/>
  <c r="AL187" i="29"/>
  <c r="AM187" i="29"/>
  <c r="AN187" i="29"/>
  <c r="AE188" i="29"/>
  <c r="AF188" i="29"/>
  <c r="AG188" i="29"/>
  <c r="AH188" i="29"/>
  <c r="AI188" i="29"/>
  <c r="AJ188" i="29"/>
  <c r="AK188" i="29"/>
  <c r="AL188" i="29"/>
  <c r="AM188" i="29"/>
  <c r="AN188" i="29"/>
  <c r="AE189" i="29"/>
  <c r="AF189" i="29"/>
  <c r="AG189" i="29"/>
  <c r="AH189" i="29"/>
  <c r="AI189" i="29"/>
  <c r="AJ189" i="29"/>
  <c r="AK189" i="29"/>
  <c r="AL189" i="29"/>
  <c r="AM189" i="29"/>
  <c r="AN189" i="29"/>
  <c r="AE190" i="29"/>
  <c r="AF190" i="29"/>
  <c r="AG190" i="29"/>
  <c r="AH190" i="29"/>
  <c r="AI190" i="29"/>
  <c r="AJ190" i="29"/>
  <c r="AK190" i="29"/>
  <c r="AL190" i="29"/>
  <c r="AM190" i="29"/>
  <c r="AN190" i="29"/>
  <c r="AE191" i="29"/>
  <c r="AF191" i="29"/>
  <c r="AG191" i="29"/>
  <c r="AH191" i="29"/>
  <c r="AI191" i="29"/>
  <c r="AJ191" i="29"/>
  <c r="AK191" i="29"/>
  <c r="AL191" i="29"/>
  <c r="AM191" i="29"/>
  <c r="AN191" i="29"/>
  <c r="AE192" i="29"/>
  <c r="AF192" i="29"/>
  <c r="AG192" i="29"/>
  <c r="AH192" i="29"/>
  <c r="AI192" i="29"/>
  <c r="AJ192" i="29"/>
  <c r="AK192" i="29"/>
  <c r="AL192" i="29"/>
  <c r="AM192" i="29"/>
  <c r="AN192" i="29"/>
  <c r="AE193" i="29"/>
  <c r="AF193" i="29"/>
  <c r="AG193" i="29"/>
  <c r="AH193" i="29"/>
  <c r="AI193" i="29"/>
  <c r="AJ193" i="29"/>
  <c r="AK193" i="29"/>
  <c r="AL193" i="29"/>
  <c r="AM193" i="29"/>
  <c r="AN193" i="29"/>
  <c r="AE194" i="29"/>
  <c r="AF194" i="29"/>
  <c r="AG194" i="29"/>
  <c r="AH194" i="29"/>
  <c r="AI194" i="29"/>
  <c r="AJ194" i="29"/>
  <c r="AK194" i="29"/>
  <c r="AL194" i="29"/>
  <c r="AM194" i="29"/>
  <c r="AN194" i="29"/>
  <c r="AE195" i="29"/>
  <c r="AF195" i="29"/>
  <c r="AG195" i="29"/>
  <c r="AH195" i="29"/>
  <c r="AI195" i="29"/>
  <c r="AJ195" i="29"/>
  <c r="AK195" i="29"/>
  <c r="AL195" i="29"/>
  <c r="AM195" i="29"/>
  <c r="AN195" i="29"/>
  <c r="AE196" i="29"/>
  <c r="AF196" i="29"/>
  <c r="AG196" i="29"/>
  <c r="AH196" i="29"/>
  <c r="AI196" i="29"/>
  <c r="AJ196" i="29"/>
  <c r="AK196" i="29"/>
  <c r="AL196" i="29"/>
  <c r="AM196" i="29"/>
  <c r="AN196" i="29"/>
  <c r="AE197" i="29"/>
  <c r="AF197" i="29"/>
  <c r="AG197" i="29"/>
  <c r="AH197" i="29"/>
  <c r="AI197" i="29"/>
  <c r="AJ197" i="29"/>
  <c r="AK197" i="29"/>
  <c r="AL197" i="29"/>
  <c r="AM197" i="29"/>
  <c r="AN197" i="29"/>
  <c r="AE198" i="29"/>
  <c r="AF198" i="29"/>
  <c r="AG198" i="29"/>
  <c r="AH198" i="29"/>
  <c r="AI198" i="29"/>
  <c r="AJ198" i="29"/>
  <c r="AK198" i="29"/>
  <c r="AL198" i="29"/>
  <c r="AM198" i="29"/>
  <c r="AN198" i="29"/>
  <c r="AE199" i="29"/>
  <c r="AF199" i="29"/>
  <c r="AG199" i="29"/>
  <c r="AH199" i="29"/>
  <c r="AI199" i="29"/>
  <c r="AJ199" i="29"/>
  <c r="AK199" i="29"/>
  <c r="AL199" i="29"/>
  <c r="AM199" i="29"/>
  <c r="AN199" i="29"/>
  <c r="AE200" i="29"/>
  <c r="AF200" i="29"/>
  <c r="AG200" i="29"/>
  <c r="AH200" i="29"/>
  <c r="AI200" i="29"/>
  <c r="AJ200" i="29"/>
  <c r="AK200" i="29"/>
  <c r="AL200" i="29"/>
  <c r="AM200" i="29"/>
  <c r="AN200" i="29"/>
  <c r="AE201" i="29"/>
  <c r="AF201" i="29"/>
  <c r="AG201" i="29"/>
  <c r="AH201" i="29"/>
  <c r="AI201" i="29"/>
  <c r="AJ201" i="29"/>
  <c r="AK201" i="29"/>
  <c r="AL201" i="29"/>
  <c r="AM201" i="29"/>
  <c r="AN201" i="29"/>
  <c r="AE202" i="29"/>
  <c r="AF202" i="29"/>
  <c r="AG202" i="29"/>
  <c r="AH202" i="29"/>
  <c r="AI202" i="29"/>
  <c r="AJ202" i="29"/>
  <c r="AK202" i="29"/>
  <c r="AL202" i="29"/>
  <c r="AM202" i="29"/>
  <c r="AN202" i="29"/>
  <c r="AE203" i="29"/>
  <c r="AF203" i="29"/>
  <c r="AG203" i="29"/>
  <c r="AH203" i="29"/>
  <c r="AI203" i="29"/>
  <c r="AJ203" i="29"/>
  <c r="AK203" i="29"/>
  <c r="AL203" i="29"/>
  <c r="AM203" i="29"/>
  <c r="AN203" i="29"/>
  <c r="AE204" i="29"/>
  <c r="AF204" i="29"/>
  <c r="AG204" i="29"/>
  <c r="AH204" i="29"/>
  <c r="AI204" i="29"/>
  <c r="AJ204" i="29"/>
  <c r="AK204" i="29"/>
  <c r="AL204" i="29"/>
  <c r="AM204" i="29"/>
  <c r="AN204" i="29"/>
  <c r="AE205" i="29"/>
  <c r="AF205" i="29"/>
  <c r="AG205" i="29"/>
  <c r="AH205" i="29"/>
  <c r="AI205" i="29"/>
  <c r="AJ205" i="29"/>
  <c r="AK205" i="29"/>
  <c r="AL205" i="29"/>
  <c r="AM205" i="29"/>
  <c r="AN205" i="29"/>
  <c r="AE206" i="29"/>
  <c r="AF206" i="29"/>
  <c r="AG206" i="29"/>
  <c r="AH206" i="29"/>
  <c r="AI206" i="29"/>
  <c r="AJ206" i="29"/>
  <c r="AK206" i="29"/>
  <c r="AL206" i="29"/>
  <c r="AM206" i="29"/>
  <c r="AN206" i="29"/>
  <c r="AE207" i="29"/>
  <c r="AF207" i="29"/>
  <c r="AG207" i="29"/>
  <c r="AH207" i="29"/>
  <c r="AI207" i="29"/>
  <c r="AJ207" i="29"/>
  <c r="AK207" i="29"/>
  <c r="AL207" i="29"/>
  <c r="AM207" i="29"/>
  <c r="AN207" i="29"/>
  <c r="AE208" i="29"/>
  <c r="AF208" i="29"/>
  <c r="AG208" i="29"/>
  <c r="AH208" i="29"/>
  <c r="AI208" i="29"/>
  <c r="AJ208" i="29"/>
  <c r="AK208" i="29"/>
  <c r="AL208" i="29"/>
  <c r="AM208" i="29"/>
  <c r="AN208" i="29"/>
  <c r="AE209" i="29"/>
  <c r="AF209" i="29"/>
  <c r="AG209" i="29"/>
  <c r="AH209" i="29"/>
  <c r="AI209" i="29"/>
  <c r="AJ209" i="29"/>
  <c r="AK209" i="29"/>
  <c r="AL209" i="29"/>
  <c r="AM209" i="29"/>
  <c r="AN209" i="29"/>
  <c r="AE210" i="29"/>
  <c r="AF210" i="29"/>
  <c r="AG210" i="29"/>
  <c r="AH210" i="29"/>
  <c r="AI210" i="29"/>
  <c r="AJ210" i="29"/>
  <c r="AK210" i="29"/>
  <c r="AL210" i="29"/>
  <c r="AM210" i="29"/>
  <c r="AN210" i="29"/>
  <c r="AE211" i="29"/>
  <c r="AF211" i="29"/>
  <c r="AG211" i="29"/>
  <c r="AH211" i="29"/>
  <c r="AI211" i="29"/>
  <c r="AJ211" i="29"/>
  <c r="AK211" i="29"/>
  <c r="AL211" i="29"/>
  <c r="AM211" i="29"/>
  <c r="AN211" i="29"/>
  <c r="AE212" i="29"/>
  <c r="AF212" i="29"/>
  <c r="AG212" i="29"/>
  <c r="AH212" i="29"/>
  <c r="AI212" i="29"/>
  <c r="AJ212" i="29"/>
  <c r="AK212" i="29"/>
  <c r="AL212" i="29"/>
  <c r="AM212" i="29"/>
  <c r="AN212" i="29"/>
  <c r="AE213" i="29"/>
  <c r="AF213" i="29"/>
  <c r="AG213" i="29"/>
  <c r="AH213" i="29"/>
  <c r="AI213" i="29"/>
  <c r="AJ213" i="29"/>
  <c r="AK213" i="29"/>
  <c r="AL213" i="29"/>
  <c r="AM213" i="29"/>
  <c r="AN213" i="29"/>
  <c r="AE214" i="29"/>
  <c r="AF214" i="29"/>
  <c r="AG214" i="29"/>
  <c r="AH214" i="29"/>
  <c r="AI214" i="29"/>
  <c r="AJ214" i="29"/>
  <c r="AK214" i="29"/>
  <c r="AL214" i="29"/>
  <c r="AM214" i="29"/>
  <c r="AN214" i="29"/>
  <c r="AE215" i="29"/>
  <c r="AF215" i="29"/>
  <c r="AG215" i="29"/>
  <c r="AH215" i="29"/>
  <c r="AI215" i="29"/>
  <c r="AJ215" i="29"/>
  <c r="AK215" i="29"/>
  <c r="AL215" i="29"/>
  <c r="AM215" i="29"/>
  <c r="AN215" i="29"/>
  <c r="AE216" i="29"/>
  <c r="AF216" i="29"/>
  <c r="AG216" i="29"/>
  <c r="AH216" i="29"/>
  <c r="AI216" i="29"/>
  <c r="AJ216" i="29"/>
  <c r="AK216" i="29"/>
  <c r="AL216" i="29"/>
  <c r="AM216" i="29"/>
  <c r="AN216" i="29"/>
  <c r="AE217" i="29"/>
  <c r="AF217" i="29"/>
  <c r="AG217" i="29"/>
  <c r="AH217" i="29"/>
  <c r="AI217" i="29"/>
  <c r="AJ217" i="29"/>
  <c r="AK217" i="29"/>
  <c r="AL217" i="29"/>
  <c r="AM217" i="29"/>
  <c r="AN217" i="29"/>
  <c r="AE218" i="29"/>
  <c r="AF218" i="29"/>
  <c r="AG218" i="29"/>
  <c r="AH218" i="29"/>
  <c r="AI218" i="29"/>
  <c r="AJ218" i="29"/>
  <c r="AK218" i="29"/>
  <c r="AL218" i="29"/>
  <c r="AM218" i="29"/>
  <c r="AN218" i="29"/>
  <c r="AE219" i="29"/>
  <c r="AF219" i="29"/>
  <c r="AG219" i="29"/>
  <c r="AH219" i="29"/>
  <c r="AI219" i="29"/>
  <c r="AJ219" i="29"/>
  <c r="AK219" i="29"/>
  <c r="AL219" i="29"/>
  <c r="AM219" i="29"/>
  <c r="AN219" i="29"/>
  <c r="AE220" i="29"/>
  <c r="AF220" i="29"/>
  <c r="AG220" i="29"/>
  <c r="AH220" i="29"/>
  <c r="AI220" i="29"/>
  <c r="AJ220" i="29"/>
  <c r="AK220" i="29"/>
  <c r="AL220" i="29"/>
  <c r="AM220" i="29"/>
  <c r="AN220" i="29"/>
  <c r="AE221" i="29"/>
  <c r="AF221" i="29"/>
  <c r="AG221" i="29"/>
  <c r="AH221" i="29"/>
  <c r="AI221" i="29"/>
  <c r="AJ221" i="29"/>
  <c r="AK221" i="29"/>
  <c r="AL221" i="29"/>
  <c r="AM221" i="29"/>
  <c r="AN221" i="29"/>
  <c r="AE222" i="29"/>
  <c r="AF222" i="29"/>
  <c r="AG222" i="29"/>
  <c r="AH222" i="29"/>
  <c r="AI222" i="29"/>
  <c r="AJ222" i="29"/>
  <c r="AK222" i="29"/>
  <c r="AL222" i="29"/>
  <c r="AM222" i="29"/>
  <c r="AN222" i="29"/>
  <c r="AE223" i="29"/>
  <c r="AF223" i="29"/>
  <c r="AG223" i="29"/>
  <c r="AH223" i="29"/>
  <c r="AI223" i="29"/>
  <c r="AJ223" i="29"/>
  <c r="AK223" i="29"/>
  <c r="AL223" i="29"/>
  <c r="AM223" i="29"/>
  <c r="AN223" i="29"/>
  <c r="AE224" i="29"/>
  <c r="AF224" i="29"/>
  <c r="AG224" i="29"/>
  <c r="AH224" i="29"/>
  <c r="AI224" i="29"/>
  <c r="AJ224" i="29"/>
  <c r="AK224" i="29"/>
  <c r="AL224" i="29"/>
  <c r="AM224" i="29"/>
  <c r="AN224" i="29"/>
  <c r="AE225" i="29"/>
  <c r="AF225" i="29"/>
  <c r="AG225" i="29"/>
  <c r="AH225" i="29"/>
  <c r="AI225" i="29"/>
  <c r="AJ225" i="29"/>
  <c r="AK225" i="29"/>
  <c r="AL225" i="29"/>
  <c r="AM225" i="29"/>
  <c r="AN225" i="29"/>
  <c r="AE226" i="29"/>
  <c r="AF226" i="29"/>
  <c r="AG226" i="29"/>
  <c r="AH226" i="29"/>
  <c r="AI226" i="29"/>
  <c r="AJ226" i="29"/>
  <c r="AK226" i="29"/>
  <c r="AL226" i="29"/>
  <c r="AM226" i="29"/>
  <c r="AN226" i="29"/>
  <c r="AE227" i="29"/>
  <c r="AF227" i="29"/>
  <c r="AG227" i="29"/>
  <c r="AH227" i="29"/>
  <c r="AI227" i="29"/>
  <c r="AJ227" i="29"/>
  <c r="AK227" i="29"/>
  <c r="AL227" i="29"/>
  <c r="AM227" i="29"/>
  <c r="AN227" i="29"/>
  <c r="AE228" i="29"/>
  <c r="AF228" i="29"/>
  <c r="AG228" i="29"/>
  <c r="AH228" i="29"/>
  <c r="AI228" i="29"/>
  <c r="AJ228" i="29"/>
  <c r="AK228" i="29"/>
  <c r="AL228" i="29"/>
  <c r="AM228" i="29"/>
  <c r="AN228" i="29"/>
  <c r="AE229" i="29"/>
  <c r="AF229" i="29"/>
  <c r="AG229" i="29"/>
  <c r="AH229" i="29"/>
  <c r="AI229" i="29"/>
  <c r="AJ229" i="29"/>
  <c r="AK229" i="29"/>
  <c r="AL229" i="29"/>
  <c r="AM229" i="29"/>
  <c r="AN229" i="29"/>
  <c r="AE230" i="29"/>
  <c r="AF230" i="29"/>
  <c r="AG230" i="29"/>
  <c r="AH230" i="29"/>
  <c r="AI230" i="29"/>
  <c r="AJ230" i="29"/>
  <c r="AK230" i="29"/>
  <c r="AL230" i="29"/>
  <c r="AM230" i="29"/>
  <c r="AN230" i="29"/>
  <c r="AE231" i="29"/>
  <c r="AF231" i="29"/>
  <c r="AG231" i="29"/>
  <c r="AH231" i="29"/>
  <c r="AI231" i="29"/>
  <c r="AJ231" i="29"/>
  <c r="AK231" i="29"/>
  <c r="AL231" i="29"/>
  <c r="AM231" i="29"/>
  <c r="AN231" i="29"/>
  <c r="AE232" i="29"/>
  <c r="AF232" i="29"/>
  <c r="AG232" i="29"/>
  <c r="AH232" i="29"/>
  <c r="AI232" i="29"/>
  <c r="AJ232" i="29"/>
  <c r="AK232" i="29"/>
  <c r="AL232" i="29"/>
  <c r="AM232" i="29"/>
  <c r="AN232" i="29"/>
  <c r="AE233" i="29"/>
  <c r="AF233" i="29"/>
  <c r="AG233" i="29"/>
  <c r="AH233" i="29"/>
  <c r="AI233" i="29"/>
  <c r="AJ233" i="29"/>
  <c r="AK233" i="29"/>
  <c r="AL233" i="29"/>
  <c r="AM233" i="29"/>
  <c r="AN233" i="29"/>
  <c r="AE234" i="29"/>
  <c r="AF234" i="29"/>
  <c r="AG234" i="29"/>
  <c r="AH234" i="29"/>
  <c r="AI234" i="29"/>
  <c r="AJ234" i="29"/>
  <c r="AK234" i="29"/>
  <c r="AL234" i="29"/>
  <c r="AM234" i="29"/>
  <c r="AN234" i="29"/>
  <c r="AE235" i="29"/>
  <c r="AF235" i="29"/>
  <c r="AG235" i="29"/>
  <c r="AH235" i="29"/>
  <c r="AI235" i="29"/>
  <c r="AJ235" i="29"/>
  <c r="AK235" i="29"/>
  <c r="AL235" i="29"/>
  <c r="AM235" i="29"/>
  <c r="AN235" i="29"/>
  <c r="AE236" i="29"/>
  <c r="AF236" i="29"/>
  <c r="AG236" i="29"/>
  <c r="AH236" i="29"/>
  <c r="AI236" i="29"/>
  <c r="AJ236" i="29"/>
  <c r="AK236" i="29"/>
  <c r="AL236" i="29"/>
  <c r="AM236" i="29"/>
  <c r="AN236" i="29"/>
  <c r="AE237" i="29"/>
  <c r="AF237" i="29"/>
  <c r="AG237" i="29"/>
  <c r="AH237" i="29"/>
  <c r="AI237" i="29"/>
  <c r="AJ237" i="29"/>
  <c r="AK237" i="29"/>
  <c r="AL237" i="29"/>
  <c r="AM237" i="29"/>
  <c r="AN237" i="29"/>
  <c r="AE238" i="29"/>
  <c r="AF238" i="29"/>
  <c r="AG238" i="29"/>
  <c r="AH238" i="29"/>
  <c r="AI238" i="29"/>
  <c r="AJ238" i="29"/>
  <c r="AK238" i="29"/>
  <c r="AL238" i="29"/>
  <c r="AM238" i="29"/>
  <c r="AN238" i="29"/>
  <c r="AE239" i="29"/>
  <c r="AF239" i="29"/>
  <c r="AG239" i="29"/>
  <c r="AH239" i="29"/>
  <c r="AI239" i="29"/>
  <c r="AJ239" i="29"/>
  <c r="AK239" i="29"/>
  <c r="AL239" i="29"/>
  <c r="AM239" i="29"/>
  <c r="AN239" i="29"/>
  <c r="AE240" i="29"/>
  <c r="AF240" i="29"/>
  <c r="AG240" i="29"/>
  <c r="AH240" i="29"/>
  <c r="AI240" i="29"/>
  <c r="AJ240" i="29"/>
  <c r="AK240" i="29"/>
  <c r="AL240" i="29"/>
  <c r="AM240" i="29"/>
  <c r="AN240" i="29"/>
  <c r="AE241" i="29"/>
  <c r="AF241" i="29"/>
  <c r="AG241" i="29"/>
  <c r="AH241" i="29"/>
  <c r="AI241" i="29"/>
  <c r="AJ241" i="29"/>
  <c r="AK241" i="29"/>
  <c r="AL241" i="29"/>
  <c r="AM241" i="29"/>
  <c r="AN241" i="29"/>
  <c r="AE242" i="29"/>
  <c r="AF242" i="29"/>
  <c r="AG242" i="29"/>
  <c r="AH242" i="29"/>
  <c r="AI242" i="29"/>
  <c r="AJ242" i="29"/>
  <c r="AK242" i="29"/>
  <c r="AL242" i="29"/>
  <c r="AM242" i="29"/>
  <c r="AN242" i="29"/>
  <c r="AE243" i="29"/>
  <c r="AF243" i="29"/>
  <c r="AG243" i="29"/>
  <c r="AH243" i="29"/>
  <c r="AI243" i="29"/>
  <c r="AJ243" i="29"/>
  <c r="AK243" i="29"/>
  <c r="AL243" i="29"/>
  <c r="AM243" i="29"/>
  <c r="AN243" i="29"/>
  <c r="AE244" i="29"/>
  <c r="AF244" i="29"/>
  <c r="AG244" i="29"/>
  <c r="AH244" i="29"/>
  <c r="AI244" i="29"/>
  <c r="AJ244" i="29"/>
  <c r="AK244" i="29"/>
  <c r="AL244" i="29"/>
  <c r="AM244" i="29"/>
  <c r="AN244" i="29"/>
  <c r="AE245" i="29"/>
  <c r="AF245" i="29"/>
  <c r="AG245" i="29"/>
  <c r="AH245" i="29"/>
  <c r="AI245" i="29"/>
  <c r="AJ245" i="29"/>
  <c r="AK245" i="29"/>
  <c r="AL245" i="29"/>
  <c r="AM245" i="29"/>
  <c r="AN245" i="29"/>
  <c r="AE246" i="29"/>
  <c r="AF246" i="29"/>
  <c r="AG246" i="29"/>
  <c r="AH246" i="29"/>
  <c r="AI246" i="29"/>
  <c r="AJ246" i="29"/>
  <c r="AK246" i="29"/>
  <c r="AL246" i="29"/>
  <c r="AM246" i="29"/>
  <c r="AN246" i="29"/>
  <c r="AE247" i="29"/>
  <c r="AF247" i="29"/>
  <c r="AG247" i="29"/>
  <c r="AH247" i="29"/>
  <c r="AI247" i="29"/>
  <c r="AJ247" i="29"/>
  <c r="AK247" i="29"/>
  <c r="AL247" i="29"/>
  <c r="AM247" i="29"/>
  <c r="AN247" i="29"/>
  <c r="AE248" i="29"/>
  <c r="AF248" i="29"/>
  <c r="AG248" i="29"/>
  <c r="AH248" i="29"/>
  <c r="AI248" i="29"/>
  <c r="AJ248" i="29"/>
  <c r="AK248" i="29"/>
  <c r="AL248" i="29"/>
  <c r="AM248" i="29"/>
  <c r="AN248" i="29"/>
  <c r="AE249" i="29"/>
  <c r="AF249" i="29"/>
  <c r="AG249" i="29"/>
  <c r="AH249" i="29"/>
  <c r="AI249" i="29"/>
  <c r="AJ249" i="29"/>
  <c r="AK249" i="29"/>
  <c r="AL249" i="29"/>
  <c r="AM249" i="29"/>
  <c r="AN249" i="29"/>
  <c r="AE250" i="29"/>
  <c r="AF250" i="29"/>
  <c r="AG250" i="29"/>
  <c r="AH250" i="29"/>
  <c r="AI250" i="29"/>
  <c r="AJ250" i="29"/>
  <c r="AK250" i="29"/>
  <c r="AL250" i="29"/>
  <c r="AM250" i="29"/>
  <c r="AN250" i="29"/>
  <c r="AE251" i="29"/>
  <c r="AF251" i="29"/>
  <c r="AG251" i="29"/>
  <c r="AH251" i="29"/>
  <c r="AI251" i="29"/>
  <c r="AJ251" i="29"/>
  <c r="AK251" i="29"/>
  <c r="AL251" i="29"/>
  <c r="AM251" i="29"/>
  <c r="AN251" i="29"/>
  <c r="AE252" i="29"/>
  <c r="AF252" i="29"/>
  <c r="AG252" i="29"/>
  <c r="AH252" i="29"/>
  <c r="AI252" i="29"/>
  <c r="AJ252" i="29"/>
  <c r="AK252" i="29"/>
  <c r="AL252" i="29"/>
  <c r="AM252" i="29"/>
  <c r="AN252" i="29"/>
  <c r="AE253" i="29"/>
  <c r="AF253" i="29"/>
  <c r="AG253" i="29"/>
  <c r="AH253" i="29"/>
  <c r="AI253" i="29"/>
  <c r="AJ253" i="29"/>
  <c r="AK253" i="29"/>
  <c r="AL253" i="29"/>
  <c r="AM253" i="29"/>
  <c r="AN253" i="29"/>
  <c r="AE254" i="29"/>
  <c r="AF254" i="29"/>
  <c r="AG254" i="29"/>
  <c r="AH254" i="29"/>
  <c r="AI254" i="29"/>
  <c r="AJ254" i="29"/>
  <c r="AK254" i="29"/>
  <c r="AL254" i="29"/>
  <c r="AM254" i="29"/>
  <c r="AN254" i="29"/>
  <c r="AE255" i="29"/>
  <c r="AF255" i="29"/>
  <c r="AG255" i="29"/>
  <c r="AH255" i="29"/>
  <c r="AI255" i="29"/>
  <c r="AJ255" i="29"/>
  <c r="AK255" i="29"/>
  <c r="AL255" i="29"/>
  <c r="AM255" i="29"/>
  <c r="AN255" i="29"/>
  <c r="AE256" i="29"/>
  <c r="AF256" i="29"/>
  <c r="AG256" i="29"/>
  <c r="AH256" i="29"/>
  <c r="AI256" i="29"/>
  <c r="AJ256" i="29"/>
  <c r="AK256" i="29"/>
  <c r="AL256" i="29"/>
  <c r="AM256" i="29"/>
  <c r="AN256" i="29"/>
  <c r="AE257" i="29"/>
  <c r="AF257" i="29"/>
  <c r="AG257" i="29"/>
  <c r="AH257" i="29"/>
  <c r="AI257" i="29"/>
  <c r="AJ257" i="29"/>
  <c r="AK257" i="29"/>
  <c r="AL257" i="29"/>
  <c r="AM257" i="29"/>
  <c r="AN257" i="29"/>
  <c r="AE258" i="29"/>
  <c r="AF258" i="29"/>
  <c r="AG258" i="29"/>
  <c r="AH258" i="29"/>
  <c r="AI258" i="29"/>
  <c r="AJ258" i="29"/>
  <c r="AK258" i="29"/>
  <c r="AL258" i="29"/>
  <c r="AM258" i="29"/>
  <c r="AN258" i="29"/>
  <c r="AE259" i="29"/>
  <c r="AF259" i="29"/>
  <c r="AG259" i="29"/>
  <c r="AH259" i="29"/>
  <c r="AI259" i="29"/>
  <c r="AJ259" i="29"/>
  <c r="AK259" i="29"/>
  <c r="AL259" i="29"/>
  <c r="AM259" i="29"/>
  <c r="AN259" i="29"/>
  <c r="AE260" i="29"/>
  <c r="AF260" i="29"/>
  <c r="AG260" i="29"/>
  <c r="AH260" i="29"/>
  <c r="AI260" i="29"/>
  <c r="AJ260" i="29"/>
  <c r="AK260" i="29"/>
  <c r="AL260" i="29"/>
  <c r="AM260" i="29"/>
  <c r="AN260" i="29"/>
  <c r="AE261" i="29"/>
  <c r="AF261" i="29"/>
  <c r="AG261" i="29"/>
  <c r="AH261" i="29"/>
  <c r="AI261" i="29"/>
  <c r="AJ261" i="29"/>
  <c r="AK261" i="29"/>
  <c r="AL261" i="29"/>
  <c r="AM261" i="29"/>
  <c r="AN261" i="29"/>
  <c r="AE262" i="29"/>
  <c r="AF262" i="29"/>
  <c r="AG262" i="29"/>
  <c r="AH262" i="29"/>
  <c r="AI262" i="29"/>
  <c r="AJ262" i="29"/>
  <c r="AK262" i="29"/>
  <c r="AL262" i="29"/>
  <c r="AM262" i="29"/>
  <c r="AN262" i="29"/>
  <c r="AE263" i="29"/>
  <c r="AF263" i="29"/>
  <c r="AG263" i="29"/>
  <c r="AH263" i="29"/>
  <c r="AI263" i="29"/>
  <c r="AJ263" i="29"/>
  <c r="AK263" i="29"/>
  <c r="AL263" i="29"/>
  <c r="AM263" i="29"/>
  <c r="AN263" i="29"/>
  <c r="AE264" i="29"/>
  <c r="AF264" i="29"/>
  <c r="AG264" i="29"/>
  <c r="AH264" i="29"/>
  <c r="AI264" i="29"/>
  <c r="AJ264" i="29"/>
  <c r="AK264" i="29"/>
  <c r="AL264" i="29"/>
  <c r="AM264" i="29"/>
  <c r="AN264" i="29"/>
  <c r="AE265" i="29"/>
  <c r="AF265" i="29"/>
  <c r="AG265" i="29"/>
  <c r="AH265" i="29"/>
  <c r="AI265" i="29"/>
  <c r="AJ265" i="29"/>
  <c r="AK265" i="29"/>
  <c r="AL265" i="29"/>
  <c r="AM265" i="29"/>
  <c r="AN265" i="29"/>
  <c r="AE266" i="29"/>
  <c r="AF266" i="29"/>
  <c r="AG266" i="29"/>
  <c r="AH266" i="29"/>
  <c r="AI266" i="29"/>
  <c r="AJ266" i="29"/>
  <c r="AK266" i="29"/>
  <c r="AL266" i="29"/>
  <c r="AM266" i="29"/>
  <c r="AN266" i="29"/>
  <c r="AE267" i="29"/>
  <c r="AF267" i="29"/>
  <c r="AG267" i="29"/>
  <c r="AH267" i="29"/>
  <c r="AI267" i="29"/>
  <c r="AJ267" i="29"/>
  <c r="AK267" i="29"/>
  <c r="AL267" i="29"/>
  <c r="AM267" i="29"/>
  <c r="AN267" i="29"/>
  <c r="AE268" i="29"/>
  <c r="AF268" i="29"/>
  <c r="AG268" i="29"/>
  <c r="AH268" i="29"/>
  <c r="AI268" i="29"/>
  <c r="AJ268" i="29"/>
  <c r="AK268" i="29"/>
  <c r="AL268" i="29"/>
  <c r="AM268" i="29"/>
  <c r="AN268" i="29"/>
  <c r="AE269" i="29"/>
  <c r="AF269" i="29"/>
  <c r="AG269" i="29"/>
  <c r="AH269" i="29"/>
  <c r="AI269" i="29"/>
  <c r="AJ269" i="29"/>
  <c r="AK269" i="29"/>
  <c r="AL269" i="29"/>
  <c r="AM269" i="29"/>
  <c r="AN269" i="29"/>
  <c r="AE270" i="29"/>
  <c r="AF270" i="29"/>
  <c r="AG270" i="29"/>
  <c r="AH270" i="29"/>
  <c r="AI270" i="29"/>
  <c r="AJ270" i="29"/>
  <c r="AK270" i="29"/>
  <c r="AL270" i="29"/>
  <c r="AM270" i="29"/>
  <c r="AN270" i="29"/>
  <c r="AE271" i="29"/>
  <c r="AF271" i="29"/>
  <c r="AG271" i="29"/>
  <c r="AH271" i="29"/>
  <c r="AI271" i="29"/>
  <c r="AJ271" i="29"/>
  <c r="AK271" i="29"/>
  <c r="AL271" i="29"/>
  <c r="AM271" i="29"/>
  <c r="AN271" i="29"/>
  <c r="AE272" i="29"/>
  <c r="AF272" i="29"/>
  <c r="AG272" i="29"/>
  <c r="AH272" i="29"/>
  <c r="AI272" i="29"/>
  <c r="AJ272" i="29"/>
  <c r="AK272" i="29"/>
  <c r="AL272" i="29"/>
  <c r="AM272" i="29"/>
  <c r="AN272" i="29"/>
  <c r="AE273" i="29"/>
  <c r="AF273" i="29"/>
  <c r="AG273" i="29"/>
  <c r="AH273" i="29"/>
  <c r="AI273" i="29"/>
  <c r="AJ273" i="29"/>
  <c r="AK273" i="29"/>
  <c r="AL273" i="29"/>
  <c r="AM273" i="29"/>
  <c r="AN273" i="29"/>
  <c r="AE274" i="29"/>
  <c r="AF274" i="29"/>
  <c r="AG274" i="29"/>
  <c r="AH274" i="29"/>
  <c r="AI274" i="29"/>
  <c r="AJ274" i="29"/>
  <c r="AK274" i="29"/>
  <c r="AL274" i="29"/>
  <c r="AM274" i="29"/>
  <c r="AN274" i="29"/>
  <c r="AE275" i="29"/>
  <c r="AF275" i="29"/>
  <c r="AG275" i="29"/>
  <c r="AH275" i="29"/>
  <c r="AI275" i="29"/>
  <c r="AJ275" i="29"/>
  <c r="AK275" i="29"/>
  <c r="AL275" i="29"/>
  <c r="AM275" i="29"/>
  <c r="AN275" i="29"/>
  <c r="AE276" i="29"/>
  <c r="AF276" i="29"/>
  <c r="AG276" i="29"/>
  <c r="AH276" i="29"/>
  <c r="AI276" i="29"/>
  <c r="AJ276" i="29"/>
  <c r="AK276" i="29"/>
  <c r="AL276" i="29"/>
  <c r="AM276" i="29"/>
  <c r="AN276" i="29"/>
  <c r="AE277" i="29"/>
  <c r="AF277" i="29"/>
  <c r="AG277" i="29"/>
  <c r="AH277" i="29"/>
  <c r="AI277" i="29"/>
  <c r="AJ277" i="29"/>
  <c r="AK277" i="29"/>
  <c r="AL277" i="29"/>
  <c r="AM277" i="29"/>
  <c r="AN277" i="29"/>
  <c r="AE278" i="29"/>
  <c r="AF278" i="29"/>
  <c r="AG278" i="29"/>
  <c r="AH278" i="29"/>
  <c r="AI278" i="29"/>
  <c r="AJ278" i="29"/>
  <c r="AK278" i="29"/>
  <c r="AL278" i="29"/>
  <c r="AM278" i="29"/>
  <c r="AN278" i="29"/>
  <c r="AE279" i="29"/>
  <c r="AF279" i="29"/>
  <c r="AG279" i="29"/>
  <c r="AH279" i="29"/>
  <c r="AI279" i="29"/>
  <c r="AJ279" i="29"/>
  <c r="AK279" i="29"/>
  <c r="AL279" i="29"/>
  <c r="AM279" i="29"/>
  <c r="AN279" i="29"/>
  <c r="AE280" i="29"/>
  <c r="AF280" i="29"/>
  <c r="AG280" i="29"/>
  <c r="AH280" i="29"/>
  <c r="AI280" i="29"/>
  <c r="AJ280" i="29"/>
  <c r="AK280" i="29"/>
  <c r="AL280" i="29"/>
  <c r="AM280" i="29"/>
  <c r="AN280" i="29"/>
  <c r="AE281" i="29"/>
  <c r="AF281" i="29"/>
  <c r="AG281" i="29"/>
  <c r="AH281" i="29"/>
  <c r="AI281" i="29"/>
  <c r="AJ281" i="29"/>
  <c r="AK281" i="29"/>
  <c r="AL281" i="29"/>
  <c r="AM281" i="29"/>
  <c r="AN281" i="29"/>
  <c r="AE282" i="29"/>
  <c r="AF282" i="29"/>
  <c r="AG282" i="29"/>
  <c r="AH282" i="29"/>
  <c r="AI282" i="29"/>
  <c r="AJ282" i="29"/>
  <c r="AK282" i="29"/>
  <c r="AL282" i="29"/>
  <c r="AM282" i="29"/>
  <c r="AN282" i="29"/>
  <c r="AE283" i="29"/>
  <c r="AF283" i="29"/>
  <c r="AG283" i="29"/>
  <c r="AH283" i="29"/>
  <c r="AI283" i="29"/>
  <c r="AJ283" i="29"/>
  <c r="AK283" i="29"/>
  <c r="AL283" i="29"/>
  <c r="AM283" i="29"/>
  <c r="AN283" i="29"/>
  <c r="AE284" i="29"/>
  <c r="AF284" i="29"/>
  <c r="AG284" i="29"/>
  <c r="AH284" i="29"/>
  <c r="AI284" i="29"/>
  <c r="AJ284" i="29"/>
  <c r="AK284" i="29"/>
  <c r="AL284" i="29"/>
  <c r="AM284" i="29"/>
  <c r="AN284" i="29"/>
  <c r="AE285" i="29"/>
  <c r="AF285" i="29"/>
  <c r="AG285" i="29"/>
  <c r="AH285" i="29"/>
  <c r="AI285" i="29"/>
  <c r="AJ285" i="29"/>
  <c r="AK285" i="29"/>
  <c r="AL285" i="29"/>
  <c r="AM285" i="29"/>
  <c r="AN285" i="29"/>
  <c r="AE286" i="29"/>
  <c r="AF286" i="29"/>
  <c r="AG286" i="29"/>
  <c r="AH286" i="29"/>
  <c r="AI286" i="29"/>
  <c r="AJ286" i="29"/>
  <c r="AK286" i="29"/>
  <c r="AL286" i="29"/>
  <c r="AM286" i="29"/>
  <c r="AN286" i="29"/>
  <c r="AE287" i="29"/>
  <c r="AF287" i="29"/>
  <c r="AG287" i="29"/>
  <c r="AH287" i="29"/>
  <c r="AI287" i="29"/>
  <c r="AJ287" i="29"/>
  <c r="AK287" i="29"/>
  <c r="AL287" i="29"/>
  <c r="AM287" i="29"/>
  <c r="AN287" i="29"/>
  <c r="AE288" i="29"/>
  <c r="AF288" i="29"/>
  <c r="AG288" i="29"/>
  <c r="AH288" i="29"/>
  <c r="AI288" i="29"/>
  <c r="AJ288" i="29"/>
  <c r="AK288" i="29"/>
  <c r="AL288" i="29"/>
  <c r="AM288" i="29"/>
  <c r="AN288" i="29"/>
  <c r="AE289" i="29"/>
  <c r="AF289" i="29"/>
  <c r="AG289" i="29"/>
  <c r="AH289" i="29"/>
  <c r="AI289" i="29"/>
  <c r="AJ289" i="29"/>
  <c r="AK289" i="29"/>
  <c r="AL289" i="29"/>
  <c r="AM289" i="29"/>
  <c r="AN289" i="29"/>
  <c r="AE290" i="29"/>
  <c r="AF290" i="29"/>
  <c r="AG290" i="29"/>
  <c r="AH290" i="29"/>
  <c r="AI290" i="29"/>
  <c r="AJ290" i="29"/>
  <c r="AK290" i="29"/>
  <c r="AL290" i="29"/>
  <c r="AM290" i="29"/>
  <c r="AN290" i="29"/>
  <c r="AE291" i="29"/>
  <c r="AF291" i="29"/>
  <c r="AG291" i="29"/>
  <c r="AH291" i="29"/>
  <c r="AI291" i="29"/>
  <c r="AJ291" i="29"/>
  <c r="AK291" i="29"/>
  <c r="AL291" i="29"/>
  <c r="AM291" i="29"/>
  <c r="AN291" i="29"/>
  <c r="AE292" i="29"/>
  <c r="AF292" i="29"/>
  <c r="AG292" i="29"/>
  <c r="AH292" i="29"/>
  <c r="AI292" i="29"/>
  <c r="AJ292" i="29"/>
  <c r="AK292" i="29"/>
  <c r="AL292" i="29"/>
  <c r="AM292" i="29"/>
  <c r="AN292" i="29"/>
  <c r="AE293" i="29"/>
  <c r="AF293" i="29"/>
  <c r="AG293" i="29"/>
  <c r="AH293" i="29"/>
  <c r="AI293" i="29"/>
  <c r="AJ293" i="29"/>
  <c r="AK293" i="29"/>
  <c r="AL293" i="29"/>
  <c r="AM293" i="29"/>
  <c r="AN293" i="29"/>
  <c r="AE294" i="29"/>
  <c r="AF294" i="29"/>
  <c r="AG294" i="29"/>
  <c r="AH294" i="29"/>
  <c r="AI294" i="29"/>
  <c r="AJ294" i="29"/>
  <c r="AK294" i="29"/>
  <c r="AL294" i="29"/>
  <c r="AM294" i="29"/>
  <c r="AN294" i="29"/>
  <c r="AE295" i="29"/>
  <c r="AF295" i="29"/>
  <c r="AG295" i="29"/>
  <c r="AH295" i="29"/>
  <c r="AI295" i="29"/>
  <c r="AJ295" i="29"/>
  <c r="AK295" i="29"/>
  <c r="AL295" i="29"/>
  <c r="AM295" i="29"/>
  <c r="AN295" i="29"/>
  <c r="AE296" i="29"/>
  <c r="AF296" i="29"/>
  <c r="AG296" i="29"/>
  <c r="AH296" i="29"/>
  <c r="AI296" i="29"/>
  <c r="AJ296" i="29"/>
  <c r="AK296" i="29"/>
  <c r="AL296" i="29"/>
  <c r="AM296" i="29"/>
  <c r="AN296" i="29"/>
  <c r="AE297" i="29"/>
  <c r="AF297" i="29"/>
  <c r="AG297" i="29"/>
  <c r="AH297" i="29"/>
  <c r="AI297" i="29"/>
  <c r="AJ297" i="29"/>
  <c r="AK297" i="29"/>
  <c r="AL297" i="29"/>
  <c r="AM297" i="29"/>
  <c r="AN297" i="29"/>
  <c r="AE298" i="29"/>
  <c r="AF298" i="29"/>
  <c r="AG298" i="29"/>
  <c r="AH298" i="29"/>
  <c r="AI298" i="29"/>
  <c r="AJ298" i="29"/>
  <c r="AK298" i="29"/>
  <c r="AL298" i="29"/>
  <c r="AM298" i="29"/>
  <c r="AN298" i="29"/>
  <c r="AE299" i="29"/>
  <c r="AF299" i="29"/>
  <c r="AG299" i="29"/>
  <c r="AH299" i="29"/>
  <c r="AI299" i="29"/>
  <c r="AJ299" i="29"/>
  <c r="AK299" i="29"/>
  <c r="AL299" i="29"/>
  <c r="AM299" i="29"/>
  <c r="AN299" i="29"/>
  <c r="AE300" i="29"/>
  <c r="AF300" i="29"/>
  <c r="AG300" i="29"/>
  <c r="AH300" i="29"/>
  <c r="AI300" i="29"/>
  <c r="AJ300" i="29"/>
  <c r="AK300" i="29"/>
  <c r="AL300" i="29"/>
  <c r="AM300" i="29"/>
  <c r="AN300" i="29"/>
  <c r="AE301" i="29"/>
  <c r="AF301" i="29"/>
  <c r="AG301" i="29"/>
  <c r="AH301" i="29"/>
  <c r="AI301" i="29"/>
  <c r="AJ301" i="29"/>
  <c r="AK301" i="29"/>
  <c r="AL301" i="29"/>
  <c r="AM301" i="29"/>
  <c r="AN301" i="29"/>
  <c r="AE302" i="29"/>
  <c r="AF302" i="29"/>
  <c r="AG302" i="29"/>
  <c r="AH302" i="29"/>
  <c r="AI302" i="29"/>
  <c r="AJ302" i="29"/>
  <c r="AK302" i="29"/>
  <c r="AL302" i="29"/>
  <c r="AM302" i="29"/>
  <c r="AN302" i="29"/>
  <c r="AE303" i="29"/>
  <c r="AF303" i="29"/>
  <c r="AG303" i="29"/>
  <c r="AH303" i="29"/>
  <c r="AI303" i="29"/>
  <c r="AJ303" i="29"/>
  <c r="AK303" i="29"/>
  <c r="AL303" i="29"/>
  <c r="AM303" i="29"/>
  <c r="AN303" i="29"/>
  <c r="AE304" i="29"/>
  <c r="AF304" i="29"/>
  <c r="AG304" i="29"/>
  <c r="AH304" i="29"/>
  <c r="AI304" i="29"/>
  <c r="AJ304" i="29"/>
  <c r="AK304" i="29"/>
  <c r="AL304" i="29"/>
  <c r="AM304" i="29"/>
  <c r="AN304" i="29"/>
  <c r="AE305" i="29"/>
  <c r="AF305" i="29"/>
  <c r="AG305" i="29"/>
  <c r="AH305" i="29"/>
  <c r="AI305" i="29"/>
  <c r="AJ305" i="29"/>
  <c r="AK305" i="29"/>
  <c r="AL305" i="29"/>
  <c r="AM305" i="29"/>
  <c r="AN305" i="29"/>
  <c r="AE306" i="29"/>
  <c r="AF306" i="29"/>
  <c r="AG306" i="29"/>
  <c r="AH306" i="29"/>
  <c r="AI306" i="29"/>
  <c r="AJ306" i="29"/>
  <c r="AK306" i="29"/>
  <c r="AL306" i="29"/>
  <c r="AM306" i="29"/>
  <c r="AN306" i="29"/>
  <c r="AE307" i="29"/>
  <c r="AF307" i="29"/>
  <c r="AG307" i="29"/>
  <c r="AH307" i="29"/>
  <c r="AI307" i="29"/>
  <c r="AJ307" i="29"/>
  <c r="AK307" i="29"/>
  <c r="AL307" i="29"/>
  <c r="AM307" i="29"/>
  <c r="AN307" i="29"/>
  <c r="AE308" i="29"/>
  <c r="AF308" i="29"/>
  <c r="AG308" i="29"/>
  <c r="AH308" i="29"/>
  <c r="AI308" i="29"/>
  <c r="AJ308" i="29"/>
  <c r="AK308" i="29"/>
  <c r="AL308" i="29"/>
  <c r="AM308" i="29"/>
  <c r="AN308" i="29"/>
  <c r="AE309" i="29"/>
  <c r="AF309" i="29"/>
  <c r="AG309" i="29"/>
  <c r="AH309" i="29"/>
  <c r="AI309" i="29"/>
  <c r="AJ309" i="29"/>
  <c r="AK309" i="29"/>
  <c r="AL309" i="29"/>
  <c r="AM309" i="29"/>
  <c r="AN309" i="29"/>
  <c r="AE310" i="29"/>
  <c r="AF310" i="29"/>
  <c r="AG310" i="29"/>
  <c r="AH310" i="29"/>
  <c r="AI310" i="29"/>
  <c r="AJ310" i="29"/>
  <c r="AK310" i="29"/>
  <c r="AL310" i="29"/>
  <c r="AM310" i="29"/>
  <c r="AN310" i="29"/>
  <c r="AE311" i="29"/>
  <c r="AF311" i="29"/>
  <c r="AG311" i="29"/>
  <c r="AH311" i="29"/>
  <c r="AI311" i="29"/>
  <c r="AJ311" i="29"/>
  <c r="AK311" i="29"/>
  <c r="AL311" i="29"/>
  <c r="AM311" i="29"/>
  <c r="AN311" i="29"/>
  <c r="AE312" i="29"/>
  <c r="AF312" i="29"/>
  <c r="AG312" i="29"/>
  <c r="AH312" i="29"/>
  <c r="AI312" i="29"/>
  <c r="AJ312" i="29"/>
  <c r="AK312" i="29"/>
  <c r="AL312" i="29"/>
  <c r="AM312" i="29"/>
  <c r="AN312" i="29"/>
  <c r="AE313" i="29"/>
  <c r="AF313" i="29"/>
  <c r="AG313" i="29"/>
  <c r="AH313" i="29"/>
  <c r="AI313" i="29"/>
  <c r="AJ313" i="29"/>
  <c r="AK313" i="29"/>
  <c r="AL313" i="29"/>
  <c r="AM313" i="29"/>
  <c r="AN313" i="29"/>
  <c r="AE314" i="29"/>
  <c r="AF314" i="29"/>
  <c r="AG314" i="29"/>
  <c r="AH314" i="29"/>
  <c r="AI314" i="29"/>
  <c r="AJ314" i="29"/>
  <c r="AK314" i="29"/>
  <c r="AL314" i="29"/>
  <c r="AM314" i="29"/>
  <c r="AN314" i="29"/>
  <c r="AE315" i="29"/>
  <c r="AF315" i="29"/>
  <c r="AG315" i="29"/>
  <c r="AH315" i="29"/>
  <c r="AI315" i="29"/>
  <c r="AJ315" i="29"/>
  <c r="AK315" i="29"/>
  <c r="AL315" i="29"/>
  <c r="AM315" i="29"/>
  <c r="AN315" i="29"/>
  <c r="AE316" i="29"/>
  <c r="AF316" i="29"/>
  <c r="AG316" i="29"/>
  <c r="AH316" i="29"/>
  <c r="AI316" i="29"/>
  <c r="AJ316" i="29"/>
  <c r="AK316" i="29"/>
  <c r="AL316" i="29"/>
  <c r="AM316" i="29"/>
  <c r="AN316" i="29"/>
  <c r="AE317" i="29"/>
  <c r="AF317" i="29"/>
  <c r="AG317" i="29"/>
  <c r="AH317" i="29"/>
  <c r="AI317" i="29"/>
  <c r="AJ317" i="29"/>
  <c r="AK317" i="29"/>
  <c r="AL317" i="29"/>
  <c r="AM317" i="29"/>
  <c r="AN317" i="29"/>
  <c r="AE318" i="29"/>
  <c r="AF318" i="29"/>
  <c r="AG318" i="29"/>
  <c r="AH318" i="29"/>
  <c r="AI318" i="29"/>
  <c r="AJ318" i="29"/>
  <c r="AK318" i="29"/>
  <c r="AL318" i="29"/>
  <c r="AM318" i="29"/>
  <c r="AN318" i="29"/>
  <c r="AE319" i="29"/>
  <c r="AF319" i="29"/>
  <c r="AG319" i="29"/>
  <c r="AH319" i="29"/>
  <c r="AI319" i="29"/>
  <c r="AJ319" i="29"/>
  <c r="AK319" i="29"/>
  <c r="AL319" i="29"/>
  <c r="AM319" i="29"/>
  <c r="AN319" i="29"/>
  <c r="AE320" i="29"/>
  <c r="AF320" i="29"/>
  <c r="AG320" i="29"/>
  <c r="AH320" i="29"/>
  <c r="AI320" i="29"/>
  <c r="AJ320" i="29"/>
  <c r="AK320" i="29"/>
  <c r="AL320" i="29"/>
  <c r="AM320" i="29"/>
  <c r="AN320" i="29"/>
  <c r="AE321" i="29"/>
  <c r="AF321" i="29"/>
  <c r="AG321" i="29"/>
  <c r="AH321" i="29"/>
  <c r="AI321" i="29"/>
  <c r="AJ321" i="29"/>
  <c r="AK321" i="29"/>
  <c r="AL321" i="29"/>
  <c r="AM321" i="29"/>
  <c r="AN321" i="29"/>
  <c r="AE322" i="29"/>
  <c r="AF322" i="29"/>
  <c r="AG322" i="29"/>
  <c r="AH322" i="29"/>
  <c r="AI322" i="29"/>
  <c r="AJ322" i="29"/>
  <c r="AK322" i="29"/>
  <c r="AL322" i="29"/>
  <c r="AM322" i="29"/>
  <c r="AN322" i="29"/>
  <c r="AE323" i="29"/>
  <c r="AF323" i="29"/>
  <c r="AG323" i="29"/>
  <c r="AH323" i="29"/>
  <c r="AI323" i="29"/>
  <c r="AJ323" i="29"/>
  <c r="AK323" i="29"/>
  <c r="AL323" i="29"/>
  <c r="AM323" i="29"/>
  <c r="AN323" i="29"/>
  <c r="AE324" i="29"/>
  <c r="AF324" i="29"/>
  <c r="AG324" i="29"/>
  <c r="AH324" i="29"/>
  <c r="AI324" i="29"/>
  <c r="AJ324" i="29"/>
  <c r="AK324" i="29"/>
  <c r="AL324" i="29"/>
  <c r="AM324" i="29"/>
  <c r="AN324" i="29"/>
  <c r="AE325" i="29"/>
  <c r="AF325" i="29"/>
  <c r="AG325" i="29"/>
  <c r="AH325" i="29"/>
  <c r="AI325" i="29"/>
  <c r="AJ325" i="29"/>
  <c r="AK325" i="29"/>
  <c r="AL325" i="29"/>
  <c r="AM325" i="29"/>
  <c r="AN325" i="29"/>
  <c r="AE326" i="29"/>
  <c r="AF326" i="29"/>
  <c r="AG326" i="29"/>
  <c r="AH326" i="29"/>
  <c r="AI326" i="29"/>
  <c r="AJ326" i="29"/>
  <c r="AK326" i="29"/>
  <c r="AL326" i="29"/>
  <c r="AM326" i="29"/>
  <c r="AN326" i="29"/>
  <c r="AE327" i="29"/>
  <c r="AF327" i="29"/>
  <c r="AG327" i="29"/>
  <c r="AH327" i="29"/>
  <c r="AI327" i="29"/>
  <c r="AJ327" i="29"/>
  <c r="AK327" i="29"/>
  <c r="AL327" i="29"/>
  <c r="AM327" i="29"/>
  <c r="AN327" i="29"/>
  <c r="AE328" i="29"/>
  <c r="AF328" i="29"/>
  <c r="AG328" i="29"/>
  <c r="AH328" i="29"/>
  <c r="AI328" i="29"/>
  <c r="AJ328" i="29"/>
  <c r="AK328" i="29"/>
  <c r="AL328" i="29"/>
  <c r="AM328" i="29"/>
  <c r="AN328" i="29"/>
  <c r="AE329" i="29"/>
  <c r="AF329" i="29"/>
  <c r="AG329" i="29"/>
  <c r="AH329" i="29"/>
  <c r="AI329" i="29"/>
  <c r="AJ329" i="29"/>
  <c r="AK329" i="29"/>
  <c r="AL329" i="29"/>
  <c r="AM329" i="29"/>
  <c r="AN329" i="29"/>
  <c r="AE330" i="29"/>
  <c r="AF330" i="29"/>
  <c r="AG330" i="29"/>
  <c r="AH330" i="29"/>
  <c r="AI330" i="29"/>
  <c r="AJ330" i="29"/>
  <c r="AK330" i="29"/>
  <c r="AL330" i="29"/>
  <c r="AM330" i="29"/>
  <c r="AN330" i="29"/>
  <c r="AE331" i="29"/>
  <c r="AF331" i="29"/>
  <c r="AG331" i="29"/>
  <c r="AH331" i="29"/>
  <c r="AI331" i="29"/>
  <c r="AJ331" i="29"/>
  <c r="AK331" i="29"/>
  <c r="AL331" i="29"/>
  <c r="AM331" i="29"/>
  <c r="AN331" i="29"/>
  <c r="AE332" i="29"/>
  <c r="AF332" i="29"/>
  <c r="AG332" i="29"/>
  <c r="AH332" i="29"/>
  <c r="AI332" i="29"/>
  <c r="AJ332" i="29"/>
  <c r="AK332" i="29"/>
  <c r="AL332" i="29"/>
  <c r="AM332" i="29"/>
  <c r="AN332" i="29"/>
  <c r="AE333" i="29"/>
  <c r="AF333" i="29"/>
  <c r="AG333" i="29"/>
  <c r="AH333" i="29"/>
  <c r="AI333" i="29"/>
  <c r="AJ333" i="29"/>
  <c r="AK333" i="29"/>
  <c r="AL333" i="29"/>
  <c r="AM333" i="29"/>
  <c r="AN333" i="29"/>
  <c r="AE334" i="29"/>
  <c r="AF334" i="29"/>
  <c r="AG334" i="29"/>
  <c r="AH334" i="29"/>
  <c r="AI334" i="29"/>
  <c r="AJ334" i="29"/>
  <c r="AK334" i="29"/>
  <c r="AL334" i="29"/>
  <c r="AM334" i="29"/>
  <c r="AN334" i="29"/>
  <c r="AE335" i="29"/>
  <c r="AF335" i="29"/>
  <c r="AG335" i="29"/>
  <c r="AH335" i="29"/>
  <c r="AI335" i="29"/>
  <c r="AJ335" i="29"/>
  <c r="AK335" i="29"/>
  <c r="AL335" i="29"/>
  <c r="AM335" i="29"/>
  <c r="AN335" i="29"/>
  <c r="AE336" i="29"/>
  <c r="AF336" i="29"/>
  <c r="AG336" i="29"/>
  <c r="AH336" i="29"/>
  <c r="AI336" i="29"/>
  <c r="AJ336" i="29"/>
  <c r="AK336" i="29"/>
  <c r="AL336" i="29"/>
  <c r="AM336" i="29"/>
  <c r="AN336" i="29"/>
  <c r="AE337" i="29"/>
  <c r="AF337" i="29"/>
  <c r="AG337" i="29"/>
  <c r="AH337" i="29"/>
  <c r="AI337" i="29"/>
  <c r="AJ337" i="29"/>
  <c r="AK337" i="29"/>
  <c r="AL337" i="29"/>
  <c r="AM337" i="29"/>
  <c r="AN337" i="29"/>
  <c r="AE338" i="29"/>
  <c r="AF338" i="29"/>
  <c r="AG338" i="29"/>
  <c r="AH338" i="29"/>
  <c r="AI338" i="29"/>
  <c r="AJ338" i="29"/>
  <c r="AK338" i="29"/>
  <c r="AL338" i="29"/>
  <c r="AM338" i="29"/>
  <c r="AN338" i="29"/>
  <c r="AE339" i="29"/>
  <c r="AF339" i="29"/>
  <c r="AG339" i="29"/>
  <c r="AH339" i="29"/>
  <c r="AI339" i="29"/>
  <c r="AJ339" i="29"/>
  <c r="AK339" i="29"/>
  <c r="AL339" i="29"/>
  <c r="AM339" i="29"/>
  <c r="AN339" i="29"/>
  <c r="AE340" i="29"/>
  <c r="AF340" i="29"/>
  <c r="AG340" i="29"/>
  <c r="AH340" i="29"/>
  <c r="AI340" i="29"/>
  <c r="AJ340" i="29"/>
  <c r="AK340" i="29"/>
  <c r="AL340" i="29"/>
  <c r="AM340" i="29"/>
  <c r="AN340" i="29"/>
  <c r="AE341" i="29"/>
  <c r="AF341" i="29"/>
  <c r="AG341" i="29"/>
  <c r="AH341" i="29"/>
  <c r="AI341" i="29"/>
  <c r="AJ341" i="29"/>
  <c r="AK341" i="29"/>
  <c r="AL341" i="29"/>
  <c r="AM341" i="29"/>
  <c r="AN341" i="29"/>
  <c r="AE342" i="29"/>
  <c r="AF342" i="29"/>
  <c r="AG342" i="29"/>
  <c r="AH342" i="29"/>
  <c r="AI342" i="29"/>
  <c r="AJ342" i="29"/>
  <c r="AK342" i="29"/>
  <c r="AL342" i="29"/>
  <c r="AM342" i="29"/>
  <c r="AN342" i="29"/>
  <c r="AE343" i="29"/>
  <c r="AF343" i="29"/>
  <c r="AG343" i="29"/>
  <c r="AH343" i="29"/>
  <c r="AI343" i="29"/>
  <c r="AJ343" i="29"/>
  <c r="AK343" i="29"/>
  <c r="AL343" i="29"/>
  <c r="AM343" i="29"/>
  <c r="AN343" i="29"/>
  <c r="AE344" i="29"/>
  <c r="AF344" i="29"/>
  <c r="AG344" i="29"/>
  <c r="AH344" i="29"/>
  <c r="AI344" i="29"/>
  <c r="AJ344" i="29"/>
  <c r="AK344" i="29"/>
  <c r="AL344" i="29"/>
  <c r="AM344" i="29"/>
  <c r="AN344" i="29"/>
  <c r="AE345" i="29"/>
  <c r="AF345" i="29"/>
  <c r="AG345" i="29"/>
  <c r="AH345" i="29"/>
  <c r="AI345" i="29"/>
  <c r="AJ345" i="29"/>
  <c r="AK345" i="29"/>
  <c r="AL345" i="29"/>
  <c r="AM345" i="29"/>
  <c r="AN345" i="29"/>
  <c r="AE346" i="29"/>
  <c r="AF346" i="29"/>
  <c r="AG346" i="29"/>
  <c r="AH346" i="29"/>
  <c r="AI346" i="29"/>
  <c r="AJ346" i="29"/>
  <c r="AK346" i="29"/>
  <c r="AL346" i="29"/>
  <c r="AM346" i="29"/>
  <c r="AN346" i="29"/>
  <c r="AE347" i="29"/>
  <c r="AF347" i="29"/>
  <c r="AG347" i="29"/>
  <c r="AH347" i="29"/>
  <c r="AI347" i="29"/>
  <c r="AJ347" i="29"/>
  <c r="AK347" i="29"/>
  <c r="AL347" i="29"/>
  <c r="AM347" i="29"/>
  <c r="AN347" i="29"/>
  <c r="AE348" i="29"/>
  <c r="AF348" i="29"/>
  <c r="AG348" i="29"/>
  <c r="AH348" i="29"/>
  <c r="AI348" i="29"/>
  <c r="AJ348" i="29"/>
  <c r="AK348" i="29"/>
  <c r="AL348" i="29"/>
  <c r="AM348" i="29"/>
  <c r="AN348" i="29"/>
  <c r="AE349" i="29"/>
  <c r="AF349" i="29"/>
  <c r="AG349" i="29"/>
  <c r="AH349" i="29"/>
  <c r="AI349" i="29"/>
  <c r="AJ349" i="29"/>
  <c r="AK349" i="29"/>
  <c r="AL349" i="29"/>
  <c r="AM349" i="29"/>
  <c r="AN349" i="29"/>
  <c r="AE350" i="29"/>
  <c r="AF350" i="29"/>
  <c r="AG350" i="29"/>
  <c r="AH350" i="29"/>
  <c r="AI350" i="29"/>
  <c r="AJ350" i="29"/>
  <c r="AK350" i="29"/>
  <c r="AL350" i="29"/>
  <c r="AM350" i="29"/>
  <c r="AN350" i="29"/>
  <c r="AE351" i="29"/>
  <c r="AF351" i="29"/>
  <c r="AG351" i="29"/>
  <c r="AH351" i="29"/>
  <c r="AI351" i="29"/>
  <c r="AJ351" i="29"/>
  <c r="AK351" i="29"/>
  <c r="AL351" i="29"/>
  <c r="AM351" i="29"/>
  <c r="AN351" i="29"/>
  <c r="AE352" i="29"/>
  <c r="AF352" i="29"/>
  <c r="AG352" i="29"/>
  <c r="AH352" i="29"/>
  <c r="AI352" i="29"/>
  <c r="AJ352" i="29"/>
  <c r="AK352" i="29"/>
  <c r="AL352" i="29"/>
  <c r="AM352" i="29"/>
  <c r="AN352" i="29"/>
  <c r="AE353" i="29"/>
  <c r="AF353" i="29"/>
  <c r="AG353" i="29"/>
  <c r="AH353" i="29"/>
  <c r="AI353" i="29"/>
  <c r="AJ353" i="29"/>
  <c r="AK353" i="29"/>
  <c r="AL353" i="29"/>
  <c r="AM353" i="29"/>
  <c r="AN353" i="29"/>
  <c r="AE354" i="29"/>
  <c r="AF354" i="29"/>
  <c r="AG354" i="29"/>
  <c r="AH354" i="29"/>
  <c r="AI354" i="29"/>
  <c r="AJ354" i="29"/>
  <c r="AK354" i="29"/>
  <c r="AL354" i="29"/>
  <c r="AM354" i="29"/>
  <c r="AN354" i="29"/>
  <c r="AE355" i="29"/>
  <c r="AF355" i="29"/>
  <c r="AG355" i="29"/>
  <c r="AH355" i="29"/>
  <c r="AI355" i="29"/>
  <c r="AJ355" i="29"/>
  <c r="AK355" i="29"/>
  <c r="AL355" i="29"/>
  <c r="AM355" i="29"/>
  <c r="AN355" i="29"/>
  <c r="AE356" i="29"/>
  <c r="AF356" i="29"/>
  <c r="AG356" i="29"/>
  <c r="AH356" i="29"/>
  <c r="AI356" i="29"/>
  <c r="AJ356" i="29"/>
  <c r="AK356" i="29"/>
  <c r="AL356" i="29"/>
  <c r="AM356" i="29"/>
  <c r="AN356" i="29"/>
  <c r="AE357" i="29"/>
  <c r="AF357" i="29"/>
  <c r="AG357" i="29"/>
  <c r="AH357" i="29"/>
  <c r="AI357" i="29"/>
  <c r="AJ357" i="29"/>
  <c r="AK357" i="29"/>
  <c r="AL357" i="29"/>
  <c r="AM357" i="29"/>
  <c r="AN357" i="29"/>
  <c r="AE358" i="29"/>
  <c r="AF358" i="29"/>
  <c r="AG358" i="29"/>
  <c r="AH358" i="29"/>
  <c r="AI358" i="29"/>
  <c r="AJ358" i="29"/>
  <c r="AK358" i="29"/>
  <c r="AL358" i="29"/>
  <c r="AM358" i="29"/>
  <c r="AN358" i="29"/>
  <c r="AE359" i="29"/>
  <c r="AF359" i="29"/>
  <c r="AG359" i="29"/>
  <c r="AH359" i="29"/>
  <c r="AI359" i="29"/>
  <c r="AJ359" i="29"/>
  <c r="AK359" i="29"/>
  <c r="AL359" i="29"/>
  <c r="AM359" i="29"/>
  <c r="AN359" i="29"/>
  <c r="AE360" i="29"/>
  <c r="AF360" i="29"/>
  <c r="AG360" i="29"/>
  <c r="AH360" i="29"/>
  <c r="AI360" i="29"/>
  <c r="AJ360" i="29"/>
  <c r="AK360" i="29"/>
  <c r="AL360" i="29"/>
  <c r="AM360" i="29"/>
  <c r="AN360" i="29"/>
  <c r="AE361" i="29"/>
  <c r="AF361" i="29"/>
  <c r="AG361" i="29"/>
  <c r="AH361" i="29"/>
  <c r="AI361" i="29"/>
  <c r="AJ361" i="29"/>
  <c r="AK361" i="29"/>
  <c r="AL361" i="29"/>
  <c r="AM361" i="29"/>
  <c r="AN361" i="29"/>
  <c r="AE362" i="29"/>
  <c r="AF362" i="29"/>
  <c r="AG362" i="29"/>
  <c r="AH362" i="29"/>
  <c r="AI362" i="29"/>
  <c r="AJ362" i="29"/>
  <c r="AK362" i="29"/>
  <c r="AL362" i="29"/>
  <c r="AM362" i="29"/>
  <c r="AN362" i="29"/>
  <c r="AE363" i="29"/>
  <c r="AF363" i="29"/>
  <c r="AG363" i="29"/>
  <c r="AH363" i="29"/>
  <c r="AI363" i="29"/>
  <c r="AJ363" i="29"/>
  <c r="AK363" i="29"/>
  <c r="AL363" i="29"/>
  <c r="AM363" i="29"/>
  <c r="AN363" i="29"/>
  <c r="AE364" i="29"/>
  <c r="AF364" i="29"/>
  <c r="AG364" i="29"/>
  <c r="AH364" i="29"/>
  <c r="AI364" i="29"/>
  <c r="AJ364" i="29"/>
  <c r="AK364" i="29"/>
  <c r="AL364" i="29"/>
  <c r="AM364" i="29"/>
  <c r="AN364" i="29"/>
  <c r="AE365" i="29"/>
  <c r="AF365" i="29"/>
  <c r="AG365" i="29"/>
  <c r="AH365" i="29"/>
  <c r="AI365" i="29"/>
  <c r="AJ365" i="29"/>
  <c r="AK365" i="29"/>
  <c r="AL365" i="29"/>
  <c r="AM365" i="29"/>
  <c r="AN365" i="29"/>
  <c r="AE366" i="29"/>
  <c r="AF366" i="29"/>
  <c r="AG366" i="29"/>
  <c r="AH366" i="29"/>
  <c r="AI366" i="29"/>
  <c r="AJ366" i="29"/>
  <c r="AK366" i="29"/>
  <c r="AL366" i="29"/>
  <c r="AM366" i="29"/>
  <c r="AN366" i="29"/>
  <c r="AE367" i="29"/>
  <c r="AF367" i="29"/>
  <c r="AG367" i="29"/>
  <c r="AH367" i="29"/>
  <c r="AI367" i="29"/>
  <c r="AJ367" i="29"/>
  <c r="AK367" i="29"/>
  <c r="AL367" i="29"/>
  <c r="AM367" i="29"/>
  <c r="AN367" i="29"/>
  <c r="AE368" i="29"/>
  <c r="AF368" i="29"/>
  <c r="AG368" i="29"/>
  <c r="AH368" i="29"/>
  <c r="AI368" i="29"/>
  <c r="AJ368" i="29"/>
  <c r="AK368" i="29"/>
  <c r="AL368" i="29"/>
  <c r="AM368" i="29"/>
  <c r="AN368" i="29"/>
  <c r="AN3" i="29"/>
  <c r="AM3" i="29"/>
  <c r="AL3" i="29"/>
  <c r="AK3" i="29"/>
  <c r="AJ3" i="29"/>
  <c r="AI3" i="29"/>
  <c r="AH3" i="29"/>
  <c r="AG3" i="29"/>
  <c r="AF3" i="29"/>
  <c r="AE3" i="29" l="1"/>
  <c r="DS4" i="29" l="1"/>
  <c r="DT4" i="29"/>
  <c r="DW4" i="29"/>
  <c r="DQ5" i="29"/>
  <c r="DR5" i="29"/>
  <c r="DU5" i="29"/>
  <c r="DV5" i="29"/>
  <c r="DY5" i="29"/>
  <c r="DZ5" i="29"/>
  <c r="DS6" i="29"/>
  <c r="DT6" i="29"/>
  <c r="DW6" i="29"/>
  <c r="DX6" i="29"/>
  <c r="DQ7" i="29"/>
  <c r="DR7" i="29"/>
  <c r="DU7" i="29"/>
  <c r="DV7" i="29"/>
  <c r="DY7" i="29"/>
  <c r="DZ7" i="29"/>
  <c r="DS8" i="29"/>
  <c r="DT8" i="29"/>
  <c r="DW8" i="29"/>
  <c r="DQ9" i="29"/>
  <c r="DR9" i="29"/>
  <c r="DU9" i="29"/>
  <c r="DV9" i="29"/>
  <c r="DY9" i="29"/>
  <c r="DS10" i="29"/>
  <c r="DT10" i="29"/>
  <c r="DW10" i="29"/>
  <c r="DX10" i="29"/>
  <c r="DQ11" i="29"/>
  <c r="DU11" i="29"/>
  <c r="DV11" i="29"/>
  <c r="DY11" i="29"/>
  <c r="DZ11" i="29"/>
  <c r="DS12" i="29"/>
  <c r="DT12" i="29"/>
  <c r="DW12" i="29"/>
  <c r="DX12" i="29"/>
  <c r="DQ13" i="29"/>
  <c r="DR13" i="29"/>
  <c r="DU13" i="29"/>
  <c r="DV13" i="29"/>
  <c r="DY13" i="29"/>
  <c r="DZ13" i="29"/>
  <c r="DS14" i="29"/>
  <c r="DT14" i="29"/>
  <c r="DW14" i="29"/>
  <c r="DX14" i="29"/>
  <c r="DQ15" i="29"/>
  <c r="DU15" i="29"/>
  <c r="DV15" i="29"/>
  <c r="DY15" i="29"/>
  <c r="DZ15" i="29"/>
  <c r="DS16" i="29"/>
  <c r="DW16" i="29"/>
  <c r="DX16" i="29"/>
  <c r="DQ17" i="29"/>
  <c r="DR17" i="29"/>
  <c r="DU17" i="29"/>
  <c r="DY17" i="29"/>
  <c r="DZ17" i="29"/>
  <c r="DS18" i="29"/>
  <c r="DT18" i="29"/>
  <c r="DW18" i="29"/>
  <c r="DX18" i="29"/>
  <c r="DQ19" i="29"/>
  <c r="DR19" i="29"/>
  <c r="DU19" i="29"/>
  <c r="DV19" i="29"/>
  <c r="DY19" i="29"/>
  <c r="DZ19" i="29"/>
  <c r="DS20" i="29"/>
  <c r="DT20" i="29"/>
  <c r="DW20" i="29"/>
  <c r="DX20" i="29"/>
  <c r="DQ21" i="29"/>
  <c r="DR21" i="29"/>
  <c r="DU21" i="29"/>
  <c r="DY21" i="29"/>
  <c r="DZ21" i="29"/>
  <c r="DS22" i="29"/>
  <c r="DT22" i="29"/>
  <c r="DW22" i="29"/>
  <c r="DQ23" i="29"/>
  <c r="DR23" i="29"/>
  <c r="DU23" i="29"/>
  <c r="DV23" i="29"/>
  <c r="DY23" i="29"/>
  <c r="DS24" i="29"/>
  <c r="DT24" i="29"/>
  <c r="DW24" i="29"/>
  <c r="DX24" i="29"/>
  <c r="DQ25" i="29"/>
  <c r="DR25" i="29"/>
  <c r="DU25" i="29"/>
  <c r="DV25" i="29"/>
  <c r="DY25" i="29"/>
  <c r="DZ25" i="29"/>
  <c r="DS26" i="29"/>
  <c r="DT26" i="29"/>
  <c r="DW26" i="29"/>
  <c r="DX26" i="29"/>
  <c r="DQ27" i="29"/>
  <c r="DR27" i="29"/>
  <c r="DU27" i="29"/>
  <c r="DV27" i="29"/>
  <c r="DY27" i="29"/>
  <c r="DS28" i="29"/>
  <c r="DT28" i="29"/>
  <c r="DW28" i="29"/>
  <c r="DX28" i="29"/>
  <c r="DQ29" i="29"/>
  <c r="DU29" i="29"/>
  <c r="DV29" i="29"/>
  <c r="DY29" i="29"/>
  <c r="DZ29" i="29"/>
  <c r="DS30" i="29"/>
  <c r="DW30" i="29"/>
  <c r="DX30" i="29"/>
  <c r="DQ31" i="29"/>
  <c r="DR31" i="29"/>
  <c r="DU31" i="29"/>
  <c r="DV31" i="29"/>
  <c r="DY31" i="29"/>
  <c r="DZ31" i="29"/>
  <c r="DS32" i="29"/>
  <c r="DT32" i="29"/>
  <c r="DW32" i="29"/>
  <c r="DX32" i="29"/>
  <c r="DQ33" i="29"/>
  <c r="DR33" i="29"/>
  <c r="DU33" i="29"/>
  <c r="DV33" i="29"/>
  <c r="DY33" i="29"/>
  <c r="DZ33" i="29"/>
  <c r="DS34" i="29"/>
  <c r="DW34" i="29"/>
  <c r="DX34" i="29"/>
  <c r="DQ35" i="29"/>
  <c r="DR35" i="29"/>
  <c r="DU35" i="29"/>
  <c r="DY35" i="29"/>
  <c r="DZ35" i="29"/>
  <c r="DS36" i="29"/>
  <c r="DT36" i="29"/>
  <c r="DW36" i="29"/>
  <c r="DQ37" i="29"/>
  <c r="DR37" i="29"/>
  <c r="DU37" i="29"/>
  <c r="DV37" i="29"/>
  <c r="DY37" i="29"/>
  <c r="DZ37" i="29"/>
  <c r="DT38" i="29"/>
  <c r="DX38" i="29"/>
  <c r="DR39" i="29"/>
  <c r="DV39" i="29"/>
  <c r="DZ39" i="29"/>
  <c r="DT40" i="29"/>
  <c r="DX40" i="29"/>
  <c r="DR41" i="29"/>
  <c r="DV41" i="29"/>
  <c r="DZ41" i="29"/>
  <c r="DT42" i="29"/>
  <c r="DX42" i="29"/>
  <c r="DR43" i="29"/>
  <c r="DV43" i="29"/>
  <c r="DZ43" i="29"/>
  <c r="DT44" i="29"/>
  <c r="DX44" i="29"/>
  <c r="DR45" i="29"/>
  <c r="DV45" i="29"/>
  <c r="DZ45" i="29"/>
  <c r="DT46" i="29"/>
  <c r="DX46" i="29"/>
  <c r="DR47" i="29"/>
  <c r="DV47" i="29"/>
  <c r="DZ47" i="29"/>
  <c r="DT48" i="29"/>
  <c r="DX48" i="29"/>
  <c r="DR49" i="29"/>
  <c r="DV49" i="29"/>
  <c r="DZ49" i="29"/>
  <c r="DT50" i="29"/>
  <c r="DX50" i="29"/>
  <c r="DR51" i="29"/>
  <c r="DV51" i="29"/>
  <c r="DZ51" i="29"/>
  <c r="DT52" i="29"/>
  <c r="DX52" i="29"/>
  <c r="DR53" i="29"/>
  <c r="DV53" i="29"/>
  <c r="DZ53" i="29"/>
  <c r="DT54" i="29"/>
  <c r="DX54" i="29"/>
  <c r="DR55" i="29"/>
  <c r="DV55" i="29"/>
  <c r="DZ55" i="29"/>
  <c r="DT56" i="29"/>
  <c r="DX56" i="29"/>
  <c r="DR57" i="29"/>
  <c r="DV57" i="29"/>
  <c r="DZ57" i="29"/>
  <c r="DT58" i="29"/>
  <c r="DX58" i="29"/>
  <c r="DR59" i="29"/>
  <c r="DV59" i="29"/>
  <c r="DZ59" i="29"/>
  <c r="DT60" i="29"/>
  <c r="DX60" i="29"/>
  <c r="DR61" i="29"/>
  <c r="DV61" i="29"/>
  <c r="DZ61" i="29"/>
  <c r="DT62" i="29"/>
  <c r="DX62" i="29"/>
  <c r="DR63" i="29"/>
  <c r="DV63" i="29"/>
  <c r="DZ63" i="29"/>
  <c r="DT64" i="29"/>
  <c r="DX64" i="29"/>
  <c r="DR65" i="29"/>
  <c r="DV65" i="29"/>
  <c r="DZ65" i="29"/>
  <c r="DT66" i="29"/>
  <c r="DX66" i="29"/>
  <c r="DR67" i="29"/>
  <c r="DV67" i="29"/>
  <c r="DZ67" i="29"/>
  <c r="DT68" i="29"/>
  <c r="DX68" i="29"/>
  <c r="DR69" i="29"/>
  <c r="DV69" i="29"/>
  <c r="DZ69" i="29"/>
  <c r="DT70" i="29"/>
  <c r="DX70" i="29"/>
  <c r="DR71" i="29"/>
  <c r="DV71" i="29"/>
  <c r="DZ71" i="29"/>
  <c r="DT72" i="29"/>
  <c r="DX72" i="29"/>
  <c r="DR73" i="29"/>
  <c r="DV73" i="29"/>
  <c r="DZ73" i="29"/>
  <c r="DT74" i="29"/>
  <c r="DX74" i="29"/>
  <c r="DR75" i="29"/>
  <c r="DV75" i="29"/>
  <c r="DZ75" i="29"/>
  <c r="DT76" i="29"/>
  <c r="DX76" i="29"/>
  <c r="DR77" i="29"/>
  <c r="DV77" i="29"/>
  <c r="DZ77" i="29"/>
  <c r="DT78" i="29"/>
  <c r="DX78" i="29"/>
  <c r="DR79" i="29"/>
  <c r="DV79" i="29"/>
  <c r="DZ79" i="29"/>
  <c r="DT80" i="29"/>
  <c r="DX80" i="29"/>
  <c r="DR81" i="29"/>
  <c r="DV81" i="29"/>
  <c r="DZ81" i="29"/>
  <c r="DT82" i="29"/>
  <c r="DX82" i="29"/>
  <c r="DR83" i="29"/>
  <c r="DV83" i="29"/>
  <c r="DZ83" i="29"/>
  <c r="DT84" i="29"/>
  <c r="DX84" i="29"/>
  <c r="DR85" i="29"/>
  <c r="DV85" i="29"/>
  <c r="DZ85" i="29"/>
  <c r="DT86" i="29"/>
  <c r="DX86" i="29"/>
  <c r="DR87" i="29"/>
  <c r="DV87" i="29"/>
  <c r="DZ87" i="29"/>
  <c r="DT88" i="29"/>
  <c r="DW88" i="29"/>
  <c r="DX88" i="29"/>
  <c r="DR89" i="29"/>
  <c r="DV89" i="29"/>
  <c r="DZ89" i="29"/>
  <c r="DS90" i="29"/>
  <c r="DT90" i="29"/>
  <c r="DX90" i="29"/>
  <c r="DR91" i="29"/>
  <c r="DV91" i="29"/>
  <c r="DY91" i="29"/>
  <c r="DZ91" i="29"/>
  <c r="DT92" i="29"/>
  <c r="DX92" i="29"/>
  <c r="DR93" i="29"/>
  <c r="DU93" i="29"/>
  <c r="DV93" i="29"/>
  <c r="DZ93" i="29"/>
  <c r="DT94" i="29"/>
  <c r="DX94" i="29"/>
  <c r="DQ95" i="29"/>
  <c r="DR95" i="29"/>
  <c r="DV95" i="29"/>
  <c r="DZ95" i="29"/>
  <c r="DT96" i="29"/>
  <c r="DW96" i="29"/>
  <c r="DX96" i="29"/>
  <c r="DR97" i="29"/>
  <c r="DT3" i="29"/>
  <c r="DU3" i="29"/>
  <c r="DX3" i="29"/>
  <c r="DY3" i="29"/>
  <c r="CF4" i="29"/>
  <c r="CJ4" i="29"/>
  <c r="CD5" i="29"/>
  <c r="CH5" i="29"/>
  <c r="CL5" i="29"/>
  <c r="CF6" i="29"/>
  <c r="CJ6" i="29"/>
  <c r="CD7" i="29"/>
  <c r="CH7" i="29"/>
  <c r="CL7" i="29"/>
  <c r="CF8" i="29"/>
  <c r="CJ8" i="29"/>
  <c r="CD9" i="29"/>
  <c r="CH9" i="29"/>
  <c r="CL9" i="29"/>
  <c r="CF10" i="29"/>
  <c r="CJ10" i="29"/>
  <c r="CD11" i="29"/>
  <c r="CH11" i="29"/>
  <c r="CL11" i="29"/>
  <c r="CF12" i="29"/>
  <c r="CJ12" i="29"/>
  <c r="CD13" i="29"/>
  <c r="CH13" i="29"/>
  <c r="CL13" i="29"/>
  <c r="CF14" i="29"/>
  <c r="CJ14" i="29"/>
  <c r="CD15" i="29"/>
  <c r="CH15" i="29"/>
  <c r="CL15" i="29"/>
  <c r="CF16" i="29"/>
  <c r="CJ16" i="29"/>
  <c r="CD17" i="29"/>
  <c r="CH17" i="29"/>
  <c r="CL17" i="29"/>
  <c r="CF18" i="29"/>
  <c r="CJ18" i="29"/>
  <c r="CD19" i="29"/>
  <c r="CH19" i="29"/>
  <c r="CL19" i="29"/>
  <c r="CF20" i="29"/>
  <c r="CJ20" i="29"/>
  <c r="CD21" i="29"/>
  <c r="CH21" i="29"/>
  <c r="CL21" i="29"/>
  <c r="CF22" i="29"/>
  <c r="CJ22" i="29"/>
  <c r="CD23" i="29"/>
  <c r="CH23" i="29"/>
  <c r="CL23" i="29"/>
  <c r="CF24" i="29"/>
  <c r="CJ24" i="29"/>
  <c r="CD25" i="29"/>
  <c r="CH25" i="29"/>
  <c r="CL25" i="29"/>
  <c r="CF26" i="29"/>
  <c r="CJ26" i="29"/>
  <c r="CD27" i="29"/>
  <c r="CH27" i="29"/>
  <c r="CL27" i="29"/>
  <c r="CF28" i="29"/>
  <c r="CJ28" i="29"/>
  <c r="CD29" i="29"/>
  <c r="CH29" i="29"/>
  <c r="CL29" i="29"/>
  <c r="CF30" i="29"/>
  <c r="CJ30" i="29"/>
  <c r="CD31" i="29"/>
  <c r="CH31" i="29"/>
  <c r="CL31" i="29"/>
  <c r="CF32" i="29"/>
  <c r="CJ32" i="29"/>
  <c r="CD33" i="29"/>
  <c r="CH33" i="29"/>
  <c r="CL33" i="29"/>
  <c r="CF34" i="29"/>
  <c r="CJ34" i="29"/>
  <c r="CD35" i="29"/>
  <c r="CH35" i="29"/>
  <c r="CL35" i="29"/>
  <c r="CF36" i="29"/>
  <c r="CJ36" i="29"/>
  <c r="CD37" i="29"/>
  <c r="CH37" i="29"/>
  <c r="CL37" i="29"/>
  <c r="CF38" i="29"/>
  <c r="CJ38" i="29"/>
  <c r="CD39" i="29"/>
  <c r="CH39" i="29"/>
  <c r="CL39" i="29"/>
  <c r="CF40" i="29"/>
  <c r="CJ40" i="29"/>
  <c r="CD41" i="29"/>
  <c r="CH41" i="29"/>
  <c r="CL41" i="29"/>
  <c r="CF42" i="29"/>
  <c r="CJ42" i="29"/>
  <c r="CD43" i="29"/>
  <c r="CH43" i="29"/>
  <c r="CL43" i="29"/>
  <c r="CF44" i="29"/>
  <c r="CJ44" i="29"/>
  <c r="CD45" i="29"/>
  <c r="CH45" i="29"/>
  <c r="CL45" i="29"/>
  <c r="CF46" i="29"/>
  <c r="CJ46" i="29"/>
  <c r="CD47" i="29"/>
  <c r="CH47" i="29"/>
  <c r="CL47" i="29"/>
  <c r="CF48" i="29"/>
  <c r="CJ48" i="29"/>
  <c r="CD49" i="29"/>
  <c r="CH49" i="29"/>
  <c r="CL49" i="29"/>
  <c r="CF50" i="29"/>
  <c r="CJ50" i="29"/>
  <c r="CD51" i="29"/>
  <c r="CH51" i="29"/>
  <c r="CL51" i="29"/>
  <c r="CF52" i="29"/>
  <c r="CJ52" i="29"/>
  <c r="CD53" i="29"/>
  <c r="CH53" i="29"/>
  <c r="CL53" i="29"/>
  <c r="CF54" i="29"/>
  <c r="CJ54" i="29"/>
  <c r="CD55" i="29"/>
  <c r="CH55" i="29"/>
  <c r="CL55" i="29"/>
  <c r="CF56" i="29"/>
  <c r="CJ56" i="29"/>
  <c r="CD57" i="29"/>
  <c r="CH57" i="29"/>
  <c r="CL57" i="29"/>
  <c r="CF58" i="29"/>
  <c r="CJ58" i="29"/>
  <c r="CD59" i="29"/>
  <c r="CH59" i="29"/>
  <c r="CL59" i="29"/>
  <c r="CF60" i="29"/>
  <c r="CJ60" i="29"/>
  <c r="CD61" i="29"/>
  <c r="CH61" i="29"/>
  <c r="CL61" i="29"/>
  <c r="CF62" i="29"/>
  <c r="CJ62" i="29"/>
  <c r="CD63" i="29"/>
  <c r="CH63" i="29"/>
  <c r="CL63" i="29"/>
  <c r="CF64" i="29"/>
  <c r="CJ64" i="29"/>
  <c r="CD65" i="29"/>
  <c r="CH65" i="29"/>
  <c r="CL65" i="29"/>
  <c r="CF66" i="29"/>
  <c r="CJ66" i="29"/>
  <c r="CD67" i="29"/>
  <c r="CH67" i="29"/>
  <c r="CL67" i="29"/>
  <c r="CF68" i="29"/>
  <c r="CJ68" i="29"/>
  <c r="CD69" i="29"/>
  <c r="CH69" i="29"/>
  <c r="CL69" i="29"/>
  <c r="CF70" i="29"/>
  <c r="CJ70" i="29"/>
  <c r="CD71" i="29"/>
  <c r="CH71" i="29"/>
  <c r="CL71" i="29"/>
  <c r="CF72" i="29"/>
  <c r="CJ72" i="29"/>
  <c r="CD73" i="29"/>
  <c r="CH73" i="29"/>
  <c r="CL73" i="29"/>
  <c r="CF74" i="29"/>
  <c r="CJ74" i="29"/>
  <c r="CD75" i="29"/>
  <c r="CH75" i="29"/>
  <c r="CL75" i="29"/>
  <c r="CF76" i="29"/>
  <c r="CJ76" i="29"/>
  <c r="CD77" i="29"/>
  <c r="CH77" i="29"/>
  <c r="CL77" i="29"/>
  <c r="CF78" i="29"/>
  <c r="CJ78" i="29"/>
  <c r="CD79" i="29"/>
  <c r="CH79" i="29"/>
  <c r="CL79" i="29"/>
  <c r="CF80" i="29"/>
  <c r="CJ80" i="29"/>
  <c r="CD81" i="29"/>
  <c r="CH81" i="29"/>
  <c r="CL81" i="29"/>
  <c r="CF82" i="29"/>
  <c r="CJ82" i="29"/>
  <c r="CD83" i="29"/>
  <c r="CH83" i="29"/>
  <c r="CL83" i="29"/>
  <c r="CF84" i="29"/>
  <c r="CJ84" i="29"/>
  <c r="CD85" i="29"/>
  <c r="CH85" i="29"/>
  <c r="CL85" i="29"/>
  <c r="CF86" i="29"/>
  <c r="CJ86" i="29"/>
  <c r="CD87" i="29"/>
  <c r="CH87" i="29"/>
  <c r="CL87" i="29"/>
  <c r="CF88" i="29"/>
  <c r="CJ88" i="29"/>
  <c r="CD89" i="29"/>
  <c r="CH89" i="29"/>
  <c r="CL89" i="29"/>
  <c r="CF90" i="29"/>
  <c r="CJ90" i="29"/>
  <c r="CD91" i="29"/>
  <c r="CH91" i="29"/>
  <c r="CL91" i="29"/>
  <c r="CF92" i="29"/>
  <c r="CJ92" i="29"/>
  <c r="CD93" i="29"/>
  <c r="CH93" i="29"/>
  <c r="CL93" i="29"/>
  <c r="CF94" i="29"/>
  <c r="CJ94" i="29"/>
  <c r="CD95" i="29"/>
  <c r="CH95" i="29"/>
  <c r="CL95" i="29"/>
  <c r="CF96" i="29"/>
  <c r="CJ96" i="29"/>
  <c r="CD97" i="29"/>
  <c r="CH97" i="29"/>
  <c r="CL97" i="29"/>
  <c r="CF98" i="29"/>
  <c r="CJ98" i="29"/>
  <c r="CD99" i="29"/>
  <c r="CH99" i="29"/>
  <c r="CL99" i="29"/>
  <c r="CF100" i="29"/>
  <c r="CJ100" i="29"/>
  <c r="CD101" i="29"/>
  <c r="CH101" i="29"/>
  <c r="CL101" i="29"/>
  <c r="CF102" i="29"/>
  <c r="CJ102" i="29"/>
  <c r="CD103" i="29"/>
  <c r="CH103" i="29"/>
  <c r="CL103" i="29"/>
  <c r="CF104" i="29"/>
  <c r="CJ104" i="29"/>
  <c r="CD105" i="29"/>
  <c r="CH105" i="29"/>
  <c r="CL105" i="29"/>
  <c r="CF3" i="29"/>
  <c r="CG3" i="29"/>
  <c r="CJ3" i="29"/>
  <c r="CK3" i="29"/>
  <c r="AR54" i="29"/>
  <c r="AV54" i="29"/>
  <c r="AP55" i="29"/>
  <c r="AT55" i="29"/>
  <c r="AX55" i="29"/>
  <c r="AR56" i="29"/>
  <c r="AV56" i="29"/>
  <c r="AP57" i="29"/>
  <c r="AT57" i="29"/>
  <c r="AX57" i="29"/>
  <c r="AR58" i="29"/>
  <c r="AV58" i="29"/>
  <c r="AP59" i="29"/>
  <c r="AT59" i="29"/>
  <c r="AX59" i="29"/>
  <c r="AR60" i="29"/>
  <c r="AV60" i="29"/>
  <c r="AP61" i="29"/>
  <c r="AT61" i="29"/>
  <c r="AX61" i="29"/>
  <c r="AR62" i="29"/>
  <c r="AV62" i="29"/>
  <c r="AP63" i="29"/>
  <c r="AT63" i="29"/>
  <c r="AX63" i="29"/>
  <c r="AR64" i="29"/>
  <c r="AV64" i="29"/>
  <c r="AP65" i="29"/>
  <c r="AT65" i="29"/>
  <c r="AX65" i="29"/>
  <c r="AR66" i="29"/>
  <c r="AV66" i="29"/>
  <c r="AP67" i="29"/>
  <c r="AT67" i="29"/>
  <c r="AX67" i="29"/>
  <c r="AR68" i="29"/>
  <c r="AV68" i="29"/>
  <c r="AP69" i="29"/>
  <c r="AT69" i="29"/>
  <c r="AX69" i="29"/>
  <c r="AR70" i="29"/>
  <c r="AV70" i="29"/>
  <c r="AP71" i="29"/>
  <c r="AT71" i="29"/>
  <c r="AX71" i="29"/>
  <c r="AR72" i="29"/>
  <c r="AV72" i="29"/>
  <c r="AP73" i="29"/>
  <c r="AT73" i="29"/>
  <c r="AX73" i="29"/>
  <c r="AR74" i="29"/>
  <c r="AV74" i="29"/>
  <c r="AP75" i="29"/>
  <c r="AT75" i="29"/>
  <c r="AX75" i="29"/>
  <c r="AR76" i="29"/>
  <c r="AV76" i="29"/>
  <c r="AP77" i="29"/>
  <c r="AT77" i="29"/>
  <c r="AX77" i="29"/>
  <c r="AR78" i="29"/>
  <c r="AV78" i="29"/>
  <c r="AP79" i="29"/>
  <c r="AT79" i="29"/>
  <c r="AX79" i="29"/>
  <c r="AR80" i="29"/>
  <c r="AV80" i="29"/>
  <c r="AP81" i="29"/>
  <c r="AT81" i="29"/>
  <c r="AX81" i="29"/>
  <c r="AR82" i="29"/>
  <c r="AV82" i="29"/>
  <c r="AP83" i="29"/>
  <c r="AT83" i="29"/>
  <c r="AX83" i="29"/>
  <c r="AR84" i="29"/>
  <c r="AV84" i="29"/>
  <c r="AP85" i="29"/>
  <c r="AT85" i="29"/>
  <c r="AX85" i="29"/>
  <c r="AR86" i="29"/>
  <c r="AV86" i="29"/>
  <c r="AP87" i="29"/>
  <c r="AT87" i="29"/>
  <c r="AX87" i="29"/>
  <c r="AQ272" i="29"/>
  <c r="AU272" i="29"/>
  <c r="AO273" i="29"/>
  <c r="AS273" i="29"/>
  <c r="AQ274" i="29"/>
  <c r="AU274" i="29"/>
  <c r="AO275" i="29"/>
  <c r="AS275" i="29"/>
  <c r="AQ276" i="29"/>
  <c r="AU276" i="29"/>
  <c r="AO277" i="29"/>
  <c r="AS277" i="29"/>
  <c r="AQ278" i="29"/>
  <c r="AU278" i="29"/>
  <c r="AO279" i="29"/>
  <c r="AS279" i="29"/>
  <c r="AQ280" i="29"/>
  <c r="AU280" i="29"/>
  <c r="AO281" i="29"/>
  <c r="AS281" i="29"/>
  <c r="AQ282" i="29"/>
  <c r="AU282" i="29"/>
  <c r="AO283" i="29"/>
  <c r="AS283" i="29"/>
  <c r="AQ284" i="29"/>
  <c r="AU284" i="29"/>
  <c r="AO285" i="29"/>
  <c r="AS285" i="29"/>
  <c r="AQ286" i="29"/>
  <c r="AU286" i="29"/>
  <c r="AO287" i="29"/>
  <c r="AS287" i="29"/>
  <c r="AQ288" i="29"/>
  <c r="AU288" i="29"/>
  <c r="AO289" i="29"/>
  <c r="AS289" i="29"/>
  <c r="AQ290" i="29"/>
  <c r="AU290" i="29"/>
  <c r="AO291" i="29"/>
  <c r="AS291" i="29"/>
  <c r="AQ292" i="29"/>
  <c r="AU292" i="29"/>
  <c r="AO293" i="29"/>
  <c r="AS293" i="29"/>
  <c r="AQ294" i="29"/>
  <c r="AO33" i="29"/>
  <c r="AR33" i="29"/>
  <c r="AS33" i="29"/>
  <c r="AV33" i="29"/>
  <c r="AP34" i="29"/>
  <c r="AT34" i="29"/>
  <c r="AU34" i="29"/>
  <c r="AV34" i="29"/>
  <c r="AX34" i="29"/>
  <c r="AO35" i="29"/>
  <c r="AR35" i="29"/>
  <c r="AS35" i="29"/>
  <c r="AT35" i="29"/>
  <c r="AV35" i="29"/>
  <c r="AX35" i="29"/>
  <c r="AP36" i="29"/>
  <c r="AQ36" i="29"/>
  <c r="AT36" i="29"/>
  <c r="AU36" i="29"/>
  <c r="AV36" i="29"/>
  <c r="AX36" i="29"/>
  <c r="AP37" i="29"/>
  <c r="AR37" i="29"/>
  <c r="AS37" i="29"/>
  <c r="AV37" i="29"/>
  <c r="AX37" i="29"/>
  <c r="AP38" i="29"/>
  <c r="AQ38" i="29"/>
  <c r="AT38" i="29"/>
  <c r="AU38" i="29"/>
  <c r="AV38" i="29"/>
  <c r="AX38" i="29"/>
  <c r="AR39" i="29"/>
  <c r="AS39" i="29"/>
  <c r="AV39" i="29"/>
  <c r="AX39" i="29"/>
  <c r="AP40" i="29"/>
  <c r="AR40" i="29"/>
  <c r="AT40" i="29"/>
  <c r="AU40" i="29"/>
  <c r="AV40" i="29"/>
  <c r="AX40" i="29"/>
  <c r="AO41" i="29"/>
  <c r="AR41" i="29"/>
  <c r="AS41" i="29"/>
  <c r="AV41" i="29"/>
  <c r="AX41" i="29"/>
  <c r="AP42" i="29"/>
  <c r="AT42" i="29"/>
  <c r="AU42" i="29"/>
  <c r="AV42" i="29"/>
  <c r="AX42" i="29"/>
  <c r="AO43" i="29"/>
  <c r="AR43" i="29"/>
  <c r="AT43" i="29"/>
  <c r="AV43" i="29"/>
  <c r="AX43" i="29"/>
  <c r="AP44" i="29"/>
  <c r="AQ44" i="29"/>
  <c r="AT44" i="29"/>
  <c r="AU44" i="29"/>
  <c r="AV44" i="29"/>
  <c r="AX44" i="29"/>
  <c r="AP45" i="29"/>
  <c r="AR45" i="29"/>
  <c r="AS45" i="29"/>
  <c r="AV45" i="29"/>
  <c r="AP46" i="29"/>
  <c r="AQ46" i="29"/>
  <c r="AT46" i="29"/>
  <c r="AU46" i="29"/>
  <c r="AX46" i="29"/>
  <c r="AO47" i="29"/>
  <c r="AR47" i="29"/>
  <c r="AS47" i="29"/>
  <c r="AV47" i="29"/>
  <c r="AX47" i="29"/>
  <c r="AP48" i="29"/>
  <c r="AQ48" i="29"/>
  <c r="AR48" i="29"/>
  <c r="AT48" i="29"/>
  <c r="AV48" i="29"/>
  <c r="AX48" i="29"/>
  <c r="AO49" i="29"/>
  <c r="AR49" i="29"/>
  <c r="AS49" i="29"/>
  <c r="AV49" i="29"/>
  <c r="AX49" i="29"/>
  <c r="AP50" i="29"/>
  <c r="AQ50" i="29"/>
  <c r="AT50" i="29"/>
  <c r="AU50" i="29"/>
  <c r="AV50" i="29"/>
  <c r="AX50" i="29"/>
  <c r="AO51" i="29"/>
  <c r="AR51" i="29"/>
  <c r="AT51" i="29"/>
  <c r="AV51" i="29"/>
  <c r="AX51" i="29"/>
  <c r="AP52" i="29"/>
  <c r="AQ52" i="29"/>
  <c r="AT52" i="29"/>
  <c r="AU52" i="29"/>
  <c r="AV52" i="29"/>
  <c r="AX52" i="29"/>
  <c r="AO53" i="29"/>
  <c r="AP53" i="29"/>
  <c r="AR53" i="29"/>
  <c r="AV53" i="29"/>
  <c r="AQ32" i="29"/>
  <c r="AR32" i="29"/>
  <c r="AU32" i="29"/>
  <c r="AV32" i="29"/>
  <c r="AO9" i="29"/>
  <c r="AR9" i="29"/>
  <c r="AS9" i="29"/>
  <c r="AV9" i="29"/>
  <c r="AX9" i="29"/>
  <c r="AP10" i="29"/>
  <c r="AQ10" i="29"/>
  <c r="AR10" i="29"/>
  <c r="AT10" i="29"/>
  <c r="AV10" i="29"/>
  <c r="AX10" i="29"/>
  <c r="AO11" i="29"/>
  <c r="AR11" i="29"/>
  <c r="AS11" i="29"/>
  <c r="AT11" i="29"/>
  <c r="AV11" i="29"/>
  <c r="AX11" i="29"/>
  <c r="AP12" i="29"/>
  <c r="AT12" i="29"/>
  <c r="AU12" i="29"/>
  <c r="AX12" i="29"/>
  <c r="AO13" i="29"/>
  <c r="AP13" i="29"/>
  <c r="AR13" i="29"/>
  <c r="AS13" i="29"/>
  <c r="AT13" i="29"/>
  <c r="AV13" i="29"/>
  <c r="AX13" i="29"/>
  <c r="AP14" i="29"/>
  <c r="AQ14" i="29"/>
  <c r="AT14" i="29"/>
  <c r="AU14" i="29"/>
  <c r="AV14" i="29"/>
  <c r="AX14" i="29"/>
  <c r="AP15" i="29"/>
  <c r="AS15" i="29"/>
  <c r="AV15" i="29"/>
  <c r="AP16" i="29"/>
  <c r="AQ16" i="29"/>
  <c r="AR16" i="29"/>
  <c r="AT16" i="29"/>
  <c r="AX16" i="29"/>
  <c r="AR17" i="29"/>
  <c r="AS17" i="29"/>
  <c r="AV17" i="29"/>
  <c r="AP18" i="29"/>
  <c r="AR18" i="29"/>
  <c r="AT18" i="29"/>
  <c r="AU18" i="29"/>
  <c r="AX18" i="29"/>
  <c r="AO19" i="29"/>
  <c r="AR19" i="29"/>
  <c r="AS19" i="29"/>
  <c r="AT19" i="29"/>
  <c r="AV19" i="29"/>
  <c r="AX19" i="29"/>
  <c r="AP20" i="29"/>
  <c r="AQ20" i="29"/>
  <c r="AT20" i="29"/>
  <c r="AU20" i="29"/>
  <c r="AV20" i="29"/>
  <c r="AX20" i="29"/>
  <c r="AO21" i="29"/>
  <c r="AP21" i="29"/>
  <c r="AR21" i="29"/>
  <c r="AT21" i="29"/>
  <c r="AV21" i="29"/>
  <c r="AP22" i="29"/>
  <c r="AQ22" i="29"/>
  <c r="AT22" i="29"/>
  <c r="AU22" i="29"/>
  <c r="AX22" i="29"/>
  <c r="AO23" i="29"/>
  <c r="AP23" i="29"/>
  <c r="AR23" i="29"/>
  <c r="AV23" i="29"/>
  <c r="AX23" i="29"/>
  <c r="AP24" i="29"/>
  <c r="AQ24" i="29"/>
  <c r="AR24" i="29"/>
  <c r="AT24" i="29"/>
  <c r="AU24" i="29"/>
  <c r="AV24" i="29"/>
  <c r="AX24" i="29"/>
  <c r="AO25" i="29"/>
  <c r="AR25" i="29"/>
  <c r="AS25" i="29"/>
  <c r="AV25" i="29"/>
  <c r="AX25" i="29"/>
  <c r="AP26" i="29"/>
  <c r="AQ26" i="29"/>
  <c r="AR26" i="29"/>
  <c r="AT26" i="29"/>
  <c r="AV26" i="29"/>
  <c r="AX26" i="29"/>
  <c r="AO27" i="29"/>
  <c r="AR27" i="29"/>
  <c r="AS27" i="29"/>
  <c r="AT27" i="29"/>
  <c r="AV27" i="29"/>
  <c r="AX27" i="29"/>
  <c r="AP28" i="29"/>
  <c r="AT28" i="29"/>
  <c r="AU28" i="29"/>
  <c r="AX28" i="29"/>
  <c r="AO29" i="29"/>
  <c r="AP29" i="29"/>
  <c r="AR29" i="29"/>
  <c r="AS29" i="29"/>
  <c r="AT29" i="29"/>
  <c r="AV29" i="29"/>
  <c r="AX29" i="29"/>
  <c r="AP30" i="29"/>
  <c r="AQ30" i="29"/>
  <c r="AT30" i="29"/>
  <c r="AU30" i="29"/>
  <c r="AV30" i="29"/>
  <c r="AX30" i="29"/>
  <c r="AP31" i="29"/>
  <c r="AR31" i="29"/>
  <c r="AS31" i="29"/>
  <c r="AV31" i="29"/>
  <c r="AQ8" i="29"/>
  <c r="AR8" i="29"/>
  <c r="AU8" i="29"/>
  <c r="AV8" i="29"/>
  <c r="AR4" i="29"/>
  <c r="AV4" i="29"/>
  <c r="AP5" i="29"/>
  <c r="AT5" i="29"/>
  <c r="AX5" i="29"/>
  <c r="AR6" i="29"/>
  <c r="AV6" i="29"/>
  <c r="AP7" i="29"/>
  <c r="AT7" i="29"/>
  <c r="AX7" i="29"/>
  <c r="AS3" i="29"/>
  <c r="AW3" i="29"/>
  <c r="DQ4" i="29"/>
  <c r="DR4" i="29"/>
  <c r="DU4" i="29"/>
  <c r="DV4" i="29"/>
  <c r="DX4" i="29"/>
  <c r="DY4" i="29"/>
  <c r="DZ4" i="29"/>
  <c r="DS5" i="29"/>
  <c r="DT5" i="29"/>
  <c r="DW5" i="29"/>
  <c r="DX5" i="29"/>
  <c r="DQ6" i="29"/>
  <c r="DR6" i="29"/>
  <c r="DU6" i="29"/>
  <c r="DV6" i="29"/>
  <c r="DY6" i="29"/>
  <c r="DZ6" i="29"/>
  <c r="DS7" i="29"/>
  <c r="DT7" i="29"/>
  <c r="DW7" i="29"/>
  <c r="DX7" i="29"/>
  <c r="DQ8" i="29"/>
  <c r="DR8" i="29"/>
  <c r="DU8" i="29"/>
  <c r="DV8" i="29"/>
  <c r="DX8" i="29"/>
  <c r="DY8" i="29"/>
  <c r="DZ8" i="29"/>
  <c r="DS9" i="29"/>
  <c r="DT9" i="29"/>
  <c r="DW9" i="29"/>
  <c r="DX9" i="29"/>
  <c r="DZ9" i="29"/>
  <c r="DQ10" i="29"/>
  <c r="DR10" i="29"/>
  <c r="DU10" i="29"/>
  <c r="DV10" i="29"/>
  <c r="DY10" i="29"/>
  <c r="DZ10" i="29"/>
  <c r="DR11" i="29"/>
  <c r="DS11" i="29"/>
  <c r="DT11" i="29"/>
  <c r="DW11" i="29"/>
  <c r="DX11" i="29"/>
  <c r="DQ12" i="29"/>
  <c r="DR12" i="29"/>
  <c r="DU12" i="29"/>
  <c r="DV12" i="29"/>
  <c r="DY12" i="29"/>
  <c r="DZ12" i="29"/>
  <c r="DS13" i="29"/>
  <c r="DT13" i="29"/>
  <c r="DW13" i="29"/>
  <c r="DX13" i="29"/>
  <c r="DQ14" i="29"/>
  <c r="DR14" i="29"/>
  <c r="DU14" i="29"/>
  <c r="DV14" i="29"/>
  <c r="DY14" i="29"/>
  <c r="DZ14" i="29"/>
  <c r="DR15" i="29"/>
  <c r="DS15" i="29"/>
  <c r="DT15" i="29"/>
  <c r="DW15" i="29"/>
  <c r="DX15" i="29"/>
  <c r="DQ16" i="29"/>
  <c r="DR16" i="29"/>
  <c r="DT16" i="29"/>
  <c r="DU16" i="29"/>
  <c r="DV16" i="29"/>
  <c r="DY16" i="29"/>
  <c r="DZ16" i="29"/>
  <c r="DS17" i="29"/>
  <c r="DT17" i="29"/>
  <c r="DV17" i="29"/>
  <c r="DW17" i="29"/>
  <c r="DX17" i="29"/>
  <c r="DQ18" i="29"/>
  <c r="DR18" i="29"/>
  <c r="DU18" i="29"/>
  <c r="DV18" i="29"/>
  <c r="DY18" i="29"/>
  <c r="DZ18" i="29"/>
  <c r="DS19" i="29"/>
  <c r="DT19" i="29"/>
  <c r="DW19" i="29"/>
  <c r="DX19" i="29"/>
  <c r="DQ20" i="29"/>
  <c r="DR20" i="29"/>
  <c r="DU20" i="29"/>
  <c r="DV20" i="29"/>
  <c r="DY20" i="29"/>
  <c r="DZ20" i="29"/>
  <c r="DS21" i="29"/>
  <c r="DT21" i="29"/>
  <c r="DV21" i="29"/>
  <c r="DW21" i="29"/>
  <c r="DX21" i="29"/>
  <c r="DQ22" i="29"/>
  <c r="DR22" i="29"/>
  <c r="DU22" i="29"/>
  <c r="DV22" i="29"/>
  <c r="DX22" i="29"/>
  <c r="DY22" i="29"/>
  <c r="DZ22" i="29"/>
  <c r="DS23" i="29"/>
  <c r="DT23" i="29"/>
  <c r="DW23" i="29"/>
  <c r="DX23" i="29"/>
  <c r="DZ23" i="29"/>
  <c r="DQ24" i="29"/>
  <c r="DR24" i="29"/>
  <c r="DU24" i="29"/>
  <c r="DV24" i="29"/>
  <c r="DY24" i="29"/>
  <c r="DZ24" i="29"/>
  <c r="DS25" i="29"/>
  <c r="DT25" i="29"/>
  <c r="DW25" i="29"/>
  <c r="DX25" i="29"/>
  <c r="DQ26" i="29"/>
  <c r="DR26" i="29"/>
  <c r="DU26" i="29"/>
  <c r="DV26" i="29"/>
  <c r="DY26" i="29"/>
  <c r="DZ26" i="29"/>
  <c r="DS27" i="29"/>
  <c r="DT27" i="29"/>
  <c r="DW27" i="29"/>
  <c r="DX27" i="29"/>
  <c r="DZ27" i="29"/>
  <c r="DQ28" i="29"/>
  <c r="DR28" i="29"/>
  <c r="DU28" i="29"/>
  <c r="DV28" i="29"/>
  <c r="DY28" i="29"/>
  <c r="DZ28" i="29"/>
  <c r="DR29" i="29"/>
  <c r="DS29" i="29"/>
  <c r="DT29" i="29"/>
  <c r="DW29" i="29"/>
  <c r="DX29" i="29"/>
  <c r="DQ30" i="29"/>
  <c r="DR30" i="29"/>
  <c r="DT30" i="29"/>
  <c r="DU30" i="29"/>
  <c r="DV30" i="29"/>
  <c r="DY30" i="29"/>
  <c r="DZ30" i="29"/>
  <c r="DS31" i="29"/>
  <c r="DT31" i="29"/>
  <c r="DW31" i="29"/>
  <c r="DX31" i="29"/>
  <c r="DQ32" i="29"/>
  <c r="DR32" i="29"/>
  <c r="DU32" i="29"/>
  <c r="DV32" i="29"/>
  <c r="DY32" i="29"/>
  <c r="DZ32" i="29"/>
  <c r="DS33" i="29"/>
  <c r="DT33" i="29"/>
  <c r="DW33" i="29"/>
  <c r="DX33" i="29"/>
  <c r="DQ34" i="29"/>
  <c r="DR34" i="29"/>
  <c r="DT34" i="29"/>
  <c r="DU34" i="29"/>
  <c r="DV34" i="29"/>
  <c r="DY34" i="29"/>
  <c r="DZ34" i="29"/>
  <c r="DS35" i="29"/>
  <c r="DT35" i="29"/>
  <c r="DV35" i="29"/>
  <c r="DW35" i="29"/>
  <c r="DX35" i="29"/>
  <c r="DQ36" i="29"/>
  <c r="DR36" i="29"/>
  <c r="DU36" i="29"/>
  <c r="DV36" i="29"/>
  <c r="DX36" i="29"/>
  <c r="DY36" i="29"/>
  <c r="DZ36" i="29"/>
  <c r="DS37" i="29"/>
  <c r="DT37" i="29"/>
  <c r="DW37" i="29"/>
  <c r="DX37" i="29"/>
  <c r="DQ38" i="29"/>
  <c r="DR38" i="29"/>
  <c r="DS38" i="29"/>
  <c r="DU38" i="29"/>
  <c r="DV38" i="29"/>
  <c r="DW38" i="29"/>
  <c r="DY38" i="29"/>
  <c r="DZ38" i="29"/>
  <c r="DQ39" i="29"/>
  <c r="DS39" i="29"/>
  <c r="DT39" i="29"/>
  <c r="DU39" i="29"/>
  <c r="DW39" i="29"/>
  <c r="DX39" i="29"/>
  <c r="DY39" i="29"/>
  <c r="DQ40" i="29"/>
  <c r="DR40" i="29"/>
  <c r="DS40" i="29"/>
  <c r="DU40" i="29"/>
  <c r="DV40" i="29"/>
  <c r="DW40" i="29"/>
  <c r="DY40" i="29"/>
  <c r="DZ40" i="29"/>
  <c r="DQ41" i="29"/>
  <c r="DS41" i="29"/>
  <c r="DT41" i="29"/>
  <c r="DU41" i="29"/>
  <c r="DW41" i="29"/>
  <c r="DX41" i="29"/>
  <c r="DY41" i="29"/>
  <c r="DQ42" i="29"/>
  <c r="DR42" i="29"/>
  <c r="DS42" i="29"/>
  <c r="DU42" i="29"/>
  <c r="DV42" i="29"/>
  <c r="DW42" i="29"/>
  <c r="DY42" i="29"/>
  <c r="DZ42" i="29"/>
  <c r="DQ43" i="29"/>
  <c r="DS43" i="29"/>
  <c r="DT43" i="29"/>
  <c r="DU43" i="29"/>
  <c r="DW43" i="29"/>
  <c r="DX43" i="29"/>
  <c r="DY43" i="29"/>
  <c r="DQ44" i="29"/>
  <c r="DR44" i="29"/>
  <c r="DS44" i="29"/>
  <c r="DU44" i="29"/>
  <c r="DV44" i="29"/>
  <c r="DW44" i="29"/>
  <c r="DY44" i="29"/>
  <c r="DZ44" i="29"/>
  <c r="DQ45" i="29"/>
  <c r="DS45" i="29"/>
  <c r="DT45" i="29"/>
  <c r="DU45" i="29"/>
  <c r="DW45" i="29"/>
  <c r="DX45" i="29"/>
  <c r="DY45" i="29"/>
  <c r="DQ46" i="29"/>
  <c r="DR46" i="29"/>
  <c r="DS46" i="29"/>
  <c r="DU46" i="29"/>
  <c r="DV46" i="29"/>
  <c r="DW46" i="29"/>
  <c r="DY46" i="29"/>
  <c r="DZ46" i="29"/>
  <c r="DQ47" i="29"/>
  <c r="DS47" i="29"/>
  <c r="DT47" i="29"/>
  <c r="DU47" i="29"/>
  <c r="DW47" i="29"/>
  <c r="DX47" i="29"/>
  <c r="DY47" i="29"/>
  <c r="DQ48" i="29"/>
  <c r="DR48" i="29"/>
  <c r="DS48" i="29"/>
  <c r="DU48" i="29"/>
  <c r="DV48" i="29"/>
  <c r="DW48" i="29"/>
  <c r="DY48" i="29"/>
  <c r="DZ48" i="29"/>
  <c r="DQ49" i="29"/>
  <c r="DS49" i="29"/>
  <c r="DT49" i="29"/>
  <c r="DU49" i="29"/>
  <c r="DW49" i="29"/>
  <c r="DX49" i="29"/>
  <c r="DY49" i="29"/>
  <c r="DQ50" i="29"/>
  <c r="DR50" i="29"/>
  <c r="DS50" i="29"/>
  <c r="DU50" i="29"/>
  <c r="DV50" i="29"/>
  <c r="DW50" i="29"/>
  <c r="DY50" i="29"/>
  <c r="DZ50" i="29"/>
  <c r="DQ51" i="29"/>
  <c r="DS51" i="29"/>
  <c r="DT51" i="29"/>
  <c r="DU51" i="29"/>
  <c r="DW51" i="29"/>
  <c r="DX51" i="29"/>
  <c r="DY51" i="29"/>
  <c r="DQ52" i="29"/>
  <c r="DR52" i="29"/>
  <c r="DS52" i="29"/>
  <c r="DU52" i="29"/>
  <c r="DV52" i="29"/>
  <c r="DW52" i="29"/>
  <c r="DY52" i="29"/>
  <c r="DZ52" i="29"/>
  <c r="DQ53" i="29"/>
  <c r="DS53" i="29"/>
  <c r="DT53" i="29"/>
  <c r="DU53" i="29"/>
  <c r="DW53" i="29"/>
  <c r="DX53" i="29"/>
  <c r="DY53" i="29"/>
  <c r="DQ54" i="29"/>
  <c r="DR54" i="29"/>
  <c r="DS54" i="29"/>
  <c r="DU54" i="29"/>
  <c r="DV54" i="29"/>
  <c r="DW54" i="29"/>
  <c r="DY54" i="29"/>
  <c r="DZ54" i="29"/>
  <c r="DQ55" i="29"/>
  <c r="DS55" i="29"/>
  <c r="DT55" i="29"/>
  <c r="DU55" i="29"/>
  <c r="DW55" i="29"/>
  <c r="DX55" i="29"/>
  <c r="DY55" i="29"/>
  <c r="DQ56" i="29"/>
  <c r="DR56" i="29"/>
  <c r="DS56" i="29"/>
  <c r="DU56" i="29"/>
  <c r="DV56" i="29"/>
  <c r="DW56" i="29"/>
  <c r="DY56" i="29"/>
  <c r="DZ56" i="29"/>
  <c r="DQ57" i="29"/>
  <c r="DS57" i="29"/>
  <c r="DT57" i="29"/>
  <c r="DU57" i="29"/>
  <c r="DW57" i="29"/>
  <c r="DX57" i="29"/>
  <c r="DY57" i="29"/>
  <c r="DQ58" i="29"/>
  <c r="DR58" i="29"/>
  <c r="DS58" i="29"/>
  <c r="DU58" i="29"/>
  <c r="DV58" i="29"/>
  <c r="DW58" i="29"/>
  <c r="DY58" i="29"/>
  <c r="DZ58" i="29"/>
  <c r="DQ59" i="29"/>
  <c r="DS59" i="29"/>
  <c r="DT59" i="29"/>
  <c r="DU59" i="29"/>
  <c r="DW59" i="29"/>
  <c r="DX59" i="29"/>
  <c r="DY59" i="29"/>
  <c r="DQ60" i="29"/>
  <c r="DR60" i="29"/>
  <c r="DS60" i="29"/>
  <c r="DU60" i="29"/>
  <c r="DV60" i="29"/>
  <c r="DW60" i="29"/>
  <c r="DY60" i="29"/>
  <c r="DZ60" i="29"/>
  <c r="DQ61" i="29"/>
  <c r="DS61" i="29"/>
  <c r="DT61" i="29"/>
  <c r="DU61" i="29"/>
  <c r="DW61" i="29"/>
  <c r="DX61" i="29"/>
  <c r="DY61" i="29"/>
  <c r="DQ62" i="29"/>
  <c r="DR62" i="29"/>
  <c r="DS62" i="29"/>
  <c r="DU62" i="29"/>
  <c r="DV62" i="29"/>
  <c r="DW62" i="29"/>
  <c r="DY62" i="29"/>
  <c r="DZ62" i="29"/>
  <c r="DQ63" i="29"/>
  <c r="DS63" i="29"/>
  <c r="DT63" i="29"/>
  <c r="DU63" i="29"/>
  <c r="DW63" i="29"/>
  <c r="DX63" i="29"/>
  <c r="DY63" i="29"/>
  <c r="DQ64" i="29"/>
  <c r="DR64" i="29"/>
  <c r="DS64" i="29"/>
  <c r="DU64" i="29"/>
  <c r="DV64" i="29"/>
  <c r="DW64" i="29"/>
  <c r="DY64" i="29"/>
  <c r="DZ64" i="29"/>
  <c r="DQ65" i="29"/>
  <c r="DS65" i="29"/>
  <c r="DT65" i="29"/>
  <c r="DU65" i="29"/>
  <c r="DW65" i="29"/>
  <c r="DX65" i="29"/>
  <c r="DY65" i="29"/>
  <c r="DQ66" i="29"/>
  <c r="DR66" i="29"/>
  <c r="DS66" i="29"/>
  <c r="DU66" i="29"/>
  <c r="DV66" i="29"/>
  <c r="DW66" i="29"/>
  <c r="DY66" i="29"/>
  <c r="DZ66" i="29"/>
  <c r="DQ67" i="29"/>
  <c r="DS67" i="29"/>
  <c r="DT67" i="29"/>
  <c r="DU67" i="29"/>
  <c r="DW67" i="29"/>
  <c r="DX67" i="29"/>
  <c r="DY67" i="29"/>
  <c r="DQ68" i="29"/>
  <c r="DR68" i="29"/>
  <c r="DS68" i="29"/>
  <c r="DU68" i="29"/>
  <c r="DV68" i="29"/>
  <c r="DW68" i="29"/>
  <c r="DY68" i="29"/>
  <c r="DZ68" i="29"/>
  <c r="DQ69" i="29"/>
  <c r="DS69" i="29"/>
  <c r="DT69" i="29"/>
  <c r="DU69" i="29"/>
  <c r="DW69" i="29"/>
  <c r="DX69" i="29"/>
  <c r="DY69" i="29"/>
  <c r="DQ70" i="29"/>
  <c r="DR70" i="29"/>
  <c r="DS70" i="29"/>
  <c r="DU70" i="29"/>
  <c r="DV70" i="29"/>
  <c r="DW70" i="29"/>
  <c r="DY70" i="29"/>
  <c r="DZ70" i="29"/>
  <c r="DQ71" i="29"/>
  <c r="DS71" i="29"/>
  <c r="DT71" i="29"/>
  <c r="DU71" i="29"/>
  <c r="DW71" i="29"/>
  <c r="DX71" i="29"/>
  <c r="DY71" i="29"/>
  <c r="DQ72" i="29"/>
  <c r="DR72" i="29"/>
  <c r="DS72" i="29"/>
  <c r="DU72" i="29"/>
  <c r="DV72" i="29"/>
  <c r="DW72" i="29"/>
  <c r="DY72" i="29"/>
  <c r="DZ72" i="29"/>
  <c r="DQ73" i="29"/>
  <c r="DS73" i="29"/>
  <c r="DT73" i="29"/>
  <c r="DU73" i="29"/>
  <c r="DW73" i="29"/>
  <c r="DX73" i="29"/>
  <c r="DY73" i="29"/>
  <c r="DQ74" i="29"/>
  <c r="DR74" i="29"/>
  <c r="DS74" i="29"/>
  <c r="DU74" i="29"/>
  <c r="DV74" i="29"/>
  <c r="DW74" i="29"/>
  <c r="DY74" i="29"/>
  <c r="DZ74" i="29"/>
  <c r="DQ75" i="29"/>
  <c r="DS75" i="29"/>
  <c r="DT75" i="29"/>
  <c r="DU75" i="29"/>
  <c r="DW75" i="29"/>
  <c r="DX75" i="29"/>
  <c r="DY75" i="29"/>
  <c r="DQ76" i="29"/>
  <c r="DR76" i="29"/>
  <c r="DS76" i="29"/>
  <c r="DU76" i="29"/>
  <c r="DV76" i="29"/>
  <c r="DW76" i="29"/>
  <c r="DY76" i="29"/>
  <c r="DZ76" i="29"/>
  <c r="DQ77" i="29"/>
  <c r="DS77" i="29"/>
  <c r="DT77" i="29"/>
  <c r="DU77" i="29"/>
  <c r="DW77" i="29"/>
  <c r="DX77" i="29"/>
  <c r="DY77" i="29"/>
  <c r="DQ78" i="29"/>
  <c r="DR78" i="29"/>
  <c r="DS78" i="29"/>
  <c r="DU78" i="29"/>
  <c r="DV78" i="29"/>
  <c r="DW78" i="29"/>
  <c r="DY78" i="29"/>
  <c r="DZ78" i="29"/>
  <c r="DQ79" i="29"/>
  <c r="DS79" i="29"/>
  <c r="DT79" i="29"/>
  <c r="DU79" i="29"/>
  <c r="DW79" i="29"/>
  <c r="DX79" i="29"/>
  <c r="DY79" i="29"/>
  <c r="DQ80" i="29"/>
  <c r="DR80" i="29"/>
  <c r="DS80" i="29"/>
  <c r="DU80" i="29"/>
  <c r="DV80" i="29"/>
  <c r="DW80" i="29"/>
  <c r="DY80" i="29"/>
  <c r="DZ80" i="29"/>
  <c r="DQ81" i="29"/>
  <c r="DS81" i="29"/>
  <c r="DT81" i="29"/>
  <c r="DU81" i="29"/>
  <c r="DW81" i="29"/>
  <c r="DX81" i="29"/>
  <c r="DY81" i="29"/>
  <c r="DQ82" i="29"/>
  <c r="DR82" i="29"/>
  <c r="DS82" i="29"/>
  <c r="DU82" i="29"/>
  <c r="DV82" i="29"/>
  <c r="DW82" i="29"/>
  <c r="DY82" i="29"/>
  <c r="DZ82" i="29"/>
  <c r="DQ83" i="29"/>
  <c r="DS83" i="29"/>
  <c r="DT83" i="29"/>
  <c r="DU83" i="29"/>
  <c r="DW83" i="29"/>
  <c r="DX83" i="29"/>
  <c r="DY83" i="29"/>
  <c r="DQ84" i="29"/>
  <c r="DR84" i="29"/>
  <c r="DS84" i="29"/>
  <c r="DU84" i="29"/>
  <c r="DV84" i="29"/>
  <c r="DW84" i="29"/>
  <c r="DY84" i="29"/>
  <c r="DZ84" i="29"/>
  <c r="DQ85" i="29"/>
  <c r="DS85" i="29"/>
  <c r="DT85" i="29"/>
  <c r="DU85" i="29"/>
  <c r="DW85" i="29"/>
  <c r="DX85" i="29"/>
  <c r="DY85" i="29"/>
  <c r="DQ86" i="29"/>
  <c r="DR86" i="29"/>
  <c r="DS86" i="29"/>
  <c r="DU86" i="29"/>
  <c r="DV86" i="29"/>
  <c r="DW86" i="29"/>
  <c r="DY86" i="29"/>
  <c r="DZ86" i="29"/>
  <c r="DQ87" i="29"/>
  <c r="DS87" i="29"/>
  <c r="DT87" i="29"/>
  <c r="DU87" i="29"/>
  <c r="DW87" i="29"/>
  <c r="DX87" i="29"/>
  <c r="DY87" i="29"/>
  <c r="DQ88" i="29"/>
  <c r="DR88" i="29"/>
  <c r="DS88" i="29"/>
  <c r="DU88" i="29"/>
  <c r="DV88" i="29"/>
  <c r="DY88" i="29"/>
  <c r="DZ88" i="29"/>
  <c r="DQ89" i="29"/>
  <c r="DS89" i="29"/>
  <c r="DT89" i="29"/>
  <c r="DU89" i="29"/>
  <c r="DW89" i="29"/>
  <c r="DX89" i="29"/>
  <c r="DY89" i="29"/>
  <c r="DQ90" i="29"/>
  <c r="DR90" i="29"/>
  <c r="DU90" i="29"/>
  <c r="DV90" i="29"/>
  <c r="DW90" i="29"/>
  <c r="DY90" i="29"/>
  <c r="DZ90" i="29"/>
  <c r="DQ91" i="29"/>
  <c r="DS91" i="29"/>
  <c r="DT91" i="29"/>
  <c r="DU91" i="29"/>
  <c r="DW91" i="29"/>
  <c r="DX91" i="29"/>
  <c r="DQ92" i="29"/>
  <c r="DR92" i="29"/>
  <c r="DS92" i="29"/>
  <c r="DU92" i="29"/>
  <c r="DV92" i="29"/>
  <c r="DW92" i="29"/>
  <c r="DY92" i="29"/>
  <c r="DZ92" i="29"/>
  <c r="DQ93" i="29"/>
  <c r="DS93" i="29"/>
  <c r="DT93" i="29"/>
  <c r="DW93" i="29"/>
  <c r="DX93" i="29"/>
  <c r="DY93" i="29"/>
  <c r="DQ94" i="29"/>
  <c r="DR94" i="29"/>
  <c r="DS94" i="29"/>
  <c r="DU94" i="29"/>
  <c r="DV94" i="29"/>
  <c r="DW94" i="29"/>
  <c r="DY94" i="29"/>
  <c r="DZ94" i="29"/>
  <c r="DS95" i="29"/>
  <c r="DT95" i="29"/>
  <c r="DU95" i="29"/>
  <c r="DW95" i="29"/>
  <c r="DX95" i="29"/>
  <c r="DY95" i="29"/>
  <c r="DQ96" i="29"/>
  <c r="DR96" i="29"/>
  <c r="DS96" i="29"/>
  <c r="DU96" i="29"/>
  <c r="DV96" i="29"/>
  <c r="DY96" i="29"/>
  <c r="DZ96" i="29"/>
  <c r="DQ97" i="29"/>
  <c r="DS97" i="29"/>
  <c r="DT97" i="29"/>
  <c r="DU97" i="29"/>
  <c r="DV97" i="29"/>
  <c r="DW97" i="29"/>
  <c r="DX97" i="29"/>
  <c r="DY97" i="29"/>
  <c r="DZ97" i="29"/>
  <c r="DQ98" i="29"/>
  <c r="DR98" i="29"/>
  <c r="DS98" i="29"/>
  <c r="DT98" i="29"/>
  <c r="DU98" i="29"/>
  <c r="DV98" i="29"/>
  <c r="DW98" i="29"/>
  <c r="DX98" i="29"/>
  <c r="DY98" i="29"/>
  <c r="DZ98" i="29"/>
  <c r="DQ99" i="29"/>
  <c r="DR99" i="29"/>
  <c r="DS99" i="29"/>
  <c r="DT99" i="29"/>
  <c r="DU99" i="29"/>
  <c r="DV99" i="29"/>
  <c r="DW99" i="29"/>
  <c r="DX99" i="29"/>
  <c r="DY99" i="29"/>
  <c r="DZ99" i="29"/>
  <c r="DQ100" i="29"/>
  <c r="DR100" i="29"/>
  <c r="DS100" i="29"/>
  <c r="DT100" i="29"/>
  <c r="DU100" i="29"/>
  <c r="DV100" i="29"/>
  <c r="DW100" i="29"/>
  <c r="DX100" i="29"/>
  <c r="DY100" i="29"/>
  <c r="DZ100" i="29"/>
  <c r="DQ101" i="29"/>
  <c r="DR101" i="29"/>
  <c r="DS101" i="29"/>
  <c r="DT101" i="29"/>
  <c r="DU101" i="29"/>
  <c r="DV101" i="29"/>
  <c r="DW101" i="29"/>
  <c r="DX101" i="29"/>
  <c r="DY101" i="29"/>
  <c r="DZ101" i="29"/>
  <c r="DQ102" i="29"/>
  <c r="DR102" i="29"/>
  <c r="DS102" i="29"/>
  <c r="DT102" i="29"/>
  <c r="DU102" i="29"/>
  <c r="DV102" i="29"/>
  <c r="DW102" i="29"/>
  <c r="DX102" i="29"/>
  <c r="DY102" i="29"/>
  <c r="DZ102" i="29"/>
  <c r="DQ103" i="29"/>
  <c r="DR103" i="29"/>
  <c r="DS103" i="29"/>
  <c r="DT103" i="29"/>
  <c r="DU103" i="29"/>
  <c r="DV103" i="29"/>
  <c r="DW103" i="29"/>
  <c r="DX103" i="29"/>
  <c r="DY103" i="29"/>
  <c r="DZ103" i="29"/>
  <c r="DQ104" i="29"/>
  <c r="DR104" i="29"/>
  <c r="DS104" i="29"/>
  <c r="DT104" i="29"/>
  <c r="DU104" i="29"/>
  <c r="DV104" i="29"/>
  <c r="DW104" i="29"/>
  <c r="DX104" i="29"/>
  <c r="DY104" i="29"/>
  <c r="DZ104" i="29"/>
  <c r="DQ105" i="29"/>
  <c r="DR105" i="29"/>
  <c r="DS105" i="29"/>
  <c r="DT105" i="29"/>
  <c r="DU105" i="29"/>
  <c r="DV105" i="29"/>
  <c r="DW105" i="29"/>
  <c r="DX105" i="29"/>
  <c r="DY105" i="29"/>
  <c r="DZ105" i="29"/>
  <c r="DQ106" i="29"/>
  <c r="DR106" i="29"/>
  <c r="DS106" i="29"/>
  <c r="DT106" i="29"/>
  <c r="DU106" i="29"/>
  <c r="DV106" i="29"/>
  <c r="DW106" i="29"/>
  <c r="DX106" i="29"/>
  <c r="DY106" i="29"/>
  <c r="DZ106" i="29"/>
  <c r="DQ107" i="29"/>
  <c r="DR107" i="29"/>
  <c r="DS107" i="29"/>
  <c r="DT107" i="29"/>
  <c r="DU107" i="29"/>
  <c r="DV107" i="29"/>
  <c r="DW107" i="29"/>
  <c r="DX107" i="29"/>
  <c r="DY107" i="29"/>
  <c r="DZ107" i="29"/>
  <c r="DQ108" i="29"/>
  <c r="DR108" i="29"/>
  <c r="DS108" i="29"/>
  <c r="DT108" i="29"/>
  <c r="DU108" i="29"/>
  <c r="DV108" i="29"/>
  <c r="DW108" i="29"/>
  <c r="DX108" i="29"/>
  <c r="DY108" i="29"/>
  <c r="DZ108" i="29"/>
  <c r="DQ109" i="29"/>
  <c r="DR109" i="29"/>
  <c r="DS109" i="29"/>
  <c r="DT109" i="29"/>
  <c r="DU109" i="29"/>
  <c r="DV109" i="29"/>
  <c r="DW109" i="29"/>
  <c r="DX109" i="29"/>
  <c r="DY109" i="29"/>
  <c r="DZ109" i="29"/>
  <c r="DQ110" i="29"/>
  <c r="DR110" i="29"/>
  <c r="DS110" i="29"/>
  <c r="DT110" i="29"/>
  <c r="DU110" i="29"/>
  <c r="DV110" i="29"/>
  <c r="DW110" i="29"/>
  <c r="DX110" i="29"/>
  <c r="DY110" i="29"/>
  <c r="DZ110" i="29"/>
  <c r="DQ111" i="29"/>
  <c r="DR111" i="29"/>
  <c r="DS111" i="29"/>
  <c r="DT111" i="29"/>
  <c r="DU111" i="29"/>
  <c r="DV111" i="29"/>
  <c r="DW111" i="29"/>
  <c r="DX111" i="29"/>
  <c r="DY111" i="29"/>
  <c r="DZ111" i="29"/>
  <c r="DQ112" i="29"/>
  <c r="DR112" i="29"/>
  <c r="DS112" i="29"/>
  <c r="DT112" i="29"/>
  <c r="DU112" i="29"/>
  <c r="DV112" i="29"/>
  <c r="DW112" i="29"/>
  <c r="DX112" i="29"/>
  <c r="DY112" i="29"/>
  <c r="DZ112" i="29"/>
  <c r="DQ113" i="29"/>
  <c r="DR113" i="29"/>
  <c r="DS113" i="29"/>
  <c r="DT113" i="29"/>
  <c r="DU113" i="29"/>
  <c r="DV113" i="29"/>
  <c r="DW113" i="29"/>
  <c r="DX113" i="29"/>
  <c r="DY113" i="29"/>
  <c r="DZ113" i="29"/>
  <c r="DQ114" i="29"/>
  <c r="DR114" i="29"/>
  <c r="DS114" i="29"/>
  <c r="DT114" i="29"/>
  <c r="DU114" i="29"/>
  <c r="DV114" i="29"/>
  <c r="DW114" i="29"/>
  <c r="DX114" i="29"/>
  <c r="DY114" i="29"/>
  <c r="DZ114" i="29"/>
  <c r="DQ115" i="29"/>
  <c r="DR115" i="29"/>
  <c r="DS115" i="29"/>
  <c r="DT115" i="29"/>
  <c r="DU115" i="29"/>
  <c r="DV115" i="29"/>
  <c r="DW115" i="29"/>
  <c r="DX115" i="29"/>
  <c r="DY115" i="29"/>
  <c r="DZ115" i="29"/>
  <c r="DQ116" i="29"/>
  <c r="DR116" i="29"/>
  <c r="DS116" i="29"/>
  <c r="DT116" i="29"/>
  <c r="DU116" i="29"/>
  <c r="DV116" i="29"/>
  <c r="DW116" i="29"/>
  <c r="DX116" i="29"/>
  <c r="DY116" i="29"/>
  <c r="DZ116" i="29"/>
  <c r="DQ117" i="29"/>
  <c r="DR117" i="29"/>
  <c r="DS117" i="29"/>
  <c r="DT117" i="29"/>
  <c r="DU117" i="29"/>
  <c r="DV117" i="29"/>
  <c r="DW117" i="29"/>
  <c r="DX117" i="29"/>
  <c r="DY117" i="29"/>
  <c r="DZ117" i="29"/>
  <c r="DQ118" i="29"/>
  <c r="DR118" i="29"/>
  <c r="DS118" i="29"/>
  <c r="DT118" i="29"/>
  <c r="DU118" i="29"/>
  <c r="DV118" i="29"/>
  <c r="DW118" i="29"/>
  <c r="DX118" i="29"/>
  <c r="DY118" i="29"/>
  <c r="DZ118" i="29"/>
  <c r="DQ119" i="29"/>
  <c r="DR119" i="29"/>
  <c r="DS119" i="29"/>
  <c r="DT119" i="29"/>
  <c r="DU119" i="29"/>
  <c r="DV119" i="29"/>
  <c r="DW119" i="29"/>
  <c r="DX119" i="29"/>
  <c r="DY119" i="29"/>
  <c r="DZ119" i="29"/>
  <c r="DQ120" i="29"/>
  <c r="DR120" i="29"/>
  <c r="DS120" i="29"/>
  <c r="DT120" i="29"/>
  <c r="DU120" i="29"/>
  <c r="DV120" i="29"/>
  <c r="DW120" i="29"/>
  <c r="DX120" i="29"/>
  <c r="DY120" i="29"/>
  <c r="DZ120" i="29"/>
  <c r="DQ121" i="29"/>
  <c r="DR121" i="29"/>
  <c r="DS121" i="29"/>
  <c r="DT121" i="29"/>
  <c r="DU121" i="29"/>
  <c r="DV121" i="29"/>
  <c r="DW121" i="29"/>
  <c r="DX121" i="29"/>
  <c r="DY121" i="29"/>
  <c r="DZ121" i="29"/>
  <c r="DQ122" i="29"/>
  <c r="DR122" i="29"/>
  <c r="DS122" i="29"/>
  <c r="DT122" i="29"/>
  <c r="DU122" i="29"/>
  <c r="DV122" i="29"/>
  <c r="DW122" i="29"/>
  <c r="DX122" i="29"/>
  <c r="DY122" i="29"/>
  <c r="DZ122" i="29"/>
  <c r="DQ123" i="29"/>
  <c r="DR123" i="29"/>
  <c r="DS123" i="29"/>
  <c r="DT123" i="29"/>
  <c r="DU123" i="29"/>
  <c r="DV123" i="29"/>
  <c r="DW123" i="29"/>
  <c r="DX123" i="29"/>
  <c r="DY123" i="29"/>
  <c r="DZ123" i="29"/>
  <c r="DQ124" i="29"/>
  <c r="DR124" i="29"/>
  <c r="DS124" i="29"/>
  <c r="DT124" i="29"/>
  <c r="DU124" i="29"/>
  <c r="DV124" i="29"/>
  <c r="DW124" i="29"/>
  <c r="DX124" i="29"/>
  <c r="DY124" i="29"/>
  <c r="DZ124" i="29"/>
  <c r="DQ125" i="29"/>
  <c r="DR125" i="29"/>
  <c r="DS125" i="29"/>
  <c r="DT125" i="29"/>
  <c r="DU125" i="29"/>
  <c r="DV125" i="29"/>
  <c r="DW125" i="29"/>
  <c r="DX125" i="29"/>
  <c r="DY125" i="29"/>
  <c r="DZ125" i="29"/>
  <c r="DQ126" i="29"/>
  <c r="DR126" i="29"/>
  <c r="DS126" i="29"/>
  <c r="DT126" i="29"/>
  <c r="DU126" i="29"/>
  <c r="DV126" i="29"/>
  <c r="DW126" i="29"/>
  <c r="DX126" i="29"/>
  <c r="DY126" i="29"/>
  <c r="DZ126" i="29"/>
  <c r="DQ127" i="29"/>
  <c r="DR127" i="29"/>
  <c r="DS127" i="29"/>
  <c r="DT127" i="29"/>
  <c r="DU127" i="29"/>
  <c r="DV127" i="29"/>
  <c r="DW127" i="29"/>
  <c r="DX127" i="29"/>
  <c r="DY127" i="29"/>
  <c r="DZ127" i="29"/>
  <c r="DQ128" i="29"/>
  <c r="DR128" i="29"/>
  <c r="DS128" i="29"/>
  <c r="DT128" i="29"/>
  <c r="DU128" i="29"/>
  <c r="DV128" i="29"/>
  <c r="DW128" i="29"/>
  <c r="DX128" i="29"/>
  <c r="DY128" i="29"/>
  <c r="DZ128" i="29"/>
  <c r="DQ129" i="29"/>
  <c r="DR129" i="29"/>
  <c r="DS129" i="29"/>
  <c r="DT129" i="29"/>
  <c r="DU129" i="29"/>
  <c r="DV129" i="29"/>
  <c r="DW129" i="29"/>
  <c r="DX129" i="29"/>
  <c r="DY129" i="29"/>
  <c r="DZ129" i="29"/>
  <c r="DQ130" i="29"/>
  <c r="DR130" i="29"/>
  <c r="DS130" i="29"/>
  <c r="DT130" i="29"/>
  <c r="DU130" i="29"/>
  <c r="DV130" i="29"/>
  <c r="DW130" i="29"/>
  <c r="DX130" i="29"/>
  <c r="DY130" i="29"/>
  <c r="DZ130" i="29"/>
  <c r="DQ131" i="29"/>
  <c r="DR131" i="29"/>
  <c r="DS131" i="29"/>
  <c r="DT131" i="29"/>
  <c r="DU131" i="29"/>
  <c r="DV131" i="29"/>
  <c r="DW131" i="29"/>
  <c r="DX131" i="29"/>
  <c r="DY131" i="29"/>
  <c r="DZ131" i="29"/>
  <c r="DQ132" i="29"/>
  <c r="DR132" i="29"/>
  <c r="DS132" i="29"/>
  <c r="DT132" i="29"/>
  <c r="DU132" i="29"/>
  <c r="DV132" i="29"/>
  <c r="DW132" i="29"/>
  <c r="DX132" i="29"/>
  <c r="DY132" i="29"/>
  <c r="DZ132" i="29"/>
  <c r="DQ133" i="29"/>
  <c r="DR133" i="29"/>
  <c r="DS133" i="29"/>
  <c r="DT133" i="29"/>
  <c r="DU133" i="29"/>
  <c r="DV133" i="29"/>
  <c r="DW133" i="29"/>
  <c r="DX133" i="29"/>
  <c r="DY133" i="29"/>
  <c r="DZ133" i="29"/>
  <c r="DQ134" i="29"/>
  <c r="DR134" i="29"/>
  <c r="DS134" i="29"/>
  <c r="DT134" i="29"/>
  <c r="DU134" i="29"/>
  <c r="DV134" i="29"/>
  <c r="DW134" i="29"/>
  <c r="DX134" i="29"/>
  <c r="DY134" i="29"/>
  <c r="DZ134" i="29"/>
  <c r="DQ135" i="29"/>
  <c r="DR135" i="29"/>
  <c r="DS135" i="29"/>
  <c r="DT135" i="29"/>
  <c r="DU135" i="29"/>
  <c r="DV135" i="29"/>
  <c r="DW135" i="29"/>
  <c r="DX135" i="29"/>
  <c r="DY135" i="29"/>
  <c r="DZ135" i="29"/>
  <c r="DQ136" i="29"/>
  <c r="DR136" i="29"/>
  <c r="DS136" i="29"/>
  <c r="DT136" i="29"/>
  <c r="DU136" i="29"/>
  <c r="DV136" i="29"/>
  <c r="DW136" i="29"/>
  <c r="DX136" i="29"/>
  <c r="DY136" i="29"/>
  <c r="DZ136" i="29"/>
  <c r="DQ137" i="29"/>
  <c r="DR137" i="29"/>
  <c r="DS137" i="29"/>
  <c r="DT137" i="29"/>
  <c r="DU137" i="29"/>
  <c r="DV137" i="29"/>
  <c r="DW137" i="29"/>
  <c r="DX137" i="29"/>
  <c r="DY137" i="29"/>
  <c r="DZ137" i="29"/>
  <c r="DQ138" i="29"/>
  <c r="DR138" i="29"/>
  <c r="DS138" i="29"/>
  <c r="DT138" i="29"/>
  <c r="DU138" i="29"/>
  <c r="DV138" i="29"/>
  <c r="DW138" i="29"/>
  <c r="DX138" i="29"/>
  <c r="DY138" i="29"/>
  <c r="DZ138" i="29"/>
  <c r="DQ139" i="29"/>
  <c r="DR139" i="29"/>
  <c r="DS139" i="29"/>
  <c r="DT139" i="29"/>
  <c r="DU139" i="29"/>
  <c r="DV139" i="29"/>
  <c r="DW139" i="29"/>
  <c r="DX139" i="29"/>
  <c r="DY139" i="29"/>
  <c r="DZ139" i="29"/>
  <c r="DQ140" i="29"/>
  <c r="DR140" i="29"/>
  <c r="DS140" i="29"/>
  <c r="DT140" i="29"/>
  <c r="DU140" i="29"/>
  <c r="DV140" i="29"/>
  <c r="DW140" i="29"/>
  <c r="DX140" i="29"/>
  <c r="DY140" i="29"/>
  <c r="DZ140" i="29"/>
  <c r="DQ141" i="29"/>
  <c r="DR141" i="29"/>
  <c r="DS141" i="29"/>
  <c r="DT141" i="29"/>
  <c r="DU141" i="29"/>
  <c r="DV141" i="29"/>
  <c r="DW141" i="29"/>
  <c r="DX141" i="29"/>
  <c r="DY141" i="29"/>
  <c r="DZ141" i="29"/>
  <c r="DQ142" i="29"/>
  <c r="DR142" i="29"/>
  <c r="DS142" i="29"/>
  <c r="DT142" i="29"/>
  <c r="DU142" i="29"/>
  <c r="DV142" i="29"/>
  <c r="DW142" i="29"/>
  <c r="DX142" i="29"/>
  <c r="DY142" i="29"/>
  <c r="DZ142" i="29"/>
  <c r="DQ143" i="29"/>
  <c r="DR143" i="29"/>
  <c r="DS143" i="29"/>
  <c r="DT143" i="29"/>
  <c r="DU143" i="29"/>
  <c r="DV143" i="29"/>
  <c r="DW143" i="29"/>
  <c r="DX143" i="29"/>
  <c r="DY143" i="29"/>
  <c r="DZ143" i="29"/>
  <c r="DQ144" i="29"/>
  <c r="DR144" i="29"/>
  <c r="DS144" i="29"/>
  <c r="DT144" i="29"/>
  <c r="DU144" i="29"/>
  <c r="DV144" i="29"/>
  <c r="DW144" i="29"/>
  <c r="DX144" i="29"/>
  <c r="DY144" i="29"/>
  <c r="DZ144" i="29"/>
  <c r="DQ145" i="29"/>
  <c r="DR145" i="29"/>
  <c r="DS145" i="29"/>
  <c r="DT145" i="29"/>
  <c r="DU145" i="29"/>
  <c r="DV145" i="29"/>
  <c r="DW145" i="29"/>
  <c r="DX145" i="29"/>
  <c r="DY145" i="29"/>
  <c r="DZ145" i="29"/>
  <c r="DQ146" i="29"/>
  <c r="DR146" i="29"/>
  <c r="DS146" i="29"/>
  <c r="DT146" i="29"/>
  <c r="DU146" i="29"/>
  <c r="DV146" i="29"/>
  <c r="DW146" i="29"/>
  <c r="DX146" i="29"/>
  <c r="DY146" i="29"/>
  <c r="DZ146" i="29"/>
  <c r="DQ147" i="29"/>
  <c r="DR147" i="29"/>
  <c r="DS147" i="29"/>
  <c r="DT147" i="29"/>
  <c r="DU147" i="29"/>
  <c r="DV147" i="29"/>
  <c r="DW147" i="29"/>
  <c r="DX147" i="29"/>
  <c r="DY147" i="29"/>
  <c r="DZ147" i="29"/>
  <c r="DQ148" i="29"/>
  <c r="DR148" i="29"/>
  <c r="DS148" i="29"/>
  <c r="DT148" i="29"/>
  <c r="DU148" i="29"/>
  <c r="DV148" i="29"/>
  <c r="DW148" i="29"/>
  <c r="DX148" i="29"/>
  <c r="DY148" i="29"/>
  <c r="DZ148" i="29"/>
  <c r="DQ149" i="29"/>
  <c r="DR149" i="29"/>
  <c r="DS149" i="29"/>
  <c r="DT149" i="29"/>
  <c r="DU149" i="29"/>
  <c r="DV149" i="29"/>
  <c r="DW149" i="29"/>
  <c r="DX149" i="29"/>
  <c r="DY149" i="29"/>
  <c r="DZ149" i="29"/>
  <c r="DQ150" i="29"/>
  <c r="DR150" i="29"/>
  <c r="DS150" i="29"/>
  <c r="DT150" i="29"/>
  <c r="DU150" i="29"/>
  <c r="DV150" i="29"/>
  <c r="DW150" i="29"/>
  <c r="DX150" i="29"/>
  <c r="DY150" i="29"/>
  <c r="DZ150" i="29"/>
  <c r="DQ151" i="29"/>
  <c r="DR151" i="29"/>
  <c r="DS151" i="29"/>
  <c r="DT151" i="29"/>
  <c r="DU151" i="29"/>
  <c r="DV151" i="29"/>
  <c r="DW151" i="29"/>
  <c r="DX151" i="29"/>
  <c r="DY151" i="29"/>
  <c r="DZ151" i="29"/>
  <c r="DQ152" i="29"/>
  <c r="DR152" i="29"/>
  <c r="DS152" i="29"/>
  <c r="DT152" i="29"/>
  <c r="DU152" i="29"/>
  <c r="DV152" i="29"/>
  <c r="DW152" i="29"/>
  <c r="DX152" i="29"/>
  <c r="DY152" i="29"/>
  <c r="DZ152" i="29"/>
  <c r="DQ153" i="29"/>
  <c r="DR153" i="29"/>
  <c r="DS153" i="29"/>
  <c r="DT153" i="29"/>
  <c r="DU153" i="29"/>
  <c r="DV153" i="29"/>
  <c r="DW153" i="29"/>
  <c r="DX153" i="29"/>
  <c r="DY153" i="29"/>
  <c r="DZ153" i="29"/>
  <c r="DQ154" i="29"/>
  <c r="DR154" i="29"/>
  <c r="DS154" i="29"/>
  <c r="DT154" i="29"/>
  <c r="DU154" i="29"/>
  <c r="DV154" i="29"/>
  <c r="DW154" i="29"/>
  <c r="DX154" i="29"/>
  <c r="DY154" i="29"/>
  <c r="DZ154" i="29"/>
  <c r="DQ155" i="29"/>
  <c r="DR155" i="29"/>
  <c r="DS155" i="29"/>
  <c r="DT155" i="29"/>
  <c r="DU155" i="29"/>
  <c r="DV155" i="29"/>
  <c r="DW155" i="29"/>
  <c r="DX155" i="29"/>
  <c r="DY155" i="29"/>
  <c r="DZ155" i="29"/>
  <c r="DQ156" i="29"/>
  <c r="DR156" i="29"/>
  <c r="DS156" i="29"/>
  <c r="DT156" i="29"/>
  <c r="DU156" i="29"/>
  <c r="DV156" i="29"/>
  <c r="DW156" i="29"/>
  <c r="DX156" i="29"/>
  <c r="DY156" i="29"/>
  <c r="DZ156" i="29"/>
  <c r="DQ157" i="29"/>
  <c r="DR157" i="29"/>
  <c r="DS157" i="29"/>
  <c r="DT157" i="29"/>
  <c r="DU157" i="29"/>
  <c r="DV157" i="29"/>
  <c r="DW157" i="29"/>
  <c r="DX157" i="29"/>
  <c r="DY157" i="29"/>
  <c r="DZ157" i="29"/>
  <c r="DQ158" i="29"/>
  <c r="DR158" i="29"/>
  <c r="DS158" i="29"/>
  <c r="DT158" i="29"/>
  <c r="DU158" i="29"/>
  <c r="DV158" i="29"/>
  <c r="DW158" i="29"/>
  <c r="DX158" i="29"/>
  <c r="DY158" i="29"/>
  <c r="DZ158" i="29"/>
  <c r="DQ159" i="29"/>
  <c r="DR159" i="29"/>
  <c r="DS159" i="29"/>
  <c r="DT159" i="29"/>
  <c r="DU159" i="29"/>
  <c r="DV159" i="29"/>
  <c r="DW159" i="29"/>
  <c r="DX159" i="29"/>
  <c r="DY159" i="29"/>
  <c r="DZ159" i="29"/>
  <c r="DQ160" i="29"/>
  <c r="DR160" i="29"/>
  <c r="DS160" i="29"/>
  <c r="DT160" i="29"/>
  <c r="DU160" i="29"/>
  <c r="DV160" i="29"/>
  <c r="DW160" i="29"/>
  <c r="DX160" i="29"/>
  <c r="DY160" i="29"/>
  <c r="DZ160" i="29"/>
  <c r="DQ161" i="29"/>
  <c r="DR161" i="29"/>
  <c r="DS161" i="29"/>
  <c r="DT161" i="29"/>
  <c r="DU161" i="29"/>
  <c r="DV161" i="29"/>
  <c r="DW161" i="29"/>
  <c r="DX161" i="29"/>
  <c r="DY161" i="29"/>
  <c r="DZ161" i="29"/>
  <c r="DQ162" i="29"/>
  <c r="DR162" i="29"/>
  <c r="DS162" i="29"/>
  <c r="DT162" i="29"/>
  <c r="DU162" i="29"/>
  <c r="DV162" i="29"/>
  <c r="DW162" i="29"/>
  <c r="DX162" i="29"/>
  <c r="DY162" i="29"/>
  <c r="DZ162" i="29"/>
  <c r="DQ163" i="29"/>
  <c r="DR163" i="29"/>
  <c r="DS163" i="29"/>
  <c r="DT163" i="29"/>
  <c r="DU163" i="29"/>
  <c r="DV163" i="29"/>
  <c r="DW163" i="29"/>
  <c r="DX163" i="29"/>
  <c r="DY163" i="29"/>
  <c r="DZ163" i="29"/>
  <c r="DQ164" i="29"/>
  <c r="DR164" i="29"/>
  <c r="DS164" i="29"/>
  <c r="DT164" i="29"/>
  <c r="DU164" i="29"/>
  <c r="DV164" i="29"/>
  <c r="DW164" i="29"/>
  <c r="DX164" i="29"/>
  <c r="DY164" i="29"/>
  <c r="DZ164" i="29"/>
  <c r="DQ165" i="29"/>
  <c r="DR165" i="29"/>
  <c r="DS165" i="29"/>
  <c r="DT165" i="29"/>
  <c r="DU165" i="29"/>
  <c r="DV165" i="29"/>
  <c r="DW165" i="29"/>
  <c r="DX165" i="29"/>
  <c r="DY165" i="29"/>
  <c r="DZ165" i="29"/>
  <c r="DQ166" i="29"/>
  <c r="DR166" i="29"/>
  <c r="DS166" i="29"/>
  <c r="DT166" i="29"/>
  <c r="DU166" i="29"/>
  <c r="DV166" i="29"/>
  <c r="DW166" i="29"/>
  <c r="DX166" i="29"/>
  <c r="DY166" i="29"/>
  <c r="DZ166" i="29"/>
  <c r="DQ167" i="29"/>
  <c r="DR167" i="29"/>
  <c r="DS167" i="29"/>
  <c r="DT167" i="29"/>
  <c r="DU167" i="29"/>
  <c r="DV167" i="29"/>
  <c r="DW167" i="29"/>
  <c r="DX167" i="29"/>
  <c r="DY167" i="29"/>
  <c r="DZ167" i="29"/>
  <c r="DQ168" i="29"/>
  <c r="DR168" i="29"/>
  <c r="DS168" i="29"/>
  <c r="DT168" i="29"/>
  <c r="DU168" i="29"/>
  <c r="DV168" i="29"/>
  <c r="DW168" i="29"/>
  <c r="DX168" i="29"/>
  <c r="DY168" i="29"/>
  <c r="DZ168" i="29"/>
  <c r="DQ169" i="29"/>
  <c r="DR169" i="29"/>
  <c r="DS169" i="29"/>
  <c r="DT169" i="29"/>
  <c r="DU169" i="29"/>
  <c r="DV169" i="29"/>
  <c r="DW169" i="29"/>
  <c r="DX169" i="29"/>
  <c r="DY169" i="29"/>
  <c r="DZ169" i="29"/>
  <c r="DQ170" i="29"/>
  <c r="DR170" i="29"/>
  <c r="DS170" i="29"/>
  <c r="DT170" i="29"/>
  <c r="DU170" i="29"/>
  <c r="DV170" i="29"/>
  <c r="DW170" i="29"/>
  <c r="DX170" i="29"/>
  <c r="DY170" i="29"/>
  <c r="DZ170" i="29"/>
  <c r="DQ171" i="29"/>
  <c r="DR171" i="29"/>
  <c r="DS171" i="29"/>
  <c r="DT171" i="29"/>
  <c r="DU171" i="29"/>
  <c r="DV171" i="29"/>
  <c r="DW171" i="29"/>
  <c r="DX171" i="29"/>
  <c r="DY171" i="29"/>
  <c r="DZ171" i="29"/>
  <c r="DQ172" i="29"/>
  <c r="DR172" i="29"/>
  <c r="DS172" i="29"/>
  <c r="DT172" i="29"/>
  <c r="DU172" i="29"/>
  <c r="DV172" i="29"/>
  <c r="DW172" i="29"/>
  <c r="DX172" i="29"/>
  <c r="DY172" i="29"/>
  <c r="DZ172" i="29"/>
  <c r="DQ173" i="29"/>
  <c r="DR173" i="29"/>
  <c r="DS173" i="29"/>
  <c r="DT173" i="29"/>
  <c r="DU173" i="29"/>
  <c r="DV173" i="29"/>
  <c r="DW173" i="29"/>
  <c r="DX173" i="29"/>
  <c r="DY173" i="29"/>
  <c r="DZ173" i="29"/>
  <c r="DQ174" i="29"/>
  <c r="DR174" i="29"/>
  <c r="DS174" i="29"/>
  <c r="DT174" i="29"/>
  <c r="DU174" i="29"/>
  <c r="DV174" i="29"/>
  <c r="DW174" i="29"/>
  <c r="DX174" i="29"/>
  <c r="DY174" i="29"/>
  <c r="DZ174" i="29"/>
  <c r="DQ175" i="29"/>
  <c r="DR175" i="29"/>
  <c r="DS175" i="29"/>
  <c r="DT175" i="29"/>
  <c r="DU175" i="29"/>
  <c r="DV175" i="29"/>
  <c r="DW175" i="29"/>
  <c r="DX175" i="29"/>
  <c r="DY175" i="29"/>
  <c r="DZ175" i="29"/>
  <c r="DQ176" i="29"/>
  <c r="DR176" i="29"/>
  <c r="DS176" i="29"/>
  <c r="DT176" i="29"/>
  <c r="DU176" i="29"/>
  <c r="DV176" i="29"/>
  <c r="DW176" i="29"/>
  <c r="DX176" i="29"/>
  <c r="DY176" i="29"/>
  <c r="DZ176" i="29"/>
  <c r="DQ177" i="29"/>
  <c r="DR177" i="29"/>
  <c r="DS177" i="29"/>
  <c r="DT177" i="29"/>
  <c r="DU177" i="29"/>
  <c r="DV177" i="29"/>
  <c r="DW177" i="29"/>
  <c r="DX177" i="29"/>
  <c r="DY177" i="29"/>
  <c r="DZ177" i="29"/>
  <c r="DQ178" i="29"/>
  <c r="DR178" i="29"/>
  <c r="DS178" i="29"/>
  <c r="DT178" i="29"/>
  <c r="DU178" i="29"/>
  <c r="DV178" i="29"/>
  <c r="DW178" i="29"/>
  <c r="DX178" i="29"/>
  <c r="DY178" i="29"/>
  <c r="DZ178" i="29"/>
  <c r="DQ179" i="29"/>
  <c r="DR179" i="29"/>
  <c r="DS179" i="29"/>
  <c r="DT179" i="29"/>
  <c r="DU179" i="29"/>
  <c r="DV179" i="29"/>
  <c r="DW179" i="29"/>
  <c r="DX179" i="29"/>
  <c r="DY179" i="29"/>
  <c r="DZ179" i="29"/>
  <c r="DQ180" i="29"/>
  <c r="DR180" i="29"/>
  <c r="DS180" i="29"/>
  <c r="DT180" i="29"/>
  <c r="DU180" i="29"/>
  <c r="DV180" i="29"/>
  <c r="DW180" i="29"/>
  <c r="DX180" i="29"/>
  <c r="DY180" i="29"/>
  <c r="DZ180" i="29"/>
  <c r="DQ181" i="29"/>
  <c r="DR181" i="29"/>
  <c r="DS181" i="29"/>
  <c r="DT181" i="29"/>
  <c r="DU181" i="29"/>
  <c r="DV181" i="29"/>
  <c r="DW181" i="29"/>
  <c r="DX181" i="29"/>
  <c r="DY181" i="29"/>
  <c r="DZ181" i="29"/>
  <c r="DQ182" i="29"/>
  <c r="DR182" i="29"/>
  <c r="DS182" i="29"/>
  <c r="DT182" i="29"/>
  <c r="DU182" i="29"/>
  <c r="DV182" i="29"/>
  <c r="DW182" i="29"/>
  <c r="DX182" i="29"/>
  <c r="DY182" i="29"/>
  <c r="DZ182" i="29"/>
  <c r="DQ183" i="29"/>
  <c r="DR183" i="29"/>
  <c r="DS183" i="29"/>
  <c r="DT183" i="29"/>
  <c r="DU183" i="29"/>
  <c r="DV183" i="29"/>
  <c r="DW183" i="29"/>
  <c r="DX183" i="29"/>
  <c r="DY183" i="29"/>
  <c r="DZ183" i="29"/>
  <c r="DQ184" i="29"/>
  <c r="DR184" i="29"/>
  <c r="DS184" i="29"/>
  <c r="DT184" i="29"/>
  <c r="DU184" i="29"/>
  <c r="DV184" i="29"/>
  <c r="DW184" i="29"/>
  <c r="DX184" i="29"/>
  <c r="DY184" i="29"/>
  <c r="DZ184" i="29"/>
  <c r="DQ185" i="29"/>
  <c r="DR185" i="29"/>
  <c r="DS185" i="29"/>
  <c r="DT185" i="29"/>
  <c r="DU185" i="29"/>
  <c r="DV185" i="29"/>
  <c r="DW185" i="29"/>
  <c r="DX185" i="29"/>
  <c r="DY185" i="29"/>
  <c r="DZ185" i="29"/>
  <c r="DQ186" i="29"/>
  <c r="DR186" i="29"/>
  <c r="DS186" i="29"/>
  <c r="DT186" i="29"/>
  <c r="DU186" i="29"/>
  <c r="DV186" i="29"/>
  <c r="DW186" i="29"/>
  <c r="DX186" i="29"/>
  <c r="DY186" i="29"/>
  <c r="DZ186" i="29"/>
  <c r="DQ187" i="29"/>
  <c r="DR187" i="29"/>
  <c r="DS187" i="29"/>
  <c r="DT187" i="29"/>
  <c r="DU187" i="29"/>
  <c r="DV187" i="29"/>
  <c r="DW187" i="29"/>
  <c r="DX187" i="29"/>
  <c r="DY187" i="29"/>
  <c r="DZ187" i="29"/>
  <c r="DQ188" i="29"/>
  <c r="DR188" i="29"/>
  <c r="DS188" i="29"/>
  <c r="DT188" i="29"/>
  <c r="DU188" i="29"/>
  <c r="DV188" i="29"/>
  <c r="DW188" i="29"/>
  <c r="DX188" i="29"/>
  <c r="DY188" i="29"/>
  <c r="DZ188" i="29"/>
  <c r="DQ189" i="29"/>
  <c r="DR189" i="29"/>
  <c r="DS189" i="29"/>
  <c r="DT189" i="29"/>
  <c r="DU189" i="29"/>
  <c r="DV189" i="29"/>
  <c r="DW189" i="29"/>
  <c r="DX189" i="29"/>
  <c r="DY189" i="29"/>
  <c r="DZ189" i="29"/>
  <c r="DQ190" i="29"/>
  <c r="DR190" i="29"/>
  <c r="DS190" i="29"/>
  <c r="DT190" i="29"/>
  <c r="DU190" i="29"/>
  <c r="DV190" i="29"/>
  <c r="DW190" i="29"/>
  <c r="DX190" i="29"/>
  <c r="DY190" i="29"/>
  <c r="DZ190" i="29"/>
  <c r="DQ191" i="29"/>
  <c r="DR191" i="29"/>
  <c r="DS191" i="29"/>
  <c r="DT191" i="29"/>
  <c r="DU191" i="29"/>
  <c r="DV191" i="29"/>
  <c r="DW191" i="29"/>
  <c r="DX191" i="29"/>
  <c r="DY191" i="29"/>
  <c r="DZ191" i="29"/>
  <c r="DQ192" i="29"/>
  <c r="DR192" i="29"/>
  <c r="DS192" i="29"/>
  <c r="DT192" i="29"/>
  <c r="DU192" i="29"/>
  <c r="DV192" i="29"/>
  <c r="DW192" i="29"/>
  <c r="DX192" i="29"/>
  <c r="DY192" i="29"/>
  <c r="DZ192" i="29"/>
  <c r="DQ193" i="29"/>
  <c r="DR193" i="29"/>
  <c r="DS193" i="29"/>
  <c r="DT193" i="29"/>
  <c r="DU193" i="29"/>
  <c r="DV193" i="29"/>
  <c r="DW193" i="29"/>
  <c r="DX193" i="29"/>
  <c r="DY193" i="29"/>
  <c r="DZ193" i="29"/>
  <c r="DQ194" i="29"/>
  <c r="DR194" i="29"/>
  <c r="DS194" i="29"/>
  <c r="DT194" i="29"/>
  <c r="DU194" i="29"/>
  <c r="DV194" i="29"/>
  <c r="DW194" i="29"/>
  <c r="DX194" i="29"/>
  <c r="DY194" i="29"/>
  <c r="DZ194" i="29"/>
  <c r="DQ195" i="29"/>
  <c r="DR195" i="29"/>
  <c r="DS195" i="29"/>
  <c r="DT195" i="29"/>
  <c r="DU195" i="29"/>
  <c r="DV195" i="29"/>
  <c r="DW195" i="29"/>
  <c r="DX195" i="29"/>
  <c r="DY195" i="29"/>
  <c r="DZ195" i="29"/>
  <c r="DQ196" i="29"/>
  <c r="DR196" i="29"/>
  <c r="DS196" i="29"/>
  <c r="DT196" i="29"/>
  <c r="DU196" i="29"/>
  <c r="DV196" i="29"/>
  <c r="DW196" i="29"/>
  <c r="DX196" i="29"/>
  <c r="DY196" i="29"/>
  <c r="DZ196" i="29"/>
  <c r="DQ197" i="29"/>
  <c r="DR197" i="29"/>
  <c r="DS197" i="29"/>
  <c r="DT197" i="29"/>
  <c r="DU197" i="29"/>
  <c r="DV197" i="29"/>
  <c r="DW197" i="29"/>
  <c r="DX197" i="29"/>
  <c r="DY197" i="29"/>
  <c r="DZ197" i="29"/>
  <c r="DQ198" i="29"/>
  <c r="DR198" i="29"/>
  <c r="DS198" i="29"/>
  <c r="DT198" i="29"/>
  <c r="DU198" i="29"/>
  <c r="DV198" i="29"/>
  <c r="DW198" i="29"/>
  <c r="DX198" i="29"/>
  <c r="DY198" i="29"/>
  <c r="DZ198" i="29"/>
  <c r="DQ199" i="29"/>
  <c r="DR199" i="29"/>
  <c r="DS199" i="29"/>
  <c r="DT199" i="29"/>
  <c r="DU199" i="29"/>
  <c r="DV199" i="29"/>
  <c r="DW199" i="29"/>
  <c r="DX199" i="29"/>
  <c r="DY199" i="29"/>
  <c r="DZ199" i="29"/>
  <c r="DQ200" i="29"/>
  <c r="DR200" i="29"/>
  <c r="DS200" i="29"/>
  <c r="DT200" i="29"/>
  <c r="DU200" i="29"/>
  <c r="DV200" i="29"/>
  <c r="DW200" i="29"/>
  <c r="DX200" i="29"/>
  <c r="DY200" i="29"/>
  <c r="DZ200" i="29"/>
  <c r="DQ201" i="29"/>
  <c r="DR201" i="29"/>
  <c r="DS201" i="29"/>
  <c r="DT201" i="29"/>
  <c r="DU201" i="29"/>
  <c r="DV201" i="29"/>
  <c r="DW201" i="29"/>
  <c r="DX201" i="29"/>
  <c r="DY201" i="29"/>
  <c r="DZ201" i="29"/>
  <c r="DQ202" i="29"/>
  <c r="DR202" i="29"/>
  <c r="DS202" i="29"/>
  <c r="DT202" i="29"/>
  <c r="DU202" i="29"/>
  <c r="DV202" i="29"/>
  <c r="DW202" i="29"/>
  <c r="DX202" i="29"/>
  <c r="DY202" i="29"/>
  <c r="DZ202" i="29"/>
  <c r="DQ203" i="29"/>
  <c r="DR203" i="29"/>
  <c r="DS203" i="29"/>
  <c r="DT203" i="29"/>
  <c r="DU203" i="29"/>
  <c r="DV203" i="29"/>
  <c r="DW203" i="29"/>
  <c r="DX203" i="29"/>
  <c r="DY203" i="29"/>
  <c r="DZ203" i="29"/>
  <c r="DQ204" i="29"/>
  <c r="DR204" i="29"/>
  <c r="DS204" i="29"/>
  <c r="DT204" i="29"/>
  <c r="DU204" i="29"/>
  <c r="DV204" i="29"/>
  <c r="DW204" i="29"/>
  <c r="DX204" i="29"/>
  <c r="DY204" i="29"/>
  <c r="DZ204" i="29"/>
  <c r="DQ205" i="29"/>
  <c r="DR205" i="29"/>
  <c r="DS205" i="29"/>
  <c r="DT205" i="29"/>
  <c r="DU205" i="29"/>
  <c r="DV205" i="29"/>
  <c r="DW205" i="29"/>
  <c r="DX205" i="29"/>
  <c r="DY205" i="29"/>
  <c r="DZ205" i="29"/>
  <c r="DQ206" i="29"/>
  <c r="DR206" i="29"/>
  <c r="DS206" i="29"/>
  <c r="DT206" i="29"/>
  <c r="DU206" i="29"/>
  <c r="DV206" i="29"/>
  <c r="DW206" i="29"/>
  <c r="DX206" i="29"/>
  <c r="DY206" i="29"/>
  <c r="DZ206" i="29"/>
  <c r="DQ207" i="29"/>
  <c r="DR207" i="29"/>
  <c r="DS207" i="29"/>
  <c r="DT207" i="29"/>
  <c r="DU207" i="29"/>
  <c r="DV207" i="29"/>
  <c r="DW207" i="29"/>
  <c r="DX207" i="29"/>
  <c r="DY207" i="29"/>
  <c r="DZ207" i="29"/>
  <c r="DQ208" i="29"/>
  <c r="DR208" i="29"/>
  <c r="DS208" i="29"/>
  <c r="DT208" i="29"/>
  <c r="DU208" i="29"/>
  <c r="DV208" i="29"/>
  <c r="DW208" i="29"/>
  <c r="DX208" i="29"/>
  <c r="DY208" i="29"/>
  <c r="DZ208" i="29"/>
  <c r="DQ209" i="29"/>
  <c r="DR209" i="29"/>
  <c r="DS209" i="29"/>
  <c r="DT209" i="29"/>
  <c r="DU209" i="29"/>
  <c r="DV209" i="29"/>
  <c r="DW209" i="29"/>
  <c r="DX209" i="29"/>
  <c r="DY209" i="29"/>
  <c r="DZ209" i="29"/>
  <c r="DQ210" i="29"/>
  <c r="DR210" i="29"/>
  <c r="DS210" i="29"/>
  <c r="DT210" i="29"/>
  <c r="DU210" i="29"/>
  <c r="DV210" i="29"/>
  <c r="DW210" i="29"/>
  <c r="DX210" i="29"/>
  <c r="DY210" i="29"/>
  <c r="DZ210" i="29"/>
  <c r="DQ211" i="29"/>
  <c r="DR211" i="29"/>
  <c r="DS211" i="29"/>
  <c r="DT211" i="29"/>
  <c r="DU211" i="29"/>
  <c r="DV211" i="29"/>
  <c r="DW211" i="29"/>
  <c r="DX211" i="29"/>
  <c r="DY211" i="29"/>
  <c r="DZ211" i="29"/>
  <c r="DQ212" i="29"/>
  <c r="DR212" i="29"/>
  <c r="DS212" i="29"/>
  <c r="DT212" i="29"/>
  <c r="DU212" i="29"/>
  <c r="DV212" i="29"/>
  <c r="DW212" i="29"/>
  <c r="DX212" i="29"/>
  <c r="DY212" i="29"/>
  <c r="DZ212" i="29"/>
  <c r="DQ213" i="29"/>
  <c r="DR213" i="29"/>
  <c r="DS213" i="29"/>
  <c r="DT213" i="29"/>
  <c r="DU213" i="29"/>
  <c r="DV213" i="29"/>
  <c r="DW213" i="29"/>
  <c r="DX213" i="29"/>
  <c r="DY213" i="29"/>
  <c r="DZ213" i="29"/>
  <c r="DQ214" i="29"/>
  <c r="DR214" i="29"/>
  <c r="DS214" i="29"/>
  <c r="DT214" i="29"/>
  <c r="DU214" i="29"/>
  <c r="DV214" i="29"/>
  <c r="DW214" i="29"/>
  <c r="DX214" i="29"/>
  <c r="DY214" i="29"/>
  <c r="DZ214" i="29"/>
  <c r="DQ215" i="29"/>
  <c r="DR215" i="29"/>
  <c r="DS215" i="29"/>
  <c r="DT215" i="29"/>
  <c r="DU215" i="29"/>
  <c r="DV215" i="29"/>
  <c r="DW215" i="29"/>
  <c r="DX215" i="29"/>
  <c r="DY215" i="29"/>
  <c r="DZ215" i="29"/>
  <c r="DQ216" i="29"/>
  <c r="DR216" i="29"/>
  <c r="DS216" i="29"/>
  <c r="DT216" i="29"/>
  <c r="DU216" i="29"/>
  <c r="DV216" i="29"/>
  <c r="DW216" i="29"/>
  <c r="DX216" i="29"/>
  <c r="DY216" i="29"/>
  <c r="DZ216" i="29"/>
  <c r="DQ217" i="29"/>
  <c r="DR217" i="29"/>
  <c r="DS217" i="29"/>
  <c r="DT217" i="29"/>
  <c r="DU217" i="29"/>
  <c r="DV217" i="29"/>
  <c r="DW217" i="29"/>
  <c r="DX217" i="29"/>
  <c r="DY217" i="29"/>
  <c r="DZ217" i="29"/>
  <c r="DQ218" i="29"/>
  <c r="DR218" i="29"/>
  <c r="DS218" i="29"/>
  <c r="DT218" i="29"/>
  <c r="DU218" i="29"/>
  <c r="DV218" i="29"/>
  <c r="DW218" i="29"/>
  <c r="DX218" i="29"/>
  <c r="DY218" i="29"/>
  <c r="DZ218" i="29"/>
  <c r="DQ219" i="29"/>
  <c r="DR219" i="29"/>
  <c r="DS219" i="29"/>
  <c r="DT219" i="29"/>
  <c r="DU219" i="29"/>
  <c r="DV219" i="29"/>
  <c r="DW219" i="29"/>
  <c r="DX219" i="29"/>
  <c r="DY219" i="29"/>
  <c r="DZ219" i="29"/>
  <c r="DQ220" i="29"/>
  <c r="DR220" i="29"/>
  <c r="DS220" i="29"/>
  <c r="DT220" i="29"/>
  <c r="DU220" i="29"/>
  <c r="DV220" i="29"/>
  <c r="DW220" i="29"/>
  <c r="DX220" i="29"/>
  <c r="DY220" i="29"/>
  <c r="DZ220" i="29"/>
  <c r="DQ221" i="29"/>
  <c r="DR221" i="29"/>
  <c r="DS221" i="29"/>
  <c r="DT221" i="29"/>
  <c r="DU221" i="29"/>
  <c r="DV221" i="29"/>
  <c r="DW221" i="29"/>
  <c r="DX221" i="29"/>
  <c r="DY221" i="29"/>
  <c r="DZ221" i="29"/>
  <c r="DQ222" i="29"/>
  <c r="DR222" i="29"/>
  <c r="DS222" i="29"/>
  <c r="DT222" i="29"/>
  <c r="DU222" i="29"/>
  <c r="DV222" i="29"/>
  <c r="DW222" i="29"/>
  <c r="DX222" i="29"/>
  <c r="DY222" i="29"/>
  <c r="DZ222" i="29"/>
  <c r="DQ223" i="29"/>
  <c r="DR223" i="29"/>
  <c r="DS223" i="29"/>
  <c r="DT223" i="29"/>
  <c r="DU223" i="29"/>
  <c r="DV223" i="29"/>
  <c r="DW223" i="29"/>
  <c r="DX223" i="29"/>
  <c r="DY223" i="29"/>
  <c r="DZ223" i="29"/>
  <c r="DQ224" i="29"/>
  <c r="DR224" i="29"/>
  <c r="DS224" i="29"/>
  <c r="DT224" i="29"/>
  <c r="DU224" i="29"/>
  <c r="DV224" i="29"/>
  <c r="DW224" i="29"/>
  <c r="DX224" i="29"/>
  <c r="DY224" i="29"/>
  <c r="DZ224" i="29"/>
  <c r="DQ225" i="29"/>
  <c r="DR225" i="29"/>
  <c r="DS225" i="29"/>
  <c r="DT225" i="29"/>
  <c r="DU225" i="29"/>
  <c r="DV225" i="29"/>
  <c r="DW225" i="29"/>
  <c r="DX225" i="29"/>
  <c r="DY225" i="29"/>
  <c r="DZ225" i="29"/>
  <c r="DQ226" i="29"/>
  <c r="DR226" i="29"/>
  <c r="DS226" i="29"/>
  <c r="DT226" i="29"/>
  <c r="DU226" i="29"/>
  <c r="DV226" i="29"/>
  <c r="DW226" i="29"/>
  <c r="DX226" i="29"/>
  <c r="DY226" i="29"/>
  <c r="DZ226" i="29"/>
  <c r="DQ227" i="29"/>
  <c r="DR227" i="29"/>
  <c r="DS227" i="29"/>
  <c r="DT227" i="29"/>
  <c r="DU227" i="29"/>
  <c r="DV227" i="29"/>
  <c r="DW227" i="29"/>
  <c r="DX227" i="29"/>
  <c r="DY227" i="29"/>
  <c r="DZ227" i="29"/>
  <c r="DQ228" i="29"/>
  <c r="DR228" i="29"/>
  <c r="DS228" i="29"/>
  <c r="DT228" i="29"/>
  <c r="DU228" i="29"/>
  <c r="DV228" i="29"/>
  <c r="DW228" i="29"/>
  <c r="DX228" i="29"/>
  <c r="DY228" i="29"/>
  <c r="DZ228" i="29"/>
  <c r="DQ229" i="29"/>
  <c r="DR229" i="29"/>
  <c r="DS229" i="29"/>
  <c r="DT229" i="29"/>
  <c r="DU229" i="29"/>
  <c r="DV229" i="29"/>
  <c r="DW229" i="29"/>
  <c r="DX229" i="29"/>
  <c r="DY229" i="29"/>
  <c r="DZ229" i="29"/>
  <c r="DQ230" i="29"/>
  <c r="DR230" i="29"/>
  <c r="DS230" i="29"/>
  <c r="DT230" i="29"/>
  <c r="DU230" i="29"/>
  <c r="DV230" i="29"/>
  <c r="DW230" i="29"/>
  <c r="DX230" i="29"/>
  <c r="DY230" i="29"/>
  <c r="DZ230" i="29"/>
  <c r="DQ231" i="29"/>
  <c r="DR231" i="29"/>
  <c r="DS231" i="29"/>
  <c r="DT231" i="29"/>
  <c r="DU231" i="29"/>
  <c r="DV231" i="29"/>
  <c r="DW231" i="29"/>
  <c r="DX231" i="29"/>
  <c r="DY231" i="29"/>
  <c r="DZ231" i="29"/>
  <c r="DQ232" i="29"/>
  <c r="DR232" i="29"/>
  <c r="DS232" i="29"/>
  <c r="DT232" i="29"/>
  <c r="DU232" i="29"/>
  <c r="DV232" i="29"/>
  <c r="DW232" i="29"/>
  <c r="DX232" i="29"/>
  <c r="DY232" i="29"/>
  <c r="DZ232" i="29"/>
  <c r="DQ233" i="29"/>
  <c r="DR233" i="29"/>
  <c r="DS233" i="29"/>
  <c r="DT233" i="29"/>
  <c r="DU233" i="29"/>
  <c r="DV233" i="29"/>
  <c r="DW233" i="29"/>
  <c r="DX233" i="29"/>
  <c r="DY233" i="29"/>
  <c r="DZ233" i="29"/>
  <c r="DQ234" i="29"/>
  <c r="DR234" i="29"/>
  <c r="DS234" i="29"/>
  <c r="DT234" i="29"/>
  <c r="DU234" i="29"/>
  <c r="DV234" i="29"/>
  <c r="DW234" i="29"/>
  <c r="DX234" i="29"/>
  <c r="DY234" i="29"/>
  <c r="DZ234" i="29"/>
  <c r="DQ235" i="29"/>
  <c r="DR235" i="29"/>
  <c r="DS235" i="29"/>
  <c r="DT235" i="29"/>
  <c r="DU235" i="29"/>
  <c r="DV235" i="29"/>
  <c r="DW235" i="29"/>
  <c r="DX235" i="29"/>
  <c r="DY235" i="29"/>
  <c r="DZ235" i="29"/>
  <c r="DQ236" i="29"/>
  <c r="DR236" i="29"/>
  <c r="DS236" i="29"/>
  <c r="DT236" i="29"/>
  <c r="DU236" i="29"/>
  <c r="DV236" i="29"/>
  <c r="DW236" i="29"/>
  <c r="DX236" i="29"/>
  <c r="DY236" i="29"/>
  <c r="DZ236" i="29"/>
  <c r="DQ237" i="29"/>
  <c r="DR237" i="29"/>
  <c r="DS237" i="29"/>
  <c r="DT237" i="29"/>
  <c r="DU237" i="29"/>
  <c r="DV237" i="29"/>
  <c r="DW237" i="29"/>
  <c r="DX237" i="29"/>
  <c r="DY237" i="29"/>
  <c r="DZ237" i="29"/>
  <c r="DQ238" i="29"/>
  <c r="DR238" i="29"/>
  <c r="DS238" i="29"/>
  <c r="DT238" i="29"/>
  <c r="DU238" i="29"/>
  <c r="DV238" i="29"/>
  <c r="DW238" i="29"/>
  <c r="DX238" i="29"/>
  <c r="DY238" i="29"/>
  <c r="DZ238" i="29"/>
  <c r="DQ239" i="29"/>
  <c r="DR239" i="29"/>
  <c r="DS239" i="29"/>
  <c r="DT239" i="29"/>
  <c r="DU239" i="29"/>
  <c r="DV239" i="29"/>
  <c r="DW239" i="29"/>
  <c r="DX239" i="29"/>
  <c r="DY239" i="29"/>
  <c r="DZ239" i="29"/>
  <c r="DQ240" i="29"/>
  <c r="DR240" i="29"/>
  <c r="DS240" i="29"/>
  <c r="DT240" i="29"/>
  <c r="DU240" i="29"/>
  <c r="DV240" i="29"/>
  <c r="DW240" i="29"/>
  <c r="DX240" i="29"/>
  <c r="DY240" i="29"/>
  <c r="DZ240" i="29"/>
  <c r="DQ241" i="29"/>
  <c r="DR241" i="29"/>
  <c r="DS241" i="29"/>
  <c r="DT241" i="29"/>
  <c r="DU241" i="29"/>
  <c r="DV241" i="29"/>
  <c r="DW241" i="29"/>
  <c r="DX241" i="29"/>
  <c r="DY241" i="29"/>
  <c r="DZ241" i="29"/>
  <c r="DQ242" i="29"/>
  <c r="DR242" i="29"/>
  <c r="DS242" i="29"/>
  <c r="DT242" i="29"/>
  <c r="DU242" i="29"/>
  <c r="DV242" i="29"/>
  <c r="DW242" i="29"/>
  <c r="DX242" i="29"/>
  <c r="DY242" i="29"/>
  <c r="DZ242" i="29"/>
  <c r="DQ243" i="29"/>
  <c r="DR243" i="29"/>
  <c r="DS243" i="29"/>
  <c r="DT243" i="29"/>
  <c r="DU243" i="29"/>
  <c r="DV243" i="29"/>
  <c r="DW243" i="29"/>
  <c r="DX243" i="29"/>
  <c r="DY243" i="29"/>
  <c r="DZ243" i="29"/>
  <c r="DQ244" i="29"/>
  <c r="DR244" i="29"/>
  <c r="DS244" i="29"/>
  <c r="DT244" i="29"/>
  <c r="DU244" i="29"/>
  <c r="DV244" i="29"/>
  <c r="DW244" i="29"/>
  <c r="DX244" i="29"/>
  <c r="DY244" i="29"/>
  <c r="DZ244" i="29"/>
  <c r="DQ245" i="29"/>
  <c r="DR245" i="29"/>
  <c r="DS245" i="29"/>
  <c r="DT245" i="29"/>
  <c r="DU245" i="29"/>
  <c r="DV245" i="29"/>
  <c r="DW245" i="29"/>
  <c r="DX245" i="29"/>
  <c r="DY245" i="29"/>
  <c r="DZ245" i="29"/>
  <c r="DQ246" i="29"/>
  <c r="DR246" i="29"/>
  <c r="DS246" i="29"/>
  <c r="DT246" i="29"/>
  <c r="DU246" i="29"/>
  <c r="DV246" i="29"/>
  <c r="DW246" i="29"/>
  <c r="DX246" i="29"/>
  <c r="DY246" i="29"/>
  <c r="DZ246" i="29"/>
  <c r="DQ247" i="29"/>
  <c r="DR247" i="29"/>
  <c r="DS247" i="29"/>
  <c r="DT247" i="29"/>
  <c r="DU247" i="29"/>
  <c r="DV247" i="29"/>
  <c r="DW247" i="29"/>
  <c r="DX247" i="29"/>
  <c r="DY247" i="29"/>
  <c r="DZ247" i="29"/>
  <c r="DQ248" i="29"/>
  <c r="DR248" i="29"/>
  <c r="DS248" i="29"/>
  <c r="DT248" i="29"/>
  <c r="DU248" i="29"/>
  <c r="DV248" i="29"/>
  <c r="DW248" i="29"/>
  <c r="DX248" i="29"/>
  <c r="DY248" i="29"/>
  <c r="DZ248" i="29"/>
  <c r="DQ249" i="29"/>
  <c r="DR249" i="29"/>
  <c r="DS249" i="29"/>
  <c r="DT249" i="29"/>
  <c r="DU249" i="29"/>
  <c r="DV249" i="29"/>
  <c r="DW249" i="29"/>
  <c r="DX249" i="29"/>
  <c r="DY249" i="29"/>
  <c r="DZ249" i="29"/>
  <c r="DQ250" i="29"/>
  <c r="DR250" i="29"/>
  <c r="DS250" i="29"/>
  <c r="DT250" i="29"/>
  <c r="DU250" i="29"/>
  <c r="DV250" i="29"/>
  <c r="DW250" i="29"/>
  <c r="DX250" i="29"/>
  <c r="DY250" i="29"/>
  <c r="DZ250" i="29"/>
  <c r="DQ251" i="29"/>
  <c r="DR251" i="29"/>
  <c r="DS251" i="29"/>
  <c r="DT251" i="29"/>
  <c r="DU251" i="29"/>
  <c r="DV251" i="29"/>
  <c r="DW251" i="29"/>
  <c r="DX251" i="29"/>
  <c r="DY251" i="29"/>
  <c r="DZ251" i="29"/>
  <c r="DQ252" i="29"/>
  <c r="DR252" i="29"/>
  <c r="DS252" i="29"/>
  <c r="DT252" i="29"/>
  <c r="DU252" i="29"/>
  <c r="DV252" i="29"/>
  <c r="DW252" i="29"/>
  <c r="DX252" i="29"/>
  <c r="DY252" i="29"/>
  <c r="DZ252" i="29"/>
  <c r="DQ253" i="29"/>
  <c r="DR253" i="29"/>
  <c r="DS253" i="29"/>
  <c r="DT253" i="29"/>
  <c r="DU253" i="29"/>
  <c r="DV253" i="29"/>
  <c r="DW253" i="29"/>
  <c r="DX253" i="29"/>
  <c r="DY253" i="29"/>
  <c r="DZ253" i="29"/>
  <c r="DQ254" i="29"/>
  <c r="DR254" i="29"/>
  <c r="DS254" i="29"/>
  <c r="DT254" i="29"/>
  <c r="DU254" i="29"/>
  <c r="DV254" i="29"/>
  <c r="DW254" i="29"/>
  <c r="DX254" i="29"/>
  <c r="DY254" i="29"/>
  <c r="DZ254" i="29"/>
  <c r="DQ255" i="29"/>
  <c r="DR255" i="29"/>
  <c r="DS255" i="29"/>
  <c r="DT255" i="29"/>
  <c r="DU255" i="29"/>
  <c r="DV255" i="29"/>
  <c r="DW255" i="29"/>
  <c r="DX255" i="29"/>
  <c r="DY255" i="29"/>
  <c r="DZ255" i="29"/>
  <c r="DQ256" i="29"/>
  <c r="DR256" i="29"/>
  <c r="DS256" i="29"/>
  <c r="DT256" i="29"/>
  <c r="DU256" i="29"/>
  <c r="DV256" i="29"/>
  <c r="DW256" i="29"/>
  <c r="DX256" i="29"/>
  <c r="DY256" i="29"/>
  <c r="DZ256" i="29"/>
  <c r="DQ257" i="29"/>
  <c r="DR257" i="29"/>
  <c r="DS257" i="29"/>
  <c r="DT257" i="29"/>
  <c r="DU257" i="29"/>
  <c r="DV257" i="29"/>
  <c r="DW257" i="29"/>
  <c r="DX257" i="29"/>
  <c r="DY257" i="29"/>
  <c r="DZ257" i="29"/>
  <c r="DQ258" i="29"/>
  <c r="DR258" i="29"/>
  <c r="DS258" i="29"/>
  <c r="DT258" i="29"/>
  <c r="DU258" i="29"/>
  <c r="DV258" i="29"/>
  <c r="DW258" i="29"/>
  <c r="DX258" i="29"/>
  <c r="DY258" i="29"/>
  <c r="DZ258" i="29"/>
  <c r="DQ259" i="29"/>
  <c r="DR259" i="29"/>
  <c r="DS259" i="29"/>
  <c r="DT259" i="29"/>
  <c r="DU259" i="29"/>
  <c r="DV259" i="29"/>
  <c r="DW259" i="29"/>
  <c r="DX259" i="29"/>
  <c r="DY259" i="29"/>
  <c r="DZ259" i="29"/>
  <c r="DQ260" i="29"/>
  <c r="DR260" i="29"/>
  <c r="DS260" i="29"/>
  <c r="DT260" i="29"/>
  <c r="DU260" i="29"/>
  <c r="DV260" i="29"/>
  <c r="DW260" i="29"/>
  <c r="DX260" i="29"/>
  <c r="DY260" i="29"/>
  <c r="DZ260" i="29"/>
  <c r="DQ261" i="29"/>
  <c r="DR261" i="29"/>
  <c r="DS261" i="29"/>
  <c r="DT261" i="29"/>
  <c r="DU261" i="29"/>
  <c r="DV261" i="29"/>
  <c r="DW261" i="29"/>
  <c r="DX261" i="29"/>
  <c r="DY261" i="29"/>
  <c r="DZ261" i="29"/>
  <c r="DQ262" i="29"/>
  <c r="DR262" i="29"/>
  <c r="DS262" i="29"/>
  <c r="DT262" i="29"/>
  <c r="DU262" i="29"/>
  <c r="DV262" i="29"/>
  <c r="DW262" i="29"/>
  <c r="DX262" i="29"/>
  <c r="DY262" i="29"/>
  <c r="DZ262" i="29"/>
  <c r="DQ263" i="29"/>
  <c r="DR263" i="29"/>
  <c r="DS263" i="29"/>
  <c r="DT263" i="29"/>
  <c r="DU263" i="29"/>
  <c r="DV263" i="29"/>
  <c r="DW263" i="29"/>
  <c r="DX263" i="29"/>
  <c r="DY263" i="29"/>
  <c r="DZ263" i="29"/>
  <c r="DQ264" i="29"/>
  <c r="DR264" i="29"/>
  <c r="DS264" i="29"/>
  <c r="DT264" i="29"/>
  <c r="DU264" i="29"/>
  <c r="DV264" i="29"/>
  <c r="DW264" i="29"/>
  <c r="DX264" i="29"/>
  <c r="DY264" i="29"/>
  <c r="DZ264" i="29"/>
  <c r="DQ265" i="29"/>
  <c r="DR265" i="29"/>
  <c r="DS265" i="29"/>
  <c r="DT265" i="29"/>
  <c r="DU265" i="29"/>
  <c r="DV265" i="29"/>
  <c r="DW265" i="29"/>
  <c r="DX265" i="29"/>
  <c r="DY265" i="29"/>
  <c r="DZ265" i="29"/>
  <c r="DQ266" i="29"/>
  <c r="DR266" i="29"/>
  <c r="DS266" i="29"/>
  <c r="DT266" i="29"/>
  <c r="DU266" i="29"/>
  <c r="DV266" i="29"/>
  <c r="DW266" i="29"/>
  <c r="DX266" i="29"/>
  <c r="DY266" i="29"/>
  <c r="DZ266" i="29"/>
  <c r="DQ267" i="29"/>
  <c r="DR267" i="29"/>
  <c r="DS267" i="29"/>
  <c r="DT267" i="29"/>
  <c r="DU267" i="29"/>
  <c r="DV267" i="29"/>
  <c r="DW267" i="29"/>
  <c r="DX267" i="29"/>
  <c r="DY267" i="29"/>
  <c r="DZ267" i="29"/>
  <c r="DQ268" i="29"/>
  <c r="DR268" i="29"/>
  <c r="DS268" i="29"/>
  <c r="DT268" i="29"/>
  <c r="DU268" i="29"/>
  <c r="DV268" i="29"/>
  <c r="DW268" i="29"/>
  <c r="DX268" i="29"/>
  <c r="DY268" i="29"/>
  <c r="DZ268" i="29"/>
  <c r="DQ269" i="29"/>
  <c r="DR269" i="29"/>
  <c r="DS269" i="29"/>
  <c r="DT269" i="29"/>
  <c r="DU269" i="29"/>
  <c r="DV269" i="29"/>
  <c r="DW269" i="29"/>
  <c r="DX269" i="29"/>
  <c r="DY269" i="29"/>
  <c r="DZ269" i="29"/>
  <c r="DQ270" i="29"/>
  <c r="DR270" i="29"/>
  <c r="DS270" i="29"/>
  <c r="DT270" i="29"/>
  <c r="DU270" i="29"/>
  <c r="DV270" i="29"/>
  <c r="DW270" i="29"/>
  <c r="DX270" i="29"/>
  <c r="DY270" i="29"/>
  <c r="DZ270" i="29"/>
  <c r="DQ271" i="29"/>
  <c r="DR271" i="29"/>
  <c r="DS271" i="29"/>
  <c r="DT271" i="29"/>
  <c r="DU271" i="29"/>
  <c r="DV271" i="29"/>
  <c r="DW271" i="29"/>
  <c r="DX271" i="29"/>
  <c r="DY271" i="29"/>
  <c r="DZ271" i="29"/>
  <c r="DQ272" i="29"/>
  <c r="DR272" i="29"/>
  <c r="DS272" i="29"/>
  <c r="DT272" i="29"/>
  <c r="DU272" i="29"/>
  <c r="DV272" i="29"/>
  <c r="DW272" i="29"/>
  <c r="DX272" i="29"/>
  <c r="DY272" i="29"/>
  <c r="DZ272" i="29"/>
  <c r="DQ273" i="29"/>
  <c r="DR273" i="29"/>
  <c r="DS273" i="29"/>
  <c r="DT273" i="29"/>
  <c r="DU273" i="29"/>
  <c r="DV273" i="29"/>
  <c r="DW273" i="29"/>
  <c r="DX273" i="29"/>
  <c r="DY273" i="29"/>
  <c r="DZ273" i="29"/>
  <c r="DQ274" i="29"/>
  <c r="DR274" i="29"/>
  <c r="DS274" i="29"/>
  <c r="DT274" i="29"/>
  <c r="DU274" i="29"/>
  <c r="DV274" i="29"/>
  <c r="DW274" i="29"/>
  <c r="DX274" i="29"/>
  <c r="DY274" i="29"/>
  <c r="DZ274" i="29"/>
  <c r="DQ275" i="29"/>
  <c r="DR275" i="29"/>
  <c r="DS275" i="29"/>
  <c r="DT275" i="29"/>
  <c r="DU275" i="29"/>
  <c r="DV275" i="29"/>
  <c r="DW275" i="29"/>
  <c r="DX275" i="29"/>
  <c r="DY275" i="29"/>
  <c r="DZ275" i="29"/>
  <c r="DQ276" i="29"/>
  <c r="DR276" i="29"/>
  <c r="DS276" i="29"/>
  <c r="DT276" i="29"/>
  <c r="DU276" i="29"/>
  <c r="DV276" i="29"/>
  <c r="DW276" i="29"/>
  <c r="DX276" i="29"/>
  <c r="DY276" i="29"/>
  <c r="DZ276" i="29"/>
  <c r="DQ277" i="29"/>
  <c r="DR277" i="29"/>
  <c r="DS277" i="29"/>
  <c r="DT277" i="29"/>
  <c r="DU277" i="29"/>
  <c r="DV277" i="29"/>
  <c r="DW277" i="29"/>
  <c r="DX277" i="29"/>
  <c r="DY277" i="29"/>
  <c r="DZ277" i="29"/>
  <c r="DQ278" i="29"/>
  <c r="DR278" i="29"/>
  <c r="DS278" i="29"/>
  <c r="DT278" i="29"/>
  <c r="DU278" i="29"/>
  <c r="DV278" i="29"/>
  <c r="DW278" i="29"/>
  <c r="DX278" i="29"/>
  <c r="DY278" i="29"/>
  <c r="DZ278" i="29"/>
  <c r="DQ279" i="29"/>
  <c r="DR279" i="29"/>
  <c r="DS279" i="29"/>
  <c r="DT279" i="29"/>
  <c r="DU279" i="29"/>
  <c r="DV279" i="29"/>
  <c r="DW279" i="29"/>
  <c r="DX279" i="29"/>
  <c r="DY279" i="29"/>
  <c r="DZ279" i="29"/>
  <c r="DQ280" i="29"/>
  <c r="DR280" i="29"/>
  <c r="DS280" i="29"/>
  <c r="DT280" i="29"/>
  <c r="DU280" i="29"/>
  <c r="DV280" i="29"/>
  <c r="DW280" i="29"/>
  <c r="DX280" i="29"/>
  <c r="DY280" i="29"/>
  <c r="DZ280" i="29"/>
  <c r="DQ281" i="29"/>
  <c r="DR281" i="29"/>
  <c r="DS281" i="29"/>
  <c r="DT281" i="29"/>
  <c r="DU281" i="29"/>
  <c r="DV281" i="29"/>
  <c r="DW281" i="29"/>
  <c r="DX281" i="29"/>
  <c r="DY281" i="29"/>
  <c r="DZ281" i="29"/>
  <c r="DQ282" i="29"/>
  <c r="DR282" i="29"/>
  <c r="DS282" i="29"/>
  <c r="DT282" i="29"/>
  <c r="DU282" i="29"/>
  <c r="DV282" i="29"/>
  <c r="DW282" i="29"/>
  <c r="DX282" i="29"/>
  <c r="DY282" i="29"/>
  <c r="DZ282" i="29"/>
  <c r="DQ283" i="29"/>
  <c r="DR283" i="29"/>
  <c r="DS283" i="29"/>
  <c r="DT283" i="29"/>
  <c r="DU283" i="29"/>
  <c r="DV283" i="29"/>
  <c r="DW283" i="29"/>
  <c r="DX283" i="29"/>
  <c r="DY283" i="29"/>
  <c r="DZ283" i="29"/>
  <c r="DQ284" i="29"/>
  <c r="DR284" i="29"/>
  <c r="DS284" i="29"/>
  <c r="DT284" i="29"/>
  <c r="DU284" i="29"/>
  <c r="DV284" i="29"/>
  <c r="DW284" i="29"/>
  <c r="DX284" i="29"/>
  <c r="DY284" i="29"/>
  <c r="DZ284" i="29"/>
  <c r="DQ285" i="29"/>
  <c r="DR285" i="29"/>
  <c r="DS285" i="29"/>
  <c r="DT285" i="29"/>
  <c r="DU285" i="29"/>
  <c r="DV285" i="29"/>
  <c r="DW285" i="29"/>
  <c r="DX285" i="29"/>
  <c r="DY285" i="29"/>
  <c r="DZ285" i="29"/>
  <c r="DQ286" i="29"/>
  <c r="DR286" i="29"/>
  <c r="DS286" i="29"/>
  <c r="DT286" i="29"/>
  <c r="DU286" i="29"/>
  <c r="DV286" i="29"/>
  <c r="DW286" i="29"/>
  <c r="DX286" i="29"/>
  <c r="DY286" i="29"/>
  <c r="DZ286" i="29"/>
  <c r="DQ287" i="29"/>
  <c r="DR287" i="29"/>
  <c r="DS287" i="29"/>
  <c r="DT287" i="29"/>
  <c r="DU287" i="29"/>
  <c r="DV287" i="29"/>
  <c r="DW287" i="29"/>
  <c r="DX287" i="29"/>
  <c r="DY287" i="29"/>
  <c r="DZ287" i="29"/>
  <c r="DQ288" i="29"/>
  <c r="DR288" i="29"/>
  <c r="DS288" i="29"/>
  <c r="DT288" i="29"/>
  <c r="DU288" i="29"/>
  <c r="DV288" i="29"/>
  <c r="DW288" i="29"/>
  <c r="DX288" i="29"/>
  <c r="DY288" i="29"/>
  <c r="DZ288" i="29"/>
  <c r="DQ289" i="29"/>
  <c r="DR289" i="29"/>
  <c r="DS289" i="29"/>
  <c r="DT289" i="29"/>
  <c r="DU289" i="29"/>
  <c r="DV289" i="29"/>
  <c r="DW289" i="29"/>
  <c r="DX289" i="29"/>
  <c r="DY289" i="29"/>
  <c r="DZ289" i="29"/>
  <c r="DQ290" i="29"/>
  <c r="DR290" i="29"/>
  <c r="DS290" i="29"/>
  <c r="DT290" i="29"/>
  <c r="DU290" i="29"/>
  <c r="DV290" i="29"/>
  <c r="DW290" i="29"/>
  <c r="DX290" i="29"/>
  <c r="DY290" i="29"/>
  <c r="DZ290" i="29"/>
  <c r="DQ291" i="29"/>
  <c r="DR291" i="29"/>
  <c r="DS291" i="29"/>
  <c r="DT291" i="29"/>
  <c r="DU291" i="29"/>
  <c r="DV291" i="29"/>
  <c r="DW291" i="29"/>
  <c r="DX291" i="29"/>
  <c r="DY291" i="29"/>
  <c r="DZ291" i="29"/>
  <c r="DQ292" i="29"/>
  <c r="DR292" i="29"/>
  <c r="DS292" i="29"/>
  <c r="DT292" i="29"/>
  <c r="DU292" i="29"/>
  <c r="DV292" i="29"/>
  <c r="DW292" i="29"/>
  <c r="DX292" i="29"/>
  <c r="DY292" i="29"/>
  <c r="DZ292" i="29"/>
  <c r="DQ293" i="29"/>
  <c r="DR293" i="29"/>
  <c r="DS293" i="29"/>
  <c r="DT293" i="29"/>
  <c r="DU293" i="29"/>
  <c r="DV293" i="29"/>
  <c r="DW293" i="29"/>
  <c r="DX293" i="29"/>
  <c r="DY293" i="29"/>
  <c r="DZ293" i="29"/>
  <c r="DQ294" i="29"/>
  <c r="DR294" i="29"/>
  <c r="DS294" i="29"/>
  <c r="DT294" i="29"/>
  <c r="DU294" i="29"/>
  <c r="DV294" i="29"/>
  <c r="DW294" i="29"/>
  <c r="DX294" i="29"/>
  <c r="DY294" i="29"/>
  <c r="DZ294" i="29"/>
  <c r="DQ295" i="29"/>
  <c r="DR295" i="29"/>
  <c r="DS295" i="29"/>
  <c r="DT295" i="29"/>
  <c r="DU295" i="29"/>
  <c r="DV295" i="29"/>
  <c r="DW295" i="29"/>
  <c r="DX295" i="29"/>
  <c r="DY295" i="29"/>
  <c r="DZ295" i="29"/>
  <c r="DQ296" i="29"/>
  <c r="DR296" i="29"/>
  <c r="DS296" i="29"/>
  <c r="DT296" i="29"/>
  <c r="DU296" i="29"/>
  <c r="DV296" i="29"/>
  <c r="DW296" i="29"/>
  <c r="DX296" i="29"/>
  <c r="DY296" i="29"/>
  <c r="DZ296" i="29"/>
  <c r="DQ297" i="29"/>
  <c r="DR297" i="29"/>
  <c r="DS297" i="29"/>
  <c r="DT297" i="29"/>
  <c r="DU297" i="29"/>
  <c r="DV297" i="29"/>
  <c r="DW297" i="29"/>
  <c r="DX297" i="29"/>
  <c r="DY297" i="29"/>
  <c r="DZ297" i="29"/>
  <c r="DQ298" i="29"/>
  <c r="DR298" i="29"/>
  <c r="DS298" i="29"/>
  <c r="DT298" i="29"/>
  <c r="DU298" i="29"/>
  <c r="DV298" i="29"/>
  <c r="DW298" i="29"/>
  <c r="DX298" i="29"/>
  <c r="DY298" i="29"/>
  <c r="DZ298" i="29"/>
  <c r="DQ299" i="29"/>
  <c r="DR299" i="29"/>
  <c r="DS299" i="29"/>
  <c r="DT299" i="29"/>
  <c r="DU299" i="29"/>
  <c r="DV299" i="29"/>
  <c r="DW299" i="29"/>
  <c r="DX299" i="29"/>
  <c r="DY299" i="29"/>
  <c r="DZ299" i="29"/>
  <c r="DQ300" i="29"/>
  <c r="DR300" i="29"/>
  <c r="DS300" i="29"/>
  <c r="DT300" i="29"/>
  <c r="DU300" i="29"/>
  <c r="DV300" i="29"/>
  <c r="DW300" i="29"/>
  <c r="DX300" i="29"/>
  <c r="DY300" i="29"/>
  <c r="DZ300" i="29"/>
  <c r="DQ301" i="29"/>
  <c r="DR301" i="29"/>
  <c r="DS301" i="29"/>
  <c r="DT301" i="29"/>
  <c r="DU301" i="29"/>
  <c r="DV301" i="29"/>
  <c r="DW301" i="29"/>
  <c r="DX301" i="29"/>
  <c r="DY301" i="29"/>
  <c r="DZ301" i="29"/>
  <c r="DQ302" i="29"/>
  <c r="DR302" i="29"/>
  <c r="DS302" i="29"/>
  <c r="DT302" i="29"/>
  <c r="DU302" i="29"/>
  <c r="DV302" i="29"/>
  <c r="DW302" i="29"/>
  <c r="DX302" i="29"/>
  <c r="DY302" i="29"/>
  <c r="DZ302" i="29"/>
  <c r="DQ303" i="29"/>
  <c r="DR303" i="29"/>
  <c r="DS303" i="29"/>
  <c r="DT303" i="29"/>
  <c r="DU303" i="29"/>
  <c r="DV303" i="29"/>
  <c r="DW303" i="29"/>
  <c r="DX303" i="29"/>
  <c r="DY303" i="29"/>
  <c r="DZ303" i="29"/>
  <c r="DQ304" i="29"/>
  <c r="DR304" i="29"/>
  <c r="DS304" i="29"/>
  <c r="DT304" i="29"/>
  <c r="DU304" i="29"/>
  <c r="DV304" i="29"/>
  <c r="DW304" i="29"/>
  <c r="DX304" i="29"/>
  <c r="DY304" i="29"/>
  <c r="DZ304" i="29"/>
  <c r="DQ305" i="29"/>
  <c r="DR305" i="29"/>
  <c r="DS305" i="29"/>
  <c r="DT305" i="29"/>
  <c r="DU305" i="29"/>
  <c r="DV305" i="29"/>
  <c r="DW305" i="29"/>
  <c r="DX305" i="29"/>
  <c r="DY305" i="29"/>
  <c r="DZ305" i="29"/>
  <c r="DQ306" i="29"/>
  <c r="DR306" i="29"/>
  <c r="DS306" i="29"/>
  <c r="DT306" i="29"/>
  <c r="DU306" i="29"/>
  <c r="DV306" i="29"/>
  <c r="DW306" i="29"/>
  <c r="DX306" i="29"/>
  <c r="DY306" i="29"/>
  <c r="DZ306" i="29"/>
  <c r="DQ307" i="29"/>
  <c r="DR307" i="29"/>
  <c r="DS307" i="29"/>
  <c r="DT307" i="29"/>
  <c r="DU307" i="29"/>
  <c r="DV307" i="29"/>
  <c r="DW307" i="29"/>
  <c r="DX307" i="29"/>
  <c r="DY307" i="29"/>
  <c r="DZ307" i="29"/>
  <c r="DQ308" i="29"/>
  <c r="DR308" i="29"/>
  <c r="DS308" i="29"/>
  <c r="DT308" i="29"/>
  <c r="DU308" i="29"/>
  <c r="DV308" i="29"/>
  <c r="DW308" i="29"/>
  <c r="DX308" i="29"/>
  <c r="DY308" i="29"/>
  <c r="DZ308" i="29"/>
  <c r="DQ309" i="29"/>
  <c r="DR309" i="29"/>
  <c r="DS309" i="29"/>
  <c r="DT309" i="29"/>
  <c r="DU309" i="29"/>
  <c r="DV309" i="29"/>
  <c r="DW309" i="29"/>
  <c r="DX309" i="29"/>
  <c r="DY309" i="29"/>
  <c r="DZ309" i="29"/>
  <c r="DQ310" i="29"/>
  <c r="DR310" i="29"/>
  <c r="DS310" i="29"/>
  <c r="DT310" i="29"/>
  <c r="DU310" i="29"/>
  <c r="DV310" i="29"/>
  <c r="DW310" i="29"/>
  <c r="DX310" i="29"/>
  <c r="DY310" i="29"/>
  <c r="DZ310" i="29"/>
  <c r="DQ311" i="29"/>
  <c r="DR311" i="29"/>
  <c r="DS311" i="29"/>
  <c r="DT311" i="29"/>
  <c r="DU311" i="29"/>
  <c r="DV311" i="29"/>
  <c r="DW311" i="29"/>
  <c r="DX311" i="29"/>
  <c r="DY311" i="29"/>
  <c r="DZ311" i="29"/>
  <c r="DQ312" i="29"/>
  <c r="DR312" i="29"/>
  <c r="DS312" i="29"/>
  <c r="DT312" i="29"/>
  <c r="DU312" i="29"/>
  <c r="DV312" i="29"/>
  <c r="DW312" i="29"/>
  <c r="DX312" i="29"/>
  <c r="DY312" i="29"/>
  <c r="DZ312" i="29"/>
  <c r="DQ313" i="29"/>
  <c r="DR313" i="29"/>
  <c r="DS313" i="29"/>
  <c r="DT313" i="29"/>
  <c r="DU313" i="29"/>
  <c r="DV313" i="29"/>
  <c r="DW313" i="29"/>
  <c r="DX313" i="29"/>
  <c r="DY313" i="29"/>
  <c r="DZ313" i="29"/>
  <c r="DQ314" i="29"/>
  <c r="DR314" i="29"/>
  <c r="DS314" i="29"/>
  <c r="DT314" i="29"/>
  <c r="DU314" i="29"/>
  <c r="DV314" i="29"/>
  <c r="DW314" i="29"/>
  <c r="DX314" i="29"/>
  <c r="DY314" i="29"/>
  <c r="DZ314" i="29"/>
  <c r="DQ315" i="29"/>
  <c r="DR315" i="29"/>
  <c r="DS315" i="29"/>
  <c r="DT315" i="29"/>
  <c r="DU315" i="29"/>
  <c r="DV315" i="29"/>
  <c r="DW315" i="29"/>
  <c r="DX315" i="29"/>
  <c r="DY315" i="29"/>
  <c r="DZ315" i="29"/>
  <c r="DQ316" i="29"/>
  <c r="DR316" i="29"/>
  <c r="DS316" i="29"/>
  <c r="DT316" i="29"/>
  <c r="DU316" i="29"/>
  <c r="DV316" i="29"/>
  <c r="DW316" i="29"/>
  <c r="DX316" i="29"/>
  <c r="DY316" i="29"/>
  <c r="DZ316" i="29"/>
  <c r="DQ317" i="29"/>
  <c r="DR317" i="29"/>
  <c r="DS317" i="29"/>
  <c r="DT317" i="29"/>
  <c r="DU317" i="29"/>
  <c r="DV317" i="29"/>
  <c r="DW317" i="29"/>
  <c r="DX317" i="29"/>
  <c r="DY317" i="29"/>
  <c r="DZ317" i="29"/>
  <c r="DQ318" i="29"/>
  <c r="DR318" i="29"/>
  <c r="DS318" i="29"/>
  <c r="DT318" i="29"/>
  <c r="DU318" i="29"/>
  <c r="DV318" i="29"/>
  <c r="DW318" i="29"/>
  <c r="DX318" i="29"/>
  <c r="DY318" i="29"/>
  <c r="DZ318" i="29"/>
  <c r="DQ319" i="29"/>
  <c r="DR319" i="29"/>
  <c r="DS319" i="29"/>
  <c r="DT319" i="29"/>
  <c r="DU319" i="29"/>
  <c r="DV319" i="29"/>
  <c r="DW319" i="29"/>
  <c r="DX319" i="29"/>
  <c r="DY319" i="29"/>
  <c r="DZ319" i="29"/>
  <c r="DQ320" i="29"/>
  <c r="DR320" i="29"/>
  <c r="DS320" i="29"/>
  <c r="DT320" i="29"/>
  <c r="DU320" i="29"/>
  <c r="DV320" i="29"/>
  <c r="DW320" i="29"/>
  <c r="DX320" i="29"/>
  <c r="DY320" i="29"/>
  <c r="DZ320" i="29"/>
  <c r="DQ321" i="29"/>
  <c r="DR321" i="29"/>
  <c r="DS321" i="29"/>
  <c r="DT321" i="29"/>
  <c r="DU321" i="29"/>
  <c r="DV321" i="29"/>
  <c r="DW321" i="29"/>
  <c r="DX321" i="29"/>
  <c r="DY321" i="29"/>
  <c r="DZ321" i="29"/>
  <c r="DQ322" i="29"/>
  <c r="DR322" i="29"/>
  <c r="DS322" i="29"/>
  <c r="DT322" i="29"/>
  <c r="DU322" i="29"/>
  <c r="DV322" i="29"/>
  <c r="DW322" i="29"/>
  <c r="DX322" i="29"/>
  <c r="DY322" i="29"/>
  <c r="DZ322" i="29"/>
  <c r="DQ323" i="29"/>
  <c r="DR323" i="29"/>
  <c r="DS323" i="29"/>
  <c r="DT323" i="29"/>
  <c r="DU323" i="29"/>
  <c r="DV323" i="29"/>
  <c r="DW323" i="29"/>
  <c r="DX323" i="29"/>
  <c r="DY323" i="29"/>
  <c r="DZ323" i="29"/>
  <c r="DQ324" i="29"/>
  <c r="DR324" i="29"/>
  <c r="DS324" i="29"/>
  <c r="DT324" i="29"/>
  <c r="DU324" i="29"/>
  <c r="DV324" i="29"/>
  <c r="DW324" i="29"/>
  <c r="DX324" i="29"/>
  <c r="DY324" i="29"/>
  <c r="DZ324" i="29"/>
  <c r="DQ325" i="29"/>
  <c r="DR325" i="29"/>
  <c r="DS325" i="29"/>
  <c r="DT325" i="29"/>
  <c r="DU325" i="29"/>
  <c r="DV325" i="29"/>
  <c r="DW325" i="29"/>
  <c r="DX325" i="29"/>
  <c r="DY325" i="29"/>
  <c r="DZ325" i="29"/>
  <c r="DQ326" i="29"/>
  <c r="DR326" i="29"/>
  <c r="DS326" i="29"/>
  <c r="DT326" i="29"/>
  <c r="DU326" i="29"/>
  <c r="DV326" i="29"/>
  <c r="DW326" i="29"/>
  <c r="DX326" i="29"/>
  <c r="DY326" i="29"/>
  <c r="DZ326" i="29"/>
  <c r="DQ327" i="29"/>
  <c r="DR327" i="29"/>
  <c r="DS327" i="29"/>
  <c r="DT327" i="29"/>
  <c r="DU327" i="29"/>
  <c r="DV327" i="29"/>
  <c r="DW327" i="29"/>
  <c r="DX327" i="29"/>
  <c r="DY327" i="29"/>
  <c r="DZ327" i="29"/>
  <c r="DQ328" i="29"/>
  <c r="DR328" i="29"/>
  <c r="DS328" i="29"/>
  <c r="DT328" i="29"/>
  <c r="DU328" i="29"/>
  <c r="DV328" i="29"/>
  <c r="DW328" i="29"/>
  <c r="DX328" i="29"/>
  <c r="DY328" i="29"/>
  <c r="DZ328" i="29"/>
  <c r="DQ329" i="29"/>
  <c r="DR329" i="29"/>
  <c r="DS329" i="29"/>
  <c r="DT329" i="29"/>
  <c r="DU329" i="29"/>
  <c r="DV329" i="29"/>
  <c r="DW329" i="29"/>
  <c r="DX329" i="29"/>
  <c r="DY329" i="29"/>
  <c r="DZ329" i="29"/>
  <c r="DQ330" i="29"/>
  <c r="DR330" i="29"/>
  <c r="DS330" i="29"/>
  <c r="DT330" i="29"/>
  <c r="DU330" i="29"/>
  <c r="DV330" i="29"/>
  <c r="DW330" i="29"/>
  <c r="DX330" i="29"/>
  <c r="DY330" i="29"/>
  <c r="DZ330" i="29"/>
  <c r="DQ331" i="29"/>
  <c r="DR331" i="29"/>
  <c r="DS331" i="29"/>
  <c r="DT331" i="29"/>
  <c r="DU331" i="29"/>
  <c r="DV331" i="29"/>
  <c r="DW331" i="29"/>
  <c r="DX331" i="29"/>
  <c r="DY331" i="29"/>
  <c r="DZ331" i="29"/>
  <c r="DQ332" i="29"/>
  <c r="DR332" i="29"/>
  <c r="DS332" i="29"/>
  <c r="DT332" i="29"/>
  <c r="DU332" i="29"/>
  <c r="DV332" i="29"/>
  <c r="DW332" i="29"/>
  <c r="DX332" i="29"/>
  <c r="DY332" i="29"/>
  <c r="DZ332" i="29"/>
  <c r="DQ333" i="29"/>
  <c r="DR333" i="29"/>
  <c r="DS333" i="29"/>
  <c r="DT333" i="29"/>
  <c r="DU333" i="29"/>
  <c r="DV333" i="29"/>
  <c r="DW333" i="29"/>
  <c r="DX333" i="29"/>
  <c r="DY333" i="29"/>
  <c r="DZ333" i="29"/>
  <c r="DQ334" i="29"/>
  <c r="DR334" i="29"/>
  <c r="DS334" i="29"/>
  <c r="DT334" i="29"/>
  <c r="DU334" i="29"/>
  <c r="DV334" i="29"/>
  <c r="DW334" i="29"/>
  <c r="DX334" i="29"/>
  <c r="DY334" i="29"/>
  <c r="DZ334" i="29"/>
  <c r="DQ335" i="29"/>
  <c r="DR335" i="29"/>
  <c r="DS335" i="29"/>
  <c r="DT335" i="29"/>
  <c r="DU335" i="29"/>
  <c r="DV335" i="29"/>
  <c r="DW335" i="29"/>
  <c r="DX335" i="29"/>
  <c r="DY335" i="29"/>
  <c r="DZ335" i="29"/>
  <c r="DQ336" i="29"/>
  <c r="DR336" i="29"/>
  <c r="DS336" i="29"/>
  <c r="DT336" i="29"/>
  <c r="DU336" i="29"/>
  <c r="DV336" i="29"/>
  <c r="DW336" i="29"/>
  <c r="DX336" i="29"/>
  <c r="DY336" i="29"/>
  <c r="DZ336" i="29"/>
  <c r="DQ337" i="29"/>
  <c r="DR337" i="29"/>
  <c r="DS337" i="29"/>
  <c r="DT337" i="29"/>
  <c r="DU337" i="29"/>
  <c r="DV337" i="29"/>
  <c r="DW337" i="29"/>
  <c r="DX337" i="29"/>
  <c r="DY337" i="29"/>
  <c r="DZ337" i="29"/>
  <c r="DQ338" i="29"/>
  <c r="DR338" i="29"/>
  <c r="DS338" i="29"/>
  <c r="DT338" i="29"/>
  <c r="DU338" i="29"/>
  <c r="DV338" i="29"/>
  <c r="DW338" i="29"/>
  <c r="DX338" i="29"/>
  <c r="DY338" i="29"/>
  <c r="DZ338" i="29"/>
  <c r="DQ339" i="29"/>
  <c r="DR339" i="29"/>
  <c r="DS339" i="29"/>
  <c r="DT339" i="29"/>
  <c r="DU339" i="29"/>
  <c r="DV339" i="29"/>
  <c r="DW339" i="29"/>
  <c r="DX339" i="29"/>
  <c r="DY339" i="29"/>
  <c r="DZ339" i="29"/>
  <c r="DQ340" i="29"/>
  <c r="DR340" i="29"/>
  <c r="DS340" i="29"/>
  <c r="DT340" i="29"/>
  <c r="DU340" i="29"/>
  <c r="DV340" i="29"/>
  <c r="DW340" i="29"/>
  <c r="DX340" i="29"/>
  <c r="DY340" i="29"/>
  <c r="DZ340" i="29"/>
  <c r="DQ341" i="29"/>
  <c r="DR341" i="29"/>
  <c r="DS341" i="29"/>
  <c r="DT341" i="29"/>
  <c r="DU341" i="29"/>
  <c r="DV341" i="29"/>
  <c r="DW341" i="29"/>
  <c r="DX341" i="29"/>
  <c r="DY341" i="29"/>
  <c r="DZ341" i="29"/>
  <c r="DQ342" i="29"/>
  <c r="DR342" i="29"/>
  <c r="DS342" i="29"/>
  <c r="DT342" i="29"/>
  <c r="DU342" i="29"/>
  <c r="DV342" i="29"/>
  <c r="DW342" i="29"/>
  <c r="DX342" i="29"/>
  <c r="DY342" i="29"/>
  <c r="DZ342" i="29"/>
  <c r="DQ343" i="29"/>
  <c r="DR343" i="29"/>
  <c r="DS343" i="29"/>
  <c r="DT343" i="29"/>
  <c r="DU343" i="29"/>
  <c r="DV343" i="29"/>
  <c r="DW343" i="29"/>
  <c r="DX343" i="29"/>
  <c r="DY343" i="29"/>
  <c r="DZ343" i="29"/>
  <c r="DQ344" i="29"/>
  <c r="DR344" i="29"/>
  <c r="DS344" i="29"/>
  <c r="DT344" i="29"/>
  <c r="DU344" i="29"/>
  <c r="DV344" i="29"/>
  <c r="DW344" i="29"/>
  <c r="DX344" i="29"/>
  <c r="DY344" i="29"/>
  <c r="DZ344" i="29"/>
  <c r="DQ345" i="29"/>
  <c r="DR345" i="29"/>
  <c r="DS345" i="29"/>
  <c r="DT345" i="29"/>
  <c r="DU345" i="29"/>
  <c r="DV345" i="29"/>
  <c r="DW345" i="29"/>
  <c r="DX345" i="29"/>
  <c r="DY345" i="29"/>
  <c r="DZ345" i="29"/>
  <c r="DQ346" i="29"/>
  <c r="DR346" i="29"/>
  <c r="DS346" i="29"/>
  <c r="DT346" i="29"/>
  <c r="DU346" i="29"/>
  <c r="DV346" i="29"/>
  <c r="DW346" i="29"/>
  <c r="DX346" i="29"/>
  <c r="DY346" i="29"/>
  <c r="DZ346" i="29"/>
  <c r="DQ347" i="29"/>
  <c r="DR347" i="29"/>
  <c r="DS347" i="29"/>
  <c r="DT347" i="29"/>
  <c r="DU347" i="29"/>
  <c r="DV347" i="29"/>
  <c r="DW347" i="29"/>
  <c r="DX347" i="29"/>
  <c r="DY347" i="29"/>
  <c r="DZ347" i="29"/>
  <c r="DQ348" i="29"/>
  <c r="DR348" i="29"/>
  <c r="DS348" i="29"/>
  <c r="DT348" i="29"/>
  <c r="DU348" i="29"/>
  <c r="DV348" i="29"/>
  <c r="DW348" i="29"/>
  <c r="DX348" i="29"/>
  <c r="DY348" i="29"/>
  <c r="DZ348" i="29"/>
  <c r="DQ349" i="29"/>
  <c r="DR349" i="29"/>
  <c r="DS349" i="29"/>
  <c r="DT349" i="29"/>
  <c r="DU349" i="29"/>
  <c r="DV349" i="29"/>
  <c r="DW349" i="29"/>
  <c r="DX349" i="29"/>
  <c r="DY349" i="29"/>
  <c r="DZ349" i="29"/>
  <c r="DQ350" i="29"/>
  <c r="DR350" i="29"/>
  <c r="DS350" i="29"/>
  <c r="DT350" i="29"/>
  <c r="DU350" i="29"/>
  <c r="DV350" i="29"/>
  <c r="DW350" i="29"/>
  <c r="DX350" i="29"/>
  <c r="DY350" i="29"/>
  <c r="DZ350" i="29"/>
  <c r="DQ351" i="29"/>
  <c r="DR351" i="29"/>
  <c r="DS351" i="29"/>
  <c r="DT351" i="29"/>
  <c r="DU351" i="29"/>
  <c r="DV351" i="29"/>
  <c r="DW351" i="29"/>
  <c r="DX351" i="29"/>
  <c r="DY351" i="29"/>
  <c r="DZ351" i="29"/>
  <c r="DQ352" i="29"/>
  <c r="DR352" i="29"/>
  <c r="DS352" i="29"/>
  <c r="DT352" i="29"/>
  <c r="DU352" i="29"/>
  <c r="DV352" i="29"/>
  <c r="DW352" i="29"/>
  <c r="DX352" i="29"/>
  <c r="DY352" i="29"/>
  <c r="DZ352" i="29"/>
  <c r="DQ353" i="29"/>
  <c r="DR353" i="29"/>
  <c r="DS353" i="29"/>
  <c r="DT353" i="29"/>
  <c r="DU353" i="29"/>
  <c r="DV353" i="29"/>
  <c r="DW353" i="29"/>
  <c r="DX353" i="29"/>
  <c r="DY353" i="29"/>
  <c r="DZ353" i="29"/>
  <c r="DQ354" i="29"/>
  <c r="DR354" i="29"/>
  <c r="DS354" i="29"/>
  <c r="DT354" i="29"/>
  <c r="DU354" i="29"/>
  <c r="DV354" i="29"/>
  <c r="DW354" i="29"/>
  <c r="DX354" i="29"/>
  <c r="DY354" i="29"/>
  <c r="DZ354" i="29"/>
  <c r="DQ355" i="29"/>
  <c r="DR355" i="29"/>
  <c r="DS355" i="29"/>
  <c r="DT355" i="29"/>
  <c r="DU355" i="29"/>
  <c r="DV355" i="29"/>
  <c r="DW355" i="29"/>
  <c r="DX355" i="29"/>
  <c r="DY355" i="29"/>
  <c r="DZ355" i="29"/>
  <c r="DQ356" i="29"/>
  <c r="DR356" i="29"/>
  <c r="DS356" i="29"/>
  <c r="DT356" i="29"/>
  <c r="DU356" i="29"/>
  <c r="DV356" i="29"/>
  <c r="DW356" i="29"/>
  <c r="DX356" i="29"/>
  <c r="DY356" i="29"/>
  <c r="DZ356" i="29"/>
  <c r="DQ357" i="29"/>
  <c r="DR357" i="29"/>
  <c r="DS357" i="29"/>
  <c r="DT357" i="29"/>
  <c r="DU357" i="29"/>
  <c r="DV357" i="29"/>
  <c r="DW357" i="29"/>
  <c r="DX357" i="29"/>
  <c r="DY357" i="29"/>
  <c r="DZ357" i="29"/>
  <c r="DQ358" i="29"/>
  <c r="DR358" i="29"/>
  <c r="DS358" i="29"/>
  <c r="DT358" i="29"/>
  <c r="DU358" i="29"/>
  <c r="DV358" i="29"/>
  <c r="DW358" i="29"/>
  <c r="DX358" i="29"/>
  <c r="DY358" i="29"/>
  <c r="DZ358" i="29"/>
  <c r="DQ359" i="29"/>
  <c r="DR359" i="29"/>
  <c r="DS359" i="29"/>
  <c r="DT359" i="29"/>
  <c r="DU359" i="29"/>
  <c r="DV359" i="29"/>
  <c r="DW359" i="29"/>
  <c r="DX359" i="29"/>
  <c r="DY359" i="29"/>
  <c r="DZ359" i="29"/>
  <c r="DQ360" i="29"/>
  <c r="DR360" i="29"/>
  <c r="DS360" i="29"/>
  <c r="DT360" i="29"/>
  <c r="DU360" i="29"/>
  <c r="DV360" i="29"/>
  <c r="DW360" i="29"/>
  <c r="DX360" i="29"/>
  <c r="DY360" i="29"/>
  <c r="DZ360" i="29"/>
  <c r="DQ361" i="29"/>
  <c r="DR361" i="29"/>
  <c r="DS361" i="29"/>
  <c r="DT361" i="29"/>
  <c r="DU361" i="29"/>
  <c r="DV361" i="29"/>
  <c r="DW361" i="29"/>
  <c r="DX361" i="29"/>
  <c r="DY361" i="29"/>
  <c r="DZ361" i="29"/>
  <c r="DQ362" i="29"/>
  <c r="DR362" i="29"/>
  <c r="DS362" i="29"/>
  <c r="DT362" i="29"/>
  <c r="DU362" i="29"/>
  <c r="DV362" i="29"/>
  <c r="DW362" i="29"/>
  <c r="DX362" i="29"/>
  <c r="DY362" i="29"/>
  <c r="DZ362" i="29"/>
  <c r="DQ363" i="29"/>
  <c r="DR363" i="29"/>
  <c r="DS363" i="29"/>
  <c r="DT363" i="29"/>
  <c r="DU363" i="29"/>
  <c r="DV363" i="29"/>
  <c r="DW363" i="29"/>
  <c r="DX363" i="29"/>
  <c r="DY363" i="29"/>
  <c r="DZ363" i="29"/>
  <c r="DQ364" i="29"/>
  <c r="DR364" i="29"/>
  <c r="DS364" i="29"/>
  <c r="DT364" i="29"/>
  <c r="DU364" i="29"/>
  <c r="DV364" i="29"/>
  <c r="DW364" i="29"/>
  <c r="DX364" i="29"/>
  <c r="DY364" i="29"/>
  <c r="DZ364" i="29"/>
  <c r="DQ365" i="29"/>
  <c r="DR365" i="29"/>
  <c r="DS365" i="29"/>
  <c r="DT365" i="29"/>
  <c r="DU365" i="29"/>
  <c r="DV365" i="29"/>
  <c r="DW365" i="29"/>
  <c r="DX365" i="29"/>
  <c r="DY365" i="29"/>
  <c r="DZ365" i="29"/>
  <c r="DQ366" i="29"/>
  <c r="DR366" i="29"/>
  <c r="DS366" i="29"/>
  <c r="DT366" i="29"/>
  <c r="DU366" i="29"/>
  <c r="DV366" i="29"/>
  <c r="DW366" i="29"/>
  <c r="DX366" i="29"/>
  <c r="DY366" i="29"/>
  <c r="DZ366" i="29"/>
  <c r="DQ367" i="29"/>
  <c r="DR367" i="29"/>
  <c r="DS367" i="29"/>
  <c r="DT367" i="29"/>
  <c r="DU367" i="29"/>
  <c r="DV367" i="29"/>
  <c r="DW367" i="29"/>
  <c r="DX367" i="29"/>
  <c r="DY367" i="29"/>
  <c r="DZ367" i="29"/>
  <c r="DQ368" i="29"/>
  <c r="DR368" i="29"/>
  <c r="DS368" i="29"/>
  <c r="DT368" i="29"/>
  <c r="DU368" i="29"/>
  <c r="DV368" i="29"/>
  <c r="DW368" i="29"/>
  <c r="DX368" i="29"/>
  <c r="DY368" i="29"/>
  <c r="DZ368" i="29"/>
  <c r="DR3" i="29"/>
  <c r="DS3" i="29"/>
  <c r="DV3" i="29"/>
  <c r="DW3" i="29"/>
  <c r="DZ3" i="29"/>
  <c r="DQ3" i="29"/>
  <c r="CC4" i="29"/>
  <c r="CD4" i="29"/>
  <c r="CE4" i="29"/>
  <c r="CG4" i="29"/>
  <c r="CH4" i="29"/>
  <c r="CI4" i="29"/>
  <c r="CK4" i="29"/>
  <c r="CL4" i="29"/>
  <c r="CC5" i="29"/>
  <c r="CE5" i="29"/>
  <c r="CF5" i="29"/>
  <c r="CG5" i="29"/>
  <c r="CI5" i="29"/>
  <c r="CJ5" i="29"/>
  <c r="CK5" i="29"/>
  <c r="CC6" i="29"/>
  <c r="CD6" i="29"/>
  <c r="CE6" i="29"/>
  <c r="CG6" i="29"/>
  <c r="CH6" i="29"/>
  <c r="CI6" i="29"/>
  <c r="CK6" i="29"/>
  <c r="CL6" i="29"/>
  <c r="CC7" i="29"/>
  <c r="CE7" i="29"/>
  <c r="CF7" i="29"/>
  <c r="CG7" i="29"/>
  <c r="CI7" i="29"/>
  <c r="CJ7" i="29"/>
  <c r="CK7" i="29"/>
  <c r="CC8" i="29"/>
  <c r="CD8" i="29"/>
  <c r="CE8" i="29"/>
  <c r="CG8" i="29"/>
  <c r="CH8" i="29"/>
  <c r="CI8" i="29"/>
  <c r="CK8" i="29"/>
  <c r="CL8" i="29"/>
  <c r="CC9" i="29"/>
  <c r="CE9" i="29"/>
  <c r="CF9" i="29"/>
  <c r="CG9" i="29"/>
  <c r="CI9" i="29"/>
  <c r="CJ9" i="29"/>
  <c r="CK9" i="29"/>
  <c r="CC10" i="29"/>
  <c r="CD10" i="29"/>
  <c r="CE10" i="29"/>
  <c r="CG10" i="29"/>
  <c r="CH10" i="29"/>
  <c r="CI10" i="29"/>
  <c r="CK10" i="29"/>
  <c r="CL10" i="29"/>
  <c r="CC11" i="29"/>
  <c r="CE11" i="29"/>
  <c r="CF11" i="29"/>
  <c r="CG11" i="29"/>
  <c r="CI11" i="29"/>
  <c r="CJ11" i="29"/>
  <c r="CK11" i="29"/>
  <c r="CC12" i="29"/>
  <c r="CD12" i="29"/>
  <c r="CE12" i="29"/>
  <c r="CG12" i="29"/>
  <c r="CH12" i="29"/>
  <c r="CI12" i="29"/>
  <c r="CK12" i="29"/>
  <c r="CL12" i="29"/>
  <c r="CC13" i="29"/>
  <c r="CE13" i="29"/>
  <c r="CF13" i="29"/>
  <c r="CG13" i="29"/>
  <c r="CI13" i="29"/>
  <c r="CJ13" i="29"/>
  <c r="CK13" i="29"/>
  <c r="CC14" i="29"/>
  <c r="CD14" i="29"/>
  <c r="CE14" i="29"/>
  <c r="CG14" i="29"/>
  <c r="CH14" i="29"/>
  <c r="CI14" i="29"/>
  <c r="CK14" i="29"/>
  <c r="CL14" i="29"/>
  <c r="CC15" i="29"/>
  <c r="CE15" i="29"/>
  <c r="CF15" i="29"/>
  <c r="CG15" i="29"/>
  <c r="CI15" i="29"/>
  <c r="CJ15" i="29"/>
  <c r="CK15" i="29"/>
  <c r="CC16" i="29"/>
  <c r="CD16" i="29"/>
  <c r="CE16" i="29"/>
  <c r="CG16" i="29"/>
  <c r="CH16" i="29"/>
  <c r="CI16" i="29"/>
  <c r="CK16" i="29"/>
  <c r="CL16" i="29"/>
  <c r="CC17" i="29"/>
  <c r="CE17" i="29"/>
  <c r="CF17" i="29"/>
  <c r="CG17" i="29"/>
  <c r="CI17" i="29"/>
  <c r="CJ17" i="29"/>
  <c r="CK17" i="29"/>
  <c r="CC18" i="29"/>
  <c r="CD18" i="29"/>
  <c r="CE18" i="29"/>
  <c r="CG18" i="29"/>
  <c r="CH18" i="29"/>
  <c r="CI18" i="29"/>
  <c r="CK18" i="29"/>
  <c r="CL18" i="29"/>
  <c r="CC19" i="29"/>
  <c r="CE19" i="29"/>
  <c r="CF19" i="29"/>
  <c r="CG19" i="29"/>
  <c r="CI19" i="29"/>
  <c r="CJ19" i="29"/>
  <c r="CK19" i="29"/>
  <c r="CC20" i="29"/>
  <c r="CD20" i="29"/>
  <c r="CE20" i="29"/>
  <c r="CG20" i="29"/>
  <c r="CH20" i="29"/>
  <c r="CI20" i="29"/>
  <c r="CK20" i="29"/>
  <c r="CL20" i="29"/>
  <c r="CC21" i="29"/>
  <c r="CE21" i="29"/>
  <c r="CF21" i="29"/>
  <c r="CG21" i="29"/>
  <c r="CI21" i="29"/>
  <c r="CJ21" i="29"/>
  <c r="CK21" i="29"/>
  <c r="CC22" i="29"/>
  <c r="CD22" i="29"/>
  <c r="CE22" i="29"/>
  <c r="CG22" i="29"/>
  <c r="CH22" i="29"/>
  <c r="CI22" i="29"/>
  <c r="CK22" i="29"/>
  <c r="CL22" i="29"/>
  <c r="CC23" i="29"/>
  <c r="CE23" i="29"/>
  <c r="CF23" i="29"/>
  <c r="CG23" i="29"/>
  <c r="CI23" i="29"/>
  <c r="CJ23" i="29"/>
  <c r="CK23" i="29"/>
  <c r="CC24" i="29"/>
  <c r="CD24" i="29"/>
  <c r="CE24" i="29"/>
  <c r="CG24" i="29"/>
  <c r="CH24" i="29"/>
  <c r="CI24" i="29"/>
  <c r="CK24" i="29"/>
  <c r="CL24" i="29"/>
  <c r="CC25" i="29"/>
  <c r="CE25" i="29"/>
  <c r="CF25" i="29"/>
  <c r="CG25" i="29"/>
  <c r="CI25" i="29"/>
  <c r="CJ25" i="29"/>
  <c r="CK25" i="29"/>
  <c r="CC26" i="29"/>
  <c r="CD26" i="29"/>
  <c r="CE26" i="29"/>
  <c r="CG26" i="29"/>
  <c r="CH26" i="29"/>
  <c r="CI26" i="29"/>
  <c r="CK26" i="29"/>
  <c r="CL26" i="29"/>
  <c r="CC27" i="29"/>
  <c r="CE27" i="29"/>
  <c r="CF27" i="29"/>
  <c r="CG27" i="29"/>
  <c r="CI27" i="29"/>
  <c r="CJ27" i="29"/>
  <c r="CK27" i="29"/>
  <c r="CC28" i="29"/>
  <c r="CD28" i="29"/>
  <c r="CE28" i="29"/>
  <c r="CG28" i="29"/>
  <c r="CH28" i="29"/>
  <c r="CI28" i="29"/>
  <c r="CK28" i="29"/>
  <c r="CL28" i="29"/>
  <c r="CC29" i="29"/>
  <c r="CE29" i="29"/>
  <c r="CF29" i="29"/>
  <c r="CG29" i="29"/>
  <c r="CI29" i="29"/>
  <c r="CJ29" i="29"/>
  <c r="CK29" i="29"/>
  <c r="CC30" i="29"/>
  <c r="CD30" i="29"/>
  <c r="CE30" i="29"/>
  <c r="CG30" i="29"/>
  <c r="CH30" i="29"/>
  <c r="CI30" i="29"/>
  <c r="CK30" i="29"/>
  <c r="CL30" i="29"/>
  <c r="CC31" i="29"/>
  <c r="CE31" i="29"/>
  <c r="CF31" i="29"/>
  <c r="CG31" i="29"/>
  <c r="CI31" i="29"/>
  <c r="CJ31" i="29"/>
  <c r="CK31" i="29"/>
  <c r="CC32" i="29"/>
  <c r="CD32" i="29"/>
  <c r="CE32" i="29"/>
  <c r="CG32" i="29"/>
  <c r="CH32" i="29"/>
  <c r="CI32" i="29"/>
  <c r="CK32" i="29"/>
  <c r="CL32" i="29"/>
  <c r="CC33" i="29"/>
  <c r="CE33" i="29"/>
  <c r="CF33" i="29"/>
  <c r="CG33" i="29"/>
  <c r="CI33" i="29"/>
  <c r="CJ33" i="29"/>
  <c r="CK33" i="29"/>
  <c r="CC34" i="29"/>
  <c r="CD34" i="29"/>
  <c r="CE34" i="29"/>
  <c r="CG34" i="29"/>
  <c r="CH34" i="29"/>
  <c r="CI34" i="29"/>
  <c r="CK34" i="29"/>
  <c r="CL34" i="29"/>
  <c r="CC35" i="29"/>
  <c r="CE35" i="29"/>
  <c r="CF35" i="29"/>
  <c r="CG35" i="29"/>
  <c r="CI35" i="29"/>
  <c r="CJ35" i="29"/>
  <c r="CK35" i="29"/>
  <c r="CC36" i="29"/>
  <c r="CD36" i="29"/>
  <c r="CE36" i="29"/>
  <c r="CG36" i="29"/>
  <c r="CH36" i="29"/>
  <c r="CI36" i="29"/>
  <c r="CK36" i="29"/>
  <c r="CL36" i="29"/>
  <c r="CC37" i="29"/>
  <c r="CE37" i="29"/>
  <c r="CF37" i="29"/>
  <c r="CG37" i="29"/>
  <c r="CI37" i="29"/>
  <c r="CJ37" i="29"/>
  <c r="CK37" i="29"/>
  <c r="CC38" i="29"/>
  <c r="CD38" i="29"/>
  <c r="CE38" i="29"/>
  <c r="CG38" i="29"/>
  <c r="CH38" i="29"/>
  <c r="CI38" i="29"/>
  <c r="CK38" i="29"/>
  <c r="CL38" i="29"/>
  <c r="CC39" i="29"/>
  <c r="CE39" i="29"/>
  <c r="CF39" i="29"/>
  <c r="CG39" i="29"/>
  <c r="CI39" i="29"/>
  <c r="CJ39" i="29"/>
  <c r="CK39" i="29"/>
  <c r="CC40" i="29"/>
  <c r="CD40" i="29"/>
  <c r="CE40" i="29"/>
  <c r="CG40" i="29"/>
  <c r="CH40" i="29"/>
  <c r="CI40" i="29"/>
  <c r="CK40" i="29"/>
  <c r="CL40" i="29"/>
  <c r="CC41" i="29"/>
  <c r="CE41" i="29"/>
  <c r="CF41" i="29"/>
  <c r="CG41" i="29"/>
  <c r="CI41" i="29"/>
  <c r="CJ41" i="29"/>
  <c r="CK41" i="29"/>
  <c r="CC42" i="29"/>
  <c r="CD42" i="29"/>
  <c r="CE42" i="29"/>
  <c r="CG42" i="29"/>
  <c r="CH42" i="29"/>
  <c r="CI42" i="29"/>
  <c r="CK42" i="29"/>
  <c r="CL42" i="29"/>
  <c r="CC43" i="29"/>
  <c r="CE43" i="29"/>
  <c r="CF43" i="29"/>
  <c r="CG43" i="29"/>
  <c r="CI43" i="29"/>
  <c r="CJ43" i="29"/>
  <c r="CK43" i="29"/>
  <c r="CC44" i="29"/>
  <c r="CD44" i="29"/>
  <c r="CE44" i="29"/>
  <c r="CG44" i="29"/>
  <c r="CH44" i="29"/>
  <c r="CI44" i="29"/>
  <c r="CK44" i="29"/>
  <c r="CL44" i="29"/>
  <c r="CC45" i="29"/>
  <c r="CE45" i="29"/>
  <c r="CF45" i="29"/>
  <c r="CG45" i="29"/>
  <c r="CI45" i="29"/>
  <c r="CJ45" i="29"/>
  <c r="CK45" i="29"/>
  <c r="CC46" i="29"/>
  <c r="CD46" i="29"/>
  <c r="CE46" i="29"/>
  <c r="CG46" i="29"/>
  <c r="CH46" i="29"/>
  <c r="CI46" i="29"/>
  <c r="CK46" i="29"/>
  <c r="CL46" i="29"/>
  <c r="CC47" i="29"/>
  <c r="CE47" i="29"/>
  <c r="CF47" i="29"/>
  <c r="CG47" i="29"/>
  <c r="CI47" i="29"/>
  <c r="CJ47" i="29"/>
  <c r="CK47" i="29"/>
  <c r="CC48" i="29"/>
  <c r="CD48" i="29"/>
  <c r="CE48" i="29"/>
  <c r="CG48" i="29"/>
  <c r="CH48" i="29"/>
  <c r="CI48" i="29"/>
  <c r="CK48" i="29"/>
  <c r="CL48" i="29"/>
  <c r="CC49" i="29"/>
  <c r="CE49" i="29"/>
  <c r="CF49" i="29"/>
  <c r="CG49" i="29"/>
  <c r="CI49" i="29"/>
  <c r="CJ49" i="29"/>
  <c r="CK49" i="29"/>
  <c r="CC50" i="29"/>
  <c r="CD50" i="29"/>
  <c r="CE50" i="29"/>
  <c r="CG50" i="29"/>
  <c r="CH50" i="29"/>
  <c r="CI50" i="29"/>
  <c r="CK50" i="29"/>
  <c r="CL50" i="29"/>
  <c r="CC51" i="29"/>
  <c r="CE51" i="29"/>
  <c r="CF51" i="29"/>
  <c r="CG51" i="29"/>
  <c r="CI51" i="29"/>
  <c r="CJ51" i="29"/>
  <c r="CK51" i="29"/>
  <c r="CC52" i="29"/>
  <c r="CD52" i="29"/>
  <c r="CE52" i="29"/>
  <c r="CG52" i="29"/>
  <c r="CH52" i="29"/>
  <c r="CI52" i="29"/>
  <c r="CK52" i="29"/>
  <c r="CL52" i="29"/>
  <c r="CC53" i="29"/>
  <c r="CE53" i="29"/>
  <c r="CF53" i="29"/>
  <c r="CG53" i="29"/>
  <c r="CI53" i="29"/>
  <c r="CJ53" i="29"/>
  <c r="CK53" i="29"/>
  <c r="CC54" i="29"/>
  <c r="CD54" i="29"/>
  <c r="CE54" i="29"/>
  <c r="CG54" i="29"/>
  <c r="CH54" i="29"/>
  <c r="CI54" i="29"/>
  <c r="CK54" i="29"/>
  <c r="CL54" i="29"/>
  <c r="CC55" i="29"/>
  <c r="CE55" i="29"/>
  <c r="CF55" i="29"/>
  <c r="CG55" i="29"/>
  <c r="CI55" i="29"/>
  <c r="CJ55" i="29"/>
  <c r="CK55" i="29"/>
  <c r="CC56" i="29"/>
  <c r="CD56" i="29"/>
  <c r="CE56" i="29"/>
  <c r="CG56" i="29"/>
  <c r="CH56" i="29"/>
  <c r="CI56" i="29"/>
  <c r="CK56" i="29"/>
  <c r="CL56" i="29"/>
  <c r="CC57" i="29"/>
  <c r="CE57" i="29"/>
  <c r="CF57" i="29"/>
  <c r="CG57" i="29"/>
  <c r="CI57" i="29"/>
  <c r="CJ57" i="29"/>
  <c r="CK57" i="29"/>
  <c r="CC58" i="29"/>
  <c r="CD58" i="29"/>
  <c r="CE58" i="29"/>
  <c r="CG58" i="29"/>
  <c r="CH58" i="29"/>
  <c r="CI58" i="29"/>
  <c r="CK58" i="29"/>
  <c r="CL58" i="29"/>
  <c r="CC59" i="29"/>
  <c r="CE59" i="29"/>
  <c r="CF59" i="29"/>
  <c r="CG59" i="29"/>
  <c r="CI59" i="29"/>
  <c r="CJ59" i="29"/>
  <c r="CK59" i="29"/>
  <c r="CC60" i="29"/>
  <c r="CD60" i="29"/>
  <c r="CE60" i="29"/>
  <c r="CG60" i="29"/>
  <c r="CH60" i="29"/>
  <c r="CI60" i="29"/>
  <c r="CK60" i="29"/>
  <c r="CL60" i="29"/>
  <c r="CC61" i="29"/>
  <c r="CE61" i="29"/>
  <c r="CF61" i="29"/>
  <c r="CG61" i="29"/>
  <c r="CI61" i="29"/>
  <c r="CJ61" i="29"/>
  <c r="CK61" i="29"/>
  <c r="CC62" i="29"/>
  <c r="CD62" i="29"/>
  <c r="CE62" i="29"/>
  <c r="CG62" i="29"/>
  <c r="CH62" i="29"/>
  <c r="CI62" i="29"/>
  <c r="CK62" i="29"/>
  <c r="CL62" i="29"/>
  <c r="CC63" i="29"/>
  <c r="CE63" i="29"/>
  <c r="CF63" i="29"/>
  <c r="CG63" i="29"/>
  <c r="CI63" i="29"/>
  <c r="CJ63" i="29"/>
  <c r="CK63" i="29"/>
  <c r="CC64" i="29"/>
  <c r="CD64" i="29"/>
  <c r="CE64" i="29"/>
  <c r="CG64" i="29"/>
  <c r="CH64" i="29"/>
  <c r="CI64" i="29"/>
  <c r="CK64" i="29"/>
  <c r="CL64" i="29"/>
  <c r="CC65" i="29"/>
  <c r="CE65" i="29"/>
  <c r="CF65" i="29"/>
  <c r="CG65" i="29"/>
  <c r="CI65" i="29"/>
  <c r="CJ65" i="29"/>
  <c r="CK65" i="29"/>
  <c r="CC66" i="29"/>
  <c r="CD66" i="29"/>
  <c r="CE66" i="29"/>
  <c r="CG66" i="29"/>
  <c r="CH66" i="29"/>
  <c r="CI66" i="29"/>
  <c r="CK66" i="29"/>
  <c r="CL66" i="29"/>
  <c r="CC67" i="29"/>
  <c r="CE67" i="29"/>
  <c r="CF67" i="29"/>
  <c r="CG67" i="29"/>
  <c r="CI67" i="29"/>
  <c r="CJ67" i="29"/>
  <c r="CK67" i="29"/>
  <c r="CC68" i="29"/>
  <c r="CD68" i="29"/>
  <c r="CE68" i="29"/>
  <c r="CG68" i="29"/>
  <c r="CH68" i="29"/>
  <c r="CI68" i="29"/>
  <c r="CK68" i="29"/>
  <c r="CL68" i="29"/>
  <c r="CC69" i="29"/>
  <c r="CE69" i="29"/>
  <c r="CF69" i="29"/>
  <c r="CG69" i="29"/>
  <c r="CI69" i="29"/>
  <c r="CJ69" i="29"/>
  <c r="CK69" i="29"/>
  <c r="CC70" i="29"/>
  <c r="CD70" i="29"/>
  <c r="CE70" i="29"/>
  <c r="CG70" i="29"/>
  <c r="CH70" i="29"/>
  <c r="CI70" i="29"/>
  <c r="CK70" i="29"/>
  <c r="CL70" i="29"/>
  <c r="CC71" i="29"/>
  <c r="CE71" i="29"/>
  <c r="CF71" i="29"/>
  <c r="CG71" i="29"/>
  <c r="CI71" i="29"/>
  <c r="CJ71" i="29"/>
  <c r="CK71" i="29"/>
  <c r="CC72" i="29"/>
  <c r="CD72" i="29"/>
  <c r="CE72" i="29"/>
  <c r="CG72" i="29"/>
  <c r="CH72" i="29"/>
  <c r="CI72" i="29"/>
  <c r="CK72" i="29"/>
  <c r="CL72" i="29"/>
  <c r="CC73" i="29"/>
  <c r="CE73" i="29"/>
  <c r="CF73" i="29"/>
  <c r="CG73" i="29"/>
  <c r="CI73" i="29"/>
  <c r="CJ73" i="29"/>
  <c r="CK73" i="29"/>
  <c r="CC74" i="29"/>
  <c r="CD74" i="29"/>
  <c r="CE74" i="29"/>
  <c r="CG74" i="29"/>
  <c r="CH74" i="29"/>
  <c r="CI74" i="29"/>
  <c r="CK74" i="29"/>
  <c r="CL74" i="29"/>
  <c r="CC75" i="29"/>
  <c r="CE75" i="29"/>
  <c r="CF75" i="29"/>
  <c r="CG75" i="29"/>
  <c r="CI75" i="29"/>
  <c r="CJ75" i="29"/>
  <c r="CK75" i="29"/>
  <c r="CC76" i="29"/>
  <c r="CD76" i="29"/>
  <c r="CE76" i="29"/>
  <c r="CG76" i="29"/>
  <c r="CH76" i="29"/>
  <c r="CI76" i="29"/>
  <c r="CK76" i="29"/>
  <c r="CL76" i="29"/>
  <c r="CC77" i="29"/>
  <c r="CE77" i="29"/>
  <c r="CF77" i="29"/>
  <c r="CG77" i="29"/>
  <c r="CI77" i="29"/>
  <c r="CJ77" i="29"/>
  <c r="CK77" i="29"/>
  <c r="CC78" i="29"/>
  <c r="CD78" i="29"/>
  <c r="CE78" i="29"/>
  <c r="CG78" i="29"/>
  <c r="CH78" i="29"/>
  <c r="CI78" i="29"/>
  <c r="CK78" i="29"/>
  <c r="CL78" i="29"/>
  <c r="CC79" i="29"/>
  <c r="CE79" i="29"/>
  <c r="CF79" i="29"/>
  <c r="CG79" i="29"/>
  <c r="CI79" i="29"/>
  <c r="CJ79" i="29"/>
  <c r="CK79" i="29"/>
  <c r="CC80" i="29"/>
  <c r="CD80" i="29"/>
  <c r="CE80" i="29"/>
  <c r="CG80" i="29"/>
  <c r="CH80" i="29"/>
  <c r="CI80" i="29"/>
  <c r="CK80" i="29"/>
  <c r="CL80" i="29"/>
  <c r="CC81" i="29"/>
  <c r="CE81" i="29"/>
  <c r="CF81" i="29"/>
  <c r="CG81" i="29"/>
  <c r="CI81" i="29"/>
  <c r="CJ81" i="29"/>
  <c r="CK81" i="29"/>
  <c r="CC82" i="29"/>
  <c r="CD82" i="29"/>
  <c r="CE82" i="29"/>
  <c r="CG82" i="29"/>
  <c r="CH82" i="29"/>
  <c r="CI82" i="29"/>
  <c r="CK82" i="29"/>
  <c r="CL82" i="29"/>
  <c r="CC83" i="29"/>
  <c r="CE83" i="29"/>
  <c r="CF83" i="29"/>
  <c r="CG83" i="29"/>
  <c r="CI83" i="29"/>
  <c r="CJ83" i="29"/>
  <c r="CK83" i="29"/>
  <c r="CC84" i="29"/>
  <c r="CD84" i="29"/>
  <c r="CE84" i="29"/>
  <c r="CG84" i="29"/>
  <c r="CH84" i="29"/>
  <c r="CI84" i="29"/>
  <c r="CK84" i="29"/>
  <c r="CL84" i="29"/>
  <c r="CC85" i="29"/>
  <c r="CE85" i="29"/>
  <c r="CF85" i="29"/>
  <c r="CG85" i="29"/>
  <c r="CI85" i="29"/>
  <c r="CJ85" i="29"/>
  <c r="CK85" i="29"/>
  <c r="CC86" i="29"/>
  <c r="CD86" i="29"/>
  <c r="CE86" i="29"/>
  <c r="CG86" i="29"/>
  <c r="CH86" i="29"/>
  <c r="CI86" i="29"/>
  <c r="CK86" i="29"/>
  <c r="CL86" i="29"/>
  <c r="CC87" i="29"/>
  <c r="CE87" i="29"/>
  <c r="CF87" i="29"/>
  <c r="CG87" i="29"/>
  <c r="CI87" i="29"/>
  <c r="CJ87" i="29"/>
  <c r="CK87" i="29"/>
  <c r="CC88" i="29"/>
  <c r="CD88" i="29"/>
  <c r="CE88" i="29"/>
  <c r="CG88" i="29"/>
  <c r="CH88" i="29"/>
  <c r="CI88" i="29"/>
  <c r="CK88" i="29"/>
  <c r="CL88" i="29"/>
  <c r="CC89" i="29"/>
  <c r="CE89" i="29"/>
  <c r="CF89" i="29"/>
  <c r="CG89" i="29"/>
  <c r="CI89" i="29"/>
  <c r="CJ89" i="29"/>
  <c r="CK89" i="29"/>
  <c r="CC90" i="29"/>
  <c r="CD90" i="29"/>
  <c r="CE90" i="29"/>
  <c r="CG90" i="29"/>
  <c r="CH90" i="29"/>
  <c r="CI90" i="29"/>
  <c r="CK90" i="29"/>
  <c r="CL90" i="29"/>
  <c r="CC91" i="29"/>
  <c r="CE91" i="29"/>
  <c r="CF91" i="29"/>
  <c r="CG91" i="29"/>
  <c r="CI91" i="29"/>
  <c r="CJ91" i="29"/>
  <c r="CK91" i="29"/>
  <c r="CC92" i="29"/>
  <c r="CD92" i="29"/>
  <c r="CE92" i="29"/>
  <c r="CG92" i="29"/>
  <c r="CH92" i="29"/>
  <c r="CI92" i="29"/>
  <c r="CK92" i="29"/>
  <c r="CL92" i="29"/>
  <c r="CC93" i="29"/>
  <c r="CE93" i="29"/>
  <c r="CF93" i="29"/>
  <c r="CG93" i="29"/>
  <c r="CI93" i="29"/>
  <c r="CJ93" i="29"/>
  <c r="CK93" i="29"/>
  <c r="CC94" i="29"/>
  <c r="CD94" i="29"/>
  <c r="CE94" i="29"/>
  <c r="CG94" i="29"/>
  <c r="CH94" i="29"/>
  <c r="CI94" i="29"/>
  <c r="CK94" i="29"/>
  <c r="CL94" i="29"/>
  <c r="CC95" i="29"/>
  <c r="CE95" i="29"/>
  <c r="CF95" i="29"/>
  <c r="CG95" i="29"/>
  <c r="CI95" i="29"/>
  <c r="CJ95" i="29"/>
  <c r="CK95" i="29"/>
  <c r="CC96" i="29"/>
  <c r="CD96" i="29"/>
  <c r="CE96" i="29"/>
  <c r="CG96" i="29"/>
  <c r="CH96" i="29"/>
  <c r="CI96" i="29"/>
  <c r="CK96" i="29"/>
  <c r="CL96" i="29"/>
  <c r="CC97" i="29"/>
  <c r="CE97" i="29"/>
  <c r="CF97" i="29"/>
  <c r="CG97" i="29"/>
  <c r="CI97" i="29"/>
  <c r="CJ97" i="29"/>
  <c r="CK97" i="29"/>
  <c r="CC98" i="29"/>
  <c r="CD98" i="29"/>
  <c r="CE98" i="29"/>
  <c r="CG98" i="29"/>
  <c r="CH98" i="29"/>
  <c r="CI98" i="29"/>
  <c r="CK98" i="29"/>
  <c r="CL98" i="29"/>
  <c r="CC99" i="29"/>
  <c r="CE99" i="29"/>
  <c r="CF99" i="29"/>
  <c r="CG99" i="29"/>
  <c r="CI99" i="29"/>
  <c r="CJ99" i="29"/>
  <c r="CK99" i="29"/>
  <c r="CC100" i="29"/>
  <c r="CD100" i="29"/>
  <c r="CE100" i="29"/>
  <c r="CG100" i="29"/>
  <c r="CH100" i="29"/>
  <c r="CI100" i="29"/>
  <c r="CK100" i="29"/>
  <c r="CL100" i="29"/>
  <c r="CC101" i="29"/>
  <c r="CE101" i="29"/>
  <c r="CF101" i="29"/>
  <c r="CG101" i="29"/>
  <c r="CI101" i="29"/>
  <c r="CJ101" i="29"/>
  <c r="CK101" i="29"/>
  <c r="CC102" i="29"/>
  <c r="CD102" i="29"/>
  <c r="CE102" i="29"/>
  <c r="CG102" i="29"/>
  <c r="CH102" i="29"/>
  <c r="CI102" i="29"/>
  <c r="CK102" i="29"/>
  <c r="CL102" i="29"/>
  <c r="CC103" i="29"/>
  <c r="CE103" i="29"/>
  <c r="CF103" i="29"/>
  <c r="CG103" i="29"/>
  <c r="CI103" i="29"/>
  <c r="CJ103" i="29"/>
  <c r="CK103" i="29"/>
  <c r="CC104" i="29"/>
  <c r="CD104" i="29"/>
  <c r="CE104" i="29"/>
  <c r="CG104" i="29"/>
  <c r="CH104" i="29"/>
  <c r="CI104" i="29"/>
  <c r="CK104" i="29"/>
  <c r="CL104" i="29"/>
  <c r="CC105" i="29"/>
  <c r="CE105" i="29"/>
  <c r="CF105" i="29"/>
  <c r="CG105" i="29"/>
  <c r="CI105" i="29"/>
  <c r="CJ105" i="29"/>
  <c r="CK105" i="29"/>
  <c r="CC106" i="29"/>
  <c r="CD106" i="29"/>
  <c r="CE106" i="29"/>
  <c r="CF106" i="29"/>
  <c r="CG106" i="29"/>
  <c r="CH106" i="29"/>
  <c r="CI106" i="29"/>
  <c r="CJ106" i="29"/>
  <c r="CK106" i="29"/>
  <c r="CL106" i="29"/>
  <c r="CC107" i="29"/>
  <c r="CD107" i="29"/>
  <c r="CE107" i="29"/>
  <c r="CF107" i="29"/>
  <c r="CG107" i="29"/>
  <c r="CH107" i="29"/>
  <c r="CI107" i="29"/>
  <c r="CJ107" i="29"/>
  <c r="CK107" i="29"/>
  <c r="CL107" i="29"/>
  <c r="CC108" i="29"/>
  <c r="CD108" i="29"/>
  <c r="CE108" i="29"/>
  <c r="CF108" i="29"/>
  <c r="CG108" i="29"/>
  <c r="CH108" i="29"/>
  <c r="CI108" i="29"/>
  <c r="CJ108" i="29"/>
  <c r="CK108" i="29"/>
  <c r="CL108" i="29"/>
  <c r="CC109" i="29"/>
  <c r="CD109" i="29"/>
  <c r="CE109" i="29"/>
  <c r="CF109" i="29"/>
  <c r="CG109" i="29"/>
  <c r="CH109" i="29"/>
  <c r="CI109" i="29"/>
  <c r="CJ109" i="29"/>
  <c r="CK109" i="29"/>
  <c r="CL109" i="29"/>
  <c r="CC110" i="29"/>
  <c r="CD110" i="29"/>
  <c r="CE110" i="29"/>
  <c r="CF110" i="29"/>
  <c r="CG110" i="29"/>
  <c r="CH110" i="29"/>
  <c r="CI110" i="29"/>
  <c r="CJ110" i="29"/>
  <c r="CK110" i="29"/>
  <c r="CL110" i="29"/>
  <c r="CC111" i="29"/>
  <c r="CD111" i="29"/>
  <c r="CE111" i="29"/>
  <c r="CF111" i="29"/>
  <c r="CG111" i="29"/>
  <c r="CH111" i="29"/>
  <c r="CI111" i="29"/>
  <c r="CJ111" i="29"/>
  <c r="CK111" i="29"/>
  <c r="CL111" i="29"/>
  <c r="CC112" i="29"/>
  <c r="CD112" i="29"/>
  <c r="CE112" i="29"/>
  <c r="CF112" i="29"/>
  <c r="CG112" i="29"/>
  <c r="CH112" i="29"/>
  <c r="CI112" i="29"/>
  <c r="CJ112" i="29"/>
  <c r="CK112" i="29"/>
  <c r="CL112" i="29"/>
  <c r="CC113" i="29"/>
  <c r="CD113" i="29"/>
  <c r="CE113" i="29"/>
  <c r="CF113" i="29"/>
  <c r="CG113" i="29"/>
  <c r="CH113" i="29"/>
  <c r="CI113" i="29"/>
  <c r="CJ113" i="29"/>
  <c r="CK113" i="29"/>
  <c r="CL113" i="29"/>
  <c r="CC114" i="29"/>
  <c r="CD114" i="29"/>
  <c r="CE114" i="29"/>
  <c r="CF114" i="29"/>
  <c r="CG114" i="29"/>
  <c r="CH114" i="29"/>
  <c r="CI114" i="29"/>
  <c r="CJ114" i="29"/>
  <c r="CK114" i="29"/>
  <c r="CL114" i="29"/>
  <c r="CC115" i="29"/>
  <c r="CD115" i="29"/>
  <c r="CE115" i="29"/>
  <c r="CF115" i="29"/>
  <c r="CG115" i="29"/>
  <c r="CH115" i="29"/>
  <c r="CI115" i="29"/>
  <c r="CJ115" i="29"/>
  <c r="CK115" i="29"/>
  <c r="CL115" i="29"/>
  <c r="CC116" i="29"/>
  <c r="CD116" i="29"/>
  <c r="CE116" i="29"/>
  <c r="CF116" i="29"/>
  <c r="CG116" i="29"/>
  <c r="CH116" i="29"/>
  <c r="CI116" i="29"/>
  <c r="CJ116" i="29"/>
  <c r="CK116" i="29"/>
  <c r="CL116" i="29"/>
  <c r="CC117" i="29"/>
  <c r="CD117" i="29"/>
  <c r="CE117" i="29"/>
  <c r="CF117" i="29"/>
  <c r="CG117" i="29"/>
  <c r="CH117" i="29"/>
  <c r="CI117" i="29"/>
  <c r="CJ117" i="29"/>
  <c r="CK117" i="29"/>
  <c r="CL117" i="29"/>
  <c r="CC118" i="29"/>
  <c r="CD118" i="29"/>
  <c r="CE118" i="29"/>
  <c r="CF118" i="29"/>
  <c r="CG118" i="29"/>
  <c r="CH118" i="29"/>
  <c r="CI118" i="29"/>
  <c r="CJ118" i="29"/>
  <c r="CK118" i="29"/>
  <c r="CL118" i="29"/>
  <c r="CC119" i="29"/>
  <c r="CD119" i="29"/>
  <c r="CE119" i="29"/>
  <c r="CF119" i="29"/>
  <c r="CG119" i="29"/>
  <c r="CH119" i="29"/>
  <c r="CI119" i="29"/>
  <c r="CJ119" i="29"/>
  <c r="CK119" i="29"/>
  <c r="CL119" i="29"/>
  <c r="CC120" i="29"/>
  <c r="CD120" i="29"/>
  <c r="CE120" i="29"/>
  <c r="CF120" i="29"/>
  <c r="CG120" i="29"/>
  <c r="CH120" i="29"/>
  <c r="CI120" i="29"/>
  <c r="CJ120" i="29"/>
  <c r="CK120" i="29"/>
  <c r="CL120" i="29"/>
  <c r="CC121" i="29"/>
  <c r="CD121" i="29"/>
  <c r="CE121" i="29"/>
  <c r="CF121" i="29"/>
  <c r="CG121" i="29"/>
  <c r="CH121" i="29"/>
  <c r="CI121" i="29"/>
  <c r="CJ121" i="29"/>
  <c r="CK121" i="29"/>
  <c r="CL121" i="29"/>
  <c r="CC122" i="29"/>
  <c r="CD122" i="29"/>
  <c r="CE122" i="29"/>
  <c r="CF122" i="29"/>
  <c r="CG122" i="29"/>
  <c r="CH122" i="29"/>
  <c r="CI122" i="29"/>
  <c r="CJ122" i="29"/>
  <c r="CK122" i="29"/>
  <c r="CL122" i="29"/>
  <c r="CC123" i="29"/>
  <c r="CD123" i="29"/>
  <c r="CE123" i="29"/>
  <c r="CF123" i="29"/>
  <c r="CG123" i="29"/>
  <c r="CH123" i="29"/>
  <c r="CI123" i="29"/>
  <c r="CJ123" i="29"/>
  <c r="CK123" i="29"/>
  <c r="CL123" i="29"/>
  <c r="CC124" i="29"/>
  <c r="CD124" i="29"/>
  <c r="CE124" i="29"/>
  <c r="CF124" i="29"/>
  <c r="CG124" i="29"/>
  <c r="CH124" i="29"/>
  <c r="CI124" i="29"/>
  <c r="CJ124" i="29"/>
  <c r="CK124" i="29"/>
  <c r="CL124" i="29"/>
  <c r="CC125" i="29"/>
  <c r="CD125" i="29"/>
  <c r="CE125" i="29"/>
  <c r="CF125" i="29"/>
  <c r="CG125" i="29"/>
  <c r="CH125" i="29"/>
  <c r="CI125" i="29"/>
  <c r="CJ125" i="29"/>
  <c r="CK125" i="29"/>
  <c r="CL125" i="29"/>
  <c r="CC126" i="29"/>
  <c r="CD126" i="29"/>
  <c r="CE126" i="29"/>
  <c r="CF126" i="29"/>
  <c r="CG126" i="29"/>
  <c r="CH126" i="29"/>
  <c r="CI126" i="29"/>
  <c r="CJ126" i="29"/>
  <c r="CK126" i="29"/>
  <c r="CL126" i="29"/>
  <c r="CC127" i="29"/>
  <c r="CD127" i="29"/>
  <c r="CE127" i="29"/>
  <c r="CF127" i="29"/>
  <c r="CG127" i="29"/>
  <c r="CH127" i="29"/>
  <c r="CI127" i="29"/>
  <c r="CJ127" i="29"/>
  <c r="CK127" i="29"/>
  <c r="CL127" i="29"/>
  <c r="CC128" i="29"/>
  <c r="CD128" i="29"/>
  <c r="CE128" i="29"/>
  <c r="CF128" i="29"/>
  <c r="CG128" i="29"/>
  <c r="CH128" i="29"/>
  <c r="CI128" i="29"/>
  <c r="CJ128" i="29"/>
  <c r="CK128" i="29"/>
  <c r="CL128" i="29"/>
  <c r="CC129" i="29"/>
  <c r="CD129" i="29"/>
  <c r="CE129" i="29"/>
  <c r="CF129" i="29"/>
  <c r="CG129" i="29"/>
  <c r="CH129" i="29"/>
  <c r="CI129" i="29"/>
  <c r="CJ129" i="29"/>
  <c r="CK129" i="29"/>
  <c r="CL129" i="29"/>
  <c r="CC130" i="29"/>
  <c r="CD130" i="29"/>
  <c r="CE130" i="29"/>
  <c r="CF130" i="29"/>
  <c r="CG130" i="29"/>
  <c r="CH130" i="29"/>
  <c r="CI130" i="29"/>
  <c r="CJ130" i="29"/>
  <c r="CK130" i="29"/>
  <c r="CL130" i="29"/>
  <c r="CC131" i="29"/>
  <c r="CD131" i="29"/>
  <c r="CE131" i="29"/>
  <c r="CF131" i="29"/>
  <c r="CG131" i="29"/>
  <c r="CH131" i="29"/>
  <c r="CI131" i="29"/>
  <c r="CJ131" i="29"/>
  <c r="CK131" i="29"/>
  <c r="CL131" i="29"/>
  <c r="CC132" i="29"/>
  <c r="CD132" i="29"/>
  <c r="CE132" i="29"/>
  <c r="CF132" i="29"/>
  <c r="CG132" i="29"/>
  <c r="CH132" i="29"/>
  <c r="CI132" i="29"/>
  <c r="CJ132" i="29"/>
  <c r="CK132" i="29"/>
  <c r="CL132" i="29"/>
  <c r="CC133" i="29"/>
  <c r="CD133" i="29"/>
  <c r="CE133" i="29"/>
  <c r="CF133" i="29"/>
  <c r="CG133" i="29"/>
  <c r="CH133" i="29"/>
  <c r="CI133" i="29"/>
  <c r="CJ133" i="29"/>
  <c r="CK133" i="29"/>
  <c r="CL133" i="29"/>
  <c r="CC134" i="29"/>
  <c r="CD134" i="29"/>
  <c r="CE134" i="29"/>
  <c r="CF134" i="29"/>
  <c r="CG134" i="29"/>
  <c r="CH134" i="29"/>
  <c r="CI134" i="29"/>
  <c r="CJ134" i="29"/>
  <c r="CK134" i="29"/>
  <c r="CL134" i="29"/>
  <c r="CC135" i="29"/>
  <c r="CD135" i="29"/>
  <c r="CE135" i="29"/>
  <c r="CF135" i="29"/>
  <c r="CG135" i="29"/>
  <c r="CH135" i="29"/>
  <c r="CI135" i="29"/>
  <c r="CJ135" i="29"/>
  <c r="CK135" i="29"/>
  <c r="CL135" i="29"/>
  <c r="CC136" i="29"/>
  <c r="CD136" i="29"/>
  <c r="CE136" i="29"/>
  <c r="CF136" i="29"/>
  <c r="CG136" i="29"/>
  <c r="CH136" i="29"/>
  <c r="CI136" i="29"/>
  <c r="CJ136" i="29"/>
  <c r="CK136" i="29"/>
  <c r="CL136" i="29"/>
  <c r="CC137" i="29"/>
  <c r="CD137" i="29"/>
  <c r="CE137" i="29"/>
  <c r="CF137" i="29"/>
  <c r="CG137" i="29"/>
  <c r="CH137" i="29"/>
  <c r="CI137" i="29"/>
  <c r="CJ137" i="29"/>
  <c r="CK137" i="29"/>
  <c r="CL137" i="29"/>
  <c r="CC138" i="29"/>
  <c r="CD138" i="29"/>
  <c r="CE138" i="29"/>
  <c r="CF138" i="29"/>
  <c r="CG138" i="29"/>
  <c r="CH138" i="29"/>
  <c r="CI138" i="29"/>
  <c r="CJ138" i="29"/>
  <c r="CK138" i="29"/>
  <c r="CL138" i="29"/>
  <c r="CC139" i="29"/>
  <c r="CD139" i="29"/>
  <c r="CE139" i="29"/>
  <c r="CF139" i="29"/>
  <c r="CG139" i="29"/>
  <c r="CH139" i="29"/>
  <c r="CI139" i="29"/>
  <c r="CJ139" i="29"/>
  <c r="CK139" i="29"/>
  <c r="CL139" i="29"/>
  <c r="CC140" i="29"/>
  <c r="CD140" i="29"/>
  <c r="CE140" i="29"/>
  <c r="CF140" i="29"/>
  <c r="CG140" i="29"/>
  <c r="CH140" i="29"/>
  <c r="CI140" i="29"/>
  <c r="CJ140" i="29"/>
  <c r="CK140" i="29"/>
  <c r="CL140" i="29"/>
  <c r="CC141" i="29"/>
  <c r="CD141" i="29"/>
  <c r="CE141" i="29"/>
  <c r="CF141" i="29"/>
  <c r="CG141" i="29"/>
  <c r="CH141" i="29"/>
  <c r="CI141" i="29"/>
  <c r="CJ141" i="29"/>
  <c r="CK141" i="29"/>
  <c r="CL141" i="29"/>
  <c r="CC142" i="29"/>
  <c r="CD142" i="29"/>
  <c r="CE142" i="29"/>
  <c r="CF142" i="29"/>
  <c r="CG142" i="29"/>
  <c r="CH142" i="29"/>
  <c r="CI142" i="29"/>
  <c r="CJ142" i="29"/>
  <c r="CK142" i="29"/>
  <c r="CL142" i="29"/>
  <c r="CC143" i="29"/>
  <c r="CD143" i="29"/>
  <c r="CE143" i="29"/>
  <c r="CF143" i="29"/>
  <c r="CG143" i="29"/>
  <c r="CH143" i="29"/>
  <c r="CI143" i="29"/>
  <c r="CJ143" i="29"/>
  <c r="CK143" i="29"/>
  <c r="CL143" i="29"/>
  <c r="CC144" i="29"/>
  <c r="CD144" i="29"/>
  <c r="CE144" i="29"/>
  <c r="CF144" i="29"/>
  <c r="CG144" i="29"/>
  <c r="CH144" i="29"/>
  <c r="CI144" i="29"/>
  <c r="CJ144" i="29"/>
  <c r="CK144" i="29"/>
  <c r="CL144" i="29"/>
  <c r="CC145" i="29"/>
  <c r="CD145" i="29"/>
  <c r="CE145" i="29"/>
  <c r="CF145" i="29"/>
  <c r="CG145" i="29"/>
  <c r="CH145" i="29"/>
  <c r="CI145" i="29"/>
  <c r="CJ145" i="29"/>
  <c r="CK145" i="29"/>
  <c r="CL145" i="29"/>
  <c r="CC146" i="29"/>
  <c r="CD146" i="29"/>
  <c r="CE146" i="29"/>
  <c r="CF146" i="29"/>
  <c r="CG146" i="29"/>
  <c r="CH146" i="29"/>
  <c r="CI146" i="29"/>
  <c r="CJ146" i="29"/>
  <c r="CK146" i="29"/>
  <c r="CL146" i="29"/>
  <c r="CC147" i="29"/>
  <c r="CD147" i="29"/>
  <c r="CE147" i="29"/>
  <c r="CF147" i="29"/>
  <c r="CG147" i="29"/>
  <c r="CH147" i="29"/>
  <c r="CI147" i="29"/>
  <c r="CJ147" i="29"/>
  <c r="CK147" i="29"/>
  <c r="CL147" i="29"/>
  <c r="CC148" i="29"/>
  <c r="CD148" i="29"/>
  <c r="CE148" i="29"/>
  <c r="CF148" i="29"/>
  <c r="CG148" i="29"/>
  <c r="CH148" i="29"/>
  <c r="CI148" i="29"/>
  <c r="CJ148" i="29"/>
  <c r="CK148" i="29"/>
  <c r="CL148" i="29"/>
  <c r="CC149" i="29"/>
  <c r="CD149" i="29"/>
  <c r="CE149" i="29"/>
  <c r="CF149" i="29"/>
  <c r="CG149" i="29"/>
  <c r="CH149" i="29"/>
  <c r="CI149" i="29"/>
  <c r="CJ149" i="29"/>
  <c r="CK149" i="29"/>
  <c r="CL149" i="29"/>
  <c r="CC150" i="29"/>
  <c r="CD150" i="29"/>
  <c r="CE150" i="29"/>
  <c r="CF150" i="29"/>
  <c r="CG150" i="29"/>
  <c r="CH150" i="29"/>
  <c r="CI150" i="29"/>
  <c r="CJ150" i="29"/>
  <c r="CK150" i="29"/>
  <c r="CL150" i="29"/>
  <c r="CC151" i="29"/>
  <c r="CD151" i="29"/>
  <c r="CE151" i="29"/>
  <c r="CF151" i="29"/>
  <c r="CG151" i="29"/>
  <c r="CH151" i="29"/>
  <c r="CI151" i="29"/>
  <c r="CJ151" i="29"/>
  <c r="CK151" i="29"/>
  <c r="CL151" i="29"/>
  <c r="CC152" i="29"/>
  <c r="CD152" i="29"/>
  <c r="CE152" i="29"/>
  <c r="CF152" i="29"/>
  <c r="CG152" i="29"/>
  <c r="CH152" i="29"/>
  <c r="CI152" i="29"/>
  <c r="CJ152" i="29"/>
  <c r="CK152" i="29"/>
  <c r="CL152" i="29"/>
  <c r="CC153" i="29"/>
  <c r="CD153" i="29"/>
  <c r="CE153" i="29"/>
  <c r="CF153" i="29"/>
  <c r="CG153" i="29"/>
  <c r="CH153" i="29"/>
  <c r="CI153" i="29"/>
  <c r="CJ153" i="29"/>
  <c r="CK153" i="29"/>
  <c r="CL153" i="29"/>
  <c r="CC154" i="29"/>
  <c r="CD154" i="29"/>
  <c r="CE154" i="29"/>
  <c r="CF154" i="29"/>
  <c r="CG154" i="29"/>
  <c r="CH154" i="29"/>
  <c r="CI154" i="29"/>
  <c r="CJ154" i="29"/>
  <c r="CK154" i="29"/>
  <c r="CL154" i="29"/>
  <c r="CC155" i="29"/>
  <c r="CD155" i="29"/>
  <c r="CE155" i="29"/>
  <c r="CF155" i="29"/>
  <c r="CG155" i="29"/>
  <c r="CH155" i="29"/>
  <c r="CI155" i="29"/>
  <c r="CJ155" i="29"/>
  <c r="CK155" i="29"/>
  <c r="CL155" i="29"/>
  <c r="CC156" i="29"/>
  <c r="CD156" i="29"/>
  <c r="CE156" i="29"/>
  <c r="CF156" i="29"/>
  <c r="CG156" i="29"/>
  <c r="CH156" i="29"/>
  <c r="CI156" i="29"/>
  <c r="CJ156" i="29"/>
  <c r="CK156" i="29"/>
  <c r="CL156" i="29"/>
  <c r="CC157" i="29"/>
  <c r="CD157" i="29"/>
  <c r="CE157" i="29"/>
  <c r="CF157" i="29"/>
  <c r="CG157" i="29"/>
  <c r="CH157" i="29"/>
  <c r="CI157" i="29"/>
  <c r="CJ157" i="29"/>
  <c r="CK157" i="29"/>
  <c r="CL157" i="29"/>
  <c r="CC158" i="29"/>
  <c r="CD158" i="29"/>
  <c r="CE158" i="29"/>
  <c r="CF158" i="29"/>
  <c r="CG158" i="29"/>
  <c r="CH158" i="29"/>
  <c r="CI158" i="29"/>
  <c r="CJ158" i="29"/>
  <c r="CK158" i="29"/>
  <c r="CL158" i="29"/>
  <c r="CC159" i="29"/>
  <c r="CD159" i="29"/>
  <c r="CE159" i="29"/>
  <c r="CF159" i="29"/>
  <c r="CG159" i="29"/>
  <c r="CH159" i="29"/>
  <c r="CI159" i="29"/>
  <c r="CJ159" i="29"/>
  <c r="CK159" i="29"/>
  <c r="CL159" i="29"/>
  <c r="CC160" i="29"/>
  <c r="CD160" i="29"/>
  <c r="CE160" i="29"/>
  <c r="CF160" i="29"/>
  <c r="CG160" i="29"/>
  <c r="CH160" i="29"/>
  <c r="CI160" i="29"/>
  <c r="CJ160" i="29"/>
  <c r="CK160" i="29"/>
  <c r="CL160" i="29"/>
  <c r="CC161" i="29"/>
  <c r="CD161" i="29"/>
  <c r="CE161" i="29"/>
  <c r="CF161" i="29"/>
  <c r="CG161" i="29"/>
  <c r="CH161" i="29"/>
  <c r="CI161" i="29"/>
  <c r="CJ161" i="29"/>
  <c r="CK161" i="29"/>
  <c r="CL161" i="29"/>
  <c r="CC162" i="29"/>
  <c r="CD162" i="29"/>
  <c r="CE162" i="29"/>
  <c r="CF162" i="29"/>
  <c r="CG162" i="29"/>
  <c r="CH162" i="29"/>
  <c r="CI162" i="29"/>
  <c r="CJ162" i="29"/>
  <c r="CK162" i="29"/>
  <c r="CL162" i="29"/>
  <c r="CC163" i="29"/>
  <c r="CD163" i="29"/>
  <c r="CE163" i="29"/>
  <c r="CF163" i="29"/>
  <c r="CG163" i="29"/>
  <c r="CH163" i="29"/>
  <c r="CI163" i="29"/>
  <c r="CJ163" i="29"/>
  <c r="CK163" i="29"/>
  <c r="CL163" i="29"/>
  <c r="CC164" i="29"/>
  <c r="CD164" i="29"/>
  <c r="CE164" i="29"/>
  <c r="CF164" i="29"/>
  <c r="CG164" i="29"/>
  <c r="CH164" i="29"/>
  <c r="CI164" i="29"/>
  <c r="CJ164" i="29"/>
  <c r="CK164" i="29"/>
  <c r="CL164" i="29"/>
  <c r="CC165" i="29"/>
  <c r="CD165" i="29"/>
  <c r="CE165" i="29"/>
  <c r="CF165" i="29"/>
  <c r="CG165" i="29"/>
  <c r="CH165" i="29"/>
  <c r="CI165" i="29"/>
  <c r="CJ165" i="29"/>
  <c r="CK165" i="29"/>
  <c r="CL165" i="29"/>
  <c r="CC166" i="29"/>
  <c r="CD166" i="29"/>
  <c r="CE166" i="29"/>
  <c r="CF166" i="29"/>
  <c r="CG166" i="29"/>
  <c r="CH166" i="29"/>
  <c r="CI166" i="29"/>
  <c r="CJ166" i="29"/>
  <c r="CK166" i="29"/>
  <c r="CL166" i="29"/>
  <c r="CC167" i="29"/>
  <c r="CD167" i="29"/>
  <c r="CE167" i="29"/>
  <c r="CF167" i="29"/>
  <c r="CG167" i="29"/>
  <c r="CH167" i="29"/>
  <c r="CI167" i="29"/>
  <c r="CJ167" i="29"/>
  <c r="CK167" i="29"/>
  <c r="CL167" i="29"/>
  <c r="CC168" i="29"/>
  <c r="CD168" i="29"/>
  <c r="CE168" i="29"/>
  <c r="CF168" i="29"/>
  <c r="CG168" i="29"/>
  <c r="CH168" i="29"/>
  <c r="CI168" i="29"/>
  <c r="CJ168" i="29"/>
  <c r="CK168" i="29"/>
  <c r="CL168" i="29"/>
  <c r="CC169" i="29"/>
  <c r="CD169" i="29"/>
  <c r="CE169" i="29"/>
  <c r="CF169" i="29"/>
  <c r="CG169" i="29"/>
  <c r="CH169" i="29"/>
  <c r="CI169" i="29"/>
  <c r="CJ169" i="29"/>
  <c r="CK169" i="29"/>
  <c r="CL169" i="29"/>
  <c r="CC170" i="29"/>
  <c r="CD170" i="29"/>
  <c r="CE170" i="29"/>
  <c r="CF170" i="29"/>
  <c r="CG170" i="29"/>
  <c r="CH170" i="29"/>
  <c r="CI170" i="29"/>
  <c r="CJ170" i="29"/>
  <c r="CK170" i="29"/>
  <c r="CL170" i="29"/>
  <c r="CC171" i="29"/>
  <c r="CD171" i="29"/>
  <c r="CE171" i="29"/>
  <c r="CF171" i="29"/>
  <c r="CG171" i="29"/>
  <c r="CH171" i="29"/>
  <c r="CI171" i="29"/>
  <c r="CJ171" i="29"/>
  <c r="CK171" i="29"/>
  <c r="CL171" i="29"/>
  <c r="CC172" i="29"/>
  <c r="CD172" i="29"/>
  <c r="CE172" i="29"/>
  <c r="CF172" i="29"/>
  <c r="CG172" i="29"/>
  <c r="CH172" i="29"/>
  <c r="CI172" i="29"/>
  <c r="CJ172" i="29"/>
  <c r="CK172" i="29"/>
  <c r="CL172" i="29"/>
  <c r="CC173" i="29"/>
  <c r="CD173" i="29"/>
  <c r="CE173" i="29"/>
  <c r="CF173" i="29"/>
  <c r="CG173" i="29"/>
  <c r="CH173" i="29"/>
  <c r="CI173" i="29"/>
  <c r="CJ173" i="29"/>
  <c r="CK173" i="29"/>
  <c r="CL173" i="29"/>
  <c r="CC174" i="29"/>
  <c r="CD174" i="29"/>
  <c r="CE174" i="29"/>
  <c r="CF174" i="29"/>
  <c r="CG174" i="29"/>
  <c r="CH174" i="29"/>
  <c r="CI174" i="29"/>
  <c r="CJ174" i="29"/>
  <c r="CK174" i="29"/>
  <c r="CL174" i="29"/>
  <c r="CC175" i="29"/>
  <c r="CD175" i="29"/>
  <c r="CE175" i="29"/>
  <c r="CF175" i="29"/>
  <c r="CG175" i="29"/>
  <c r="CH175" i="29"/>
  <c r="CI175" i="29"/>
  <c r="CJ175" i="29"/>
  <c r="CK175" i="29"/>
  <c r="CL175" i="29"/>
  <c r="CC176" i="29"/>
  <c r="CD176" i="29"/>
  <c r="CE176" i="29"/>
  <c r="CF176" i="29"/>
  <c r="CG176" i="29"/>
  <c r="CH176" i="29"/>
  <c r="CI176" i="29"/>
  <c r="CJ176" i="29"/>
  <c r="CK176" i="29"/>
  <c r="CL176" i="29"/>
  <c r="CC177" i="29"/>
  <c r="CD177" i="29"/>
  <c r="CE177" i="29"/>
  <c r="CF177" i="29"/>
  <c r="CG177" i="29"/>
  <c r="CH177" i="29"/>
  <c r="CI177" i="29"/>
  <c r="CJ177" i="29"/>
  <c r="CK177" i="29"/>
  <c r="CL177" i="29"/>
  <c r="CC178" i="29"/>
  <c r="CD178" i="29"/>
  <c r="CE178" i="29"/>
  <c r="CF178" i="29"/>
  <c r="CG178" i="29"/>
  <c r="CH178" i="29"/>
  <c r="CI178" i="29"/>
  <c r="CJ178" i="29"/>
  <c r="CK178" i="29"/>
  <c r="CL178" i="29"/>
  <c r="CC179" i="29"/>
  <c r="CD179" i="29"/>
  <c r="CE179" i="29"/>
  <c r="CF179" i="29"/>
  <c r="CG179" i="29"/>
  <c r="CH179" i="29"/>
  <c r="CI179" i="29"/>
  <c r="CJ179" i="29"/>
  <c r="CK179" i="29"/>
  <c r="CL179" i="29"/>
  <c r="CC180" i="29"/>
  <c r="CD180" i="29"/>
  <c r="CE180" i="29"/>
  <c r="CF180" i="29"/>
  <c r="CG180" i="29"/>
  <c r="CH180" i="29"/>
  <c r="CI180" i="29"/>
  <c r="CJ180" i="29"/>
  <c r="CK180" i="29"/>
  <c r="CL180" i="29"/>
  <c r="CC181" i="29"/>
  <c r="CD181" i="29"/>
  <c r="CE181" i="29"/>
  <c r="CF181" i="29"/>
  <c r="CG181" i="29"/>
  <c r="CH181" i="29"/>
  <c r="CI181" i="29"/>
  <c r="CJ181" i="29"/>
  <c r="CK181" i="29"/>
  <c r="CL181" i="29"/>
  <c r="CC182" i="29"/>
  <c r="CD182" i="29"/>
  <c r="CE182" i="29"/>
  <c r="CF182" i="29"/>
  <c r="CG182" i="29"/>
  <c r="CH182" i="29"/>
  <c r="CI182" i="29"/>
  <c r="CJ182" i="29"/>
  <c r="CK182" i="29"/>
  <c r="CL182" i="29"/>
  <c r="CC183" i="29"/>
  <c r="CD183" i="29"/>
  <c r="CE183" i="29"/>
  <c r="CF183" i="29"/>
  <c r="CG183" i="29"/>
  <c r="CH183" i="29"/>
  <c r="CI183" i="29"/>
  <c r="CJ183" i="29"/>
  <c r="CK183" i="29"/>
  <c r="CL183" i="29"/>
  <c r="CC184" i="29"/>
  <c r="CD184" i="29"/>
  <c r="CE184" i="29"/>
  <c r="CF184" i="29"/>
  <c r="CG184" i="29"/>
  <c r="CH184" i="29"/>
  <c r="CI184" i="29"/>
  <c r="CJ184" i="29"/>
  <c r="CK184" i="29"/>
  <c r="CL184" i="29"/>
  <c r="CC185" i="29"/>
  <c r="CD185" i="29"/>
  <c r="CE185" i="29"/>
  <c r="CF185" i="29"/>
  <c r="CG185" i="29"/>
  <c r="CH185" i="29"/>
  <c r="CI185" i="29"/>
  <c r="CJ185" i="29"/>
  <c r="CK185" i="29"/>
  <c r="CL185" i="29"/>
  <c r="CC186" i="29"/>
  <c r="CD186" i="29"/>
  <c r="CE186" i="29"/>
  <c r="CF186" i="29"/>
  <c r="CG186" i="29"/>
  <c r="CH186" i="29"/>
  <c r="CI186" i="29"/>
  <c r="CJ186" i="29"/>
  <c r="CK186" i="29"/>
  <c r="CL186" i="29"/>
  <c r="CC187" i="29"/>
  <c r="CD187" i="29"/>
  <c r="CE187" i="29"/>
  <c r="CF187" i="29"/>
  <c r="CG187" i="29"/>
  <c r="CH187" i="29"/>
  <c r="CI187" i="29"/>
  <c r="CJ187" i="29"/>
  <c r="CK187" i="29"/>
  <c r="CL187" i="29"/>
  <c r="CC188" i="29"/>
  <c r="CD188" i="29"/>
  <c r="CE188" i="29"/>
  <c r="CF188" i="29"/>
  <c r="CG188" i="29"/>
  <c r="CH188" i="29"/>
  <c r="CI188" i="29"/>
  <c r="CJ188" i="29"/>
  <c r="CK188" i="29"/>
  <c r="CL188" i="29"/>
  <c r="CC189" i="29"/>
  <c r="CD189" i="29"/>
  <c r="CE189" i="29"/>
  <c r="CF189" i="29"/>
  <c r="CG189" i="29"/>
  <c r="CH189" i="29"/>
  <c r="CI189" i="29"/>
  <c r="CJ189" i="29"/>
  <c r="CK189" i="29"/>
  <c r="CL189" i="29"/>
  <c r="CC190" i="29"/>
  <c r="CD190" i="29"/>
  <c r="CE190" i="29"/>
  <c r="CF190" i="29"/>
  <c r="CG190" i="29"/>
  <c r="CH190" i="29"/>
  <c r="CI190" i="29"/>
  <c r="CJ190" i="29"/>
  <c r="CK190" i="29"/>
  <c r="CL190" i="29"/>
  <c r="CC191" i="29"/>
  <c r="CD191" i="29"/>
  <c r="CE191" i="29"/>
  <c r="CF191" i="29"/>
  <c r="CG191" i="29"/>
  <c r="CH191" i="29"/>
  <c r="CI191" i="29"/>
  <c r="CJ191" i="29"/>
  <c r="CK191" i="29"/>
  <c r="CL191" i="29"/>
  <c r="CC192" i="29"/>
  <c r="CD192" i="29"/>
  <c r="CE192" i="29"/>
  <c r="CF192" i="29"/>
  <c r="CG192" i="29"/>
  <c r="CH192" i="29"/>
  <c r="CI192" i="29"/>
  <c r="CJ192" i="29"/>
  <c r="CK192" i="29"/>
  <c r="CL192" i="29"/>
  <c r="CC193" i="29"/>
  <c r="CD193" i="29"/>
  <c r="CE193" i="29"/>
  <c r="CF193" i="29"/>
  <c r="CG193" i="29"/>
  <c r="CH193" i="29"/>
  <c r="CI193" i="29"/>
  <c r="CJ193" i="29"/>
  <c r="CK193" i="29"/>
  <c r="CL193" i="29"/>
  <c r="CC194" i="29"/>
  <c r="CD194" i="29"/>
  <c r="CE194" i="29"/>
  <c r="CF194" i="29"/>
  <c r="CG194" i="29"/>
  <c r="CH194" i="29"/>
  <c r="CI194" i="29"/>
  <c r="CJ194" i="29"/>
  <c r="CK194" i="29"/>
  <c r="CL194" i="29"/>
  <c r="CC195" i="29"/>
  <c r="CD195" i="29"/>
  <c r="CE195" i="29"/>
  <c r="CF195" i="29"/>
  <c r="CG195" i="29"/>
  <c r="CH195" i="29"/>
  <c r="CI195" i="29"/>
  <c r="CJ195" i="29"/>
  <c r="CK195" i="29"/>
  <c r="CL195" i="29"/>
  <c r="CC196" i="29"/>
  <c r="CD196" i="29"/>
  <c r="CE196" i="29"/>
  <c r="CF196" i="29"/>
  <c r="CG196" i="29"/>
  <c r="CH196" i="29"/>
  <c r="CI196" i="29"/>
  <c r="CJ196" i="29"/>
  <c r="CK196" i="29"/>
  <c r="CL196" i="29"/>
  <c r="CC197" i="29"/>
  <c r="CD197" i="29"/>
  <c r="CE197" i="29"/>
  <c r="CF197" i="29"/>
  <c r="CG197" i="29"/>
  <c r="CH197" i="29"/>
  <c r="CI197" i="29"/>
  <c r="CJ197" i="29"/>
  <c r="CK197" i="29"/>
  <c r="CL197" i="29"/>
  <c r="CC198" i="29"/>
  <c r="CD198" i="29"/>
  <c r="CE198" i="29"/>
  <c r="CF198" i="29"/>
  <c r="CG198" i="29"/>
  <c r="CH198" i="29"/>
  <c r="CI198" i="29"/>
  <c r="CJ198" i="29"/>
  <c r="CK198" i="29"/>
  <c r="CL198" i="29"/>
  <c r="CC199" i="29"/>
  <c r="CD199" i="29"/>
  <c r="CE199" i="29"/>
  <c r="CF199" i="29"/>
  <c r="CG199" i="29"/>
  <c r="CH199" i="29"/>
  <c r="CI199" i="29"/>
  <c r="CJ199" i="29"/>
  <c r="CK199" i="29"/>
  <c r="CL199" i="29"/>
  <c r="CC200" i="29"/>
  <c r="CD200" i="29"/>
  <c r="CE200" i="29"/>
  <c r="CF200" i="29"/>
  <c r="CG200" i="29"/>
  <c r="CH200" i="29"/>
  <c r="CI200" i="29"/>
  <c r="CJ200" i="29"/>
  <c r="CK200" i="29"/>
  <c r="CL200" i="29"/>
  <c r="CC201" i="29"/>
  <c r="CD201" i="29"/>
  <c r="CE201" i="29"/>
  <c r="CF201" i="29"/>
  <c r="CG201" i="29"/>
  <c r="CH201" i="29"/>
  <c r="CI201" i="29"/>
  <c r="CJ201" i="29"/>
  <c r="CK201" i="29"/>
  <c r="CL201" i="29"/>
  <c r="CC202" i="29"/>
  <c r="CD202" i="29"/>
  <c r="CE202" i="29"/>
  <c r="CF202" i="29"/>
  <c r="CG202" i="29"/>
  <c r="CH202" i="29"/>
  <c r="CI202" i="29"/>
  <c r="CJ202" i="29"/>
  <c r="CK202" i="29"/>
  <c r="CL202" i="29"/>
  <c r="CC203" i="29"/>
  <c r="CD203" i="29"/>
  <c r="CE203" i="29"/>
  <c r="CF203" i="29"/>
  <c r="CG203" i="29"/>
  <c r="CH203" i="29"/>
  <c r="CI203" i="29"/>
  <c r="CJ203" i="29"/>
  <c r="CK203" i="29"/>
  <c r="CL203" i="29"/>
  <c r="CC204" i="29"/>
  <c r="CD204" i="29"/>
  <c r="CE204" i="29"/>
  <c r="CF204" i="29"/>
  <c r="CG204" i="29"/>
  <c r="CH204" i="29"/>
  <c r="CI204" i="29"/>
  <c r="CJ204" i="29"/>
  <c r="CK204" i="29"/>
  <c r="CL204" i="29"/>
  <c r="CC205" i="29"/>
  <c r="CD205" i="29"/>
  <c r="CE205" i="29"/>
  <c r="CF205" i="29"/>
  <c r="CG205" i="29"/>
  <c r="CH205" i="29"/>
  <c r="CI205" i="29"/>
  <c r="CJ205" i="29"/>
  <c r="CK205" i="29"/>
  <c r="CL205" i="29"/>
  <c r="CC206" i="29"/>
  <c r="CD206" i="29"/>
  <c r="CE206" i="29"/>
  <c r="CF206" i="29"/>
  <c r="CG206" i="29"/>
  <c r="CH206" i="29"/>
  <c r="CI206" i="29"/>
  <c r="CJ206" i="29"/>
  <c r="CK206" i="29"/>
  <c r="CL206" i="29"/>
  <c r="CC207" i="29"/>
  <c r="CD207" i="29"/>
  <c r="CE207" i="29"/>
  <c r="CF207" i="29"/>
  <c r="CG207" i="29"/>
  <c r="CH207" i="29"/>
  <c r="CI207" i="29"/>
  <c r="CJ207" i="29"/>
  <c r="CK207" i="29"/>
  <c r="CL207" i="29"/>
  <c r="CC208" i="29"/>
  <c r="CD208" i="29"/>
  <c r="CE208" i="29"/>
  <c r="CF208" i="29"/>
  <c r="CG208" i="29"/>
  <c r="CH208" i="29"/>
  <c r="CI208" i="29"/>
  <c r="CJ208" i="29"/>
  <c r="CK208" i="29"/>
  <c r="CL208" i="29"/>
  <c r="CC209" i="29"/>
  <c r="CD209" i="29"/>
  <c r="CE209" i="29"/>
  <c r="CF209" i="29"/>
  <c r="CG209" i="29"/>
  <c r="CH209" i="29"/>
  <c r="CI209" i="29"/>
  <c r="CJ209" i="29"/>
  <c r="CK209" i="29"/>
  <c r="CL209" i="29"/>
  <c r="CC210" i="29"/>
  <c r="CD210" i="29"/>
  <c r="CE210" i="29"/>
  <c r="CF210" i="29"/>
  <c r="CG210" i="29"/>
  <c r="CH210" i="29"/>
  <c r="CI210" i="29"/>
  <c r="CJ210" i="29"/>
  <c r="CK210" i="29"/>
  <c r="CL210" i="29"/>
  <c r="CC211" i="29"/>
  <c r="CD211" i="29"/>
  <c r="CE211" i="29"/>
  <c r="CF211" i="29"/>
  <c r="CG211" i="29"/>
  <c r="CH211" i="29"/>
  <c r="CI211" i="29"/>
  <c r="CJ211" i="29"/>
  <c r="CK211" i="29"/>
  <c r="CL211" i="29"/>
  <c r="CC212" i="29"/>
  <c r="CD212" i="29"/>
  <c r="CE212" i="29"/>
  <c r="CF212" i="29"/>
  <c r="CG212" i="29"/>
  <c r="CH212" i="29"/>
  <c r="CI212" i="29"/>
  <c r="CJ212" i="29"/>
  <c r="CK212" i="29"/>
  <c r="CL212" i="29"/>
  <c r="CC213" i="29"/>
  <c r="CD213" i="29"/>
  <c r="CE213" i="29"/>
  <c r="CF213" i="29"/>
  <c r="CG213" i="29"/>
  <c r="CH213" i="29"/>
  <c r="CI213" i="29"/>
  <c r="CJ213" i="29"/>
  <c r="CK213" i="29"/>
  <c r="CL213" i="29"/>
  <c r="CC214" i="29"/>
  <c r="CD214" i="29"/>
  <c r="CE214" i="29"/>
  <c r="CF214" i="29"/>
  <c r="CG214" i="29"/>
  <c r="CH214" i="29"/>
  <c r="CI214" i="29"/>
  <c r="CJ214" i="29"/>
  <c r="CK214" i="29"/>
  <c r="CL214" i="29"/>
  <c r="CC215" i="29"/>
  <c r="CD215" i="29"/>
  <c r="CE215" i="29"/>
  <c r="CF215" i="29"/>
  <c r="CG215" i="29"/>
  <c r="CH215" i="29"/>
  <c r="CI215" i="29"/>
  <c r="CJ215" i="29"/>
  <c r="CK215" i="29"/>
  <c r="CL215" i="29"/>
  <c r="CC216" i="29"/>
  <c r="CD216" i="29"/>
  <c r="CE216" i="29"/>
  <c r="CF216" i="29"/>
  <c r="CG216" i="29"/>
  <c r="CH216" i="29"/>
  <c r="CI216" i="29"/>
  <c r="CJ216" i="29"/>
  <c r="CK216" i="29"/>
  <c r="CL216" i="29"/>
  <c r="CC217" i="29"/>
  <c r="CD217" i="29"/>
  <c r="CE217" i="29"/>
  <c r="CF217" i="29"/>
  <c r="CG217" i="29"/>
  <c r="CH217" i="29"/>
  <c r="CI217" i="29"/>
  <c r="CJ217" i="29"/>
  <c r="CK217" i="29"/>
  <c r="CL217" i="29"/>
  <c r="CC218" i="29"/>
  <c r="CD218" i="29"/>
  <c r="CE218" i="29"/>
  <c r="CF218" i="29"/>
  <c r="CG218" i="29"/>
  <c r="CH218" i="29"/>
  <c r="CI218" i="29"/>
  <c r="CJ218" i="29"/>
  <c r="CK218" i="29"/>
  <c r="CL218" i="29"/>
  <c r="CC219" i="29"/>
  <c r="CD219" i="29"/>
  <c r="CE219" i="29"/>
  <c r="CF219" i="29"/>
  <c r="CG219" i="29"/>
  <c r="CH219" i="29"/>
  <c r="CI219" i="29"/>
  <c r="CJ219" i="29"/>
  <c r="CK219" i="29"/>
  <c r="CL219" i="29"/>
  <c r="CC220" i="29"/>
  <c r="CD220" i="29"/>
  <c r="CE220" i="29"/>
  <c r="CF220" i="29"/>
  <c r="CG220" i="29"/>
  <c r="CH220" i="29"/>
  <c r="CI220" i="29"/>
  <c r="CJ220" i="29"/>
  <c r="CK220" i="29"/>
  <c r="CL220" i="29"/>
  <c r="CC221" i="29"/>
  <c r="CD221" i="29"/>
  <c r="CE221" i="29"/>
  <c r="CF221" i="29"/>
  <c r="CG221" i="29"/>
  <c r="CH221" i="29"/>
  <c r="CI221" i="29"/>
  <c r="CJ221" i="29"/>
  <c r="CK221" i="29"/>
  <c r="CL221" i="29"/>
  <c r="CC222" i="29"/>
  <c r="CD222" i="29"/>
  <c r="CE222" i="29"/>
  <c r="CF222" i="29"/>
  <c r="CG222" i="29"/>
  <c r="CH222" i="29"/>
  <c r="CI222" i="29"/>
  <c r="CJ222" i="29"/>
  <c r="CK222" i="29"/>
  <c r="CL222" i="29"/>
  <c r="CC223" i="29"/>
  <c r="CD223" i="29"/>
  <c r="CE223" i="29"/>
  <c r="CF223" i="29"/>
  <c r="CG223" i="29"/>
  <c r="CH223" i="29"/>
  <c r="CI223" i="29"/>
  <c r="CJ223" i="29"/>
  <c r="CK223" i="29"/>
  <c r="CL223" i="29"/>
  <c r="CC224" i="29"/>
  <c r="CD224" i="29"/>
  <c r="CE224" i="29"/>
  <c r="CF224" i="29"/>
  <c r="CG224" i="29"/>
  <c r="CH224" i="29"/>
  <c r="CI224" i="29"/>
  <c r="CJ224" i="29"/>
  <c r="CK224" i="29"/>
  <c r="CL224" i="29"/>
  <c r="CC225" i="29"/>
  <c r="CD225" i="29"/>
  <c r="CE225" i="29"/>
  <c r="CF225" i="29"/>
  <c r="CG225" i="29"/>
  <c r="CH225" i="29"/>
  <c r="CI225" i="29"/>
  <c r="CJ225" i="29"/>
  <c r="CK225" i="29"/>
  <c r="CL225" i="29"/>
  <c r="CC226" i="29"/>
  <c r="CD226" i="29"/>
  <c r="CE226" i="29"/>
  <c r="CF226" i="29"/>
  <c r="CG226" i="29"/>
  <c r="CH226" i="29"/>
  <c r="CI226" i="29"/>
  <c r="CJ226" i="29"/>
  <c r="CK226" i="29"/>
  <c r="CL226" i="29"/>
  <c r="CC227" i="29"/>
  <c r="CD227" i="29"/>
  <c r="CE227" i="29"/>
  <c r="CF227" i="29"/>
  <c r="CG227" i="29"/>
  <c r="CH227" i="29"/>
  <c r="CI227" i="29"/>
  <c r="CJ227" i="29"/>
  <c r="CK227" i="29"/>
  <c r="CL227" i="29"/>
  <c r="CC228" i="29"/>
  <c r="CD228" i="29"/>
  <c r="CE228" i="29"/>
  <c r="CF228" i="29"/>
  <c r="CG228" i="29"/>
  <c r="CH228" i="29"/>
  <c r="CI228" i="29"/>
  <c r="CJ228" i="29"/>
  <c r="CK228" i="29"/>
  <c r="CL228" i="29"/>
  <c r="CC229" i="29"/>
  <c r="CD229" i="29"/>
  <c r="CE229" i="29"/>
  <c r="CF229" i="29"/>
  <c r="CG229" i="29"/>
  <c r="CH229" i="29"/>
  <c r="CI229" i="29"/>
  <c r="CJ229" i="29"/>
  <c r="CK229" i="29"/>
  <c r="CL229" i="29"/>
  <c r="CC230" i="29"/>
  <c r="CD230" i="29"/>
  <c r="CE230" i="29"/>
  <c r="CF230" i="29"/>
  <c r="CG230" i="29"/>
  <c r="CH230" i="29"/>
  <c r="CI230" i="29"/>
  <c r="CJ230" i="29"/>
  <c r="CK230" i="29"/>
  <c r="CL230" i="29"/>
  <c r="CC231" i="29"/>
  <c r="CD231" i="29"/>
  <c r="CE231" i="29"/>
  <c r="CF231" i="29"/>
  <c r="CG231" i="29"/>
  <c r="CH231" i="29"/>
  <c r="CI231" i="29"/>
  <c r="CJ231" i="29"/>
  <c r="CK231" i="29"/>
  <c r="CL231" i="29"/>
  <c r="CC232" i="29"/>
  <c r="CD232" i="29"/>
  <c r="CE232" i="29"/>
  <c r="CF232" i="29"/>
  <c r="CG232" i="29"/>
  <c r="CH232" i="29"/>
  <c r="CI232" i="29"/>
  <c r="CJ232" i="29"/>
  <c r="CK232" i="29"/>
  <c r="CL232" i="29"/>
  <c r="CC233" i="29"/>
  <c r="CD233" i="29"/>
  <c r="CE233" i="29"/>
  <c r="CF233" i="29"/>
  <c r="CG233" i="29"/>
  <c r="CH233" i="29"/>
  <c r="CI233" i="29"/>
  <c r="CJ233" i="29"/>
  <c r="CK233" i="29"/>
  <c r="CL233" i="29"/>
  <c r="CC234" i="29"/>
  <c r="CD234" i="29"/>
  <c r="CE234" i="29"/>
  <c r="CF234" i="29"/>
  <c r="CG234" i="29"/>
  <c r="CH234" i="29"/>
  <c r="CI234" i="29"/>
  <c r="CJ234" i="29"/>
  <c r="CK234" i="29"/>
  <c r="CL234" i="29"/>
  <c r="CC235" i="29"/>
  <c r="CD235" i="29"/>
  <c r="CE235" i="29"/>
  <c r="CF235" i="29"/>
  <c r="CG235" i="29"/>
  <c r="CH235" i="29"/>
  <c r="CI235" i="29"/>
  <c r="CJ235" i="29"/>
  <c r="CK235" i="29"/>
  <c r="CL235" i="29"/>
  <c r="CC236" i="29"/>
  <c r="CD236" i="29"/>
  <c r="CE236" i="29"/>
  <c r="CF236" i="29"/>
  <c r="CG236" i="29"/>
  <c r="CH236" i="29"/>
  <c r="CI236" i="29"/>
  <c r="CJ236" i="29"/>
  <c r="CK236" i="29"/>
  <c r="CL236" i="29"/>
  <c r="CC237" i="29"/>
  <c r="CD237" i="29"/>
  <c r="CE237" i="29"/>
  <c r="CF237" i="29"/>
  <c r="CG237" i="29"/>
  <c r="CH237" i="29"/>
  <c r="CI237" i="29"/>
  <c r="CJ237" i="29"/>
  <c r="CK237" i="29"/>
  <c r="CL237" i="29"/>
  <c r="CC238" i="29"/>
  <c r="CD238" i="29"/>
  <c r="CE238" i="29"/>
  <c r="CF238" i="29"/>
  <c r="CG238" i="29"/>
  <c r="CH238" i="29"/>
  <c r="CI238" i="29"/>
  <c r="CJ238" i="29"/>
  <c r="CK238" i="29"/>
  <c r="CL238" i="29"/>
  <c r="CC239" i="29"/>
  <c r="CD239" i="29"/>
  <c r="CE239" i="29"/>
  <c r="CF239" i="29"/>
  <c r="CG239" i="29"/>
  <c r="CH239" i="29"/>
  <c r="CI239" i="29"/>
  <c r="CJ239" i="29"/>
  <c r="CK239" i="29"/>
  <c r="CL239" i="29"/>
  <c r="CC240" i="29"/>
  <c r="CD240" i="29"/>
  <c r="CE240" i="29"/>
  <c r="CF240" i="29"/>
  <c r="CG240" i="29"/>
  <c r="CH240" i="29"/>
  <c r="CI240" i="29"/>
  <c r="CJ240" i="29"/>
  <c r="CK240" i="29"/>
  <c r="CL240" i="29"/>
  <c r="CC241" i="29"/>
  <c r="CD241" i="29"/>
  <c r="CE241" i="29"/>
  <c r="CF241" i="29"/>
  <c r="CG241" i="29"/>
  <c r="CH241" i="29"/>
  <c r="CI241" i="29"/>
  <c r="CJ241" i="29"/>
  <c r="CK241" i="29"/>
  <c r="CL241" i="29"/>
  <c r="CC242" i="29"/>
  <c r="CD242" i="29"/>
  <c r="CE242" i="29"/>
  <c r="CF242" i="29"/>
  <c r="CG242" i="29"/>
  <c r="CH242" i="29"/>
  <c r="CI242" i="29"/>
  <c r="CJ242" i="29"/>
  <c r="CK242" i="29"/>
  <c r="CL242" i="29"/>
  <c r="CC243" i="29"/>
  <c r="CD243" i="29"/>
  <c r="CE243" i="29"/>
  <c r="CF243" i="29"/>
  <c r="CG243" i="29"/>
  <c r="CH243" i="29"/>
  <c r="CI243" i="29"/>
  <c r="CJ243" i="29"/>
  <c r="CK243" i="29"/>
  <c r="CL243" i="29"/>
  <c r="CC244" i="29"/>
  <c r="CD244" i="29"/>
  <c r="CE244" i="29"/>
  <c r="CF244" i="29"/>
  <c r="CG244" i="29"/>
  <c r="CH244" i="29"/>
  <c r="CI244" i="29"/>
  <c r="CJ244" i="29"/>
  <c r="CK244" i="29"/>
  <c r="CL244" i="29"/>
  <c r="CC245" i="29"/>
  <c r="CD245" i="29"/>
  <c r="CE245" i="29"/>
  <c r="CF245" i="29"/>
  <c r="CG245" i="29"/>
  <c r="CH245" i="29"/>
  <c r="CI245" i="29"/>
  <c r="CJ245" i="29"/>
  <c r="CK245" i="29"/>
  <c r="CL245" i="29"/>
  <c r="CC246" i="29"/>
  <c r="CD246" i="29"/>
  <c r="CE246" i="29"/>
  <c r="CF246" i="29"/>
  <c r="CG246" i="29"/>
  <c r="CH246" i="29"/>
  <c r="CI246" i="29"/>
  <c r="CJ246" i="29"/>
  <c r="CK246" i="29"/>
  <c r="CL246" i="29"/>
  <c r="CC247" i="29"/>
  <c r="CD247" i="29"/>
  <c r="CE247" i="29"/>
  <c r="CF247" i="29"/>
  <c r="CG247" i="29"/>
  <c r="CH247" i="29"/>
  <c r="CI247" i="29"/>
  <c r="CJ247" i="29"/>
  <c r="CK247" i="29"/>
  <c r="CL247" i="29"/>
  <c r="CC248" i="29"/>
  <c r="CD248" i="29"/>
  <c r="CE248" i="29"/>
  <c r="CF248" i="29"/>
  <c r="CG248" i="29"/>
  <c r="CH248" i="29"/>
  <c r="CI248" i="29"/>
  <c r="CJ248" i="29"/>
  <c r="CK248" i="29"/>
  <c r="CL248" i="29"/>
  <c r="CC249" i="29"/>
  <c r="CD249" i="29"/>
  <c r="CE249" i="29"/>
  <c r="CF249" i="29"/>
  <c r="CG249" i="29"/>
  <c r="CH249" i="29"/>
  <c r="CI249" i="29"/>
  <c r="CJ249" i="29"/>
  <c r="CK249" i="29"/>
  <c r="CL249" i="29"/>
  <c r="CC250" i="29"/>
  <c r="CD250" i="29"/>
  <c r="CE250" i="29"/>
  <c r="CF250" i="29"/>
  <c r="CG250" i="29"/>
  <c r="CH250" i="29"/>
  <c r="CI250" i="29"/>
  <c r="CJ250" i="29"/>
  <c r="CK250" i="29"/>
  <c r="CL250" i="29"/>
  <c r="CC251" i="29"/>
  <c r="CD251" i="29"/>
  <c r="CE251" i="29"/>
  <c r="CF251" i="29"/>
  <c r="CG251" i="29"/>
  <c r="CH251" i="29"/>
  <c r="CI251" i="29"/>
  <c r="CJ251" i="29"/>
  <c r="CK251" i="29"/>
  <c r="CL251" i="29"/>
  <c r="CC252" i="29"/>
  <c r="CD252" i="29"/>
  <c r="CE252" i="29"/>
  <c r="CF252" i="29"/>
  <c r="CG252" i="29"/>
  <c r="CH252" i="29"/>
  <c r="CI252" i="29"/>
  <c r="CJ252" i="29"/>
  <c r="CK252" i="29"/>
  <c r="CL252" i="29"/>
  <c r="CC253" i="29"/>
  <c r="CD253" i="29"/>
  <c r="CE253" i="29"/>
  <c r="CF253" i="29"/>
  <c r="CG253" i="29"/>
  <c r="CH253" i="29"/>
  <c r="CI253" i="29"/>
  <c r="CJ253" i="29"/>
  <c r="CK253" i="29"/>
  <c r="CL253" i="29"/>
  <c r="CC254" i="29"/>
  <c r="CD254" i="29"/>
  <c r="CE254" i="29"/>
  <c r="CF254" i="29"/>
  <c r="CG254" i="29"/>
  <c r="CH254" i="29"/>
  <c r="CI254" i="29"/>
  <c r="CJ254" i="29"/>
  <c r="CK254" i="29"/>
  <c r="CL254" i="29"/>
  <c r="CC255" i="29"/>
  <c r="CD255" i="29"/>
  <c r="CE255" i="29"/>
  <c r="CF255" i="29"/>
  <c r="CG255" i="29"/>
  <c r="CH255" i="29"/>
  <c r="CI255" i="29"/>
  <c r="CJ255" i="29"/>
  <c r="CK255" i="29"/>
  <c r="CL255" i="29"/>
  <c r="CC256" i="29"/>
  <c r="CD256" i="29"/>
  <c r="CE256" i="29"/>
  <c r="CF256" i="29"/>
  <c r="CG256" i="29"/>
  <c r="CH256" i="29"/>
  <c r="CI256" i="29"/>
  <c r="CJ256" i="29"/>
  <c r="CK256" i="29"/>
  <c r="CL256" i="29"/>
  <c r="CC257" i="29"/>
  <c r="CD257" i="29"/>
  <c r="CE257" i="29"/>
  <c r="CF257" i="29"/>
  <c r="CG257" i="29"/>
  <c r="CH257" i="29"/>
  <c r="CI257" i="29"/>
  <c r="CJ257" i="29"/>
  <c r="CK257" i="29"/>
  <c r="CL257" i="29"/>
  <c r="CC258" i="29"/>
  <c r="CD258" i="29"/>
  <c r="CE258" i="29"/>
  <c r="CF258" i="29"/>
  <c r="CG258" i="29"/>
  <c r="CH258" i="29"/>
  <c r="CI258" i="29"/>
  <c r="CJ258" i="29"/>
  <c r="CK258" i="29"/>
  <c r="CL258" i="29"/>
  <c r="CC259" i="29"/>
  <c r="CD259" i="29"/>
  <c r="CE259" i="29"/>
  <c r="CF259" i="29"/>
  <c r="CG259" i="29"/>
  <c r="CH259" i="29"/>
  <c r="CI259" i="29"/>
  <c r="CJ259" i="29"/>
  <c r="CK259" i="29"/>
  <c r="CL259" i="29"/>
  <c r="CC260" i="29"/>
  <c r="CD260" i="29"/>
  <c r="CE260" i="29"/>
  <c r="CF260" i="29"/>
  <c r="CG260" i="29"/>
  <c r="CH260" i="29"/>
  <c r="CI260" i="29"/>
  <c r="CJ260" i="29"/>
  <c r="CK260" i="29"/>
  <c r="CL260" i="29"/>
  <c r="CC261" i="29"/>
  <c r="CD261" i="29"/>
  <c r="CE261" i="29"/>
  <c r="CF261" i="29"/>
  <c r="CG261" i="29"/>
  <c r="CH261" i="29"/>
  <c r="CI261" i="29"/>
  <c r="CJ261" i="29"/>
  <c r="CK261" i="29"/>
  <c r="CL261" i="29"/>
  <c r="CC262" i="29"/>
  <c r="CD262" i="29"/>
  <c r="CE262" i="29"/>
  <c r="CF262" i="29"/>
  <c r="CG262" i="29"/>
  <c r="CH262" i="29"/>
  <c r="CI262" i="29"/>
  <c r="CJ262" i="29"/>
  <c r="CK262" i="29"/>
  <c r="CL262" i="29"/>
  <c r="CC263" i="29"/>
  <c r="CD263" i="29"/>
  <c r="CE263" i="29"/>
  <c r="CF263" i="29"/>
  <c r="CG263" i="29"/>
  <c r="CH263" i="29"/>
  <c r="CI263" i="29"/>
  <c r="CJ263" i="29"/>
  <c r="CK263" i="29"/>
  <c r="CL263" i="29"/>
  <c r="CC264" i="29"/>
  <c r="CD264" i="29"/>
  <c r="CE264" i="29"/>
  <c r="CF264" i="29"/>
  <c r="CG264" i="29"/>
  <c r="CH264" i="29"/>
  <c r="CI264" i="29"/>
  <c r="CJ264" i="29"/>
  <c r="CK264" i="29"/>
  <c r="CL264" i="29"/>
  <c r="CC265" i="29"/>
  <c r="CD265" i="29"/>
  <c r="CE265" i="29"/>
  <c r="CF265" i="29"/>
  <c r="CG265" i="29"/>
  <c r="CH265" i="29"/>
  <c r="CI265" i="29"/>
  <c r="CJ265" i="29"/>
  <c r="CK265" i="29"/>
  <c r="CL265" i="29"/>
  <c r="CC266" i="29"/>
  <c r="CD266" i="29"/>
  <c r="CE266" i="29"/>
  <c r="CF266" i="29"/>
  <c r="CG266" i="29"/>
  <c r="CH266" i="29"/>
  <c r="CI266" i="29"/>
  <c r="CJ266" i="29"/>
  <c r="CK266" i="29"/>
  <c r="CL266" i="29"/>
  <c r="CC267" i="29"/>
  <c r="CD267" i="29"/>
  <c r="CE267" i="29"/>
  <c r="CF267" i="29"/>
  <c r="CG267" i="29"/>
  <c r="CH267" i="29"/>
  <c r="CI267" i="29"/>
  <c r="CJ267" i="29"/>
  <c r="CK267" i="29"/>
  <c r="CL267" i="29"/>
  <c r="CC268" i="29"/>
  <c r="CD268" i="29"/>
  <c r="CE268" i="29"/>
  <c r="CF268" i="29"/>
  <c r="CG268" i="29"/>
  <c r="CH268" i="29"/>
  <c r="CI268" i="29"/>
  <c r="CJ268" i="29"/>
  <c r="CK268" i="29"/>
  <c r="CL268" i="29"/>
  <c r="CC269" i="29"/>
  <c r="CD269" i="29"/>
  <c r="CE269" i="29"/>
  <c r="CF269" i="29"/>
  <c r="CG269" i="29"/>
  <c r="CH269" i="29"/>
  <c r="CI269" i="29"/>
  <c r="CJ269" i="29"/>
  <c r="CK269" i="29"/>
  <c r="CL269" i="29"/>
  <c r="CC270" i="29"/>
  <c r="CD270" i="29"/>
  <c r="CE270" i="29"/>
  <c r="CF270" i="29"/>
  <c r="CG270" i="29"/>
  <c r="CH270" i="29"/>
  <c r="CI270" i="29"/>
  <c r="CJ270" i="29"/>
  <c r="CK270" i="29"/>
  <c r="CL270" i="29"/>
  <c r="CC271" i="29"/>
  <c r="CD271" i="29"/>
  <c r="CE271" i="29"/>
  <c r="CF271" i="29"/>
  <c r="CG271" i="29"/>
  <c r="CH271" i="29"/>
  <c r="CI271" i="29"/>
  <c r="CJ271" i="29"/>
  <c r="CK271" i="29"/>
  <c r="CL271" i="29"/>
  <c r="CC272" i="29"/>
  <c r="CD272" i="29"/>
  <c r="CE272" i="29"/>
  <c r="CF272" i="29"/>
  <c r="CG272" i="29"/>
  <c r="CH272" i="29"/>
  <c r="CI272" i="29"/>
  <c r="CJ272" i="29"/>
  <c r="CK272" i="29"/>
  <c r="CL272" i="29"/>
  <c r="CC273" i="29"/>
  <c r="CD273" i="29"/>
  <c r="CE273" i="29"/>
  <c r="CF273" i="29"/>
  <c r="CG273" i="29"/>
  <c r="CH273" i="29"/>
  <c r="CI273" i="29"/>
  <c r="CJ273" i="29"/>
  <c r="CK273" i="29"/>
  <c r="CL273" i="29"/>
  <c r="CC274" i="29"/>
  <c r="CD274" i="29"/>
  <c r="CE274" i="29"/>
  <c r="CF274" i="29"/>
  <c r="CG274" i="29"/>
  <c r="CH274" i="29"/>
  <c r="CI274" i="29"/>
  <c r="CJ274" i="29"/>
  <c r="CK274" i="29"/>
  <c r="CL274" i="29"/>
  <c r="CC275" i="29"/>
  <c r="CD275" i="29"/>
  <c r="CE275" i="29"/>
  <c r="CF275" i="29"/>
  <c r="CG275" i="29"/>
  <c r="CH275" i="29"/>
  <c r="CI275" i="29"/>
  <c r="CJ275" i="29"/>
  <c r="CK275" i="29"/>
  <c r="CL275" i="29"/>
  <c r="CC276" i="29"/>
  <c r="CD276" i="29"/>
  <c r="CE276" i="29"/>
  <c r="CF276" i="29"/>
  <c r="CG276" i="29"/>
  <c r="CH276" i="29"/>
  <c r="CI276" i="29"/>
  <c r="CJ276" i="29"/>
  <c r="CK276" i="29"/>
  <c r="CL276" i="29"/>
  <c r="CC277" i="29"/>
  <c r="CD277" i="29"/>
  <c r="CE277" i="29"/>
  <c r="CF277" i="29"/>
  <c r="CG277" i="29"/>
  <c r="CH277" i="29"/>
  <c r="CI277" i="29"/>
  <c r="CJ277" i="29"/>
  <c r="CK277" i="29"/>
  <c r="CL277" i="29"/>
  <c r="CC278" i="29"/>
  <c r="CD278" i="29"/>
  <c r="CE278" i="29"/>
  <c r="CF278" i="29"/>
  <c r="CG278" i="29"/>
  <c r="CH278" i="29"/>
  <c r="CI278" i="29"/>
  <c r="CJ278" i="29"/>
  <c r="CK278" i="29"/>
  <c r="CL278" i="29"/>
  <c r="CC279" i="29"/>
  <c r="CD279" i="29"/>
  <c r="CE279" i="29"/>
  <c r="CF279" i="29"/>
  <c r="CG279" i="29"/>
  <c r="CH279" i="29"/>
  <c r="CI279" i="29"/>
  <c r="CJ279" i="29"/>
  <c r="CK279" i="29"/>
  <c r="CL279" i="29"/>
  <c r="CC280" i="29"/>
  <c r="CD280" i="29"/>
  <c r="CE280" i="29"/>
  <c r="CF280" i="29"/>
  <c r="CG280" i="29"/>
  <c r="CH280" i="29"/>
  <c r="CI280" i="29"/>
  <c r="CJ280" i="29"/>
  <c r="CK280" i="29"/>
  <c r="CL280" i="29"/>
  <c r="CC281" i="29"/>
  <c r="CD281" i="29"/>
  <c r="CE281" i="29"/>
  <c r="CF281" i="29"/>
  <c r="CG281" i="29"/>
  <c r="CH281" i="29"/>
  <c r="CI281" i="29"/>
  <c r="CJ281" i="29"/>
  <c r="CK281" i="29"/>
  <c r="CL281" i="29"/>
  <c r="CC282" i="29"/>
  <c r="CD282" i="29"/>
  <c r="CE282" i="29"/>
  <c r="CF282" i="29"/>
  <c r="CG282" i="29"/>
  <c r="CH282" i="29"/>
  <c r="CI282" i="29"/>
  <c r="CJ282" i="29"/>
  <c r="CK282" i="29"/>
  <c r="CL282" i="29"/>
  <c r="CC283" i="29"/>
  <c r="CD283" i="29"/>
  <c r="CE283" i="29"/>
  <c r="CF283" i="29"/>
  <c r="CG283" i="29"/>
  <c r="CH283" i="29"/>
  <c r="CI283" i="29"/>
  <c r="CJ283" i="29"/>
  <c r="CK283" i="29"/>
  <c r="CL283" i="29"/>
  <c r="CC284" i="29"/>
  <c r="CD284" i="29"/>
  <c r="CE284" i="29"/>
  <c r="CF284" i="29"/>
  <c r="CG284" i="29"/>
  <c r="CH284" i="29"/>
  <c r="CI284" i="29"/>
  <c r="CJ284" i="29"/>
  <c r="CK284" i="29"/>
  <c r="CL284" i="29"/>
  <c r="CC285" i="29"/>
  <c r="CD285" i="29"/>
  <c r="CE285" i="29"/>
  <c r="CF285" i="29"/>
  <c r="CG285" i="29"/>
  <c r="CH285" i="29"/>
  <c r="CI285" i="29"/>
  <c r="CJ285" i="29"/>
  <c r="CK285" i="29"/>
  <c r="CL285" i="29"/>
  <c r="CC286" i="29"/>
  <c r="CD286" i="29"/>
  <c r="CE286" i="29"/>
  <c r="CF286" i="29"/>
  <c r="CG286" i="29"/>
  <c r="CH286" i="29"/>
  <c r="CI286" i="29"/>
  <c r="CJ286" i="29"/>
  <c r="CK286" i="29"/>
  <c r="CL286" i="29"/>
  <c r="CC287" i="29"/>
  <c r="CD287" i="29"/>
  <c r="CE287" i="29"/>
  <c r="CF287" i="29"/>
  <c r="CG287" i="29"/>
  <c r="CH287" i="29"/>
  <c r="CI287" i="29"/>
  <c r="CJ287" i="29"/>
  <c r="CK287" i="29"/>
  <c r="CL287" i="29"/>
  <c r="CC288" i="29"/>
  <c r="CD288" i="29"/>
  <c r="CE288" i="29"/>
  <c r="CF288" i="29"/>
  <c r="CG288" i="29"/>
  <c r="CH288" i="29"/>
  <c r="CI288" i="29"/>
  <c r="CJ288" i="29"/>
  <c r="CK288" i="29"/>
  <c r="CL288" i="29"/>
  <c r="CC289" i="29"/>
  <c r="CD289" i="29"/>
  <c r="CE289" i="29"/>
  <c r="CF289" i="29"/>
  <c r="CG289" i="29"/>
  <c r="CH289" i="29"/>
  <c r="CI289" i="29"/>
  <c r="CJ289" i="29"/>
  <c r="CK289" i="29"/>
  <c r="CL289" i="29"/>
  <c r="CC290" i="29"/>
  <c r="CD290" i="29"/>
  <c r="CE290" i="29"/>
  <c r="CF290" i="29"/>
  <c r="CG290" i="29"/>
  <c r="CH290" i="29"/>
  <c r="CI290" i="29"/>
  <c r="CJ290" i="29"/>
  <c r="CK290" i="29"/>
  <c r="CL290" i="29"/>
  <c r="CC291" i="29"/>
  <c r="CD291" i="29"/>
  <c r="CE291" i="29"/>
  <c r="CF291" i="29"/>
  <c r="CG291" i="29"/>
  <c r="CH291" i="29"/>
  <c r="CI291" i="29"/>
  <c r="CJ291" i="29"/>
  <c r="CK291" i="29"/>
  <c r="CL291" i="29"/>
  <c r="CC292" i="29"/>
  <c r="CD292" i="29"/>
  <c r="CE292" i="29"/>
  <c r="CF292" i="29"/>
  <c r="CG292" i="29"/>
  <c r="CH292" i="29"/>
  <c r="CI292" i="29"/>
  <c r="CJ292" i="29"/>
  <c r="CK292" i="29"/>
  <c r="CL292" i="29"/>
  <c r="CC293" i="29"/>
  <c r="CD293" i="29"/>
  <c r="CE293" i="29"/>
  <c r="CF293" i="29"/>
  <c r="CG293" i="29"/>
  <c r="CH293" i="29"/>
  <c r="CI293" i="29"/>
  <c r="CJ293" i="29"/>
  <c r="CK293" i="29"/>
  <c r="CL293" i="29"/>
  <c r="CC294" i="29"/>
  <c r="CD294" i="29"/>
  <c r="CE294" i="29"/>
  <c r="CF294" i="29"/>
  <c r="CG294" i="29"/>
  <c r="CH294" i="29"/>
  <c r="CI294" i="29"/>
  <c r="CJ294" i="29"/>
  <c r="CK294" i="29"/>
  <c r="CL294" i="29"/>
  <c r="CC295" i="29"/>
  <c r="CD295" i="29"/>
  <c r="CE295" i="29"/>
  <c r="CF295" i="29"/>
  <c r="CG295" i="29"/>
  <c r="CH295" i="29"/>
  <c r="CI295" i="29"/>
  <c r="CJ295" i="29"/>
  <c r="CK295" i="29"/>
  <c r="CL295" i="29"/>
  <c r="CC296" i="29"/>
  <c r="CD296" i="29"/>
  <c r="CE296" i="29"/>
  <c r="CF296" i="29"/>
  <c r="CG296" i="29"/>
  <c r="CH296" i="29"/>
  <c r="CI296" i="29"/>
  <c r="CJ296" i="29"/>
  <c r="CK296" i="29"/>
  <c r="CL296" i="29"/>
  <c r="CC297" i="29"/>
  <c r="CD297" i="29"/>
  <c r="CE297" i="29"/>
  <c r="CF297" i="29"/>
  <c r="CG297" i="29"/>
  <c r="CH297" i="29"/>
  <c r="CI297" i="29"/>
  <c r="CJ297" i="29"/>
  <c r="CK297" i="29"/>
  <c r="CL297" i="29"/>
  <c r="CC298" i="29"/>
  <c r="CD298" i="29"/>
  <c r="CE298" i="29"/>
  <c r="CF298" i="29"/>
  <c r="CG298" i="29"/>
  <c r="CH298" i="29"/>
  <c r="CI298" i="29"/>
  <c r="CJ298" i="29"/>
  <c r="CK298" i="29"/>
  <c r="CL298" i="29"/>
  <c r="CC299" i="29"/>
  <c r="CD299" i="29"/>
  <c r="CE299" i="29"/>
  <c r="CF299" i="29"/>
  <c r="CG299" i="29"/>
  <c r="CH299" i="29"/>
  <c r="CI299" i="29"/>
  <c r="CJ299" i="29"/>
  <c r="CK299" i="29"/>
  <c r="CL299" i="29"/>
  <c r="CC300" i="29"/>
  <c r="CD300" i="29"/>
  <c r="CE300" i="29"/>
  <c r="CF300" i="29"/>
  <c r="CG300" i="29"/>
  <c r="CH300" i="29"/>
  <c r="CI300" i="29"/>
  <c r="CJ300" i="29"/>
  <c r="CK300" i="29"/>
  <c r="CL300" i="29"/>
  <c r="CC301" i="29"/>
  <c r="CD301" i="29"/>
  <c r="CE301" i="29"/>
  <c r="CF301" i="29"/>
  <c r="CG301" i="29"/>
  <c r="CH301" i="29"/>
  <c r="CI301" i="29"/>
  <c r="CJ301" i="29"/>
  <c r="CK301" i="29"/>
  <c r="CL301" i="29"/>
  <c r="CC302" i="29"/>
  <c r="CD302" i="29"/>
  <c r="CE302" i="29"/>
  <c r="CF302" i="29"/>
  <c r="CG302" i="29"/>
  <c r="CH302" i="29"/>
  <c r="CI302" i="29"/>
  <c r="CJ302" i="29"/>
  <c r="CK302" i="29"/>
  <c r="CL302" i="29"/>
  <c r="CC303" i="29"/>
  <c r="CD303" i="29"/>
  <c r="CE303" i="29"/>
  <c r="CF303" i="29"/>
  <c r="CG303" i="29"/>
  <c r="CH303" i="29"/>
  <c r="CI303" i="29"/>
  <c r="CJ303" i="29"/>
  <c r="CK303" i="29"/>
  <c r="CL303" i="29"/>
  <c r="CC304" i="29"/>
  <c r="CD304" i="29"/>
  <c r="CE304" i="29"/>
  <c r="CF304" i="29"/>
  <c r="CG304" i="29"/>
  <c r="CH304" i="29"/>
  <c r="CI304" i="29"/>
  <c r="CJ304" i="29"/>
  <c r="CK304" i="29"/>
  <c r="CL304" i="29"/>
  <c r="CC305" i="29"/>
  <c r="CD305" i="29"/>
  <c r="CE305" i="29"/>
  <c r="CF305" i="29"/>
  <c r="CG305" i="29"/>
  <c r="CH305" i="29"/>
  <c r="CI305" i="29"/>
  <c r="CJ305" i="29"/>
  <c r="CK305" i="29"/>
  <c r="CL305" i="29"/>
  <c r="CC306" i="29"/>
  <c r="CD306" i="29"/>
  <c r="CE306" i="29"/>
  <c r="CF306" i="29"/>
  <c r="CG306" i="29"/>
  <c r="CH306" i="29"/>
  <c r="CI306" i="29"/>
  <c r="CJ306" i="29"/>
  <c r="CK306" i="29"/>
  <c r="CL306" i="29"/>
  <c r="CC307" i="29"/>
  <c r="CD307" i="29"/>
  <c r="CE307" i="29"/>
  <c r="CF307" i="29"/>
  <c r="CG307" i="29"/>
  <c r="CH307" i="29"/>
  <c r="CI307" i="29"/>
  <c r="CJ307" i="29"/>
  <c r="CK307" i="29"/>
  <c r="CL307" i="29"/>
  <c r="CC308" i="29"/>
  <c r="CD308" i="29"/>
  <c r="CE308" i="29"/>
  <c r="CF308" i="29"/>
  <c r="CG308" i="29"/>
  <c r="CH308" i="29"/>
  <c r="CI308" i="29"/>
  <c r="CJ308" i="29"/>
  <c r="CK308" i="29"/>
  <c r="CL308" i="29"/>
  <c r="CC309" i="29"/>
  <c r="CD309" i="29"/>
  <c r="CE309" i="29"/>
  <c r="CF309" i="29"/>
  <c r="CG309" i="29"/>
  <c r="CH309" i="29"/>
  <c r="CI309" i="29"/>
  <c r="CJ309" i="29"/>
  <c r="CK309" i="29"/>
  <c r="CL309" i="29"/>
  <c r="CC310" i="29"/>
  <c r="CD310" i="29"/>
  <c r="CE310" i="29"/>
  <c r="CF310" i="29"/>
  <c r="CG310" i="29"/>
  <c r="CH310" i="29"/>
  <c r="CI310" i="29"/>
  <c r="CJ310" i="29"/>
  <c r="CK310" i="29"/>
  <c r="CL310" i="29"/>
  <c r="CC311" i="29"/>
  <c r="CD311" i="29"/>
  <c r="CE311" i="29"/>
  <c r="CF311" i="29"/>
  <c r="CG311" i="29"/>
  <c r="CH311" i="29"/>
  <c r="CI311" i="29"/>
  <c r="CJ311" i="29"/>
  <c r="CK311" i="29"/>
  <c r="CL311" i="29"/>
  <c r="CC312" i="29"/>
  <c r="CD312" i="29"/>
  <c r="CE312" i="29"/>
  <c r="CF312" i="29"/>
  <c r="CG312" i="29"/>
  <c r="CH312" i="29"/>
  <c r="CI312" i="29"/>
  <c r="CJ312" i="29"/>
  <c r="CK312" i="29"/>
  <c r="CL312" i="29"/>
  <c r="CC313" i="29"/>
  <c r="CD313" i="29"/>
  <c r="CE313" i="29"/>
  <c r="CF313" i="29"/>
  <c r="CG313" i="29"/>
  <c r="CH313" i="29"/>
  <c r="CI313" i="29"/>
  <c r="CJ313" i="29"/>
  <c r="CK313" i="29"/>
  <c r="CL313" i="29"/>
  <c r="CC314" i="29"/>
  <c r="CD314" i="29"/>
  <c r="CE314" i="29"/>
  <c r="CF314" i="29"/>
  <c r="CG314" i="29"/>
  <c r="CH314" i="29"/>
  <c r="CI314" i="29"/>
  <c r="CJ314" i="29"/>
  <c r="CK314" i="29"/>
  <c r="CL314" i="29"/>
  <c r="CC315" i="29"/>
  <c r="CD315" i="29"/>
  <c r="CE315" i="29"/>
  <c r="CF315" i="29"/>
  <c r="CG315" i="29"/>
  <c r="CH315" i="29"/>
  <c r="CI315" i="29"/>
  <c r="CJ315" i="29"/>
  <c r="CK315" i="29"/>
  <c r="CL315" i="29"/>
  <c r="CC316" i="29"/>
  <c r="CD316" i="29"/>
  <c r="CE316" i="29"/>
  <c r="CF316" i="29"/>
  <c r="CG316" i="29"/>
  <c r="CH316" i="29"/>
  <c r="CI316" i="29"/>
  <c r="CJ316" i="29"/>
  <c r="CK316" i="29"/>
  <c r="CL316" i="29"/>
  <c r="CC317" i="29"/>
  <c r="CD317" i="29"/>
  <c r="CE317" i="29"/>
  <c r="CF317" i="29"/>
  <c r="CG317" i="29"/>
  <c r="CH317" i="29"/>
  <c r="CI317" i="29"/>
  <c r="CJ317" i="29"/>
  <c r="CK317" i="29"/>
  <c r="CL317" i="29"/>
  <c r="CC318" i="29"/>
  <c r="CD318" i="29"/>
  <c r="CE318" i="29"/>
  <c r="CF318" i="29"/>
  <c r="CG318" i="29"/>
  <c r="CH318" i="29"/>
  <c r="CI318" i="29"/>
  <c r="CJ318" i="29"/>
  <c r="CK318" i="29"/>
  <c r="CL318" i="29"/>
  <c r="CC319" i="29"/>
  <c r="CD319" i="29"/>
  <c r="CE319" i="29"/>
  <c r="CF319" i="29"/>
  <c r="CG319" i="29"/>
  <c r="CH319" i="29"/>
  <c r="CI319" i="29"/>
  <c r="CJ319" i="29"/>
  <c r="CK319" i="29"/>
  <c r="CL319" i="29"/>
  <c r="CC320" i="29"/>
  <c r="CD320" i="29"/>
  <c r="CE320" i="29"/>
  <c r="CF320" i="29"/>
  <c r="CG320" i="29"/>
  <c r="CH320" i="29"/>
  <c r="CI320" i="29"/>
  <c r="CJ320" i="29"/>
  <c r="CK320" i="29"/>
  <c r="CL320" i="29"/>
  <c r="CC321" i="29"/>
  <c r="CD321" i="29"/>
  <c r="CE321" i="29"/>
  <c r="CF321" i="29"/>
  <c r="CG321" i="29"/>
  <c r="CH321" i="29"/>
  <c r="CI321" i="29"/>
  <c r="CJ321" i="29"/>
  <c r="CK321" i="29"/>
  <c r="CL321" i="29"/>
  <c r="CC322" i="29"/>
  <c r="CD322" i="29"/>
  <c r="CE322" i="29"/>
  <c r="CF322" i="29"/>
  <c r="CG322" i="29"/>
  <c r="CH322" i="29"/>
  <c r="CI322" i="29"/>
  <c r="CJ322" i="29"/>
  <c r="CK322" i="29"/>
  <c r="CL322" i="29"/>
  <c r="CC323" i="29"/>
  <c r="CD323" i="29"/>
  <c r="CE323" i="29"/>
  <c r="CF323" i="29"/>
  <c r="CG323" i="29"/>
  <c r="CH323" i="29"/>
  <c r="CI323" i="29"/>
  <c r="CJ323" i="29"/>
  <c r="CK323" i="29"/>
  <c r="CL323" i="29"/>
  <c r="CC324" i="29"/>
  <c r="CD324" i="29"/>
  <c r="CE324" i="29"/>
  <c r="CF324" i="29"/>
  <c r="CG324" i="29"/>
  <c r="CH324" i="29"/>
  <c r="CI324" i="29"/>
  <c r="CJ324" i="29"/>
  <c r="CK324" i="29"/>
  <c r="CL324" i="29"/>
  <c r="CC325" i="29"/>
  <c r="CD325" i="29"/>
  <c r="CE325" i="29"/>
  <c r="CF325" i="29"/>
  <c r="CG325" i="29"/>
  <c r="CH325" i="29"/>
  <c r="CI325" i="29"/>
  <c r="CJ325" i="29"/>
  <c r="CK325" i="29"/>
  <c r="CL325" i="29"/>
  <c r="CC326" i="29"/>
  <c r="CD326" i="29"/>
  <c r="CE326" i="29"/>
  <c r="CF326" i="29"/>
  <c r="CG326" i="29"/>
  <c r="CH326" i="29"/>
  <c r="CI326" i="29"/>
  <c r="CJ326" i="29"/>
  <c r="CK326" i="29"/>
  <c r="CL326" i="29"/>
  <c r="CC327" i="29"/>
  <c r="CD327" i="29"/>
  <c r="CE327" i="29"/>
  <c r="CF327" i="29"/>
  <c r="CG327" i="29"/>
  <c r="CH327" i="29"/>
  <c r="CI327" i="29"/>
  <c r="CJ327" i="29"/>
  <c r="CK327" i="29"/>
  <c r="CL327" i="29"/>
  <c r="CC328" i="29"/>
  <c r="CD328" i="29"/>
  <c r="CE328" i="29"/>
  <c r="CF328" i="29"/>
  <c r="CG328" i="29"/>
  <c r="CH328" i="29"/>
  <c r="CI328" i="29"/>
  <c r="CJ328" i="29"/>
  <c r="CK328" i="29"/>
  <c r="CL328" i="29"/>
  <c r="CC329" i="29"/>
  <c r="CD329" i="29"/>
  <c r="CE329" i="29"/>
  <c r="CF329" i="29"/>
  <c r="CG329" i="29"/>
  <c r="CH329" i="29"/>
  <c r="CI329" i="29"/>
  <c r="CJ329" i="29"/>
  <c r="CK329" i="29"/>
  <c r="CL329" i="29"/>
  <c r="CC330" i="29"/>
  <c r="CD330" i="29"/>
  <c r="CE330" i="29"/>
  <c r="CF330" i="29"/>
  <c r="CG330" i="29"/>
  <c r="CH330" i="29"/>
  <c r="CI330" i="29"/>
  <c r="CJ330" i="29"/>
  <c r="CK330" i="29"/>
  <c r="CL330" i="29"/>
  <c r="CC331" i="29"/>
  <c r="CD331" i="29"/>
  <c r="CE331" i="29"/>
  <c r="CF331" i="29"/>
  <c r="CG331" i="29"/>
  <c r="CH331" i="29"/>
  <c r="CI331" i="29"/>
  <c r="CJ331" i="29"/>
  <c r="CK331" i="29"/>
  <c r="CL331" i="29"/>
  <c r="CC332" i="29"/>
  <c r="CD332" i="29"/>
  <c r="CE332" i="29"/>
  <c r="CF332" i="29"/>
  <c r="CG332" i="29"/>
  <c r="CH332" i="29"/>
  <c r="CI332" i="29"/>
  <c r="CJ332" i="29"/>
  <c r="CK332" i="29"/>
  <c r="CL332" i="29"/>
  <c r="CC333" i="29"/>
  <c r="CD333" i="29"/>
  <c r="CE333" i="29"/>
  <c r="CF333" i="29"/>
  <c r="CG333" i="29"/>
  <c r="CH333" i="29"/>
  <c r="CI333" i="29"/>
  <c r="CJ333" i="29"/>
  <c r="CK333" i="29"/>
  <c r="CL333" i="29"/>
  <c r="CC334" i="29"/>
  <c r="CD334" i="29"/>
  <c r="CE334" i="29"/>
  <c r="CF334" i="29"/>
  <c r="CG334" i="29"/>
  <c r="CH334" i="29"/>
  <c r="CI334" i="29"/>
  <c r="CJ334" i="29"/>
  <c r="CK334" i="29"/>
  <c r="CL334" i="29"/>
  <c r="CC335" i="29"/>
  <c r="CD335" i="29"/>
  <c r="CE335" i="29"/>
  <c r="CF335" i="29"/>
  <c r="CG335" i="29"/>
  <c r="CH335" i="29"/>
  <c r="CI335" i="29"/>
  <c r="CJ335" i="29"/>
  <c r="CK335" i="29"/>
  <c r="CL335" i="29"/>
  <c r="CC336" i="29"/>
  <c r="CD336" i="29"/>
  <c r="CE336" i="29"/>
  <c r="CF336" i="29"/>
  <c r="CG336" i="29"/>
  <c r="CH336" i="29"/>
  <c r="CI336" i="29"/>
  <c r="CJ336" i="29"/>
  <c r="CK336" i="29"/>
  <c r="CL336" i="29"/>
  <c r="CC337" i="29"/>
  <c r="CD337" i="29"/>
  <c r="CE337" i="29"/>
  <c r="CF337" i="29"/>
  <c r="CG337" i="29"/>
  <c r="CH337" i="29"/>
  <c r="CI337" i="29"/>
  <c r="CJ337" i="29"/>
  <c r="CK337" i="29"/>
  <c r="CL337" i="29"/>
  <c r="CC338" i="29"/>
  <c r="CD338" i="29"/>
  <c r="CE338" i="29"/>
  <c r="CF338" i="29"/>
  <c r="CG338" i="29"/>
  <c r="CH338" i="29"/>
  <c r="CI338" i="29"/>
  <c r="CJ338" i="29"/>
  <c r="CK338" i="29"/>
  <c r="CL338" i="29"/>
  <c r="CC339" i="29"/>
  <c r="CD339" i="29"/>
  <c r="CE339" i="29"/>
  <c r="CF339" i="29"/>
  <c r="CG339" i="29"/>
  <c r="CH339" i="29"/>
  <c r="CI339" i="29"/>
  <c r="CJ339" i="29"/>
  <c r="CK339" i="29"/>
  <c r="CL339" i="29"/>
  <c r="CC340" i="29"/>
  <c r="CD340" i="29"/>
  <c r="CE340" i="29"/>
  <c r="CF340" i="29"/>
  <c r="CG340" i="29"/>
  <c r="CH340" i="29"/>
  <c r="CI340" i="29"/>
  <c r="CJ340" i="29"/>
  <c r="CK340" i="29"/>
  <c r="CL340" i="29"/>
  <c r="CC341" i="29"/>
  <c r="CD341" i="29"/>
  <c r="CE341" i="29"/>
  <c r="CF341" i="29"/>
  <c r="CG341" i="29"/>
  <c r="CH341" i="29"/>
  <c r="CI341" i="29"/>
  <c r="CJ341" i="29"/>
  <c r="CK341" i="29"/>
  <c r="CL341" i="29"/>
  <c r="CC342" i="29"/>
  <c r="CD342" i="29"/>
  <c r="CE342" i="29"/>
  <c r="CF342" i="29"/>
  <c r="CG342" i="29"/>
  <c r="CH342" i="29"/>
  <c r="CI342" i="29"/>
  <c r="CJ342" i="29"/>
  <c r="CK342" i="29"/>
  <c r="CL342" i="29"/>
  <c r="CC343" i="29"/>
  <c r="CD343" i="29"/>
  <c r="CE343" i="29"/>
  <c r="CF343" i="29"/>
  <c r="CG343" i="29"/>
  <c r="CH343" i="29"/>
  <c r="CI343" i="29"/>
  <c r="CJ343" i="29"/>
  <c r="CK343" i="29"/>
  <c r="CL343" i="29"/>
  <c r="CC344" i="29"/>
  <c r="CD344" i="29"/>
  <c r="CE344" i="29"/>
  <c r="CF344" i="29"/>
  <c r="CG344" i="29"/>
  <c r="CH344" i="29"/>
  <c r="CI344" i="29"/>
  <c r="CJ344" i="29"/>
  <c r="CK344" i="29"/>
  <c r="CL344" i="29"/>
  <c r="CC345" i="29"/>
  <c r="CD345" i="29"/>
  <c r="CE345" i="29"/>
  <c r="CF345" i="29"/>
  <c r="CG345" i="29"/>
  <c r="CH345" i="29"/>
  <c r="CI345" i="29"/>
  <c r="CJ345" i="29"/>
  <c r="CK345" i="29"/>
  <c r="CL345" i="29"/>
  <c r="CC346" i="29"/>
  <c r="CD346" i="29"/>
  <c r="CE346" i="29"/>
  <c r="CF346" i="29"/>
  <c r="CG346" i="29"/>
  <c r="CH346" i="29"/>
  <c r="CI346" i="29"/>
  <c r="CJ346" i="29"/>
  <c r="CK346" i="29"/>
  <c r="CL346" i="29"/>
  <c r="CC347" i="29"/>
  <c r="CD347" i="29"/>
  <c r="CE347" i="29"/>
  <c r="CF347" i="29"/>
  <c r="CG347" i="29"/>
  <c r="CH347" i="29"/>
  <c r="CI347" i="29"/>
  <c r="CJ347" i="29"/>
  <c r="CK347" i="29"/>
  <c r="CL347" i="29"/>
  <c r="CC348" i="29"/>
  <c r="CD348" i="29"/>
  <c r="CE348" i="29"/>
  <c r="CF348" i="29"/>
  <c r="CG348" i="29"/>
  <c r="CH348" i="29"/>
  <c r="CI348" i="29"/>
  <c r="CJ348" i="29"/>
  <c r="CK348" i="29"/>
  <c r="CL348" i="29"/>
  <c r="CC349" i="29"/>
  <c r="CD349" i="29"/>
  <c r="CE349" i="29"/>
  <c r="CF349" i="29"/>
  <c r="CG349" i="29"/>
  <c r="CH349" i="29"/>
  <c r="CI349" i="29"/>
  <c r="CJ349" i="29"/>
  <c r="CK349" i="29"/>
  <c r="CL349" i="29"/>
  <c r="CC350" i="29"/>
  <c r="CD350" i="29"/>
  <c r="CE350" i="29"/>
  <c r="CF350" i="29"/>
  <c r="CG350" i="29"/>
  <c r="CH350" i="29"/>
  <c r="CI350" i="29"/>
  <c r="CJ350" i="29"/>
  <c r="CK350" i="29"/>
  <c r="CL350" i="29"/>
  <c r="CC351" i="29"/>
  <c r="CD351" i="29"/>
  <c r="CE351" i="29"/>
  <c r="CF351" i="29"/>
  <c r="CG351" i="29"/>
  <c r="CH351" i="29"/>
  <c r="CI351" i="29"/>
  <c r="CJ351" i="29"/>
  <c r="CK351" i="29"/>
  <c r="CL351" i="29"/>
  <c r="CC352" i="29"/>
  <c r="CD352" i="29"/>
  <c r="CE352" i="29"/>
  <c r="CF352" i="29"/>
  <c r="CG352" i="29"/>
  <c r="CH352" i="29"/>
  <c r="CI352" i="29"/>
  <c r="CJ352" i="29"/>
  <c r="CK352" i="29"/>
  <c r="CL352" i="29"/>
  <c r="CC353" i="29"/>
  <c r="CD353" i="29"/>
  <c r="CE353" i="29"/>
  <c r="CF353" i="29"/>
  <c r="CG353" i="29"/>
  <c r="CH353" i="29"/>
  <c r="CI353" i="29"/>
  <c r="CJ353" i="29"/>
  <c r="CK353" i="29"/>
  <c r="CL353" i="29"/>
  <c r="CC354" i="29"/>
  <c r="CD354" i="29"/>
  <c r="CE354" i="29"/>
  <c r="CF354" i="29"/>
  <c r="CG354" i="29"/>
  <c r="CH354" i="29"/>
  <c r="CI354" i="29"/>
  <c r="CJ354" i="29"/>
  <c r="CK354" i="29"/>
  <c r="CL354" i="29"/>
  <c r="CC355" i="29"/>
  <c r="CD355" i="29"/>
  <c r="CE355" i="29"/>
  <c r="CF355" i="29"/>
  <c r="CG355" i="29"/>
  <c r="CH355" i="29"/>
  <c r="CI355" i="29"/>
  <c r="CJ355" i="29"/>
  <c r="CK355" i="29"/>
  <c r="CL355" i="29"/>
  <c r="CC356" i="29"/>
  <c r="CD356" i="29"/>
  <c r="CE356" i="29"/>
  <c r="CF356" i="29"/>
  <c r="CG356" i="29"/>
  <c r="CH356" i="29"/>
  <c r="CI356" i="29"/>
  <c r="CJ356" i="29"/>
  <c r="CK356" i="29"/>
  <c r="CL356" i="29"/>
  <c r="CC357" i="29"/>
  <c r="CD357" i="29"/>
  <c r="CE357" i="29"/>
  <c r="CF357" i="29"/>
  <c r="CG357" i="29"/>
  <c r="CH357" i="29"/>
  <c r="CI357" i="29"/>
  <c r="CJ357" i="29"/>
  <c r="CK357" i="29"/>
  <c r="CL357" i="29"/>
  <c r="CC358" i="29"/>
  <c r="CD358" i="29"/>
  <c r="CE358" i="29"/>
  <c r="CF358" i="29"/>
  <c r="CG358" i="29"/>
  <c r="CH358" i="29"/>
  <c r="CI358" i="29"/>
  <c r="CJ358" i="29"/>
  <c r="CK358" i="29"/>
  <c r="CL358" i="29"/>
  <c r="CC359" i="29"/>
  <c r="CD359" i="29"/>
  <c r="CE359" i="29"/>
  <c r="CF359" i="29"/>
  <c r="CG359" i="29"/>
  <c r="CH359" i="29"/>
  <c r="CI359" i="29"/>
  <c r="CJ359" i="29"/>
  <c r="CK359" i="29"/>
  <c r="CL359" i="29"/>
  <c r="CC360" i="29"/>
  <c r="CD360" i="29"/>
  <c r="CE360" i="29"/>
  <c r="CF360" i="29"/>
  <c r="CG360" i="29"/>
  <c r="CH360" i="29"/>
  <c r="CI360" i="29"/>
  <c r="CJ360" i="29"/>
  <c r="CK360" i="29"/>
  <c r="CL360" i="29"/>
  <c r="CC361" i="29"/>
  <c r="CD361" i="29"/>
  <c r="CE361" i="29"/>
  <c r="CF361" i="29"/>
  <c r="CG361" i="29"/>
  <c r="CH361" i="29"/>
  <c r="CI361" i="29"/>
  <c r="CJ361" i="29"/>
  <c r="CK361" i="29"/>
  <c r="CL361" i="29"/>
  <c r="CC362" i="29"/>
  <c r="CD362" i="29"/>
  <c r="CE362" i="29"/>
  <c r="CF362" i="29"/>
  <c r="CG362" i="29"/>
  <c r="CH362" i="29"/>
  <c r="CI362" i="29"/>
  <c r="CJ362" i="29"/>
  <c r="CK362" i="29"/>
  <c r="CL362" i="29"/>
  <c r="CC363" i="29"/>
  <c r="CD363" i="29"/>
  <c r="CE363" i="29"/>
  <c r="CF363" i="29"/>
  <c r="CG363" i="29"/>
  <c r="CH363" i="29"/>
  <c r="CI363" i="29"/>
  <c r="CJ363" i="29"/>
  <c r="CK363" i="29"/>
  <c r="CL363" i="29"/>
  <c r="CC364" i="29"/>
  <c r="CD364" i="29"/>
  <c r="CE364" i="29"/>
  <c r="CF364" i="29"/>
  <c r="CG364" i="29"/>
  <c r="CH364" i="29"/>
  <c r="CI364" i="29"/>
  <c r="CJ364" i="29"/>
  <c r="CK364" i="29"/>
  <c r="CL364" i="29"/>
  <c r="CC365" i="29"/>
  <c r="CD365" i="29"/>
  <c r="CE365" i="29"/>
  <c r="CF365" i="29"/>
  <c r="CG365" i="29"/>
  <c r="CH365" i="29"/>
  <c r="CI365" i="29"/>
  <c r="CJ365" i="29"/>
  <c r="CK365" i="29"/>
  <c r="CL365" i="29"/>
  <c r="CC366" i="29"/>
  <c r="CD366" i="29"/>
  <c r="CE366" i="29"/>
  <c r="CF366" i="29"/>
  <c r="CG366" i="29"/>
  <c r="CH366" i="29"/>
  <c r="CI366" i="29"/>
  <c r="CJ366" i="29"/>
  <c r="CK366" i="29"/>
  <c r="CL366" i="29"/>
  <c r="CC367" i="29"/>
  <c r="CD367" i="29"/>
  <c r="CE367" i="29"/>
  <c r="CF367" i="29"/>
  <c r="CG367" i="29"/>
  <c r="CH367" i="29"/>
  <c r="CI367" i="29"/>
  <c r="CJ367" i="29"/>
  <c r="CK367" i="29"/>
  <c r="CL367" i="29"/>
  <c r="CC368" i="29"/>
  <c r="CD368" i="29"/>
  <c r="CE368" i="29"/>
  <c r="CF368" i="29"/>
  <c r="CG368" i="29"/>
  <c r="CH368" i="29"/>
  <c r="CI368" i="29"/>
  <c r="CJ368" i="29"/>
  <c r="CK368" i="29"/>
  <c r="CL368" i="29"/>
  <c r="CD3" i="29"/>
  <c r="CE3" i="29"/>
  <c r="CH3" i="29"/>
  <c r="CI3" i="29"/>
  <c r="CL3" i="29"/>
  <c r="CC3" i="29"/>
  <c r="AO4" i="29"/>
  <c r="AP4" i="29"/>
  <c r="AQ4" i="29"/>
  <c r="AS4" i="29"/>
  <c r="AT4" i="29"/>
  <c r="AU4" i="29"/>
  <c r="AW4" i="29"/>
  <c r="AX4" i="29"/>
  <c r="AO5" i="29"/>
  <c r="AQ5" i="29"/>
  <c r="AR5" i="29"/>
  <c r="AS5" i="29"/>
  <c r="AU5" i="29"/>
  <c r="AV5" i="29"/>
  <c r="AW5" i="29"/>
  <c r="AO6" i="29"/>
  <c r="AP6" i="29"/>
  <c r="AQ6" i="29"/>
  <c r="AS6" i="29"/>
  <c r="AT6" i="29"/>
  <c r="AU6" i="29"/>
  <c r="AW6" i="29"/>
  <c r="AX6" i="29"/>
  <c r="AO7" i="29"/>
  <c r="AQ7" i="29"/>
  <c r="AR7" i="29"/>
  <c r="AS7" i="29"/>
  <c r="AU7" i="29"/>
  <c r="AV7" i="29"/>
  <c r="AW7" i="29"/>
  <c r="AO8" i="29"/>
  <c r="AP8" i="29"/>
  <c r="AS8" i="29"/>
  <c r="AT8" i="29"/>
  <c r="AW8" i="29"/>
  <c r="AX8" i="29"/>
  <c r="AP9" i="29"/>
  <c r="AQ9" i="29"/>
  <c r="AT9" i="29"/>
  <c r="AU9" i="29"/>
  <c r="AW9" i="29"/>
  <c r="AO10" i="29"/>
  <c r="AS10" i="29"/>
  <c r="AU10" i="29"/>
  <c r="AW10" i="29"/>
  <c r="AP11" i="29"/>
  <c r="AQ11" i="29"/>
  <c r="AU11" i="29"/>
  <c r="AW11" i="29"/>
  <c r="AO12" i="29"/>
  <c r="AQ12" i="29"/>
  <c r="AR12" i="29"/>
  <c r="AS12" i="29"/>
  <c r="AV12" i="29"/>
  <c r="AW12" i="29"/>
  <c r="AQ13" i="29"/>
  <c r="AU13" i="29"/>
  <c r="AW13" i="29"/>
  <c r="AO14" i="29"/>
  <c r="AR14" i="29"/>
  <c r="AS14" i="29"/>
  <c r="AW14" i="29"/>
  <c r="AO15" i="29"/>
  <c r="AQ15" i="29"/>
  <c r="AT15" i="29"/>
  <c r="AU15" i="29"/>
  <c r="AW15" i="29"/>
  <c r="AX15" i="29"/>
  <c r="AO16" i="29"/>
  <c r="AS16" i="29"/>
  <c r="AU16" i="29"/>
  <c r="AV16" i="29"/>
  <c r="AW16" i="29"/>
  <c r="AO17" i="29"/>
  <c r="AP17" i="29"/>
  <c r="AQ17" i="29"/>
  <c r="AT17" i="29"/>
  <c r="AU17" i="29"/>
  <c r="AW17" i="29"/>
  <c r="AX17" i="29"/>
  <c r="AO18" i="29"/>
  <c r="AQ18" i="29"/>
  <c r="AS18" i="29"/>
  <c r="AV18" i="29"/>
  <c r="AW18" i="29"/>
  <c r="AP19" i="29"/>
  <c r="AQ19" i="29"/>
  <c r="AU19" i="29"/>
  <c r="AW19" i="29"/>
  <c r="AO20" i="29"/>
  <c r="AR20" i="29"/>
  <c r="AS20" i="29"/>
  <c r="AW20" i="29"/>
  <c r="AQ21" i="29"/>
  <c r="AS21" i="29"/>
  <c r="AU21" i="29"/>
  <c r="AW21" i="29"/>
  <c r="AX21" i="29"/>
  <c r="AO22" i="29"/>
  <c r="AR22" i="29"/>
  <c r="AS22" i="29"/>
  <c r="AV22" i="29"/>
  <c r="AW22" i="29"/>
  <c r="AQ23" i="29"/>
  <c r="AS23" i="29"/>
  <c r="AT23" i="29"/>
  <c r="AU23" i="29"/>
  <c r="AW23" i="29"/>
  <c r="AO24" i="29"/>
  <c r="AS24" i="29"/>
  <c r="AW24" i="29"/>
  <c r="AP25" i="29"/>
  <c r="AQ25" i="29"/>
  <c r="AT25" i="29"/>
  <c r="AU25" i="29"/>
  <c r="AW25" i="29"/>
  <c r="AO26" i="29"/>
  <c r="AS26" i="29"/>
  <c r="AU26" i="29"/>
  <c r="AW26" i="29"/>
  <c r="AP27" i="29"/>
  <c r="AQ27" i="29"/>
  <c r="AU27" i="29"/>
  <c r="AW27" i="29"/>
  <c r="AO28" i="29"/>
  <c r="AQ28" i="29"/>
  <c r="AR28" i="29"/>
  <c r="AS28" i="29"/>
  <c r="AV28" i="29"/>
  <c r="AW28" i="29"/>
  <c r="AQ29" i="29"/>
  <c r="AU29" i="29"/>
  <c r="AW29" i="29"/>
  <c r="AO30" i="29"/>
  <c r="AR30" i="29"/>
  <c r="AS30" i="29"/>
  <c r="AW30" i="29"/>
  <c r="AO31" i="29"/>
  <c r="AQ31" i="29"/>
  <c r="AT31" i="29"/>
  <c r="AU31" i="29"/>
  <c r="AW31" i="29"/>
  <c r="AX31" i="29"/>
  <c r="AO32" i="29"/>
  <c r="AP32" i="29"/>
  <c r="AS32" i="29"/>
  <c r="AT32" i="29"/>
  <c r="AW32" i="29"/>
  <c r="AX32" i="29"/>
  <c r="AP33" i="29"/>
  <c r="AQ33" i="29"/>
  <c r="AT33" i="29"/>
  <c r="AU33" i="29"/>
  <c r="AW33" i="29"/>
  <c r="AX33" i="29"/>
  <c r="AO34" i="29"/>
  <c r="AQ34" i="29"/>
  <c r="AR34" i="29"/>
  <c r="AS34" i="29"/>
  <c r="AW34" i="29"/>
  <c r="AP35" i="29"/>
  <c r="AQ35" i="29"/>
  <c r="AU35" i="29"/>
  <c r="AW35" i="29"/>
  <c r="AO36" i="29"/>
  <c r="AR36" i="29"/>
  <c r="AS36" i="29"/>
  <c r="AW36" i="29"/>
  <c r="AO37" i="29"/>
  <c r="AQ37" i="29"/>
  <c r="AT37" i="29"/>
  <c r="AU37" i="29"/>
  <c r="AW37" i="29"/>
  <c r="AO38" i="29"/>
  <c r="AR38" i="29"/>
  <c r="AS38" i="29"/>
  <c r="AW38" i="29"/>
  <c r="AO39" i="29"/>
  <c r="AP39" i="29"/>
  <c r="AQ39" i="29"/>
  <c r="AT39" i="29"/>
  <c r="AU39" i="29"/>
  <c r="AW39" i="29"/>
  <c r="AO40" i="29"/>
  <c r="AQ40" i="29"/>
  <c r="AS40" i="29"/>
  <c r="AW40" i="29"/>
  <c r="AP41" i="29"/>
  <c r="AQ41" i="29"/>
  <c r="AT41" i="29"/>
  <c r="AU41" i="29"/>
  <c r="AW41" i="29"/>
  <c r="AO42" i="29"/>
  <c r="AQ42" i="29"/>
  <c r="AR42" i="29"/>
  <c r="AS42" i="29"/>
  <c r="AW42" i="29"/>
  <c r="AP43" i="29"/>
  <c r="AQ43" i="29"/>
  <c r="AS43" i="29"/>
  <c r="AU43" i="29"/>
  <c r="AW43" i="29"/>
  <c r="AO44" i="29"/>
  <c r="AR44" i="29"/>
  <c r="AS44" i="29"/>
  <c r="AW44" i="29"/>
  <c r="AO45" i="29"/>
  <c r="AQ45" i="29"/>
  <c r="AT45" i="29"/>
  <c r="AU45" i="29"/>
  <c r="AW45" i="29"/>
  <c r="AX45" i="29"/>
  <c r="AO46" i="29"/>
  <c r="AR46" i="29"/>
  <c r="AS46" i="29"/>
  <c r="AV46" i="29"/>
  <c r="AW46" i="29"/>
  <c r="AP47" i="29"/>
  <c r="AQ47" i="29"/>
  <c r="AT47" i="29"/>
  <c r="AU47" i="29"/>
  <c r="AW47" i="29"/>
  <c r="AO48" i="29"/>
  <c r="AS48" i="29"/>
  <c r="AU48" i="29"/>
  <c r="AW48" i="29"/>
  <c r="AP49" i="29"/>
  <c r="AQ49" i="29"/>
  <c r="AT49" i="29"/>
  <c r="AU49" i="29"/>
  <c r="AW49" i="29"/>
  <c r="AO50" i="29"/>
  <c r="AR50" i="29"/>
  <c r="AS50" i="29"/>
  <c r="AW50" i="29"/>
  <c r="AP51" i="29"/>
  <c r="AQ51" i="29"/>
  <c r="AS51" i="29"/>
  <c r="AU51" i="29"/>
  <c r="AW51" i="29"/>
  <c r="AO52" i="29"/>
  <c r="AR52" i="29"/>
  <c r="AS52" i="29"/>
  <c r="AW52" i="29"/>
  <c r="AQ53" i="29"/>
  <c r="AS53" i="29"/>
  <c r="AT53" i="29"/>
  <c r="AU53" i="29"/>
  <c r="AW53" i="29"/>
  <c r="AX53" i="29"/>
  <c r="AO54" i="29"/>
  <c r="AP54" i="29"/>
  <c r="AQ54" i="29"/>
  <c r="AS54" i="29"/>
  <c r="AT54" i="29"/>
  <c r="AU54" i="29"/>
  <c r="AW54" i="29"/>
  <c r="AX54" i="29"/>
  <c r="AO55" i="29"/>
  <c r="AQ55" i="29"/>
  <c r="AR55" i="29"/>
  <c r="AS55" i="29"/>
  <c r="AU55" i="29"/>
  <c r="AV55" i="29"/>
  <c r="AW55" i="29"/>
  <c r="AO56" i="29"/>
  <c r="AP56" i="29"/>
  <c r="AQ56" i="29"/>
  <c r="AS56" i="29"/>
  <c r="AT56" i="29"/>
  <c r="AU56" i="29"/>
  <c r="AW56" i="29"/>
  <c r="AX56" i="29"/>
  <c r="AO57" i="29"/>
  <c r="AQ57" i="29"/>
  <c r="AR57" i="29"/>
  <c r="AS57" i="29"/>
  <c r="AU57" i="29"/>
  <c r="AV57" i="29"/>
  <c r="AW57" i="29"/>
  <c r="AO58" i="29"/>
  <c r="AP58" i="29"/>
  <c r="AQ58" i="29"/>
  <c r="AS58" i="29"/>
  <c r="AT58" i="29"/>
  <c r="AU58" i="29"/>
  <c r="AW58" i="29"/>
  <c r="AX58" i="29"/>
  <c r="AO59" i="29"/>
  <c r="AQ59" i="29"/>
  <c r="AR59" i="29"/>
  <c r="AS59" i="29"/>
  <c r="AU59" i="29"/>
  <c r="AV59" i="29"/>
  <c r="AW59" i="29"/>
  <c r="AO60" i="29"/>
  <c r="AP60" i="29"/>
  <c r="AQ60" i="29"/>
  <c r="AS60" i="29"/>
  <c r="AT60" i="29"/>
  <c r="AU60" i="29"/>
  <c r="AW60" i="29"/>
  <c r="AX60" i="29"/>
  <c r="AO61" i="29"/>
  <c r="AQ61" i="29"/>
  <c r="AR61" i="29"/>
  <c r="AS61" i="29"/>
  <c r="AU61" i="29"/>
  <c r="AV61" i="29"/>
  <c r="AW61" i="29"/>
  <c r="AO62" i="29"/>
  <c r="AP62" i="29"/>
  <c r="AQ62" i="29"/>
  <c r="AS62" i="29"/>
  <c r="AT62" i="29"/>
  <c r="AU62" i="29"/>
  <c r="AW62" i="29"/>
  <c r="AX62" i="29"/>
  <c r="AO63" i="29"/>
  <c r="AQ63" i="29"/>
  <c r="AR63" i="29"/>
  <c r="AS63" i="29"/>
  <c r="AU63" i="29"/>
  <c r="AV63" i="29"/>
  <c r="AW63" i="29"/>
  <c r="AO64" i="29"/>
  <c r="AP64" i="29"/>
  <c r="AQ64" i="29"/>
  <c r="AS64" i="29"/>
  <c r="AT64" i="29"/>
  <c r="AU64" i="29"/>
  <c r="AW64" i="29"/>
  <c r="AX64" i="29"/>
  <c r="AO65" i="29"/>
  <c r="AQ65" i="29"/>
  <c r="AR65" i="29"/>
  <c r="AS65" i="29"/>
  <c r="AU65" i="29"/>
  <c r="AV65" i="29"/>
  <c r="AW65" i="29"/>
  <c r="AO66" i="29"/>
  <c r="AP66" i="29"/>
  <c r="AQ66" i="29"/>
  <c r="AS66" i="29"/>
  <c r="AT66" i="29"/>
  <c r="AU66" i="29"/>
  <c r="AW66" i="29"/>
  <c r="AX66" i="29"/>
  <c r="AO67" i="29"/>
  <c r="AQ67" i="29"/>
  <c r="AR67" i="29"/>
  <c r="AS67" i="29"/>
  <c r="AU67" i="29"/>
  <c r="AV67" i="29"/>
  <c r="AW67" i="29"/>
  <c r="AO68" i="29"/>
  <c r="AP68" i="29"/>
  <c r="AQ68" i="29"/>
  <c r="AS68" i="29"/>
  <c r="AT68" i="29"/>
  <c r="AU68" i="29"/>
  <c r="AW68" i="29"/>
  <c r="AX68" i="29"/>
  <c r="AO69" i="29"/>
  <c r="AQ69" i="29"/>
  <c r="AR69" i="29"/>
  <c r="AS69" i="29"/>
  <c r="AU69" i="29"/>
  <c r="AV69" i="29"/>
  <c r="AW69" i="29"/>
  <c r="AO70" i="29"/>
  <c r="AP70" i="29"/>
  <c r="AQ70" i="29"/>
  <c r="AS70" i="29"/>
  <c r="AT70" i="29"/>
  <c r="AU70" i="29"/>
  <c r="AW70" i="29"/>
  <c r="AX70" i="29"/>
  <c r="AO71" i="29"/>
  <c r="AQ71" i="29"/>
  <c r="AR71" i="29"/>
  <c r="AS71" i="29"/>
  <c r="AU71" i="29"/>
  <c r="AV71" i="29"/>
  <c r="AW71" i="29"/>
  <c r="AO72" i="29"/>
  <c r="AP72" i="29"/>
  <c r="AQ72" i="29"/>
  <c r="AS72" i="29"/>
  <c r="AT72" i="29"/>
  <c r="AU72" i="29"/>
  <c r="AW72" i="29"/>
  <c r="AX72" i="29"/>
  <c r="AO73" i="29"/>
  <c r="AQ73" i="29"/>
  <c r="AR73" i="29"/>
  <c r="AS73" i="29"/>
  <c r="AU73" i="29"/>
  <c r="AV73" i="29"/>
  <c r="AW73" i="29"/>
  <c r="AO74" i="29"/>
  <c r="AP74" i="29"/>
  <c r="AQ74" i="29"/>
  <c r="AS74" i="29"/>
  <c r="AT74" i="29"/>
  <c r="AU74" i="29"/>
  <c r="AW74" i="29"/>
  <c r="AX74" i="29"/>
  <c r="AO75" i="29"/>
  <c r="AQ75" i="29"/>
  <c r="AR75" i="29"/>
  <c r="AS75" i="29"/>
  <c r="AU75" i="29"/>
  <c r="AV75" i="29"/>
  <c r="AW75" i="29"/>
  <c r="AO76" i="29"/>
  <c r="AP76" i="29"/>
  <c r="AQ76" i="29"/>
  <c r="AS76" i="29"/>
  <c r="AT76" i="29"/>
  <c r="AU76" i="29"/>
  <c r="AW76" i="29"/>
  <c r="AX76" i="29"/>
  <c r="AO77" i="29"/>
  <c r="AQ77" i="29"/>
  <c r="AR77" i="29"/>
  <c r="AS77" i="29"/>
  <c r="AU77" i="29"/>
  <c r="AV77" i="29"/>
  <c r="AW77" i="29"/>
  <c r="AO78" i="29"/>
  <c r="AP78" i="29"/>
  <c r="AQ78" i="29"/>
  <c r="AS78" i="29"/>
  <c r="AT78" i="29"/>
  <c r="AU78" i="29"/>
  <c r="AW78" i="29"/>
  <c r="AX78" i="29"/>
  <c r="AO79" i="29"/>
  <c r="AQ79" i="29"/>
  <c r="AR79" i="29"/>
  <c r="AS79" i="29"/>
  <c r="AU79" i="29"/>
  <c r="AV79" i="29"/>
  <c r="AW79" i="29"/>
  <c r="AO80" i="29"/>
  <c r="AP80" i="29"/>
  <c r="AQ80" i="29"/>
  <c r="AS80" i="29"/>
  <c r="AT80" i="29"/>
  <c r="AU80" i="29"/>
  <c r="AW80" i="29"/>
  <c r="AX80" i="29"/>
  <c r="AO81" i="29"/>
  <c r="AQ81" i="29"/>
  <c r="AR81" i="29"/>
  <c r="AS81" i="29"/>
  <c r="AU81" i="29"/>
  <c r="AV81" i="29"/>
  <c r="AW81" i="29"/>
  <c r="AO82" i="29"/>
  <c r="AP82" i="29"/>
  <c r="AQ82" i="29"/>
  <c r="AS82" i="29"/>
  <c r="AT82" i="29"/>
  <c r="AU82" i="29"/>
  <c r="AW82" i="29"/>
  <c r="AX82" i="29"/>
  <c r="AO83" i="29"/>
  <c r="AQ83" i="29"/>
  <c r="AR83" i="29"/>
  <c r="AS83" i="29"/>
  <c r="AU83" i="29"/>
  <c r="AV83" i="29"/>
  <c r="AW83" i="29"/>
  <c r="AO84" i="29"/>
  <c r="AP84" i="29"/>
  <c r="AQ84" i="29"/>
  <c r="AS84" i="29"/>
  <c r="AT84" i="29"/>
  <c r="AU84" i="29"/>
  <c r="AW84" i="29"/>
  <c r="AX84" i="29"/>
  <c r="AO85" i="29"/>
  <c r="AQ85" i="29"/>
  <c r="AR85" i="29"/>
  <c r="AS85" i="29"/>
  <c r="AU85" i="29"/>
  <c r="AV85" i="29"/>
  <c r="AW85" i="29"/>
  <c r="AO86" i="29"/>
  <c r="AP86" i="29"/>
  <c r="AQ86" i="29"/>
  <c r="AS86" i="29"/>
  <c r="AT86" i="29"/>
  <c r="AU86" i="29"/>
  <c r="AW86" i="29"/>
  <c r="AX86" i="29"/>
  <c r="AO87" i="29"/>
  <c r="AQ87" i="29"/>
  <c r="AR87" i="29"/>
  <c r="AS87" i="29"/>
  <c r="AU87" i="29"/>
  <c r="AV87" i="29"/>
  <c r="AW87" i="29"/>
  <c r="AO88" i="29"/>
  <c r="AP88" i="29"/>
  <c r="AQ88" i="29"/>
  <c r="AR88" i="29"/>
  <c r="AS88" i="29"/>
  <c r="AT88" i="29"/>
  <c r="AU88" i="29"/>
  <c r="AV88" i="29"/>
  <c r="AW88" i="29"/>
  <c r="AX88" i="29"/>
  <c r="AO89" i="29"/>
  <c r="AP89" i="29"/>
  <c r="AQ89" i="29"/>
  <c r="AR89" i="29"/>
  <c r="AS89" i="29"/>
  <c r="AT89" i="29"/>
  <c r="AU89" i="29"/>
  <c r="AV89" i="29"/>
  <c r="AW89" i="29"/>
  <c r="AX89" i="29"/>
  <c r="AO90" i="29"/>
  <c r="AP90" i="29"/>
  <c r="AQ90" i="29"/>
  <c r="AR90" i="29"/>
  <c r="AS90" i="29"/>
  <c r="AT90" i="29"/>
  <c r="AU90" i="29"/>
  <c r="AV90" i="29"/>
  <c r="AW90" i="29"/>
  <c r="AX90" i="29"/>
  <c r="AO91" i="29"/>
  <c r="AP91" i="29"/>
  <c r="AQ91" i="29"/>
  <c r="AR91" i="29"/>
  <c r="AS91" i="29"/>
  <c r="AT91" i="29"/>
  <c r="AU91" i="29"/>
  <c r="AV91" i="29"/>
  <c r="AW91" i="29"/>
  <c r="AX91" i="29"/>
  <c r="AO92" i="29"/>
  <c r="AP92" i="29"/>
  <c r="AQ92" i="29"/>
  <c r="AR92" i="29"/>
  <c r="AS92" i="29"/>
  <c r="AT92" i="29"/>
  <c r="AU92" i="29"/>
  <c r="AV92" i="29"/>
  <c r="AW92" i="29"/>
  <c r="AX92" i="29"/>
  <c r="AO93" i="29"/>
  <c r="AP93" i="29"/>
  <c r="AQ93" i="29"/>
  <c r="AR93" i="29"/>
  <c r="AS93" i="29"/>
  <c r="AT93" i="29"/>
  <c r="AU93" i="29"/>
  <c r="AV93" i="29"/>
  <c r="AW93" i="29"/>
  <c r="AX93" i="29"/>
  <c r="AO94" i="29"/>
  <c r="AP94" i="29"/>
  <c r="AQ94" i="29"/>
  <c r="AR94" i="29"/>
  <c r="AS94" i="29"/>
  <c r="AT94" i="29"/>
  <c r="AU94" i="29"/>
  <c r="AV94" i="29"/>
  <c r="AW94" i="29"/>
  <c r="AX94" i="29"/>
  <c r="AO95" i="29"/>
  <c r="AP95" i="29"/>
  <c r="AQ95" i="29"/>
  <c r="AR95" i="29"/>
  <c r="AS95" i="29"/>
  <c r="AT95" i="29"/>
  <c r="AU95" i="29"/>
  <c r="AV95" i="29"/>
  <c r="AW95" i="29"/>
  <c r="AX95" i="29"/>
  <c r="AO96" i="29"/>
  <c r="AP96" i="29"/>
  <c r="AQ96" i="29"/>
  <c r="AR96" i="29"/>
  <c r="AS96" i="29"/>
  <c r="AT96" i="29"/>
  <c r="AU96" i="29"/>
  <c r="AV96" i="29"/>
  <c r="AW96" i="29"/>
  <c r="AX96" i="29"/>
  <c r="AO97" i="29"/>
  <c r="AP97" i="29"/>
  <c r="AQ97" i="29"/>
  <c r="AR97" i="29"/>
  <c r="AS97" i="29"/>
  <c r="AT97" i="29"/>
  <c r="AU97" i="29"/>
  <c r="AV97" i="29"/>
  <c r="AW97" i="29"/>
  <c r="AX97" i="29"/>
  <c r="AO98" i="29"/>
  <c r="AP98" i="29"/>
  <c r="AQ98" i="29"/>
  <c r="AR98" i="29"/>
  <c r="AS98" i="29"/>
  <c r="AT98" i="29"/>
  <c r="AU98" i="29"/>
  <c r="AV98" i="29"/>
  <c r="AW98" i="29"/>
  <c r="AX98" i="29"/>
  <c r="AO99" i="29"/>
  <c r="AP99" i="29"/>
  <c r="AQ99" i="29"/>
  <c r="AR99" i="29"/>
  <c r="AS99" i="29"/>
  <c r="AT99" i="29"/>
  <c r="AU99" i="29"/>
  <c r="AV99" i="29"/>
  <c r="AW99" i="29"/>
  <c r="AX99" i="29"/>
  <c r="AO100" i="29"/>
  <c r="AP100" i="29"/>
  <c r="AQ100" i="29"/>
  <c r="AR100" i="29"/>
  <c r="AS100" i="29"/>
  <c r="AT100" i="29"/>
  <c r="AU100" i="29"/>
  <c r="AV100" i="29"/>
  <c r="AW100" i="29"/>
  <c r="AX100" i="29"/>
  <c r="AO101" i="29"/>
  <c r="AP101" i="29"/>
  <c r="AQ101" i="29"/>
  <c r="AR101" i="29"/>
  <c r="AS101" i="29"/>
  <c r="AT101" i="29"/>
  <c r="AU101" i="29"/>
  <c r="AV101" i="29"/>
  <c r="AW101" i="29"/>
  <c r="AX101" i="29"/>
  <c r="AO102" i="29"/>
  <c r="AP102" i="29"/>
  <c r="AQ102" i="29"/>
  <c r="AR102" i="29"/>
  <c r="AS102" i="29"/>
  <c r="AT102" i="29"/>
  <c r="AU102" i="29"/>
  <c r="AV102" i="29"/>
  <c r="AW102" i="29"/>
  <c r="AX102" i="29"/>
  <c r="AO103" i="29"/>
  <c r="AP103" i="29"/>
  <c r="AQ103" i="29"/>
  <c r="AR103" i="29"/>
  <c r="AS103" i="29"/>
  <c r="AT103" i="29"/>
  <c r="AU103" i="29"/>
  <c r="AV103" i="29"/>
  <c r="AW103" i="29"/>
  <c r="AX103" i="29"/>
  <c r="AO104" i="29"/>
  <c r="AP104" i="29"/>
  <c r="AQ104" i="29"/>
  <c r="AR104" i="29"/>
  <c r="AS104" i="29"/>
  <c r="AT104" i="29"/>
  <c r="AU104" i="29"/>
  <c r="AV104" i="29"/>
  <c r="AW104" i="29"/>
  <c r="AX104" i="29"/>
  <c r="AO105" i="29"/>
  <c r="AP105" i="29"/>
  <c r="AQ105" i="29"/>
  <c r="AR105" i="29"/>
  <c r="AS105" i="29"/>
  <c r="AT105" i="29"/>
  <c r="AU105" i="29"/>
  <c r="AV105" i="29"/>
  <c r="AW105" i="29"/>
  <c r="AX105" i="29"/>
  <c r="AO106" i="29"/>
  <c r="AP106" i="29"/>
  <c r="AQ106" i="29"/>
  <c r="AR106" i="29"/>
  <c r="AS106" i="29"/>
  <c r="AT106" i="29"/>
  <c r="AU106" i="29"/>
  <c r="AV106" i="29"/>
  <c r="AW106" i="29"/>
  <c r="AX106" i="29"/>
  <c r="AO107" i="29"/>
  <c r="AP107" i="29"/>
  <c r="AQ107" i="29"/>
  <c r="AR107" i="29"/>
  <c r="AS107" i="29"/>
  <c r="AT107" i="29"/>
  <c r="AU107" i="29"/>
  <c r="AV107" i="29"/>
  <c r="AW107" i="29"/>
  <c r="AX107" i="29"/>
  <c r="AO108" i="29"/>
  <c r="AP108" i="29"/>
  <c r="AQ108" i="29"/>
  <c r="AR108" i="29"/>
  <c r="AS108" i="29"/>
  <c r="AT108" i="29"/>
  <c r="AU108" i="29"/>
  <c r="AV108" i="29"/>
  <c r="AW108" i="29"/>
  <c r="AX108" i="29"/>
  <c r="AO109" i="29"/>
  <c r="AP109" i="29"/>
  <c r="AQ109" i="29"/>
  <c r="AR109" i="29"/>
  <c r="AS109" i="29"/>
  <c r="AT109" i="29"/>
  <c r="AU109" i="29"/>
  <c r="AV109" i="29"/>
  <c r="AW109" i="29"/>
  <c r="AX109" i="29"/>
  <c r="AO110" i="29"/>
  <c r="AP110" i="29"/>
  <c r="AQ110" i="29"/>
  <c r="AR110" i="29"/>
  <c r="AS110" i="29"/>
  <c r="AT110" i="29"/>
  <c r="AU110" i="29"/>
  <c r="AV110" i="29"/>
  <c r="AW110" i="29"/>
  <c r="AX110" i="29"/>
  <c r="AO111" i="29"/>
  <c r="AP111" i="29"/>
  <c r="AQ111" i="29"/>
  <c r="AR111" i="29"/>
  <c r="AS111" i="29"/>
  <c r="AT111" i="29"/>
  <c r="AU111" i="29"/>
  <c r="AV111" i="29"/>
  <c r="AW111" i="29"/>
  <c r="AX111" i="29"/>
  <c r="AO112" i="29"/>
  <c r="AP112" i="29"/>
  <c r="AQ112" i="29"/>
  <c r="AR112" i="29"/>
  <c r="AS112" i="29"/>
  <c r="AT112" i="29"/>
  <c r="AU112" i="29"/>
  <c r="AV112" i="29"/>
  <c r="AW112" i="29"/>
  <c r="AX112" i="29"/>
  <c r="AO113" i="29"/>
  <c r="AP113" i="29"/>
  <c r="AQ113" i="29"/>
  <c r="AR113" i="29"/>
  <c r="AS113" i="29"/>
  <c r="AT113" i="29"/>
  <c r="AU113" i="29"/>
  <c r="AV113" i="29"/>
  <c r="AW113" i="29"/>
  <c r="AX113" i="29"/>
  <c r="AO114" i="29"/>
  <c r="AP114" i="29"/>
  <c r="AQ114" i="29"/>
  <c r="AR114" i="29"/>
  <c r="AS114" i="29"/>
  <c r="AT114" i="29"/>
  <c r="AU114" i="29"/>
  <c r="AV114" i="29"/>
  <c r="AW114" i="29"/>
  <c r="AX114" i="29"/>
  <c r="AO115" i="29"/>
  <c r="AP115" i="29"/>
  <c r="AQ115" i="29"/>
  <c r="AR115" i="29"/>
  <c r="AS115" i="29"/>
  <c r="AT115" i="29"/>
  <c r="AU115" i="29"/>
  <c r="AV115" i="29"/>
  <c r="AW115" i="29"/>
  <c r="AX115" i="29"/>
  <c r="AO116" i="29"/>
  <c r="AP116" i="29"/>
  <c r="AQ116" i="29"/>
  <c r="AR116" i="29"/>
  <c r="AS116" i="29"/>
  <c r="AT116" i="29"/>
  <c r="AU116" i="29"/>
  <c r="AV116" i="29"/>
  <c r="AW116" i="29"/>
  <c r="AX116" i="29"/>
  <c r="AO117" i="29"/>
  <c r="AP117" i="29"/>
  <c r="AQ117" i="29"/>
  <c r="AR117" i="29"/>
  <c r="AS117" i="29"/>
  <c r="AT117" i="29"/>
  <c r="AU117" i="29"/>
  <c r="AV117" i="29"/>
  <c r="AW117" i="29"/>
  <c r="AX117" i="29"/>
  <c r="AO118" i="29"/>
  <c r="AP118" i="29"/>
  <c r="AQ118" i="29"/>
  <c r="AR118" i="29"/>
  <c r="AS118" i="29"/>
  <c r="AT118" i="29"/>
  <c r="AU118" i="29"/>
  <c r="AV118" i="29"/>
  <c r="AW118" i="29"/>
  <c r="AX118" i="29"/>
  <c r="AO119" i="29"/>
  <c r="AP119" i="29"/>
  <c r="AQ119" i="29"/>
  <c r="AR119" i="29"/>
  <c r="AS119" i="29"/>
  <c r="AT119" i="29"/>
  <c r="AU119" i="29"/>
  <c r="AV119" i="29"/>
  <c r="AW119" i="29"/>
  <c r="AX119" i="29"/>
  <c r="AO120" i="29"/>
  <c r="AP120" i="29"/>
  <c r="AQ120" i="29"/>
  <c r="AR120" i="29"/>
  <c r="AS120" i="29"/>
  <c r="AT120" i="29"/>
  <c r="AU120" i="29"/>
  <c r="AV120" i="29"/>
  <c r="AW120" i="29"/>
  <c r="AX120" i="29"/>
  <c r="AO121" i="29"/>
  <c r="AP121" i="29"/>
  <c r="AQ121" i="29"/>
  <c r="AR121" i="29"/>
  <c r="AS121" i="29"/>
  <c r="AT121" i="29"/>
  <c r="AU121" i="29"/>
  <c r="AV121" i="29"/>
  <c r="AW121" i="29"/>
  <c r="AX121" i="29"/>
  <c r="AO122" i="29"/>
  <c r="AP122" i="29"/>
  <c r="AQ122" i="29"/>
  <c r="AR122" i="29"/>
  <c r="AS122" i="29"/>
  <c r="AT122" i="29"/>
  <c r="AU122" i="29"/>
  <c r="AV122" i="29"/>
  <c r="AW122" i="29"/>
  <c r="AX122" i="29"/>
  <c r="AO123" i="29"/>
  <c r="AP123" i="29"/>
  <c r="AQ123" i="29"/>
  <c r="AR123" i="29"/>
  <c r="AS123" i="29"/>
  <c r="AT123" i="29"/>
  <c r="AU123" i="29"/>
  <c r="AV123" i="29"/>
  <c r="AW123" i="29"/>
  <c r="AX123" i="29"/>
  <c r="AO124" i="29"/>
  <c r="AP124" i="29"/>
  <c r="AQ124" i="29"/>
  <c r="AR124" i="29"/>
  <c r="AS124" i="29"/>
  <c r="AT124" i="29"/>
  <c r="AU124" i="29"/>
  <c r="AV124" i="29"/>
  <c r="AW124" i="29"/>
  <c r="AX124" i="29"/>
  <c r="AO125" i="29"/>
  <c r="AP125" i="29"/>
  <c r="AQ125" i="29"/>
  <c r="AR125" i="29"/>
  <c r="AS125" i="29"/>
  <c r="AT125" i="29"/>
  <c r="AU125" i="29"/>
  <c r="AV125" i="29"/>
  <c r="AW125" i="29"/>
  <c r="AX125" i="29"/>
  <c r="AO126" i="29"/>
  <c r="AP126" i="29"/>
  <c r="AQ126" i="29"/>
  <c r="AR126" i="29"/>
  <c r="AS126" i="29"/>
  <c r="AT126" i="29"/>
  <c r="AU126" i="29"/>
  <c r="AV126" i="29"/>
  <c r="AW126" i="29"/>
  <c r="AX126" i="29"/>
  <c r="AO127" i="29"/>
  <c r="AP127" i="29"/>
  <c r="AQ127" i="29"/>
  <c r="AR127" i="29"/>
  <c r="AS127" i="29"/>
  <c r="AT127" i="29"/>
  <c r="AU127" i="29"/>
  <c r="AV127" i="29"/>
  <c r="AW127" i="29"/>
  <c r="AX127" i="29"/>
  <c r="AO128" i="29"/>
  <c r="AP128" i="29"/>
  <c r="AQ128" i="29"/>
  <c r="AR128" i="29"/>
  <c r="AS128" i="29"/>
  <c r="AT128" i="29"/>
  <c r="AU128" i="29"/>
  <c r="AV128" i="29"/>
  <c r="AW128" i="29"/>
  <c r="AX128" i="29"/>
  <c r="AO129" i="29"/>
  <c r="AP129" i="29"/>
  <c r="AQ129" i="29"/>
  <c r="AR129" i="29"/>
  <c r="AS129" i="29"/>
  <c r="AT129" i="29"/>
  <c r="AU129" i="29"/>
  <c r="AV129" i="29"/>
  <c r="AW129" i="29"/>
  <c r="AX129" i="29"/>
  <c r="AO130" i="29"/>
  <c r="AP130" i="29"/>
  <c r="AQ130" i="29"/>
  <c r="AR130" i="29"/>
  <c r="AS130" i="29"/>
  <c r="AT130" i="29"/>
  <c r="AU130" i="29"/>
  <c r="AV130" i="29"/>
  <c r="AW130" i="29"/>
  <c r="AX130" i="29"/>
  <c r="AO131" i="29"/>
  <c r="AP131" i="29"/>
  <c r="AQ131" i="29"/>
  <c r="AR131" i="29"/>
  <c r="AS131" i="29"/>
  <c r="AT131" i="29"/>
  <c r="AU131" i="29"/>
  <c r="AV131" i="29"/>
  <c r="AW131" i="29"/>
  <c r="AX131" i="29"/>
  <c r="AO132" i="29"/>
  <c r="AP132" i="29"/>
  <c r="AQ132" i="29"/>
  <c r="AR132" i="29"/>
  <c r="AS132" i="29"/>
  <c r="AT132" i="29"/>
  <c r="AU132" i="29"/>
  <c r="AV132" i="29"/>
  <c r="AW132" i="29"/>
  <c r="AX132" i="29"/>
  <c r="AO133" i="29"/>
  <c r="AP133" i="29"/>
  <c r="AQ133" i="29"/>
  <c r="AR133" i="29"/>
  <c r="AS133" i="29"/>
  <c r="AT133" i="29"/>
  <c r="AU133" i="29"/>
  <c r="AV133" i="29"/>
  <c r="AW133" i="29"/>
  <c r="AX133" i="29"/>
  <c r="AO134" i="29"/>
  <c r="AP134" i="29"/>
  <c r="AQ134" i="29"/>
  <c r="AR134" i="29"/>
  <c r="AS134" i="29"/>
  <c r="AT134" i="29"/>
  <c r="AU134" i="29"/>
  <c r="AV134" i="29"/>
  <c r="AW134" i="29"/>
  <c r="AX134" i="29"/>
  <c r="AO135" i="29"/>
  <c r="AP135" i="29"/>
  <c r="AQ135" i="29"/>
  <c r="AR135" i="29"/>
  <c r="AS135" i="29"/>
  <c r="AT135" i="29"/>
  <c r="AU135" i="29"/>
  <c r="AV135" i="29"/>
  <c r="AW135" i="29"/>
  <c r="AX135" i="29"/>
  <c r="AO136" i="29"/>
  <c r="AP136" i="29"/>
  <c r="AQ136" i="29"/>
  <c r="AR136" i="29"/>
  <c r="AS136" i="29"/>
  <c r="AT136" i="29"/>
  <c r="AU136" i="29"/>
  <c r="AV136" i="29"/>
  <c r="AW136" i="29"/>
  <c r="AX136" i="29"/>
  <c r="AO137" i="29"/>
  <c r="AP137" i="29"/>
  <c r="AQ137" i="29"/>
  <c r="AR137" i="29"/>
  <c r="AS137" i="29"/>
  <c r="AT137" i="29"/>
  <c r="AU137" i="29"/>
  <c r="AV137" i="29"/>
  <c r="AW137" i="29"/>
  <c r="AX137" i="29"/>
  <c r="AO138" i="29"/>
  <c r="AP138" i="29"/>
  <c r="AQ138" i="29"/>
  <c r="AR138" i="29"/>
  <c r="AS138" i="29"/>
  <c r="AT138" i="29"/>
  <c r="AU138" i="29"/>
  <c r="AV138" i="29"/>
  <c r="AW138" i="29"/>
  <c r="AX138" i="29"/>
  <c r="AO139" i="29"/>
  <c r="AP139" i="29"/>
  <c r="AQ139" i="29"/>
  <c r="AR139" i="29"/>
  <c r="AS139" i="29"/>
  <c r="AT139" i="29"/>
  <c r="AU139" i="29"/>
  <c r="AV139" i="29"/>
  <c r="AW139" i="29"/>
  <c r="AX139" i="29"/>
  <c r="AO140" i="29"/>
  <c r="AP140" i="29"/>
  <c r="AQ140" i="29"/>
  <c r="AR140" i="29"/>
  <c r="AS140" i="29"/>
  <c r="AT140" i="29"/>
  <c r="AU140" i="29"/>
  <c r="AV140" i="29"/>
  <c r="AW140" i="29"/>
  <c r="AX140" i="29"/>
  <c r="AO141" i="29"/>
  <c r="AP141" i="29"/>
  <c r="AQ141" i="29"/>
  <c r="AR141" i="29"/>
  <c r="AS141" i="29"/>
  <c r="AT141" i="29"/>
  <c r="AU141" i="29"/>
  <c r="AV141" i="29"/>
  <c r="AW141" i="29"/>
  <c r="AX141" i="29"/>
  <c r="AO142" i="29"/>
  <c r="AP142" i="29"/>
  <c r="AQ142" i="29"/>
  <c r="AR142" i="29"/>
  <c r="AS142" i="29"/>
  <c r="AT142" i="29"/>
  <c r="AU142" i="29"/>
  <c r="AV142" i="29"/>
  <c r="AW142" i="29"/>
  <c r="AX142" i="29"/>
  <c r="AO143" i="29"/>
  <c r="AP143" i="29"/>
  <c r="AQ143" i="29"/>
  <c r="AR143" i="29"/>
  <c r="AS143" i="29"/>
  <c r="AT143" i="29"/>
  <c r="AU143" i="29"/>
  <c r="AV143" i="29"/>
  <c r="AW143" i="29"/>
  <c r="AX143" i="29"/>
  <c r="AO144" i="29"/>
  <c r="AP144" i="29"/>
  <c r="AQ144" i="29"/>
  <c r="AR144" i="29"/>
  <c r="AS144" i="29"/>
  <c r="AT144" i="29"/>
  <c r="AU144" i="29"/>
  <c r="AV144" i="29"/>
  <c r="AW144" i="29"/>
  <c r="AX144" i="29"/>
  <c r="AO145" i="29"/>
  <c r="AP145" i="29"/>
  <c r="AQ145" i="29"/>
  <c r="AR145" i="29"/>
  <c r="AS145" i="29"/>
  <c r="AT145" i="29"/>
  <c r="AU145" i="29"/>
  <c r="AV145" i="29"/>
  <c r="AW145" i="29"/>
  <c r="AX145" i="29"/>
  <c r="AO146" i="29"/>
  <c r="AP146" i="29"/>
  <c r="AQ146" i="29"/>
  <c r="AR146" i="29"/>
  <c r="AS146" i="29"/>
  <c r="AT146" i="29"/>
  <c r="AU146" i="29"/>
  <c r="AV146" i="29"/>
  <c r="AW146" i="29"/>
  <c r="AX146" i="29"/>
  <c r="AO147" i="29"/>
  <c r="AP147" i="29"/>
  <c r="AQ147" i="29"/>
  <c r="AR147" i="29"/>
  <c r="AS147" i="29"/>
  <c r="AT147" i="29"/>
  <c r="AU147" i="29"/>
  <c r="AV147" i="29"/>
  <c r="AW147" i="29"/>
  <c r="AX147" i="29"/>
  <c r="AO148" i="29"/>
  <c r="AP148" i="29"/>
  <c r="AQ148" i="29"/>
  <c r="AR148" i="29"/>
  <c r="AS148" i="29"/>
  <c r="AT148" i="29"/>
  <c r="AU148" i="29"/>
  <c r="AV148" i="29"/>
  <c r="AW148" i="29"/>
  <c r="AX148" i="29"/>
  <c r="AO149" i="29"/>
  <c r="AP149" i="29"/>
  <c r="AQ149" i="29"/>
  <c r="AR149" i="29"/>
  <c r="AS149" i="29"/>
  <c r="AT149" i="29"/>
  <c r="AU149" i="29"/>
  <c r="AV149" i="29"/>
  <c r="AW149" i="29"/>
  <c r="AX149" i="29"/>
  <c r="AO150" i="29"/>
  <c r="AP150" i="29"/>
  <c r="AQ150" i="29"/>
  <c r="AR150" i="29"/>
  <c r="AS150" i="29"/>
  <c r="AT150" i="29"/>
  <c r="AU150" i="29"/>
  <c r="AV150" i="29"/>
  <c r="AW150" i="29"/>
  <c r="AX150" i="29"/>
  <c r="AO151" i="29"/>
  <c r="AP151" i="29"/>
  <c r="AQ151" i="29"/>
  <c r="AR151" i="29"/>
  <c r="AS151" i="29"/>
  <c r="AT151" i="29"/>
  <c r="AU151" i="29"/>
  <c r="AV151" i="29"/>
  <c r="AW151" i="29"/>
  <c r="AX151" i="29"/>
  <c r="AO152" i="29"/>
  <c r="AP152" i="29"/>
  <c r="AQ152" i="29"/>
  <c r="AR152" i="29"/>
  <c r="AS152" i="29"/>
  <c r="AT152" i="29"/>
  <c r="AU152" i="29"/>
  <c r="AV152" i="29"/>
  <c r="AW152" i="29"/>
  <c r="AX152" i="29"/>
  <c r="AO153" i="29"/>
  <c r="AP153" i="29"/>
  <c r="AQ153" i="29"/>
  <c r="AR153" i="29"/>
  <c r="AS153" i="29"/>
  <c r="AT153" i="29"/>
  <c r="AU153" i="29"/>
  <c r="AV153" i="29"/>
  <c r="AW153" i="29"/>
  <c r="AX153" i="29"/>
  <c r="AO154" i="29"/>
  <c r="AP154" i="29"/>
  <c r="AQ154" i="29"/>
  <c r="AR154" i="29"/>
  <c r="AS154" i="29"/>
  <c r="AT154" i="29"/>
  <c r="AU154" i="29"/>
  <c r="AV154" i="29"/>
  <c r="AW154" i="29"/>
  <c r="AX154" i="29"/>
  <c r="AO155" i="29"/>
  <c r="AP155" i="29"/>
  <c r="AQ155" i="29"/>
  <c r="AR155" i="29"/>
  <c r="AS155" i="29"/>
  <c r="AT155" i="29"/>
  <c r="AU155" i="29"/>
  <c r="AV155" i="29"/>
  <c r="AW155" i="29"/>
  <c r="AX155" i="29"/>
  <c r="AO156" i="29"/>
  <c r="AP156" i="29"/>
  <c r="AQ156" i="29"/>
  <c r="AR156" i="29"/>
  <c r="AS156" i="29"/>
  <c r="AT156" i="29"/>
  <c r="AU156" i="29"/>
  <c r="AV156" i="29"/>
  <c r="AW156" i="29"/>
  <c r="AX156" i="29"/>
  <c r="AO157" i="29"/>
  <c r="AP157" i="29"/>
  <c r="AQ157" i="29"/>
  <c r="AR157" i="29"/>
  <c r="AS157" i="29"/>
  <c r="AT157" i="29"/>
  <c r="AU157" i="29"/>
  <c r="AV157" i="29"/>
  <c r="AW157" i="29"/>
  <c r="AX157" i="29"/>
  <c r="AO158" i="29"/>
  <c r="AP158" i="29"/>
  <c r="AQ158" i="29"/>
  <c r="AR158" i="29"/>
  <c r="AS158" i="29"/>
  <c r="AT158" i="29"/>
  <c r="AU158" i="29"/>
  <c r="AV158" i="29"/>
  <c r="AW158" i="29"/>
  <c r="AX158" i="29"/>
  <c r="AO159" i="29"/>
  <c r="AP159" i="29"/>
  <c r="AQ159" i="29"/>
  <c r="AR159" i="29"/>
  <c r="AS159" i="29"/>
  <c r="AT159" i="29"/>
  <c r="AU159" i="29"/>
  <c r="AV159" i="29"/>
  <c r="AW159" i="29"/>
  <c r="AX159" i="29"/>
  <c r="AO160" i="29"/>
  <c r="AP160" i="29"/>
  <c r="AQ160" i="29"/>
  <c r="AR160" i="29"/>
  <c r="AS160" i="29"/>
  <c r="AT160" i="29"/>
  <c r="AU160" i="29"/>
  <c r="AV160" i="29"/>
  <c r="AW160" i="29"/>
  <c r="AX160" i="29"/>
  <c r="AO161" i="29"/>
  <c r="AP161" i="29"/>
  <c r="AQ161" i="29"/>
  <c r="AR161" i="29"/>
  <c r="AS161" i="29"/>
  <c r="AT161" i="29"/>
  <c r="AU161" i="29"/>
  <c r="AV161" i="29"/>
  <c r="AW161" i="29"/>
  <c r="AX161" i="29"/>
  <c r="AO162" i="29"/>
  <c r="AP162" i="29"/>
  <c r="AQ162" i="29"/>
  <c r="AR162" i="29"/>
  <c r="AS162" i="29"/>
  <c r="AT162" i="29"/>
  <c r="AU162" i="29"/>
  <c r="AV162" i="29"/>
  <c r="AW162" i="29"/>
  <c r="AX162" i="29"/>
  <c r="AO163" i="29"/>
  <c r="AP163" i="29"/>
  <c r="AQ163" i="29"/>
  <c r="AR163" i="29"/>
  <c r="AS163" i="29"/>
  <c r="AT163" i="29"/>
  <c r="AU163" i="29"/>
  <c r="AV163" i="29"/>
  <c r="AW163" i="29"/>
  <c r="AX163" i="29"/>
  <c r="AO164" i="29"/>
  <c r="AP164" i="29"/>
  <c r="AQ164" i="29"/>
  <c r="AR164" i="29"/>
  <c r="AS164" i="29"/>
  <c r="AT164" i="29"/>
  <c r="AU164" i="29"/>
  <c r="AV164" i="29"/>
  <c r="AW164" i="29"/>
  <c r="AX164" i="29"/>
  <c r="AO165" i="29"/>
  <c r="AP165" i="29"/>
  <c r="AQ165" i="29"/>
  <c r="AR165" i="29"/>
  <c r="AS165" i="29"/>
  <c r="AT165" i="29"/>
  <c r="AU165" i="29"/>
  <c r="AV165" i="29"/>
  <c r="AW165" i="29"/>
  <c r="AX165" i="29"/>
  <c r="AO166" i="29"/>
  <c r="AP166" i="29"/>
  <c r="AQ166" i="29"/>
  <c r="AR166" i="29"/>
  <c r="AS166" i="29"/>
  <c r="AT166" i="29"/>
  <c r="AU166" i="29"/>
  <c r="AV166" i="29"/>
  <c r="AW166" i="29"/>
  <c r="AX166" i="29"/>
  <c r="AO167" i="29"/>
  <c r="AP167" i="29"/>
  <c r="AQ167" i="29"/>
  <c r="AR167" i="29"/>
  <c r="AS167" i="29"/>
  <c r="AT167" i="29"/>
  <c r="AU167" i="29"/>
  <c r="AV167" i="29"/>
  <c r="AW167" i="29"/>
  <c r="AX167" i="29"/>
  <c r="AO168" i="29"/>
  <c r="AP168" i="29"/>
  <c r="AQ168" i="29"/>
  <c r="AR168" i="29"/>
  <c r="AS168" i="29"/>
  <c r="AT168" i="29"/>
  <c r="AU168" i="29"/>
  <c r="AV168" i="29"/>
  <c r="AW168" i="29"/>
  <c r="AX168" i="29"/>
  <c r="AO169" i="29"/>
  <c r="AP169" i="29"/>
  <c r="AQ169" i="29"/>
  <c r="AR169" i="29"/>
  <c r="AS169" i="29"/>
  <c r="AT169" i="29"/>
  <c r="AU169" i="29"/>
  <c r="AV169" i="29"/>
  <c r="AW169" i="29"/>
  <c r="AX169" i="29"/>
  <c r="AO170" i="29"/>
  <c r="AP170" i="29"/>
  <c r="AQ170" i="29"/>
  <c r="AR170" i="29"/>
  <c r="AS170" i="29"/>
  <c r="AT170" i="29"/>
  <c r="AU170" i="29"/>
  <c r="AV170" i="29"/>
  <c r="AW170" i="29"/>
  <c r="AX170" i="29"/>
  <c r="AO171" i="29"/>
  <c r="AP171" i="29"/>
  <c r="AQ171" i="29"/>
  <c r="AR171" i="29"/>
  <c r="AS171" i="29"/>
  <c r="AT171" i="29"/>
  <c r="AU171" i="29"/>
  <c r="AV171" i="29"/>
  <c r="AW171" i="29"/>
  <c r="AX171" i="29"/>
  <c r="AO172" i="29"/>
  <c r="AP172" i="29"/>
  <c r="AQ172" i="29"/>
  <c r="AR172" i="29"/>
  <c r="AS172" i="29"/>
  <c r="AT172" i="29"/>
  <c r="AU172" i="29"/>
  <c r="AV172" i="29"/>
  <c r="AW172" i="29"/>
  <c r="AX172" i="29"/>
  <c r="AO173" i="29"/>
  <c r="AP173" i="29"/>
  <c r="AQ173" i="29"/>
  <c r="AR173" i="29"/>
  <c r="AS173" i="29"/>
  <c r="AT173" i="29"/>
  <c r="AU173" i="29"/>
  <c r="AV173" i="29"/>
  <c r="AW173" i="29"/>
  <c r="AX173" i="29"/>
  <c r="AO174" i="29"/>
  <c r="AP174" i="29"/>
  <c r="AQ174" i="29"/>
  <c r="AR174" i="29"/>
  <c r="AS174" i="29"/>
  <c r="AT174" i="29"/>
  <c r="AU174" i="29"/>
  <c r="AV174" i="29"/>
  <c r="AW174" i="29"/>
  <c r="AX174" i="29"/>
  <c r="AO175" i="29"/>
  <c r="AP175" i="29"/>
  <c r="AQ175" i="29"/>
  <c r="AR175" i="29"/>
  <c r="AS175" i="29"/>
  <c r="AT175" i="29"/>
  <c r="AU175" i="29"/>
  <c r="AV175" i="29"/>
  <c r="AW175" i="29"/>
  <c r="AX175" i="29"/>
  <c r="AO176" i="29"/>
  <c r="AP176" i="29"/>
  <c r="AQ176" i="29"/>
  <c r="AR176" i="29"/>
  <c r="AS176" i="29"/>
  <c r="AT176" i="29"/>
  <c r="AU176" i="29"/>
  <c r="AV176" i="29"/>
  <c r="AW176" i="29"/>
  <c r="AX176" i="29"/>
  <c r="AO177" i="29"/>
  <c r="AP177" i="29"/>
  <c r="AQ177" i="29"/>
  <c r="AR177" i="29"/>
  <c r="AS177" i="29"/>
  <c r="AT177" i="29"/>
  <c r="AU177" i="29"/>
  <c r="AV177" i="29"/>
  <c r="AW177" i="29"/>
  <c r="AX177" i="29"/>
  <c r="AO178" i="29"/>
  <c r="AP178" i="29"/>
  <c r="AQ178" i="29"/>
  <c r="AR178" i="29"/>
  <c r="AS178" i="29"/>
  <c r="AT178" i="29"/>
  <c r="AU178" i="29"/>
  <c r="AV178" i="29"/>
  <c r="AW178" i="29"/>
  <c r="AX178" i="29"/>
  <c r="AO179" i="29"/>
  <c r="AP179" i="29"/>
  <c r="AQ179" i="29"/>
  <c r="AR179" i="29"/>
  <c r="AS179" i="29"/>
  <c r="AT179" i="29"/>
  <c r="AU179" i="29"/>
  <c r="AV179" i="29"/>
  <c r="AW179" i="29"/>
  <c r="AX179" i="29"/>
  <c r="AO180" i="29"/>
  <c r="AP180" i="29"/>
  <c r="AQ180" i="29"/>
  <c r="AR180" i="29"/>
  <c r="AS180" i="29"/>
  <c r="AT180" i="29"/>
  <c r="AU180" i="29"/>
  <c r="AV180" i="29"/>
  <c r="AW180" i="29"/>
  <c r="AX180" i="29"/>
  <c r="AO181" i="29"/>
  <c r="AP181" i="29"/>
  <c r="AQ181" i="29"/>
  <c r="AR181" i="29"/>
  <c r="AS181" i="29"/>
  <c r="AT181" i="29"/>
  <c r="AU181" i="29"/>
  <c r="AV181" i="29"/>
  <c r="AW181" i="29"/>
  <c r="AX181" i="29"/>
  <c r="AO182" i="29"/>
  <c r="AP182" i="29"/>
  <c r="AQ182" i="29"/>
  <c r="AR182" i="29"/>
  <c r="AS182" i="29"/>
  <c r="AT182" i="29"/>
  <c r="AU182" i="29"/>
  <c r="AV182" i="29"/>
  <c r="AW182" i="29"/>
  <c r="AX182" i="29"/>
  <c r="AO183" i="29"/>
  <c r="AP183" i="29"/>
  <c r="AQ183" i="29"/>
  <c r="AR183" i="29"/>
  <c r="AS183" i="29"/>
  <c r="AT183" i="29"/>
  <c r="AU183" i="29"/>
  <c r="AV183" i="29"/>
  <c r="AW183" i="29"/>
  <c r="AX183" i="29"/>
  <c r="AO184" i="29"/>
  <c r="AP184" i="29"/>
  <c r="AQ184" i="29"/>
  <c r="AR184" i="29"/>
  <c r="AS184" i="29"/>
  <c r="AT184" i="29"/>
  <c r="AU184" i="29"/>
  <c r="AV184" i="29"/>
  <c r="AW184" i="29"/>
  <c r="AX184" i="29"/>
  <c r="AO185" i="29"/>
  <c r="AP185" i="29"/>
  <c r="AQ185" i="29"/>
  <c r="AR185" i="29"/>
  <c r="AS185" i="29"/>
  <c r="AT185" i="29"/>
  <c r="AU185" i="29"/>
  <c r="AV185" i="29"/>
  <c r="AW185" i="29"/>
  <c r="AX185" i="29"/>
  <c r="AO186" i="29"/>
  <c r="AP186" i="29"/>
  <c r="AQ186" i="29"/>
  <c r="AR186" i="29"/>
  <c r="AS186" i="29"/>
  <c r="AT186" i="29"/>
  <c r="AU186" i="29"/>
  <c r="AV186" i="29"/>
  <c r="AW186" i="29"/>
  <c r="AX186" i="29"/>
  <c r="AO187" i="29"/>
  <c r="AP187" i="29"/>
  <c r="AQ187" i="29"/>
  <c r="AR187" i="29"/>
  <c r="AS187" i="29"/>
  <c r="AT187" i="29"/>
  <c r="AU187" i="29"/>
  <c r="AV187" i="29"/>
  <c r="AW187" i="29"/>
  <c r="AX187" i="29"/>
  <c r="AO188" i="29"/>
  <c r="AP188" i="29"/>
  <c r="AQ188" i="29"/>
  <c r="AR188" i="29"/>
  <c r="AS188" i="29"/>
  <c r="AT188" i="29"/>
  <c r="AU188" i="29"/>
  <c r="AV188" i="29"/>
  <c r="AW188" i="29"/>
  <c r="AX188" i="29"/>
  <c r="AO189" i="29"/>
  <c r="AP189" i="29"/>
  <c r="AQ189" i="29"/>
  <c r="AR189" i="29"/>
  <c r="AS189" i="29"/>
  <c r="AT189" i="29"/>
  <c r="AU189" i="29"/>
  <c r="AV189" i="29"/>
  <c r="AW189" i="29"/>
  <c r="AX189" i="29"/>
  <c r="AO190" i="29"/>
  <c r="AP190" i="29"/>
  <c r="AQ190" i="29"/>
  <c r="AR190" i="29"/>
  <c r="AS190" i="29"/>
  <c r="AT190" i="29"/>
  <c r="AU190" i="29"/>
  <c r="AV190" i="29"/>
  <c r="AW190" i="29"/>
  <c r="AX190" i="29"/>
  <c r="AO191" i="29"/>
  <c r="AP191" i="29"/>
  <c r="AQ191" i="29"/>
  <c r="AR191" i="29"/>
  <c r="AS191" i="29"/>
  <c r="AT191" i="29"/>
  <c r="AU191" i="29"/>
  <c r="AV191" i="29"/>
  <c r="AW191" i="29"/>
  <c r="AX191" i="29"/>
  <c r="AO192" i="29"/>
  <c r="AP192" i="29"/>
  <c r="AQ192" i="29"/>
  <c r="AR192" i="29"/>
  <c r="AS192" i="29"/>
  <c r="AT192" i="29"/>
  <c r="AU192" i="29"/>
  <c r="AV192" i="29"/>
  <c r="AW192" i="29"/>
  <c r="AX192" i="29"/>
  <c r="AO193" i="29"/>
  <c r="AP193" i="29"/>
  <c r="AQ193" i="29"/>
  <c r="AR193" i="29"/>
  <c r="AS193" i="29"/>
  <c r="AT193" i="29"/>
  <c r="AU193" i="29"/>
  <c r="AV193" i="29"/>
  <c r="AW193" i="29"/>
  <c r="AX193" i="29"/>
  <c r="AO194" i="29"/>
  <c r="AP194" i="29"/>
  <c r="AQ194" i="29"/>
  <c r="AR194" i="29"/>
  <c r="AS194" i="29"/>
  <c r="AT194" i="29"/>
  <c r="AU194" i="29"/>
  <c r="AV194" i="29"/>
  <c r="AW194" i="29"/>
  <c r="AX194" i="29"/>
  <c r="AO195" i="29"/>
  <c r="AP195" i="29"/>
  <c r="AQ195" i="29"/>
  <c r="AR195" i="29"/>
  <c r="AS195" i="29"/>
  <c r="AT195" i="29"/>
  <c r="AU195" i="29"/>
  <c r="AV195" i="29"/>
  <c r="AW195" i="29"/>
  <c r="AX195" i="29"/>
  <c r="AO196" i="29"/>
  <c r="AP196" i="29"/>
  <c r="AQ196" i="29"/>
  <c r="AR196" i="29"/>
  <c r="AS196" i="29"/>
  <c r="AT196" i="29"/>
  <c r="AU196" i="29"/>
  <c r="AV196" i="29"/>
  <c r="AW196" i="29"/>
  <c r="AX196" i="29"/>
  <c r="AO197" i="29"/>
  <c r="AP197" i="29"/>
  <c r="AQ197" i="29"/>
  <c r="AR197" i="29"/>
  <c r="AS197" i="29"/>
  <c r="AT197" i="29"/>
  <c r="AU197" i="29"/>
  <c r="AV197" i="29"/>
  <c r="AW197" i="29"/>
  <c r="AX197" i="29"/>
  <c r="AO198" i="29"/>
  <c r="AP198" i="29"/>
  <c r="AQ198" i="29"/>
  <c r="AR198" i="29"/>
  <c r="AS198" i="29"/>
  <c r="AT198" i="29"/>
  <c r="AU198" i="29"/>
  <c r="AV198" i="29"/>
  <c r="AW198" i="29"/>
  <c r="AX198" i="29"/>
  <c r="AO199" i="29"/>
  <c r="AP199" i="29"/>
  <c r="AQ199" i="29"/>
  <c r="AR199" i="29"/>
  <c r="AS199" i="29"/>
  <c r="AT199" i="29"/>
  <c r="AU199" i="29"/>
  <c r="AV199" i="29"/>
  <c r="AW199" i="29"/>
  <c r="AX199" i="29"/>
  <c r="AO200" i="29"/>
  <c r="AP200" i="29"/>
  <c r="AQ200" i="29"/>
  <c r="AR200" i="29"/>
  <c r="AS200" i="29"/>
  <c r="AT200" i="29"/>
  <c r="AU200" i="29"/>
  <c r="AV200" i="29"/>
  <c r="AW200" i="29"/>
  <c r="AX200" i="29"/>
  <c r="AO201" i="29"/>
  <c r="AP201" i="29"/>
  <c r="AQ201" i="29"/>
  <c r="AR201" i="29"/>
  <c r="AS201" i="29"/>
  <c r="AT201" i="29"/>
  <c r="AU201" i="29"/>
  <c r="AV201" i="29"/>
  <c r="AW201" i="29"/>
  <c r="AX201" i="29"/>
  <c r="AO202" i="29"/>
  <c r="AP202" i="29"/>
  <c r="AQ202" i="29"/>
  <c r="AR202" i="29"/>
  <c r="AS202" i="29"/>
  <c r="AT202" i="29"/>
  <c r="AU202" i="29"/>
  <c r="AV202" i="29"/>
  <c r="AW202" i="29"/>
  <c r="AX202" i="29"/>
  <c r="AO203" i="29"/>
  <c r="AP203" i="29"/>
  <c r="AQ203" i="29"/>
  <c r="AR203" i="29"/>
  <c r="AS203" i="29"/>
  <c r="AT203" i="29"/>
  <c r="AU203" i="29"/>
  <c r="AV203" i="29"/>
  <c r="AW203" i="29"/>
  <c r="AX203" i="29"/>
  <c r="AO204" i="29"/>
  <c r="AP204" i="29"/>
  <c r="AQ204" i="29"/>
  <c r="AR204" i="29"/>
  <c r="AS204" i="29"/>
  <c r="AT204" i="29"/>
  <c r="AU204" i="29"/>
  <c r="AV204" i="29"/>
  <c r="AW204" i="29"/>
  <c r="AX204" i="29"/>
  <c r="AO205" i="29"/>
  <c r="AP205" i="29"/>
  <c r="AQ205" i="29"/>
  <c r="AR205" i="29"/>
  <c r="AS205" i="29"/>
  <c r="AT205" i="29"/>
  <c r="AU205" i="29"/>
  <c r="AV205" i="29"/>
  <c r="AW205" i="29"/>
  <c r="AX205" i="29"/>
  <c r="AO206" i="29"/>
  <c r="AP206" i="29"/>
  <c r="AQ206" i="29"/>
  <c r="AR206" i="29"/>
  <c r="AS206" i="29"/>
  <c r="AT206" i="29"/>
  <c r="AU206" i="29"/>
  <c r="AV206" i="29"/>
  <c r="AW206" i="29"/>
  <c r="AX206" i="29"/>
  <c r="AO207" i="29"/>
  <c r="AP207" i="29"/>
  <c r="AQ207" i="29"/>
  <c r="AR207" i="29"/>
  <c r="AS207" i="29"/>
  <c r="AT207" i="29"/>
  <c r="AU207" i="29"/>
  <c r="AV207" i="29"/>
  <c r="AW207" i="29"/>
  <c r="AX207" i="29"/>
  <c r="AO208" i="29"/>
  <c r="AP208" i="29"/>
  <c r="AQ208" i="29"/>
  <c r="AR208" i="29"/>
  <c r="AS208" i="29"/>
  <c r="AT208" i="29"/>
  <c r="AU208" i="29"/>
  <c r="AV208" i="29"/>
  <c r="AW208" i="29"/>
  <c r="AX208" i="29"/>
  <c r="AO209" i="29"/>
  <c r="AP209" i="29"/>
  <c r="AQ209" i="29"/>
  <c r="AR209" i="29"/>
  <c r="AS209" i="29"/>
  <c r="AT209" i="29"/>
  <c r="AU209" i="29"/>
  <c r="AV209" i="29"/>
  <c r="AW209" i="29"/>
  <c r="AX209" i="29"/>
  <c r="AO210" i="29"/>
  <c r="AP210" i="29"/>
  <c r="AQ210" i="29"/>
  <c r="AR210" i="29"/>
  <c r="AS210" i="29"/>
  <c r="AT210" i="29"/>
  <c r="AU210" i="29"/>
  <c r="AV210" i="29"/>
  <c r="AW210" i="29"/>
  <c r="AX210" i="29"/>
  <c r="AO211" i="29"/>
  <c r="AP211" i="29"/>
  <c r="AQ211" i="29"/>
  <c r="AR211" i="29"/>
  <c r="AS211" i="29"/>
  <c r="AT211" i="29"/>
  <c r="AU211" i="29"/>
  <c r="AV211" i="29"/>
  <c r="AW211" i="29"/>
  <c r="AX211" i="29"/>
  <c r="AO212" i="29"/>
  <c r="AP212" i="29"/>
  <c r="AQ212" i="29"/>
  <c r="AR212" i="29"/>
  <c r="AS212" i="29"/>
  <c r="AT212" i="29"/>
  <c r="AU212" i="29"/>
  <c r="AV212" i="29"/>
  <c r="AW212" i="29"/>
  <c r="AX212" i="29"/>
  <c r="AO213" i="29"/>
  <c r="AP213" i="29"/>
  <c r="AQ213" i="29"/>
  <c r="AR213" i="29"/>
  <c r="AS213" i="29"/>
  <c r="AT213" i="29"/>
  <c r="AU213" i="29"/>
  <c r="AV213" i="29"/>
  <c r="AW213" i="29"/>
  <c r="AX213" i="29"/>
  <c r="AO214" i="29"/>
  <c r="AP214" i="29"/>
  <c r="AQ214" i="29"/>
  <c r="AR214" i="29"/>
  <c r="AS214" i="29"/>
  <c r="AT214" i="29"/>
  <c r="AU214" i="29"/>
  <c r="AV214" i="29"/>
  <c r="AW214" i="29"/>
  <c r="AX214" i="29"/>
  <c r="AO215" i="29"/>
  <c r="AP215" i="29"/>
  <c r="AQ215" i="29"/>
  <c r="AR215" i="29"/>
  <c r="AS215" i="29"/>
  <c r="AT215" i="29"/>
  <c r="AU215" i="29"/>
  <c r="AV215" i="29"/>
  <c r="AW215" i="29"/>
  <c r="AX215" i="29"/>
  <c r="AO216" i="29"/>
  <c r="AP216" i="29"/>
  <c r="AQ216" i="29"/>
  <c r="AR216" i="29"/>
  <c r="AS216" i="29"/>
  <c r="AT216" i="29"/>
  <c r="AU216" i="29"/>
  <c r="AV216" i="29"/>
  <c r="AW216" i="29"/>
  <c r="AX216" i="29"/>
  <c r="AO217" i="29"/>
  <c r="AP217" i="29"/>
  <c r="AQ217" i="29"/>
  <c r="AR217" i="29"/>
  <c r="AS217" i="29"/>
  <c r="AT217" i="29"/>
  <c r="AU217" i="29"/>
  <c r="AV217" i="29"/>
  <c r="AW217" i="29"/>
  <c r="AX217" i="29"/>
  <c r="AO218" i="29"/>
  <c r="AP218" i="29"/>
  <c r="AQ218" i="29"/>
  <c r="AR218" i="29"/>
  <c r="AS218" i="29"/>
  <c r="AT218" i="29"/>
  <c r="AU218" i="29"/>
  <c r="AV218" i="29"/>
  <c r="AW218" i="29"/>
  <c r="AX218" i="29"/>
  <c r="AO219" i="29"/>
  <c r="AP219" i="29"/>
  <c r="AQ219" i="29"/>
  <c r="AR219" i="29"/>
  <c r="AS219" i="29"/>
  <c r="AT219" i="29"/>
  <c r="AU219" i="29"/>
  <c r="AV219" i="29"/>
  <c r="AW219" i="29"/>
  <c r="AX219" i="29"/>
  <c r="AO220" i="29"/>
  <c r="AP220" i="29"/>
  <c r="AQ220" i="29"/>
  <c r="AR220" i="29"/>
  <c r="AS220" i="29"/>
  <c r="AT220" i="29"/>
  <c r="AU220" i="29"/>
  <c r="AV220" i="29"/>
  <c r="AW220" i="29"/>
  <c r="AX220" i="29"/>
  <c r="AO221" i="29"/>
  <c r="AP221" i="29"/>
  <c r="AQ221" i="29"/>
  <c r="AR221" i="29"/>
  <c r="AS221" i="29"/>
  <c r="AT221" i="29"/>
  <c r="AU221" i="29"/>
  <c r="AV221" i="29"/>
  <c r="AW221" i="29"/>
  <c r="AX221" i="29"/>
  <c r="AO222" i="29"/>
  <c r="AP222" i="29"/>
  <c r="AQ222" i="29"/>
  <c r="AR222" i="29"/>
  <c r="AS222" i="29"/>
  <c r="AT222" i="29"/>
  <c r="AU222" i="29"/>
  <c r="AV222" i="29"/>
  <c r="AW222" i="29"/>
  <c r="AX222" i="29"/>
  <c r="AO223" i="29"/>
  <c r="AP223" i="29"/>
  <c r="AQ223" i="29"/>
  <c r="AR223" i="29"/>
  <c r="AS223" i="29"/>
  <c r="AT223" i="29"/>
  <c r="AU223" i="29"/>
  <c r="AV223" i="29"/>
  <c r="AW223" i="29"/>
  <c r="AX223" i="29"/>
  <c r="AO224" i="29"/>
  <c r="AP224" i="29"/>
  <c r="AQ224" i="29"/>
  <c r="AR224" i="29"/>
  <c r="AS224" i="29"/>
  <c r="AT224" i="29"/>
  <c r="AU224" i="29"/>
  <c r="AV224" i="29"/>
  <c r="AW224" i="29"/>
  <c r="AX224" i="29"/>
  <c r="AO225" i="29"/>
  <c r="AP225" i="29"/>
  <c r="AQ225" i="29"/>
  <c r="AR225" i="29"/>
  <c r="AS225" i="29"/>
  <c r="AT225" i="29"/>
  <c r="AU225" i="29"/>
  <c r="AV225" i="29"/>
  <c r="AW225" i="29"/>
  <c r="AX225" i="29"/>
  <c r="AO226" i="29"/>
  <c r="AP226" i="29"/>
  <c r="AQ226" i="29"/>
  <c r="AR226" i="29"/>
  <c r="AS226" i="29"/>
  <c r="AT226" i="29"/>
  <c r="AU226" i="29"/>
  <c r="AV226" i="29"/>
  <c r="AW226" i="29"/>
  <c r="AX226" i="29"/>
  <c r="AO227" i="29"/>
  <c r="AP227" i="29"/>
  <c r="AQ227" i="29"/>
  <c r="AR227" i="29"/>
  <c r="AS227" i="29"/>
  <c r="AT227" i="29"/>
  <c r="AU227" i="29"/>
  <c r="AV227" i="29"/>
  <c r="AW227" i="29"/>
  <c r="AX227" i="29"/>
  <c r="AO228" i="29"/>
  <c r="AP228" i="29"/>
  <c r="AQ228" i="29"/>
  <c r="AR228" i="29"/>
  <c r="AS228" i="29"/>
  <c r="AT228" i="29"/>
  <c r="AU228" i="29"/>
  <c r="AV228" i="29"/>
  <c r="AW228" i="29"/>
  <c r="AX228" i="29"/>
  <c r="AO229" i="29"/>
  <c r="AP229" i="29"/>
  <c r="AQ229" i="29"/>
  <c r="AR229" i="29"/>
  <c r="AS229" i="29"/>
  <c r="AT229" i="29"/>
  <c r="AU229" i="29"/>
  <c r="AV229" i="29"/>
  <c r="AW229" i="29"/>
  <c r="AX229" i="29"/>
  <c r="AO230" i="29"/>
  <c r="AP230" i="29"/>
  <c r="AQ230" i="29"/>
  <c r="AR230" i="29"/>
  <c r="AS230" i="29"/>
  <c r="AT230" i="29"/>
  <c r="AU230" i="29"/>
  <c r="AV230" i="29"/>
  <c r="AW230" i="29"/>
  <c r="AX230" i="29"/>
  <c r="AO231" i="29"/>
  <c r="AP231" i="29"/>
  <c r="AQ231" i="29"/>
  <c r="AR231" i="29"/>
  <c r="AS231" i="29"/>
  <c r="AT231" i="29"/>
  <c r="AU231" i="29"/>
  <c r="AV231" i="29"/>
  <c r="AW231" i="29"/>
  <c r="AX231" i="29"/>
  <c r="AO232" i="29"/>
  <c r="AP232" i="29"/>
  <c r="AQ232" i="29"/>
  <c r="AR232" i="29"/>
  <c r="AS232" i="29"/>
  <c r="AT232" i="29"/>
  <c r="AU232" i="29"/>
  <c r="AV232" i="29"/>
  <c r="AW232" i="29"/>
  <c r="AX232" i="29"/>
  <c r="AO233" i="29"/>
  <c r="AP233" i="29"/>
  <c r="AQ233" i="29"/>
  <c r="AR233" i="29"/>
  <c r="AS233" i="29"/>
  <c r="AT233" i="29"/>
  <c r="AU233" i="29"/>
  <c r="AV233" i="29"/>
  <c r="AW233" i="29"/>
  <c r="AX233" i="29"/>
  <c r="AO234" i="29"/>
  <c r="AP234" i="29"/>
  <c r="AQ234" i="29"/>
  <c r="AR234" i="29"/>
  <c r="AS234" i="29"/>
  <c r="AT234" i="29"/>
  <c r="AU234" i="29"/>
  <c r="AV234" i="29"/>
  <c r="AW234" i="29"/>
  <c r="AX234" i="29"/>
  <c r="AO235" i="29"/>
  <c r="AP235" i="29"/>
  <c r="AQ235" i="29"/>
  <c r="AR235" i="29"/>
  <c r="AS235" i="29"/>
  <c r="AT235" i="29"/>
  <c r="AU235" i="29"/>
  <c r="AV235" i="29"/>
  <c r="AW235" i="29"/>
  <c r="AX235" i="29"/>
  <c r="AO236" i="29"/>
  <c r="AP236" i="29"/>
  <c r="AQ236" i="29"/>
  <c r="AR236" i="29"/>
  <c r="AS236" i="29"/>
  <c r="AT236" i="29"/>
  <c r="AU236" i="29"/>
  <c r="AV236" i="29"/>
  <c r="AW236" i="29"/>
  <c r="AX236" i="29"/>
  <c r="AO237" i="29"/>
  <c r="AP237" i="29"/>
  <c r="AQ237" i="29"/>
  <c r="AR237" i="29"/>
  <c r="AS237" i="29"/>
  <c r="AT237" i="29"/>
  <c r="AU237" i="29"/>
  <c r="AV237" i="29"/>
  <c r="AW237" i="29"/>
  <c r="AX237" i="29"/>
  <c r="AO238" i="29"/>
  <c r="AP238" i="29"/>
  <c r="AQ238" i="29"/>
  <c r="AR238" i="29"/>
  <c r="AS238" i="29"/>
  <c r="AT238" i="29"/>
  <c r="AU238" i="29"/>
  <c r="AV238" i="29"/>
  <c r="AW238" i="29"/>
  <c r="AX238" i="29"/>
  <c r="AO239" i="29"/>
  <c r="AP239" i="29"/>
  <c r="AQ239" i="29"/>
  <c r="AR239" i="29"/>
  <c r="AS239" i="29"/>
  <c r="AT239" i="29"/>
  <c r="AU239" i="29"/>
  <c r="AV239" i="29"/>
  <c r="AW239" i="29"/>
  <c r="AX239" i="29"/>
  <c r="AO240" i="29"/>
  <c r="AP240" i="29"/>
  <c r="AQ240" i="29"/>
  <c r="AR240" i="29"/>
  <c r="AS240" i="29"/>
  <c r="AT240" i="29"/>
  <c r="AU240" i="29"/>
  <c r="AV240" i="29"/>
  <c r="AW240" i="29"/>
  <c r="AX240" i="29"/>
  <c r="AO241" i="29"/>
  <c r="AP241" i="29"/>
  <c r="AQ241" i="29"/>
  <c r="AR241" i="29"/>
  <c r="AS241" i="29"/>
  <c r="AT241" i="29"/>
  <c r="AU241" i="29"/>
  <c r="AV241" i="29"/>
  <c r="AW241" i="29"/>
  <c r="AX241" i="29"/>
  <c r="AO242" i="29"/>
  <c r="AP242" i="29"/>
  <c r="AQ242" i="29"/>
  <c r="AR242" i="29"/>
  <c r="AS242" i="29"/>
  <c r="AT242" i="29"/>
  <c r="AU242" i="29"/>
  <c r="AV242" i="29"/>
  <c r="AW242" i="29"/>
  <c r="AX242" i="29"/>
  <c r="AO243" i="29"/>
  <c r="AP243" i="29"/>
  <c r="AQ243" i="29"/>
  <c r="AR243" i="29"/>
  <c r="AS243" i="29"/>
  <c r="AT243" i="29"/>
  <c r="AU243" i="29"/>
  <c r="AV243" i="29"/>
  <c r="AW243" i="29"/>
  <c r="AX243" i="29"/>
  <c r="AO244" i="29"/>
  <c r="AP244" i="29"/>
  <c r="AQ244" i="29"/>
  <c r="AR244" i="29"/>
  <c r="AS244" i="29"/>
  <c r="AT244" i="29"/>
  <c r="AU244" i="29"/>
  <c r="AV244" i="29"/>
  <c r="AW244" i="29"/>
  <c r="AX244" i="29"/>
  <c r="AO245" i="29"/>
  <c r="AP245" i="29"/>
  <c r="AQ245" i="29"/>
  <c r="AR245" i="29"/>
  <c r="AS245" i="29"/>
  <c r="AT245" i="29"/>
  <c r="AU245" i="29"/>
  <c r="AV245" i="29"/>
  <c r="AW245" i="29"/>
  <c r="AX245" i="29"/>
  <c r="AO246" i="29"/>
  <c r="AP246" i="29"/>
  <c r="AQ246" i="29"/>
  <c r="AR246" i="29"/>
  <c r="AS246" i="29"/>
  <c r="AT246" i="29"/>
  <c r="AU246" i="29"/>
  <c r="AV246" i="29"/>
  <c r="AW246" i="29"/>
  <c r="AX246" i="29"/>
  <c r="AO247" i="29"/>
  <c r="AP247" i="29"/>
  <c r="AQ247" i="29"/>
  <c r="AR247" i="29"/>
  <c r="AS247" i="29"/>
  <c r="AT247" i="29"/>
  <c r="AU247" i="29"/>
  <c r="AV247" i="29"/>
  <c r="AW247" i="29"/>
  <c r="AX247" i="29"/>
  <c r="AO248" i="29"/>
  <c r="AP248" i="29"/>
  <c r="AQ248" i="29"/>
  <c r="AR248" i="29"/>
  <c r="AS248" i="29"/>
  <c r="AT248" i="29"/>
  <c r="AU248" i="29"/>
  <c r="AV248" i="29"/>
  <c r="AW248" i="29"/>
  <c r="AX248" i="29"/>
  <c r="AO249" i="29"/>
  <c r="AP249" i="29"/>
  <c r="AQ249" i="29"/>
  <c r="AR249" i="29"/>
  <c r="AS249" i="29"/>
  <c r="AT249" i="29"/>
  <c r="AU249" i="29"/>
  <c r="AV249" i="29"/>
  <c r="AW249" i="29"/>
  <c r="AX249" i="29"/>
  <c r="AO250" i="29"/>
  <c r="AP250" i="29"/>
  <c r="AQ250" i="29"/>
  <c r="AR250" i="29"/>
  <c r="AS250" i="29"/>
  <c r="AT250" i="29"/>
  <c r="AU250" i="29"/>
  <c r="AV250" i="29"/>
  <c r="AW250" i="29"/>
  <c r="AX250" i="29"/>
  <c r="AO251" i="29"/>
  <c r="AP251" i="29"/>
  <c r="AQ251" i="29"/>
  <c r="AR251" i="29"/>
  <c r="AS251" i="29"/>
  <c r="AT251" i="29"/>
  <c r="AU251" i="29"/>
  <c r="AV251" i="29"/>
  <c r="AW251" i="29"/>
  <c r="AX251" i="29"/>
  <c r="AO252" i="29"/>
  <c r="AP252" i="29"/>
  <c r="AQ252" i="29"/>
  <c r="AR252" i="29"/>
  <c r="AS252" i="29"/>
  <c r="AT252" i="29"/>
  <c r="AU252" i="29"/>
  <c r="AV252" i="29"/>
  <c r="AW252" i="29"/>
  <c r="AX252" i="29"/>
  <c r="AO253" i="29"/>
  <c r="AP253" i="29"/>
  <c r="AQ253" i="29"/>
  <c r="AR253" i="29"/>
  <c r="AS253" i="29"/>
  <c r="AT253" i="29"/>
  <c r="AU253" i="29"/>
  <c r="AV253" i="29"/>
  <c r="AW253" i="29"/>
  <c r="AX253" i="29"/>
  <c r="AO254" i="29"/>
  <c r="AP254" i="29"/>
  <c r="AQ254" i="29"/>
  <c r="AR254" i="29"/>
  <c r="AS254" i="29"/>
  <c r="AT254" i="29"/>
  <c r="AU254" i="29"/>
  <c r="AV254" i="29"/>
  <c r="AW254" i="29"/>
  <c r="AX254" i="29"/>
  <c r="AO255" i="29"/>
  <c r="AP255" i="29"/>
  <c r="AQ255" i="29"/>
  <c r="AR255" i="29"/>
  <c r="AS255" i="29"/>
  <c r="AT255" i="29"/>
  <c r="AU255" i="29"/>
  <c r="AV255" i="29"/>
  <c r="AW255" i="29"/>
  <c r="AX255" i="29"/>
  <c r="AO256" i="29"/>
  <c r="AP256" i="29"/>
  <c r="AQ256" i="29"/>
  <c r="AR256" i="29"/>
  <c r="AS256" i="29"/>
  <c r="AT256" i="29"/>
  <c r="AU256" i="29"/>
  <c r="AV256" i="29"/>
  <c r="AW256" i="29"/>
  <c r="AX256" i="29"/>
  <c r="AO257" i="29"/>
  <c r="AP257" i="29"/>
  <c r="AQ257" i="29"/>
  <c r="AR257" i="29"/>
  <c r="AS257" i="29"/>
  <c r="AT257" i="29"/>
  <c r="AU257" i="29"/>
  <c r="AV257" i="29"/>
  <c r="AW257" i="29"/>
  <c r="AX257" i="29"/>
  <c r="AO258" i="29"/>
  <c r="AP258" i="29"/>
  <c r="AQ258" i="29"/>
  <c r="AR258" i="29"/>
  <c r="AS258" i="29"/>
  <c r="AT258" i="29"/>
  <c r="AU258" i="29"/>
  <c r="AV258" i="29"/>
  <c r="AW258" i="29"/>
  <c r="AX258" i="29"/>
  <c r="AO259" i="29"/>
  <c r="AP259" i="29"/>
  <c r="AQ259" i="29"/>
  <c r="AR259" i="29"/>
  <c r="AS259" i="29"/>
  <c r="AT259" i="29"/>
  <c r="AU259" i="29"/>
  <c r="AV259" i="29"/>
  <c r="AW259" i="29"/>
  <c r="AX259" i="29"/>
  <c r="AO260" i="29"/>
  <c r="AP260" i="29"/>
  <c r="AQ260" i="29"/>
  <c r="AR260" i="29"/>
  <c r="AS260" i="29"/>
  <c r="AT260" i="29"/>
  <c r="AU260" i="29"/>
  <c r="AV260" i="29"/>
  <c r="AW260" i="29"/>
  <c r="AX260" i="29"/>
  <c r="AO261" i="29"/>
  <c r="AP261" i="29"/>
  <c r="AQ261" i="29"/>
  <c r="AR261" i="29"/>
  <c r="AS261" i="29"/>
  <c r="AT261" i="29"/>
  <c r="AU261" i="29"/>
  <c r="AV261" i="29"/>
  <c r="AW261" i="29"/>
  <c r="AX261" i="29"/>
  <c r="AO262" i="29"/>
  <c r="AP262" i="29"/>
  <c r="AQ262" i="29"/>
  <c r="AR262" i="29"/>
  <c r="AS262" i="29"/>
  <c r="AT262" i="29"/>
  <c r="AU262" i="29"/>
  <c r="AV262" i="29"/>
  <c r="AW262" i="29"/>
  <c r="AX262" i="29"/>
  <c r="AO263" i="29"/>
  <c r="AP263" i="29"/>
  <c r="AQ263" i="29"/>
  <c r="AR263" i="29"/>
  <c r="AS263" i="29"/>
  <c r="AT263" i="29"/>
  <c r="AU263" i="29"/>
  <c r="AV263" i="29"/>
  <c r="AW263" i="29"/>
  <c r="AX263" i="29"/>
  <c r="AO264" i="29"/>
  <c r="AP264" i="29"/>
  <c r="AQ264" i="29"/>
  <c r="AR264" i="29"/>
  <c r="AS264" i="29"/>
  <c r="AT264" i="29"/>
  <c r="AU264" i="29"/>
  <c r="AV264" i="29"/>
  <c r="AW264" i="29"/>
  <c r="AX264" i="29"/>
  <c r="AO265" i="29"/>
  <c r="AP265" i="29"/>
  <c r="AQ265" i="29"/>
  <c r="AR265" i="29"/>
  <c r="AS265" i="29"/>
  <c r="AT265" i="29"/>
  <c r="AU265" i="29"/>
  <c r="AV265" i="29"/>
  <c r="AW265" i="29"/>
  <c r="AX265" i="29"/>
  <c r="AO266" i="29"/>
  <c r="AP266" i="29"/>
  <c r="AQ266" i="29"/>
  <c r="AR266" i="29"/>
  <c r="AS266" i="29"/>
  <c r="AT266" i="29"/>
  <c r="AU266" i="29"/>
  <c r="AV266" i="29"/>
  <c r="AW266" i="29"/>
  <c r="AX266" i="29"/>
  <c r="AO267" i="29"/>
  <c r="AP267" i="29"/>
  <c r="AQ267" i="29"/>
  <c r="AR267" i="29"/>
  <c r="AS267" i="29"/>
  <c r="AT267" i="29"/>
  <c r="AU267" i="29"/>
  <c r="AV267" i="29"/>
  <c r="AW267" i="29"/>
  <c r="AX267" i="29"/>
  <c r="AO268" i="29"/>
  <c r="AP268" i="29"/>
  <c r="AQ268" i="29"/>
  <c r="AR268" i="29"/>
  <c r="AS268" i="29"/>
  <c r="AT268" i="29"/>
  <c r="AU268" i="29"/>
  <c r="AV268" i="29"/>
  <c r="AW268" i="29"/>
  <c r="AX268" i="29"/>
  <c r="AO269" i="29"/>
  <c r="AP269" i="29"/>
  <c r="AQ269" i="29"/>
  <c r="AR269" i="29"/>
  <c r="AS269" i="29"/>
  <c r="AT269" i="29"/>
  <c r="AU269" i="29"/>
  <c r="AV269" i="29"/>
  <c r="AW269" i="29"/>
  <c r="AX269" i="29"/>
  <c r="AO270" i="29"/>
  <c r="AP270" i="29"/>
  <c r="AQ270" i="29"/>
  <c r="AR270" i="29"/>
  <c r="AS270" i="29"/>
  <c r="AT270" i="29"/>
  <c r="AU270" i="29"/>
  <c r="AV270" i="29"/>
  <c r="AW270" i="29"/>
  <c r="AX270" i="29"/>
  <c r="AO271" i="29"/>
  <c r="AP271" i="29"/>
  <c r="AQ271" i="29"/>
  <c r="AR271" i="29"/>
  <c r="AS271" i="29"/>
  <c r="AT271" i="29"/>
  <c r="AU271" i="29"/>
  <c r="AV271" i="29"/>
  <c r="AW271" i="29"/>
  <c r="AX271" i="29"/>
  <c r="AO272" i="29"/>
  <c r="AP272" i="29"/>
  <c r="AR272" i="29"/>
  <c r="AS272" i="29"/>
  <c r="AT272" i="29"/>
  <c r="AV272" i="29"/>
  <c r="AW272" i="29"/>
  <c r="AX272" i="29"/>
  <c r="AP273" i="29"/>
  <c r="AQ273" i="29"/>
  <c r="AR273" i="29"/>
  <c r="AT273" i="29"/>
  <c r="AU273" i="29"/>
  <c r="AV273" i="29"/>
  <c r="AW273" i="29"/>
  <c r="AX273" i="29"/>
  <c r="AO274" i="29"/>
  <c r="AP274" i="29"/>
  <c r="AR274" i="29"/>
  <c r="AS274" i="29"/>
  <c r="AT274" i="29"/>
  <c r="AV274" i="29"/>
  <c r="AW274" i="29"/>
  <c r="AX274" i="29"/>
  <c r="AP275" i="29"/>
  <c r="AQ275" i="29"/>
  <c r="AR275" i="29"/>
  <c r="AT275" i="29"/>
  <c r="AU275" i="29"/>
  <c r="AV275" i="29"/>
  <c r="AW275" i="29"/>
  <c r="AX275" i="29"/>
  <c r="AO276" i="29"/>
  <c r="AP276" i="29"/>
  <c r="AR276" i="29"/>
  <c r="AS276" i="29"/>
  <c r="AT276" i="29"/>
  <c r="AV276" i="29"/>
  <c r="AW276" i="29"/>
  <c r="AX276" i="29"/>
  <c r="AP277" i="29"/>
  <c r="AQ277" i="29"/>
  <c r="AR277" i="29"/>
  <c r="AT277" i="29"/>
  <c r="AU277" i="29"/>
  <c r="AV277" i="29"/>
  <c r="AW277" i="29"/>
  <c r="AX277" i="29"/>
  <c r="AO278" i="29"/>
  <c r="AP278" i="29"/>
  <c r="AR278" i="29"/>
  <c r="AS278" i="29"/>
  <c r="AT278" i="29"/>
  <c r="AV278" i="29"/>
  <c r="AW278" i="29"/>
  <c r="AX278" i="29"/>
  <c r="AP279" i="29"/>
  <c r="AQ279" i="29"/>
  <c r="AR279" i="29"/>
  <c r="AT279" i="29"/>
  <c r="AU279" i="29"/>
  <c r="AV279" i="29"/>
  <c r="AW279" i="29"/>
  <c r="AX279" i="29"/>
  <c r="AO280" i="29"/>
  <c r="AP280" i="29"/>
  <c r="AR280" i="29"/>
  <c r="AS280" i="29"/>
  <c r="AT280" i="29"/>
  <c r="AV280" i="29"/>
  <c r="AW280" i="29"/>
  <c r="AX280" i="29"/>
  <c r="AP281" i="29"/>
  <c r="AQ281" i="29"/>
  <c r="AR281" i="29"/>
  <c r="AT281" i="29"/>
  <c r="AU281" i="29"/>
  <c r="AV281" i="29"/>
  <c r="AW281" i="29"/>
  <c r="AX281" i="29"/>
  <c r="AO282" i="29"/>
  <c r="AP282" i="29"/>
  <c r="AR282" i="29"/>
  <c r="AS282" i="29"/>
  <c r="AT282" i="29"/>
  <c r="AV282" i="29"/>
  <c r="AW282" i="29"/>
  <c r="AX282" i="29"/>
  <c r="AP283" i="29"/>
  <c r="AQ283" i="29"/>
  <c r="AR283" i="29"/>
  <c r="AT283" i="29"/>
  <c r="AU283" i="29"/>
  <c r="AV283" i="29"/>
  <c r="AW283" i="29"/>
  <c r="AX283" i="29"/>
  <c r="AO284" i="29"/>
  <c r="AP284" i="29"/>
  <c r="AR284" i="29"/>
  <c r="AS284" i="29"/>
  <c r="AT284" i="29"/>
  <c r="AV284" i="29"/>
  <c r="AW284" i="29"/>
  <c r="AX284" i="29"/>
  <c r="AP285" i="29"/>
  <c r="AQ285" i="29"/>
  <c r="AR285" i="29"/>
  <c r="AT285" i="29"/>
  <c r="AU285" i="29"/>
  <c r="AV285" i="29"/>
  <c r="AW285" i="29"/>
  <c r="AX285" i="29"/>
  <c r="AO286" i="29"/>
  <c r="AP286" i="29"/>
  <c r="AR286" i="29"/>
  <c r="AS286" i="29"/>
  <c r="AT286" i="29"/>
  <c r="AV286" i="29"/>
  <c r="AW286" i="29"/>
  <c r="AX286" i="29"/>
  <c r="AP287" i="29"/>
  <c r="AQ287" i="29"/>
  <c r="AR287" i="29"/>
  <c r="AT287" i="29"/>
  <c r="AU287" i="29"/>
  <c r="AV287" i="29"/>
  <c r="AW287" i="29"/>
  <c r="AX287" i="29"/>
  <c r="AO288" i="29"/>
  <c r="AP288" i="29"/>
  <c r="AR288" i="29"/>
  <c r="AS288" i="29"/>
  <c r="AT288" i="29"/>
  <c r="AV288" i="29"/>
  <c r="AW288" i="29"/>
  <c r="AX288" i="29"/>
  <c r="AP289" i="29"/>
  <c r="AQ289" i="29"/>
  <c r="AR289" i="29"/>
  <c r="AT289" i="29"/>
  <c r="AU289" i="29"/>
  <c r="AV289" i="29"/>
  <c r="AW289" i="29"/>
  <c r="AX289" i="29"/>
  <c r="AO290" i="29"/>
  <c r="AP290" i="29"/>
  <c r="AR290" i="29"/>
  <c r="AS290" i="29"/>
  <c r="AT290" i="29"/>
  <c r="AV290" i="29"/>
  <c r="AW290" i="29"/>
  <c r="AX290" i="29"/>
  <c r="AP291" i="29"/>
  <c r="AQ291" i="29"/>
  <c r="AR291" i="29"/>
  <c r="AT291" i="29"/>
  <c r="AU291" i="29"/>
  <c r="AV291" i="29"/>
  <c r="AW291" i="29"/>
  <c r="AX291" i="29"/>
  <c r="AO292" i="29"/>
  <c r="AP292" i="29"/>
  <c r="AR292" i="29"/>
  <c r="AS292" i="29"/>
  <c r="AT292" i="29"/>
  <c r="AV292" i="29"/>
  <c r="AW292" i="29"/>
  <c r="AX292" i="29"/>
  <c r="AP293" i="29"/>
  <c r="AQ293" i="29"/>
  <c r="AR293" i="29"/>
  <c r="AT293" i="29"/>
  <c r="AU293" i="29"/>
  <c r="AV293" i="29"/>
  <c r="AW293" i="29"/>
  <c r="AX293" i="29"/>
  <c r="AO294" i="29"/>
  <c r="AP294" i="29"/>
  <c r="AR294" i="29"/>
  <c r="AS294" i="29"/>
  <c r="AT294" i="29"/>
  <c r="AU294" i="29"/>
  <c r="AV294" i="29"/>
  <c r="AW294" i="29"/>
  <c r="AX294" i="29"/>
  <c r="AO295" i="29"/>
  <c r="AP295" i="29"/>
  <c r="AQ295" i="29"/>
  <c r="AR295" i="29"/>
  <c r="AS295" i="29"/>
  <c r="AT295" i="29"/>
  <c r="AU295" i="29"/>
  <c r="AV295" i="29"/>
  <c r="AW295" i="29"/>
  <c r="AX295" i="29"/>
  <c r="AO296" i="29"/>
  <c r="AP296" i="29"/>
  <c r="AQ296" i="29"/>
  <c r="AR296" i="29"/>
  <c r="AS296" i="29"/>
  <c r="AT296" i="29"/>
  <c r="AU296" i="29"/>
  <c r="AV296" i="29"/>
  <c r="AW296" i="29"/>
  <c r="AX296" i="29"/>
  <c r="AO297" i="29"/>
  <c r="AP297" i="29"/>
  <c r="AQ297" i="29"/>
  <c r="AR297" i="29"/>
  <c r="AS297" i="29"/>
  <c r="AT297" i="29"/>
  <c r="AU297" i="29"/>
  <c r="AV297" i="29"/>
  <c r="AW297" i="29"/>
  <c r="AX297" i="29"/>
  <c r="AO298" i="29"/>
  <c r="AP298" i="29"/>
  <c r="AQ298" i="29"/>
  <c r="AR298" i="29"/>
  <c r="AS298" i="29"/>
  <c r="AT298" i="29"/>
  <c r="AU298" i="29"/>
  <c r="AV298" i="29"/>
  <c r="AW298" i="29"/>
  <c r="AX298" i="29"/>
  <c r="AO299" i="29"/>
  <c r="AP299" i="29"/>
  <c r="AQ299" i="29"/>
  <c r="AR299" i="29"/>
  <c r="AS299" i="29"/>
  <c r="AT299" i="29"/>
  <c r="AU299" i="29"/>
  <c r="AV299" i="29"/>
  <c r="AW299" i="29"/>
  <c r="AX299" i="29"/>
  <c r="AO300" i="29"/>
  <c r="AP300" i="29"/>
  <c r="AQ300" i="29"/>
  <c r="AR300" i="29"/>
  <c r="AS300" i="29"/>
  <c r="AT300" i="29"/>
  <c r="AU300" i="29"/>
  <c r="AV300" i="29"/>
  <c r="AW300" i="29"/>
  <c r="AX300" i="29"/>
  <c r="AO301" i="29"/>
  <c r="AP301" i="29"/>
  <c r="AQ301" i="29"/>
  <c r="AR301" i="29"/>
  <c r="AS301" i="29"/>
  <c r="AT301" i="29"/>
  <c r="AU301" i="29"/>
  <c r="AV301" i="29"/>
  <c r="AW301" i="29"/>
  <c r="AX301" i="29"/>
  <c r="AO302" i="29"/>
  <c r="AP302" i="29"/>
  <c r="AQ302" i="29"/>
  <c r="AR302" i="29"/>
  <c r="AS302" i="29"/>
  <c r="AT302" i="29"/>
  <c r="AU302" i="29"/>
  <c r="AV302" i="29"/>
  <c r="AW302" i="29"/>
  <c r="AX302" i="29"/>
  <c r="AO303" i="29"/>
  <c r="AP303" i="29"/>
  <c r="AQ303" i="29"/>
  <c r="AR303" i="29"/>
  <c r="AS303" i="29"/>
  <c r="AT303" i="29"/>
  <c r="AU303" i="29"/>
  <c r="AV303" i="29"/>
  <c r="AW303" i="29"/>
  <c r="AX303" i="29"/>
  <c r="AO304" i="29"/>
  <c r="AP304" i="29"/>
  <c r="AQ304" i="29"/>
  <c r="AR304" i="29"/>
  <c r="AS304" i="29"/>
  <c r="AT304" i="29"/>
  <c r="AU304" i="29"/>
  <c r="AV304" i="29"/>
  <c r="AW304" i="29"/>
  <c r="AX304" i="29"/>
  <c r="AO305" i="29"/>
  <c r="AP305" i="29"/>
  <c r="AQ305" i="29"/>
  <c r="AR305" i="29"/>
  <c r="AS305" i="29"/>
  <c r="AT305" i="29"/>
  <c r="AU305" i="29"/>
  <c r="AV305" i="29"/>
  <c r="AW305" i="29"/>
  <c r="AX305" i="29"/>
  <c r="AO306" i="29"/>
  <c r="AP306" i="29"/>
  <c r="AQ306" i="29"/>
  <c r="AR306" i="29"/>
  <c r="AS306" i="29"/>
  <c r="AT306" i="29"/>
  <c r="AU306" i="29"/>
  <c r="AV306" i="29"/>
  <c r="AW306" i="29"/>
  <c r="AX306" i="29"/>
  <c r="AO307" i="29"/>
  <c r="AP307" i="29"/>
  <c r="AQ307" i="29"/>
  <c r="AR307" i="29"/>
  <c r="AS307" i="29"/>
  <c r="AT307" i="29"/>
  <c r="AU307" i="29"/>
  <c r="AV307" i="29"/>
  <c r="AW307" i="29"/>
  <c r="AX307" i="29"/>
  <c r="AO308" i="29"/>
  <c r="AP308" i="29"/>
  <c r="AQ308" i="29"/>
  <c r="AR308" i="29"/>
  <c r="AS308" i="29"/>
  <c r="AT308" i="29"/>
  <c r="AU308" i="29"/>
  <c r="AV308" i="29"/>
  <c r="AW308" i="29"/>
  <c r="AX308" i="29"/>
  <c r="AO309" i="29"/>
  <c r="AP309" i="29"/>
  <c r="AQ309" i="29"/>
  <c r="AR309" i="29"/>
  <c r="AS309" i="29"/>
  <c r="AT309" i="29"/>
  <c r="AU309" i="29"/>
  <c r="AV309" i="29"/>
  <c r="AW309" i="29"/>
  <c r="AX309" i="29"/>
  <c r="AO310" i="29"/>
  <c r="AP310" i="29"/>
  <c r="AQ310" i="29"/>
  <c r="AR310" i="29"/>
  <c r="AS310" i="29"/>
  <c r="AT310" i="29"/>
  <c r="AU310" i="29"/>
  <c r="AV310" i="29"/>
  <c r="AW310" i="29"/>
  <c r="AX310" i="29"/>
  <c r="AO311" i="29"/>
  <c r="AP311" i="29"/>
  <c r="AQ311" i="29"/>
  <c r="AR311" i="29"/>
  <c r="AS311" i="29"/>
  <c r="AT311" i="29"/>
  <c r="AU311" i="29"/>
  <c r="AV311" i="29"/>
  <c r="AW311" i="29"/>
  <c r="AX311" i="29"/>
  <c r="AO312" i="29"/>
  <c r="AP312" i="29"/>
  <c r="AQ312" i="29"/>
  <c r="AR312" i="29"/>
  <c r="AS312" i="29"/>
  <c r="AT312" i="29"/>
  <c r="AU312" i="29"/>
  <c r="AV312" i="29"/>
  <c r="AW312" i="29"/>
  <c r="AX312" i="29"/>
  <c r="AO313" i="29"/>
  <c r="AP313" i="29"/>
  <c r="AQ313" i="29"/>
  <c r="AR313" i="29"/>
  <c r="AS313" i="29"/>
  <c r="AT313" i="29"/>
  <c r="AU313" i="29"/>
  <c r="AV313" i="29"/>
  <c r="AW313" i="29"/>
  <c r="AX313" i="29"/>
  <c r="AO314" i="29"/>
  <c r="AP314" i="29"/>
  <c r="AQ314" i="29"/>
  <c r="AR314" i="29"/>
  <c r="AS314" i="29"/>
  <c r="AT314" i="29"/>
  <c r="AU314" i="29"/>
  <c r="AV314" i="29"/>
  <c r="AW314" i="29"/>
  <c r="AX314" i="29"/>
  <c r="AO315" i="29"/>
  <c r="AP315" i="29"/>
  <c r="AQ315" i="29"/>
  <c r="AR315" i="29"/>
  <c r="AS315" i="29"/>
  <c r="AT315" i="29"/>
  <c r="AU315" i="29"/>
  <c r="AV315" i="29"/>
  <c r="AW315" i="29"/>
  <c r="AX315" i="29"/>
  <c r="AO316" i="29"/>
  <c r="AP316" i="29"/>
  <c r="AQ316" i="29"/>
  <c r="AR316" i="29"/>
  <c r="AS316" i="29"/>
  <c r="AT316" i="29"/>
  <c r="AU316" i="29"/>
  <c r="AV316" i="29"/>
  <c r="AW316" i="29"/>
  <c r="AX316" i="29"/>
  <c r="AO317" i="29"/>
  <c r="AP317" i="29"/>
  <c r="AQ317" i="29"/>
  <c r="AR317" i="29"/>
  <c r="AS317" i="29"/>
  <c r="AT317" i="29"/>
  <c r="AU317" i="29"/>
  <c r="AV317" i="29"/>
  <c r="AW317" i="29"/>
  <c r="AX317" i="29"/>
  <c r="AO318" i="29"/>
  <c r="AP318" i="29"/>
  <c r="AQ318" i="29"/>
  <c r="AR318" i="29"/>
  <c r="AS318" i="29"/>
  <c r="AT318" i="29"/>
  <c r="AU318" i="29"/>
  <c r="AV318" i="29"/>
  <c r="AW318" i="29"/>
  <c r="AX318" i="29"/>
  <c r="AO319" i="29"/>
  <c r="AP319" i="29"/>
  <c r="AQ319" i="29"/>
  <c r="AR319" i="29"/>
  <c r="AS319" i="29"/>
  <c r="AT319" i="29"/>
  <c r="AU319" i="29"/>
  <c r="AV319" i="29"/>
  <c r="AW319" i="29"/>
  <c r="AX319" i="29"/>
  <c r="AO320" i="29"/>
  <c r="AP320" i="29"/>
  <c r="AQ320" i="29"/>
  <c r="AR320" i="29"/>
  <c r="AS320" i="29"/>
  <c r="AT320" i="29"/>
  <c r="AU320" i="29"/>
  <c r="AV320" i="29"/>
  <c r="AW320" i="29"/>
  <c r="AX320" i="29"/>
  <c r="AO321" i="29"/>
  <c r="AP321" i="29"/>
  <c r="AQ321" i="29"/>
  <c r="AR321" i="29"/>
  <c r="AS321" i="29"/>
  <c r="AT321" i="29"/>
  <c r="AU321" i="29"/>
  <c r="AV321" i="29"/>
  <c r="AW321" i="29"/>
  <c r="AX321" i="29"/>
  <c r="AO322" i="29"/>
  <c r="AP322" i="29"/>
  <c r="AQ322" i="29"/>
  <c r="AR322" i="29"/>
  <c r="AS322" i="29"/>
  <c r="AT322" i="29"/>
  <c r="AU322" i="29"/>
  <c r="AV322" i="29"/>
  <c r="AW322" i="29"/>
  <c r="AX322" i="29"/>
  <c r="AO323" i="29"/>
  <c r="AP323" i="29"/>
  <c r="AQ323" i="29"/>
  <c r="AR323" i="29"/>
  <c r="AS323" i="29"/>
  <c r="AT323" i="29"/>
  <c r="AU323" i="29"/>
  <c r="AV323" i="29"/>
  <c r="AW323" i="29"/>
  <c r="AX323" i="29"/>
  <c r="AO324" i="29"/>
  <c r="AP324" i="29"/>
  <c r="AQ324" i="29"/>
  <c r="AR324" i="29"/>
  <c r="AS324" i="29"/>
  <c r="AT324" i="29"/>
  <c r="AU324" i="29"/>
  <c r="AV324" i="29"/>
  <c r="AW324" i="29"/>
  <c r="AX324" i="29"/>
  <c r="AO325" i="29"/>
  <c r="AP325" i="29"/>
  <c r="AQ325" i="29"/>
  <c r="AR325" i="29"/>
  <c r="AS325" i="29"/>
  <c r="AT325" i="29"/>
  <c r="AU325" i="29"/>
  <c r="AV325" i="29"/>
  <c r="AW325" i="29"/>
  <c r="AX325" i="29"/>
  <c r="AO326" i="29"/>
  <c r="AP326" i="29"/>
  <c r="AQ326" i="29"/>
  <c r="AR326" i="29"/>
  <c r="AS326" i="29"/>
  <c r="AT326" i="29"/>
  <c r="AU326" i="29"/>
  <c r="AV326" i="29"/>
  <c r="AW326" i="29"/>
  <c r="AX326" i="29"/>
  <c r="AO327" i="29"/>
  <c r="AP327" i="29"/>
  <c r="AQ327" i="29"/>
  <c r="AR327" i="29"/>
  <c r="AS327" i="29"/>
  <c r="AT327" i="29"/>
  <c r="AU327" i="29"/>
  <c r="AV327" i="29"/>
  <c r="AW327" i="29"/>
  <c r="AX327" i="29"/>
  <c r="AO328" i="29"/>
  <c r="AP328" i="29"/>
  <c r="AQ328" i="29"/>
  <c r="AR328" i="29"/>
  <c r="AS328" i="29"/>
  <c r="AT328" i="29"/>
  <c r="AU328" i="29"/>
  <c r="AV328" i="29"/>
  <c r="AW328" i="29"/>
  <c r="AX328" i="29"/>
  <c r="AO329" i="29"/>
  <c r="AP329" i="29"/>
  <c r="AQ329" i="29"/>
  <c r="AR329" i="29"/>
  <c r="AS329" i="29"/>
  <c r="AT329" i="29"/>
  <c r="AU329" i="29"/>
  <c r="AV329" i="29"/>
  <c r="AW329" i="29"/>
  <c r="AX329" i="29"/>
  <c r="AO330" i="29"/>
  <c r="AP330" i="29"/>
  <c r="AQ330" i="29"/>
  <c r="AR330" i="29"/>
  <c r="AS330" i="29"/>
  <c r="AT330" i="29"/>
  <c r="AU330" i="29"/>
  <c r="AV330" i="29"/>
  <c r="AW330" i="29"/>
  <c r="AX330" i="29"/>
  <c r="AO331" i="29"/>
  <c r="AP331" i="29"/>
  <c r="AQ331" i="29"/>
  <c r="AR331" i="29"/>
  <c r="AS331" i="29"/>
  <c r="AT331" i="29"/>
  <c r="AU331" i="29"/>
  <c r="AV331" i="29"/>
  <c r="AW331" i="29"/>
  <c r="AX331" i="29"/>
  <c r="AO332" i="29"/>
  <c r="AP332" i="29"/>
  <c r="AQ332" i="29"/>
  <c r="AR332" i="29"/>
  <c r="AS332" i="29"/>
  <c r="AT332" i="29"/>
  <c r="AU332" i="29"/>
  <c r="AV332" i="29"/>
  <c r="AW332" i="29"/>
  <c r="AX332" i="29"/>
  <c r="AO333" i="29"/>
  <c r="AP333" i="29"/>
  <c r="AQ333" i="29"/>
  <c r="AR333" i="29"/>
  <c r="AS333" i="29"/>
  <c r="AT333" i="29"/>
  <c r="AU333" i="29"/>
  <c r="AV333" i="29"/>
  <c r="AW333" i="29"/>
  <c r="AX333" i="29"/>
  <c r="AO334" i="29"/>
  <c r="AP334" i="29"/>
  <c r="AQ334" i="29"/>
  <c r="AR334" i="29"/>
  <c r="AS334" i="29"/>
  <c r="AT334" i="29"/>
  <c r="AU334" i="29"/>
  <c r="AV334" i="29"/>
  <c r="AW334" i="29"/>
  <c r="AX334" i="29"/>
  <c r="AO335" i="29"/>
  <c r="AP335" i="29"/>
  <c r="AQ335" i="29"/>
  <c r="AR335" i="29"/>
  <c r="AS335" i="29"/>
  <c r="AT335" i="29"/>
  <c r="AU335" i="29"/>
  <c r="AV335" i="29"/>
  <c r="AW335" i="29"/>
  <c r="AX335" i="29"/>
  <c r="AO336" i="29"/>
  <c r="AP336" i="29"/>
  <c r="AQ336" i="29"/>
  <c r="AR336" i="29"/>
  <c r="AS336" i="29"/>
  <c r="AT336" i="29"/>
  <c r="AU336" i="29"/>
  <c r="AV336" i="29"/>
  <c r="AW336" i="29"/>
  <c r="AX336" i="29"/>
  <c r="AO337" i="29"/>
  <c r="AP337" i="29"/>
  <c r="AQ337" i="29"/>
  <c r="AR337" i="29"/>
  <c r="AS337" i="29"/>
  <c r="AT337" i="29"/>
  <c r="AU337" i="29"/>
  <c r="AV337" i="29"/>
  <c r="AW337" i="29"/>
  <c r="AX337" i="29"/>
  <c r="AO338" i="29"/>
  <c r="AP338" i="29"/>
  <c r="AQ338" i="29"/>
  <c r="AR338" i="29"/>
  <c r="AS338" i="29"/>
  <c r="AT338" i="29"/>
  <c r="AU338" i="29"/>
  <c r="AV338" i="29"/>
  <c r="AW338" i="29"/>
  <c r="AX338" i="29"/>
  <c r="AO339" i="29"/>
  <c r="AP339" i="29"/>
  <c r="AQ339" i="29"/>
  <c r="AR339" i="29"/>
  <c r="AS339" i="29"/>
  <c r="AT339" i="29"/>
  <c r="AU339" i="29"/>
  <c r="AV339" i="29"/>
  <c r="AW339" i="29"/>
  <c r="AX339" i="29"/>
  <c r="AO340" i="29"/>
  <c r="AP340" i="29"/>
  <c r="AQ340" i="29"/>
  <c r="AR340" i="29"/>
  <c r="AS340" i="29"/>
  <c r="AT340" i="29"/>
  <c r="AU340" i="29"/>
  <c r="AV340" i="29"/>
  <c r="AW340" i="29"/>
  <c r="AX340" i="29"/>
  <c r="AO341" i="29"/>
  <c r="AP341" i="29"/>
  <c r="AQ341" i="29"/>
  <c r="AR341" i="29"/>
  <c r="AS341" i="29"/>
  <c r="AT341" i="29"/>
  <c r="AU341" i="29"/>
  <c r="AV341" i="29"/>
  <c r="AW341" i="29"/>
  <c r="AX341" i="29"/>
  <c r="AO342" i="29"/>
  <c r="AP342" i="29"/>
  <c r="AQ342" i="29"/>
  <c r="AR342" i="29"/>
  <c r="AS342" i="29"/>
  <c r="AT342" i="29"/>
  <c r="AU342" i="29"/>
  <c r="AV342" i="29"/>
  <c r="AW342" i="29"/>
  <c r="AX342" i="29"/>
  <c r="AO343" i="29"/>
  <c r="AP343" i="29"/>
  <c r="AQ343" i="29"/>
  <c r="AR343" i="29"/>
  <c r="AS343" i="29"/>
  <c r="AT343" i="29"/>
  <c r="AU343" i="29"/>
  <c r="AV343" i="29"/>
  <c r="AW343" i="29"/>
  <c r="AX343" i="29"/>
  <c r="AO344" i="29"/>
  <c r="AP344" i="29"/>
  <c r="AQ344" i="29"/>
  <c r="AR344" i="29"/>
  <c r="AS344" i="29"/>
  <c r="AT344" i="29"/>
  <c r="AU344" i="29"/>
  <c r="AV344" i="29"/>
  <c r="AW344" i="29"/>
  <c r="AX344" i="29"/>
  <c r="AO345" i="29"/>
  <c r="AP345" i="29"/>
  <c r="AQ345" i="29"/>
  <c r="AR345" i="29"/>
  <c r="AS345" i="29"/>
  <c r="AT345" i="29"/>
  <c r="AU345" i="29"/>
  <c r="AV345" i="29"/>
  <c r="AW345" i="29"/>
  <c r="AX345" i="29"/>
  <c r="AO346" i="29"/>
  <c r="AP346" i="29"/>
  <c r="AQ346" i="29"/>
  <c r="AR346" i="29"/>
  <c r="AS346" i="29"/>
  <c r="AT346" i="29"/>
  <c r="AU346" i="29"/>
  <c r="AV346" i="29"/>
  <c r="AW346" i="29"/>
  <c r="AX346" i="29"/>
  <c r="AO347" i="29"/>
  <c r="AP347" i="29"/>
  <c r="AQ347" i="29"/>
  <c r="AR347" i="29"/>
  <c r="AS347" i="29"/>
  <c r="AT347" i="29"/>
  <c r="AU347" i="29"/>
  <c r="AV347" i="29"/>
  <c r="AW347" i="29"/>
  <c r="AX347" i="29"/>
  <c r="AO348" i="29"/>
  <c r="AP348" i="29"/>
  <c r="AQ348" i="29"/>
  <c r="AR348" i="29"/>
  <c r="AS348" i="29"/>
  <c r="AT348" i="29"/>
  <c r="AU348" i="29"/>
  <c r="AV348" i="29"/>
  <c r="AW348" i="29"/>
  <c r="AX348" i="29"/>
  <c r="AO349" i="29"/>
  <c r="AP349" i="29"/>
  <c r="AQ349" i="29"/>
  <c r="AR349" i="29"/>
  <c r="AS349" i="29"/>
  <c r="AT349" i="29"/>
  <c r="AU349" i="29"/>
  <c r="AV349" i="29"/>
  <c r="AW349" i="29"/>
  <c r="AX349" i="29"/>
  <c r="AO350" i="29"/>
  <c r="AP350" i="29"/>
  <c r="AQ350" i="29"/>
  <c r="AR350" i="29"/>
  <c r="AS350" i="29"/>
  <c r="AT350" i="29"/>
  <c r="AU350" i="29"/>
  <c r="AV350" i="29"/>
  <c r="AW350" i="29"/>
  <c r="AX350" i="29"/>
  <c r="AO351" i="29"/>
  <c r="AP351" i="29"/>
  <c r="AQ351" i="29"/>
  <c r="AR351" i="29"/>
  <c r="AS351" i="29"/>
  <c r="AT351" i="29"/>
  <c r="AU351" i="29"/>
  <c r="AV351" i="29"/>
  <c r="AW351" i="29"/>
  <c r="AX351" i="29"/>
  <c r="AO352" i="29"/>
  <c r="AP352" i="29"/>
  <c r="AQ352" i="29"/>
  <c r="AR352" i="29"/>
  <c r="AS352" i="29"/>
  <c r="AT352" i="29"/>
  <c r="AU352" i="29"/>
  <c r="AV352" i="29"/>
  <c r="AW352" i="29"/>
  <c r="AX352" i="29"/>
  <c r="AO353" i="29"/>
  <c r="AP353" i="29"/>
  <c r="AQ353" i="29"/>
  <c r="AR353" i="29"/>
  <c r="AS353" i="29"/>
  <c r="AT353" i="29"/>
  <c r="AU353" i="29"/>
  <c r="AV353" i="29"/>
  <c r="AW353" i="29"/>
  <c r="AX353" i="29"/>
  <c r="AO354" i="29"/>
  <c r="AP354" i="29"/>
  <c r="AQ354" i="29"/>
  <c r="AR354" i="29"/>
  <c r="AS354" i="29"/>
  <c r="AT354" i="29"/>
  <c r="AU354" i="29"/>
  <c r="AV354" i="29"/>
  <c r="AW354" i="29"/>
  <c r="AX354" i="29"/>
  <c r="AO355" i="29"/>
  <c r="AP355" i="29"/>
  <c r="AQ355" i="29"/>
  <c r="AR355" i="29"/>
  <c r="AS355" i="29"/>
  <c r="AT355" i="29"/>
  <c r="AU355" i="29"/>
  <c r="AV355" i="29"/>
  <c r="AW355" i="29"/>
  <c r="AX355" i="29"/>
  <c r="AO356" i="29"/>
  <c r="AP356" i="29"/>
  <c r="AQ356" i="29"/>
  <c r="AR356" i="29"/>
  <c r="AS356" i="29"/>
  <c r="AT356" i="29"/>
  <c r="AU356" i="29"/>
  <c r="AV356" i="29"/>
  <c r="AW356" i="29"/>
  <c r="AX356" i="29"/>
  <c r="AO357" i="29"/>
  <c r="AP357" i="29"/>
  <c r="AQ357" i="29"/>
  <c r="AR357" i="29"/>
  <c r="AS357" i="29"/>
  <c r="AT357" i="29"/>
  <c r="AU357" i="29"/>
  <c r="AV357" i="29"/>
  <c r="AW357" i="29"/>
  <c r="AX357" i="29"/>
  <c r="AO358" i="29"/>
  <c r="AP358" i="29"/>
  <c r="AQ358" i="29"/>
  <c r="AR358" i="29"/>
  <c r="AS358" i="29"/>
  <c r="AT358" i="29"/>
  <c r="AU358" i="29"/>
  <c r="AV358" i="29"/>
  <c r="AW358" i="29"/>
  <c r="AX358" i="29"/>
  <c r="AO359" i="29"/>
  <c r="AP359" i="29"/>
  <c r="AQ359" i="29"/>
  <c r="AR359" i="29"/>
  <c r="AS359" i="29"/>
  <c r="AT359" i="29"/>
  <c r="AU359" i="29"/>
  <c r="AV359" i="29"/>
  <c r="AW359" i="29"/>
  <c r="AX359" i="29"/>
  <c r="AO360" i="29"/>
  <c r="AP360" i="29"/>
  <c r="AQ360" i="29"/>
  <c r="AR360" i="29"/>
  <c r="AS360" i="29"/>
  <c r="AT360" i="29"/>
  <c r="AU360" i="29"/>
  <c r="AV360" i="29"/>
  <c r="AW360" i="29"/>
  <c r="AX360" i="29"/>
  <c r="AO361" i="29"/>
  <c r="AP361" i="29"/>
  <c r="AQ361" i="29"/>
  <c r="AR361" i="29"/>
  <c r="AS361" i="29"/>
  <c r="AT361" i="29"/>
  <c r="AU361" i="29"/>
  <c r="AV361" i="29"/>
  <c r="AW361" i="29"/>
  <c r="AX361" i="29"/>
  <c r="AO362" i="29"/>
  <c r="AP362" i="29"/>
  <c r="AQ362" i="29"/>
  <c r="AR362" i="29"/>
  <c r="AS362" i="29"/>
  <c r="AT362" i="29"/>
  <c r="AU362" i="29"/>
  <c r="AV362" i="29"/>
  <c r="AW362" i="29"/>
  <c r="AX362" i="29"/>
  <c r="AO363" i="29"/>
  <c r="AP363" i="29"/>
  <c r="AQ363" i="29"/>
  <c r="AR363" i="29"/>
  <c r="AS363" i="29"/>
  <c r="AT363" i="29"/>
  <c r="AU363" i="29"/>
  <c r="AV363" i="29"/>
  <c r="AW363" i="29"/>
  <c r="AX363" i="29"/>
  <c r="AO364" i="29"/>
  <c r="AP364" i="29"/>
  <c r="AQ364" i="29"/>
  <c r="AR364" i="29"/>
  <c r="AS364" i="29"/>
  <c r="AT364" i="29"/>
  <c r="AU364" i="29"/>
  <c r="AV364" i="29"/>
  <c r="AW364" i="29"/>
  <c r="AX364" i="29"/>
  <c r="AO365" i="29"/>
  <c r="AP365" i="29"/>
  <c r="AQ365" i="29"/>
  <c r="AR365" i="29"/>
  <c r="AS365" i="29"/>
  <c r="AT365" i="29"/>
  <c r="AU365" i="29"/>
  <c r="AV365" i="29"/>
  <c r="AW365" i="29"/>
  <c r="AX365" i="29"/>
  <c r="AO366" i="29"/>
  <c r="AP366" i="29"/>
  <c r="AQ366" i="29"/>
  <c r="AR366" i="29"/>
  <c r="AS366" i="29"/>
  <c r="AT366" i="29"/>
  <c r="AU366" i="29"/>
  <c r="AV366" i="29"/>
  <c r="AW366" i="29"/>
  <c r="AX366" i="29"/>
  <c r="AO367" i="29"/>
  <c r="AP367" i="29"/>
  <c r="AQ367" i="29"/>
  <c r="AR367" i="29"/>
  <c r="AS367" i="29"/>
  <c r="AT367" i="29"/>
  <c r="AU367" i="29"/>
  <c r="AV367" i="29"/>
  <c r="AW367" i="29"/>
  <c r="AX367" i="29"/>
  <c r="AO368" i="29"/>
  <c r="AP368" i="29"/>
  <c r="AQ368" i="29"/>
  <c r="AR368" i="29"/>
  <c r="AS368" i="29"/>
  <c r="AT368" i="29"/>
  <c r="AU368" i="29"/>
  <c r="AV368" i="29"/>
  <c r="AW368" i="29"/>
  <c r="AX368" i="29"/>
  <c r="AP3" i="29"/>
  <c r="AQ3" i="29"/>
  <c r="AR3" i="29"/>
  <c r="AT3" i="29"/>
  <c r="AU3" i="29"/>
  <c r="AV3" i="29"/>
  <c r="AX3" i="29"/>
  <c r="AO3" i="29"/>
  <c r="CV368" i="29" l="1"/>
  <c r="CU368" i="29"/>
  <c r="CT368" i="29"/>
  <c r="CS368" i="29"/>
  <c r="CR368" i="29"/>
  <c r="CQ368" i="29"/>
  <c r="CP368" i="29"/>
  <c r="CO368" i="29"/>
  <c r="CN368" i="29"/>
  <c r="CM368" i="29"/>
  <c r="CV367" i="29"/>
  <c r="CU367" i="29"/>
  <c r="CT367" i="29"/>
  <c r="CS367" i="29"/>
  <c r="CR367" i="29"/>
  <c r="CQ367" i="29"/>
  <c r="CP367" i="29"/>
  <c r="CO367" i="29"/>
  <c r="CN367" i="29"/>
  <c r="CM367" i="29"/>
  <c r="CV366" i="29"/>
  <c r="CU366" i="29"/>
  <c r="CT366" i="29"/>
  <c r="CS366" i="29"/>
  <c r="CR366" i="29"/>
  <c r="CQ366" i="29"/>
  <c r="CP366" i="29"/>
  <c r="CO366" i="29"/>
  <c r="CN366" i="29"/>
  <c r="CM366" i="29"/>
  <c r="CV365" i="29"/>
  <c r="CU365" i="29"/>
  <c r="CT365" i="29"/>
  <c r="CS365" i="29"/>
  <c r="CR365" i="29"/>
  <c r="CQ365" i="29"/>
  <c r="CP365" i="29"/>
  <c r="CO365" i="29"/>
  <c r="CN365" i="29"/>
  <c r="CM365" i="29"/>
  <c r="CV364" i="29"/>
  <c r="CU364" i="29"/>
  <c r="CT364" i="29"/>
  <c r="CS364" i="29"/>
  <c r="CR364" i="29"/>
  <c r="CQ364" i="29"/>
  <c r="CP364" i="29"/>
  <c r="CO364" i="29"/>
  <c r="CN364" i="29"/>
  <c r="CM364" i="29"/>
  <c r="CV363" i="29"/>
  <c r="CU363" i="29"/>
  <c r="CT363" i="29"/>
  <c r="CS363" i="29"/>
  <c r="CR363" i="29"/>
  <c r="CQ363" i="29"/>
  <c r="CP363" i="29"/>
  <c r="CO363" i="29"/>
  <c r="CN363" i="29"/>
  <c r="CM363" i="29"/>
  <c r="CV362" i="29"/>
  <c r="CU362" i="29"/>
  <c r="CT362" i="29"/>
  <c r="CS362" i="29"/>
  <c r="CR362" i="29"/>
  <c r="CQ362" i="29"/>
  <c r="CP362" i="29"/>
  <c r="CO362" i="29"/>
  <c r="CN362" i="29"/>
  <c r="CM362" i="29"/>
  <c r="CV361" i="29"/>
  <c r="CU361" i="29"/>
  <c r="CT361" i="29"/>
  <c r="CS361" i="29"/>
  <c r="CR361" i="29"/>
  <c r="CQ361" i="29"/>
  <c r="CP361" i="29"/>
  <c r="CO361" i="29"/>
  <c r="CN361" i="29"/>
  <c r="CM361" i="29"/>
  <c r="CV360" i="29"/>
  <c r="CU360" i="29"/>
  <c r="CT360" i="29"/>
  <c r="CS360" i="29"/>
  <c r="CR360" i="29"/>
  <c r="CQ360" i="29"/>
  <c r="CP360" i="29"/>
  <c r="CO360" i="29"/>
  <c r="CN360" i="29"/>
  <c r="CM360" i="29"/>
  <c r="CV359" i="29"/>
  <c r="CU359" i="29"/>
  <c r="CT359" i="29"/>
  <c r="CS359" i="29"/>
  <c r="CR359" i="29"/>
  <c r="CQ359" i="29"/>
  <c r="CP359" i="29"/>
  <c r="CO359" i="29"/>
  <c r="CN359" i="29"/>
  <c r="CM359" i="29"/>
  <c r="CV358" i="29"/>
  <c r="CU358" i="29"/>
  <c r="CT358" i="29"/>
  <c r="CS358" i="29"/>
  <c r="CR358" i="29"/>
  <c r="CQ358" i="29"/>
  <c r="CP358" i="29"/>
  <c r="CO358" i="29"/>
  <c r="CN358" i="29"/>
  <c r="CM358" i="29"/>
  <c r="CV357" i="29"/>
  <c r="CU357" i="29"/>
  <c r="CT357" i="29"/>
  <c r="CS357" i="29"/>
  <c r="CR357" i="29"/>
  <c r="CQ357" i="29"/>
  <c r="CP357" i="29"/>
  <c r="CO357" i="29"/>
  <c r="CN357" i="29"/>
  <c r="CM357" i="29"/>
  <c r="CV356" i="29"/>
  <c r="CU356" i="29"/>
  <c r="CT356" i="29"/>
  <c r="CS356" i="29"/>
  <c r="CR356" i="29"/>
  <c r="CQ356" i="29"/>
  <c r="CP356" i="29"/>
  <c r="CO356" i="29"/>
  <c r="CN356" i="29"/>
  <c r="CM356" i="29"/>
  <c r="CV355" i="29"/>
  <c r="CU355" i="29"/>
  <c r="CT355" i="29"/>
  <c r="CS355" i="29"/>
  <c r="CR355" i="29"/>
  <c r="CQ355" i="29"/>
  <c r="CP355" i="29"/>
  <c r="CO355" i="29"/>
  <c r="CN355" i="29"/>
  <c r="CM355" i="29"/>
  <c r="CV354" i="29"/>
  <c r="CU354" i="29"/>
  <c r="CT354" i="29"/>
  <c r="CS354" i="29"/>
  <c r="CR354" i="29"/>
  <c r="CQ354" i="29"/>
  <c r="CP354" i="29"/>
  <c r="CO354" i="29"/>
  <c r="CN354" i="29"/>
  <c r="CM354" i="29"/>
  <c r="CV353" i="29"/>
  <c r="CU353" i="29"/>
  <c r="CT353" i="29"/>
  <c r="CS353" i="29"/>
  <c r="CR353" i="29"/>
  <c r="CQ353" i="29"/>
  <c r="CP353" i="29"/>
  <c r="CO353" i="29"/>
  <c r="CN353" i="29"/>
  <c r="CM353" i="29"/>
  <c r="CV352" i="29"/>
  <c r="CU352" i="29"/>
  <c r="CT352" i="29"/>
  <c r="CS352" i="29"/>
  <c r="CR352" i="29"/>
  <c r="CQ352" i="29"/>
  <c r="CP352" i="29"/>
  <c r="CO352" i="29"/>
  <c r="CN352" i="29"/>
  <c r="CM352" i="29"/>
  <c r="CV351" i="29"/>
  <c r="CU351" i="29"/>
  <c r="CT351" i="29"/>
  <c r="CS351" i="29"/>
  <c r="CR351" i="29"/>
  <c r="CQ351" i="29"/>
  <c r="CP351" i="29"/>
  <c r="CO351" i="29"/>
  <c r="CN351" i="29"/>
  <c r="CM351" i="29"/>
  <c r="CV350" i="29"/>
  <c r="CU350" i="29"/>
  <c r="CT350" i="29"/>
  <c r="CS350" i="29"/>
  <c r="CR350" i="29"/>
  <c r="CQ350" i="29"/>
  <c r="CP350" i="29"/>
  <c r="CO350" i="29"/>
  <c r="CN350" i="29"/>
  <c r="CM350" i="29"/>
  <c r="CV349" i="29"/>
  <c r="CU349" i="29"/>
  <c r="CT349" i="29"/>
  <c r="CS349" i="29"/>
  <c r="CR349" i="29"/>
  <c r="CQ349" i="29"/>
  <c r="CP349" i="29"/>
  <c r="CO349" i="29"/>
  <c r="CN349" i="29"/>
  <c r="CM349" i="29"/>
  <c r="CV348" i="29"/>
  <c r="CU348" i="29"/>
  <c r="CT348" i="29"/>
  <c r="CS348" i="29"/>
  <c r="CR348" i="29"/>
  <c r="CQ348" i="29"/>
  <c r="CP348" i="29"/>
  <c r="CO348" i="29"/>
  <c r="CN348" i="29"/>
  <c r="CM348" i="29"/>
  <c r="CV347" i="29"/>
  <c r="CU347" i="29"/>
  <c r="CT347" i="29"/>
  <c r="CS347" i="29"/>
  <c r="CR347" i="29"/>
  <c r="CQ347" i="29"/>
  <c r="CP347" i="29"/>
  <c r="CO347" i="29"/>
  <c r="CN347" i="29"/>
  <c r="CM347" i="29"/>
  <c r="CV346" i="29"/>
  <c r="CU346" i="29"/>
  <c r="CT346" i="29"/>
  <c r="CS346" i="29"/>
  <c r="CR346" i="29"/>
  <c r="CQ346" i="29"/>
  <c r="CP346" i="29"/>
  <c r="CO346" i="29"/>
  <c r="CN346" i="29"/>
  <c r="CM346" i="29"/>
  <c r="CV345" i="29"/>
  <c r="CU345" i="29"/>
  <c r="CT345" i="29"/>
  <c r="CS345" i="29"/>
  <c r="CR345" i="29"/>
  <c r="CQ345" i="29"/>
  <c r="CP345" i="29"/>
  <c r="CO345" i="29"/>
  <c r="CN345" i="29"/>
  <c r="CM345" i="29"/>
  <c r="CV344" i="29"/>
  <c r="CU344" i="29"/>
  <c r="CT344" i="29"/>
  <c r="CS344" i="29"/>
  <c r="CR344" i="29"/>
  <c r="CQ344" i="29"/>
  <c r="CP344" i="29"/>
  <c r="CO344" i="29"/>
  <c r="CN344" i="29"/>
  <c r="CM344" i="29"/>
  <c r="CV343" i="29"/>
  <c r="CU343" i="29"/>
  <c r="CT343" i="29"/>
  <c r="CS343" i="29"/>
  <c r="CR343" i="29"/>
  <c r="CQ343" i="29"/>
  <c r="CP343" i="29"/>
  <c r="CO343" i="29"/>
  <c r="CN343" i="29"/>
  <c r="CM343" i="29"/>
  <c r="CV342" i="29"/>
  <c r="CU342" i="29"/>
  <c r="CT342" i="29"/>
  <c r="CS342" i="29"/>
  <c r="CR342" i="29"/>
  <c r="CQ342" i="29"/>
  <c r="CP342" i="29"/>
  <c r="CO342" i="29"/>
  <c r="CN342" i="29"/>
  <c r="CM342" i="29"/>
  <c r="CV341" i="29"/>
  <c r="CU341" i="29"/>
  <c r="CT341" i="29"/>
  <c r="CS341" i="29"/>
  <c r="CR341" i="29"/>
  <c r="CQ341" i="29"/>
  <c r="CP341" i="29"/>
  <c r="CO341" i="29"/>
  <c r="CN341" i="29"/>
  <c r="CM341" i="29"/>
  <c r="CV340" i="29"/>
  <c r="CU340" i="29"/>
  <c r="CT340" i="29"/>
  <c r="CS340" i="29"/>
  <c r="CR340" i="29"/>
  <c r="CQ340" i="29"/>
  <c r="CP340" i="29"/>
  <c r="CO340" i="29"/>
  <c r="CN340" i="29"/>
  <c r="CM340" i="29"/>
  <c r="CV339" i="29"/>
  <c r="CU339" i="29"/>
  <c r="CT339" i="29"/>
  <c r="CS339" i="29"/>
  <c r="CR339" i="29"/>
  <c r="CQ339" i="29"/>
  <c r="CP339" i="29"/>
  <c r="CO339" i="29"/>
  <c r="CN339" i="29"/>
  <c r="CM339" i="29"/>
  <c r="CV338" i="29"/>
  <c r="CU338" i="29"/>
  <c r="CT338" i="29"/>
  <c r="CS338" i="29"/>
  <c r="CR338" i="29"/>
  <c r="CQ338" i="29"/>
  <c r="CP338" i="29"/>
  <c r="CO338" i="29"/>
  <c r="CN338" i="29"/>
  <c r="CM338" i="29"/>
  <c r="BH368" i="29"/>
  <c r="BG368" i="29"/>
  <c r="BF368" i="29"/>
  <c r="BE368" i="29"/>
  <c r="BD368" i="29"/>
  <c r="BC368" i="29"/>
  <c r="BB368" i="29"/>
  <c r="BA368" i="29"/>
  <c r="AZ368" i="29"/>
  <c r="AY368" i="29"/>
  <c r="BH367" i="29"/>
  <c r="BG367" i="29"/>
  <c r="BF367" i="29"/>
  <c r="BE367" i="29"/>
  <c r="BD367" i="29"/>
  <c r="BC367" i="29"/>
  <c r="BB367" i="29"/>
  <c r="BA367" i="29"/>
  <c r="AZ367" i="29"/>
  <c r="AY367" i="29"/>
  <c r="BH366" i="29"/>
  <c r="BG366" i="29"/>
  <c r="BF366" i="29"/>
  <c r="BE366" i="29"/>
  <c r="BD366" i="29"/>
  <c r="BC366" i="29"/>
  <c r="BB366" i="29"/>
  <c r="BA366" i="29"/>
  <c r="AZ366" i="29"/>
  <c r="AY366" i="29"/>
  <c r="BH365" i="29"/>
  <c r="BG365" i="29"/>
  <c r="BF365" i="29"/>
  <c r="BE365" i="29"/>
  <c r="BD365" i="29"/>
  <c r="BC365" i="29"/>
  <c r="BB365" i="29"/>
  <c r="BA365" i="29"/>
  <c r="AZ365" i="29"/>
  <c r="AY365" i="29"/>
  <c r="BH364" i="29"/>
  <c r="BG364" i="29"/>
  <c r="BF364" i="29"/>
  <c r="BE364" i="29"/>
  <c r="BD364" i="29"/>
  <c r="BC364" i="29"/>
  <c r="BB364" i="29"/>
  <c r="BA364" i="29"/>
  <c r="AZ364" i="29"/>
  <c r="AY364" i="29"/>
  <c r="BH363" i="29"/>
  <c r="BG363" i="29"/>
  <c r="BF363" i="29"/>
  <c r="BE363" i="29"/>
  <c r="BD363" i="29"/>
  <c r="BC363" i="29"/>
  <c r="BB363" i="29"/>
  <c r="BA363" i="29"/>
  <c r="AZ363" i="29"/>
  <c r="AY363" i="29"/>
  <c r="BH362" i="29"/>
  <c r="BG362" i="29"/>
  <c r="BF362" i="29"/>
  <c r="BE362" i="29"/>
  <c r="BD362" i="29"/>
  <c r="BC362" i="29"/>
  <c r="BB362" i="29"/>
  <c r="BA362" i="29"/>
  <c r="AZ362" i="29"/>
  <c r="AY362" i="29"/>
  <c r="BH361" i="29"/>
  <c r="BG361" i="29"/>
  <c r="BF361" i="29"/>
  <c r="BE361" i="29"/>
  <c r="BD361" i="29"/>
  <c r="BC361" i="29"/>
  <c r="BB361" i="29"/>
  <c r="BA361" i="29"/>
  <c r="AZ361" i="29"/>
  <c r="AY361" i="29"/>
  <c r="BH360" i="29"/>
  <c r="BG360" i="29"/>
  <c r="BF360" i="29"/>
  <c r="BE360" i="29"/>
  <c r="BD360" i="29"/>
  <c r="BC360" i="29"/>
  <c r="BB360" i="29"/>
  <c r="BA360" i="29"/>
  <c r="AZ360" i="29"/>
  <c r="AY360" i="29"/>
  <c r="BH359" i="29"/>
  <c r="BG359" i="29"/>
  <c r="BF359" i="29"/>
  <c r="BE359" i="29"/>
  <c r="BD359" i="29"/>
  <c r="BC359" i="29"/>
  <c r="BB359" i="29"/>
  <c r="BA359" i="29"/>
  <c r="AZ359" i="29"/>
  <c r="AY359" i="29"/>
  <c r="BH358" i="29"/>
  <c r="BG358" i="29"/>
  <c r="BF358" i="29"/>
  <c r="BE358" i="29"/>
  <c r="BD358" i="29"/>
  <c r="BC358" i="29"/>
  <c r="BB358" i="29"/>
  <c r="BA358" i="29"/>
  <c r="AZ358" i="29"/>
  <c r="AY358" i="29"/>
  <c r="BH357" i="29"/>
  <c r="BG357" i="29"/>
  <c r="BF357" i="29"/>
  <c r="BE357" i="29"/>
  <c r="BD357" i="29"/>
  <c r="BC357" i="29"/>
  <c r="BB357" i="29"/>
  <c r="BA357" i="29"/>
  <c r="AZ357" i="29"/>
  <c r="AY357" i="29"/>
  <c r="BH356" i="29"/>
  <c r="BG356" i="29"/>
  <c r="BF356" i="29"/>
  <c r="BE356" i="29"/>
  <c r="BD356" i="29"/>
  <c r="BC356" i="29"/>
  <c r="BB356" i="29"/>
  <c r="BA356" i="29"/>
  <c r="AZ356" i="29"/>
  <c r="AY356" i="29"/>
  <c r="BH355" i="29"/>
  <c r="BG355" i="29"/>
  <c r="BF355" i="29"/>
  <c r="BE355" i="29"/>
  <c r="BD355" i="29"/>
  <c r="BC355" i="29"/>
  <c r="BB355" i="29"/>
  <c r="BA355" i="29"/>
  <c r="AZ355" i="29"/>
  <c r="AY355" i="29"/>
  <c r="BH354" i="29"/>
  <c r="BG354" i="29"/>
  <c r="BF354" i="29"/>
  <c r="BE354" i="29"/>
  <c r="BD354" i="29"/>
  <c r="BC354" i="29"/>
  <c r="BB354" i="29"/>
  <c r="BA354" i="29"/>
  <c r="AZ354" i="29"/>
  <c r="AY354" i="29"/>
  <c r="BH353" i="29"/>
  <c r="BG353" i="29"/>
  <c r="BF353" i="29"/>
  <c r="BE353" i="29"/>
  <c r="BD353" i="29"/>
  <c r="BC353" i="29"/>
  <c r="BB353" i="29"/>
  <c r="BA353" i="29"/>
  <c r="AZ353" i="29"/>
  <c r="AY353" i="29"/>
  <c r="BH352" i="29"/>
  <c r="BG352" i="29"/>
  <c r="BF352" i="29"/>
  <c r="BE352" i="29"/>
  <c r="BD352" i="29"/>
  <c r="BC352" i="29"/>
  <c r="BB352" i="29"/>
  <c r="BA352" i="29"/>
  <c r="AZ352" i="29"/>
  <c r="AY352" i="29"/>
  <c r="BH351" i="29"/>
  <c r="BG351" i="29"/>
  <c r="BF351" i="29"/>
  <c r="BE351" i="29"/>
  <c r="BD351" i="29"/>
  <c r="BC351" i="29"/>
  <c r="BB351" i="29"/>
  <c r="BA351" i="29"/>
  <c r="AZ351" i="29"/>
  <c r="AY351" i="29"/>
  <c r="BH350" i="29"/>
  <c r="BG350" i="29"/>
  <c r="BF350" i="29"/>
  <c r="BE350" i="29"/>
  <c r="BD350" i="29"/>
  <c r="BC350" i="29"/>
  <c r="BB350" i="29"/>
  <c r="BA350" i="29"/>
  <c r="AZ350" i="29"/>
  <c r="AY350" i="29"/>
  <c r="BH349" i="29"/>
  <c r="BG349" i="29"/>
  <c r="BF349" i="29"/>
  <c r="BE349" i="29"/>
  <c r="BD349" i="29"/>
  <c r="BC349" i="29"/>
  <c r="BB349" i="29"/>
  <c r="BA349" i="29"/>
  <c r="AZ349" i="29"/>
  <c r="AY349" i="29"/>
  <c r="BH348" i="29"/>
  <c r="BG348" i="29"/>
  <c r="BF348" i="29"/>
  <c r="BE348" i="29"/>
  <c r="BD348" i="29"/>
  <c r="BC348" i="29"/>
  <c r="BB348" i="29"/>
  <c r="BA348" i="29"/>
  <c r="AZ348" i="29"/>
  <c r="AY348" i="29"/>
  <c r="BH347" i="29"/>
  <c r="BG347" i="29"/>
  <c r="BF347" i="29"/>
  <c r="BE347" i="29"/>
  <c r="BD347" i="29"/>
  <c r="BC347" i="29"/>
  <c r="BB347" i="29"/>
  <c r="BA347" i="29"/>
  <c r="AZ347" i="29"/>
  <c r="AY347" i="29"/>
  <c r="BH346" i="29"/>
  <c r="BG346" i="29"/>
  <c r="BF346" i="29"/>
  <c r="BE346" i="29"/>
  <c r="BD346" i="29"/>
  <c r="BC346" i="29"/>
  <c r="BB346" i="29"/>
  <c r="BA346" i="29"/>
  <c r="AZ346" i="29"/>
  <c r="AY346" i="29"/>
  <c r="BH345" i="29"/>
  <c r="BG345" i="29"/>
  <c r="BF345" i="29"/>
  <c r="BE345" i="29"/>
  <c r="BD345" i="29"/>
  <c r="BC345" i="29"/>
  <c r="BB345" i="29"/>
  <c r="BA345" i="29"/>
  <c r="AZ345" i="29"/>
  <c r="AY345" i="29"/>
  <c r="BH344" i="29"/>
  <c r="BG344" i="29"/>
  <c r="BF344" i="29"/>
  <c r="BE344" i="29"/>
  <c r="BD344" i="29"/>
  <c r="BC344" i="29"/>
  <c r="BB344" i="29"/>
  <c r="BA344" i="29"/>
  <c r="AZ344" i="29"/>
  <c r="AY344" i="29"/>
  <c r="BH343" i="29"/>
  <c r="BG343" i="29"/>
  <c r="BF343" i="29"/>
  <c r="BE343" i="29"/>
  <c r="BD343" i="29"/>
  <c r="BC343" i="29"/>
  <c r="BB343" i="29"/>
  <c r="BA343" i="29"/>
  <c r="AZ343" i="29"/>
  <c r="AY343" i="29"/>
  <c r="BH342" i="29"/>
  <c r="BG342" i="29"/>
  <c r="BF342" i="29"/>
  <c r="BE342" i="29"/>
  <c r="BD342" i="29"/>
  <c r="BC342" i="29"/>
  <c r="BB342" i="29"/>
  <c r="BA342" i="29"/>
  <c r="AZ342" i="29"/>
  <c r="AY342" i="29"/>
  <c r="BH341" i="29"/>
  <c r="BG341" i="29"/>
  <c r="BF341" i="29"/>
  <c r="BE341" i="29"/>
  <c r="BD341" i="29"/>
  <c r="BC341" i="29"/>
  <c r="BB341" i="29"/>
  <c r="BA341" i="29"/>
  <c r="AZ341" i="29"/>
  <c r="AY341" i="29"/>
  <c r="BH340" i="29"/>
  <c r="BG340" i="29"/>
  <c r="BF340" i="29"/>
  <c r="BE340" i="29"/>
  <c r="BD340" i="29"/>
  <c r="BC340" i="29"/>
  <c r="BB340" i="29"/>
  <c r="BA340" i="29"/>
  <c r="AZ340" i="29"/>
  <c r="AY340" i="29"/>
  <c r="BH339" i="29"/>
  <c r="BG339" i="29"/>
  <c r="BF339" i="29"/>
  <c r="BE339" i="29"/>
  <c r="BD339" i="29"/>
  <c r="BC339" i="29"/>
  <c r="BB339" i="29"/>
  <c r="BA339" i="29"/>
  <c r="AZ339" i="29"/>
  <c r="AY339" i="29"/>
  <c r="BH338" i="29"/>
  <c r="BG338" i="29"/>
  <c r="BF338" i="29"/>
  <c r="BE338" i="29"/>
  <c r="BD338" i="29"/>
  <c r="BC338" i="29"/>
  <c r="BB338" i="29"/>
  <c r="BA338" i="29"/>
  <c r="AZ338" i="29"/>
  <c r="AY338" i="29"/>
  <c r="T368" i="29"/>
  <c r="S368" i="29"/>
  <c r="R368" i="29"/>
  <c r="Q368" i="29"/>
  <c r="P368" i="29"/>
  <c r="O368" i="29"/>
  <c r="N368" i="29"/>
  <c r="M368" i="29"/>
  <c r="L368" i="29"/>
  <c r="K368" i="29"/>
  <c r="T367" i="29"/>
  <c r="S367" i="29"/>
  <c r="R367" i="29"/>
  <c r="Q367" i="29"/>
  <c r="P367" i="29"/>
  <c r="O367" i="29"/>
  <c r="N367" i="29"/>
  <c r="M367" i="29"/>
  <c r="L367" i="29"/>
  <c r="K367" i="29"/>
  <c r="T366" i="29"/>
  <c r="S366" i="29"/>
  <c r="R366" i="29"/>
  <c r="Q366" i="29"/>
  <c r="P366" i="29"/>
  <c r="O366" i="29"/>
  <c r="N366" i="29"/>
  <c r="M366" i="29"/>
  <c r="L366" i="29"/>
  <c r="K366" i="29"/>
  <c r="T365" i="29"/>
  <c r="S365" i="29"/>
  <c r="R365" i="29"/>
  <c r="Q365" i="29"/>
  <c r="P365" i="29"/>
  <c r="O365" i="29"/>
  <c r="N365" i="29"/>
  <c r="M365" i="29"/>
  <c r="L365" i="29"/>
  <c r="K365" i="29"/>
  <c r="T364" i="29"/>
  <c r="S364" i="29"/>
  <c r="R364" i="29"/>
  <c r="Q364" i="29"/>
  <c r="P364" i="29"/>
  <c r="O364" i="29"/>
  <c r="N364" i="29"/>
  <c r="M364" i="29"/>
  <c r="L364" i="29"/>
  <c r="K364" i="29"/>
  <c r="T363" i="29"/>
  <c r="S363" i="29"/>
  <c r="R363" i="29"/>
  <c r="Q363" i="29"/>
  <c r="P363" i="29"/>
  <c r="O363" i="29"/>
  <c r="N363" i="29"/>
  <c r="M363" i="29"/>
  <c r="L363" i="29"/>
  <c r="K363" i="29"/>
  <c r="T362" i="29"/>
  <c r="S362" i="29"/>
  <c r="R362" i="29"/>
  <c r="Q362" i="29"/>
  <c r="P362" i="29"/>
  <c r="O362" i="29"/>
  <c r="N362" i="29"/>
  <c r="M362" i="29"/>
  <c r="L362" i="29"/>
  <c r="K362" i="29"/>
  <c r="T361" i="29"/>
  <c r="S361" i="29"/>
  <c r="R361" i="29"/>
  <c r="Q361" i="29"/>
  <c r="P361" i="29"/>
  <c r="O361" i="29"/>
  <c r="N361" i="29"/>
  <c r="M361" i="29"/>
  <c r="L361" i="29"/>
  <c r="K361" i="29"/>
  <c r="T360" i="29"/>
  <c r="S360" i="29"/>
  <c r="R360" i="29"/>
  <c r="Q360" i="29"/>
  <c r="P360" i="29"/>
  <c r="O360" i="29"/>
  <c r="N360" i="29"/>
  <c r="M360" i="29"/>
  <c r="L360" i="29"/>
  <c r="K360" i="29"/>
  <c r="T359" i="29"/>
  <c r="S359" i="29"/>
  <c r="R359" i="29"/>
  <c r="Q359" i="29"/>
  <c r="P359" i="29"/>
  <c r="O359" i="29"/>
  <c r="N359" i="29"/>
  <c r="M359" i="29"/>
  <c r="L359" i="29"/>
  <c r="K359" i="29"/>
  <c r="T358" i="29"/>
  <c r="S358" i="29"/>
  <c r="R358" i="29"/>
  <c r="Q358" i="29"/>
  <c r="P358" i="29"/>
  <c r="O358" i="29"/>
  <c r="N358" i="29"/>
  <c r="M358" i="29"/>
  <c r="L358" i="29"/>
  <c r="K358" i="29"/>
  <c r="T357" i="29"/>
  <c r="S357" i="29"/>
  <c r="R357" i="29"/>
  <c r="Q357" i="29"/>
  <c r="P357" i="29"/>
  <c r="O357" i="29"/>
  <c r="N357" i="29"/>
  <c r="M357" i="29"/>
  <c r="L357" i="29"/>
  <c r="K357" i="29"/>
  <c r="T356" i="29"/>
  <c r="S356" i="29"/>
  <c r="R356" i="29"/>
  <c r="Q356" i="29"/>
  <c r="P356" i="29"/>
  <c r="O356" i="29"/>
  <c r="N356" i="29"/>
  <c r="M356" i="29"/>
  <c r="L356" i="29"/>
  <c r="K356" i="29"/>
  <c r="T355" i="29"/>
  <c r="S355" i="29"/>
  <c r="R355" i="29"/>
  <c r="Q355" i="29"/>
  <c r="P355" i="29"/>
  <c r="O355" i="29"/>
  <c r="N355" i="29"/>
  <c r="M355" i="29"/>
  <c r="L355" i="29"/>
  <c r="K355" i="29"/>
  <c r="T354" i="29"/>
  <c r="S354" i="29"/>
  <c r="R354" i="29"/>
  <c r="Q354" i="29"/>
  <c r="P354" i="29"/>
  <c r="O354" i="29"/>
  <c r="N354" i="29"/>
  <c r="M354" i="29"/>
  <c r="L354" i="29"/>
  <c r="K354" i="29"/>
  <c r="T353" i="29"/>
  <c r="S353" i="29"/>
  <c r="R353" i="29"/>
  <c r="Q353" i="29"/>
  <c r="P353" i="29"/>
  <c r="O353" i="29"/>
  <c r="N353" i="29"/>
  <c r="M353" i="29"/>
  <c r="L353" i="29"/>
  <c r="K353" i="29"/>
  <c r="T352" i="29"/>
  <c r="S352" i="29"/>
  <c r="R352" i="29"/>
  <c r="Q352" i="29"/>
  <c r="P352" i="29"/>
  <c r="O352" i="29"/>
  <c r="N352" i="29"/>
  <c r="M352" i="29"/>
  <c r="L352" i="29"/>
  <c r="K352" i="29"/>
  <c r="T351" i="29"/>
  <c r="S351" i="29"/>
  <c r="R351" i="29"/>
  <c r="Q351" i="29"/>
  <c r="P351" i="29"/>
  <c r="O351" i="29"/>
  <c r="N351" i="29"/>
  <c r="M351" i="29"/>
  <c r="L351" i="29"/>
  <c r="K351" i="29"/>
  <c r="T350" i="29"/>
  <c r="S350" i="29"/>
  <c r="R350" i="29"/>
  <c r="Q350" i="29"/>
  <c r="P350" i="29"/>
  <c r="O350" i="29"/>
  <c r="N350" i="29"/>
  <c r="M350" i="29"/>
  <c r="L350" i="29"/>
  <c r="K350" i="29"/>
  <c r="T349" i="29"/>
  <c r="S349" i="29"/>
  <c r="R349" i="29"/>
  <c r="Q349" i="29"/>
  <c r="P349" i="29"/>
  <c r="O349" i="29"/>
  <c r="N349" i="29"/>
  <c r="M349" i="29"/>
  <c r="L349" i="29"/>
  <c r="K349" i="29"/>
  <c r="T348" i="29"/>
  <c r="S348" i="29"/>
  <c r="R348" i="29"/>
  <c r="Q348" i="29"/>
  <c r="P348" i="29"/>
  <c r="O348" i="29"/>
  <c r="N348" i="29"/>
  <c r="M348" i="29"/>
  <c r="L348" i="29"/>
  <c r="K348" i="29"/>
  <c r="T347" i="29"/>
  <c r="S347" i="29"/>
  <c r="R347" i="29"/>
  <c r="Q347" i="29"/>
  <c r="P347" i="29"/>
  <c r="O347" i="29"/>
  <c r="N347" i="29"/>
  <c r="M347" i="29"/>
  <c r="L347" i="29"/>
  <c r="K347" i="29"/>
  <c r="T346" i="29"/>
  <c r="S346" i="29"/>
  <c r="R346" i="29"/>
  <c r="Q346" i="29"/>
  <c r="P346" i="29"/>
  <c r="O346" i="29"/>
  <c r="N346" i="29"/>
  <c r="M346" i="29"/>
  <c r="L346" i="29"/>
  <c r="K346" i="29"/>
  <c r="T345" i="29"/>
  <c r="S345" i="29"/>
  <c r="R345" i="29"/>
  <c r="Q345" i="29"/>
  <c r="P345" i="29"/>
  <c r="O345" i="29"/>
  <c r="N345" i="29"/>
  <c r="M345" i="29"/>
  <c r="L345" i="29"/>
  <c r="K345" i="29"/>
  <c r="T344" i="29"/>
  <c r="S344" i="29"/>
  <c r="R344" i="29"/>
  <c r="Q344" i="29"/>
  <c r="P344" i="29"/>
  <c r="O344" i="29"/>
  <c r="N344" i="29"/>
  <c r="M344" i="29"/>
  <c r="L344" i="29"/>
  <c r="K344" i="29"/>
  <c r="T343" i="29"/>
  <c r="S343" i="29"/>
  <c r="R343" i="29"/>
  <c r="Q343" i="29"/>
  <c r="P343" i="29"/>
  <c r="O343" i="29"/>
  <c r="N343" i="29"/>
  <c r="M343" i="29"/>
  <c r="L343" i="29"/>
  <c r="K343" i="29"/>
  <c r="T342" i="29"/>
  <c r="S342" i="29"/>
  <c r="R342" i="29"/>
  <c r="Q342" i="29"/>
  <c r="P342" i="29"/>
  <c r="O342" i="29"/>
  <c r="N342" i="29"/>
  <c r="M342" i="29"/>
  <c r="L342" i="29"/>
  <c r="K342" i="29"/>
  <c r="T341" i="29"/>
  <c r="S341" i="29"/>
  <c r="R341" i="29"/>
  <c r="Q341" i="29"/>
  <c r="P341" i="29"/>
  <c r="O341" i="29"/>
  <c r="N341" i="29"/>
  <c r="M341" i="29"/>
  <c r="L341" i="29"/>
  <c r="K341" i="29"/>
  <c r="T340" i="29"/>
  <c r="S340" i="29"/>
  <c r="R340" i="29"/>
  <c r="Q340" i="29"/>
  <c r="P340" i="29"/>
  <c r="O340" i="29"/>
  <c r="N340" i="29"/>
  <c r="M340" i="29"/>
  <c r="L340" i="29"/>
  <c r="K340" i="29"/>
  <c r="T339" i="29"/>
  <c r="S339" i="29"/>
  <c r="R339" i="29"/>
  <c r="Q339" i="29"/>
  <c r="P339" i="29"/>
  <c r="O339" i="29"/>
  <c r="N339" i="29"/>
  <c r="M339" i="29"/>
  <c r="L339" i="29"/>
  <c r="K339" i="29"/>
  <c r="T338" i="29"/>
  <c r="S338" i="29"/>
  <c r="R338" i="29"/>
  <c r="Q338" i="29"/>
  <c r="P338" i="29"/>
  <c r="O338" i="29"/>
  <c r="N338" i="29"/>
  <c r="M338" i="29"/>
  <c r="L338" i="29"/>
  <c r="K338" i="29"/>
  <c r="CV337" i="29"/>
  <c r="CU337" i="29"/>
  <c r="CT337" i="29"/>
  <c r="CS337" i="29"/>
  <c r="CR337" i="29"/>
  <c r="CQ337" i="29"/>
  <c r="CP337" i="29"/>
  <c r="CO337" i="29"/>
  <c r="CN337" i="29"/>
  <c r="CM337" i="29"/>
  <c r="CV336" i="29"/>
  <c r="CU336" i="29"/>
  <c r="CT336" i="29"/>
  <c r="CS336" i="29"/>
  <c r="CR336" i="29"/>
  <c r="CQ336" i="29"/>
  <c r="CP336" i="29"/>
  <c r="CO336" i="29"/>
  <c r="CN336" i="29"/>
  <c r="CM336" i="29"/>
  <c r="CV335" i="29"/>
  <c r="CU335" i="29"/>
  <c r="CT335" i="29"/>
  <c r="CS335" i="29"/>
  <c r="CR335" i="29"/>
  <c r="CQ335" i="29"/>
  <c r="CP335" i="29"/>
  <c r="CO335" i="29"/>
  <c r="CN335" i="29"/>
  <c r="CM335" i="29"/>
  <c r="CV334" i="29"/>
  <c r="CU334" i="29"/>
  <c r="CT334" i="29"/>
  <c r="CS334" i="29"/>
  <c r="CR334" i="29"/>
  <c r="CQ334" i="29"/>
  <c r="CP334" i="29"/>
  <c r="CO334" i="29"/>
  <c r="CN334" i="29"/>
  <c r="CM334" i="29"/>
  <c r="CV333" i="29"/>
  <c r="CU333" i="29"/>
  <c r="CT333" i="29"/>
  <c r="CS333" i="29"/>
  <c r="CR333" i="29"/>
  <c r="CQ333" i="29"/>
  <c r="CP333" i="29"/>
  <c r="CO333" i="29"/>
  <c r="CN333" i="29"/>
  <c r="CM333" i="29"/>
  <c r="CV332" i="29"/>
  <c r="CU332" i="29"/>
  <c r="CT332" i="29"/>
  <c r="CS332" i="29"/>
  <c r="CR332" i="29"/>
  <c r="CQ332" i="29"/>
  <c r="CP332" i="29"/>
  <c r="CO332" i="29"/>
  <c r="CN332" i="29"/>
  <c r="CM332" i="29"/>
  <c r="CV331" i="29"/>
  <c r="CU331" i="29"/>
  <c r="CT331" i="29"/>
  <c r="CS331" i="29"/>
  <c r="CR331" i="29"/>
  <c r="CQ331" i="29"/>
  <c r="CP331" i="29"/>
  <c r="CO331" i="29"/>
  <c r="CN331" i="29"/>
  <c r="CM331" i="29"/>
  <c r="CV330" i="29"/>
  <c r="CU330" i="29"/>
  <c r="CT330" i="29"/>
  <c r="CS330" i="29"/>
  <c r="CR330" i="29"/>
  <c r="CQ330" i="29"/>
  <c r="CP330" i="29"/>
  <c r="CO330" i="29"/>
  <c r="CN330" i="29"/>
  <c r="CM330" i="29"/>
  <c r="CV329" i="29"/>
  <c r="CU329" i="29"/>
  <c r="CT329" i="29"/>
  <c r="CS329" i="29"/>
  <c r="CR329" i="29"/>
  <c r="CQ329" i="29"/>
  <c r="CP329" i="29"/>
  <c r="CO329" i="29"/>
  <c r="CN329" i="29"/>
  <c r="CM329" i="29"/>
  <c r="CV328" i="29"/>
  <c r="CU328" i="29"/>
  <c r="CT328" i="29"/>
  <c r="CS328" i="29"/>
  <c r="CR328" i="29"/>
  <c r="CQ328" i="29"/>
  <c r="CP328" i="29"/>
  <c r="CO328" i="29"/>
  <c r="CN328" i="29"/>
  <c r="CM328" i="29"/>
  <c r="CV327" i="29"/>
  <c r="CU327" i="29"/>
  <c r="CT327" i="29"/>
  <c r="CS327" i="29"/>
  <c r="CR327" i="29"/>
  <c r="CQ327" i="29"/>
  <c r="CP327" i="29"/>
  <c r="CO327" i="29"/>
  <c r="CN327" i="29"/>
  <c r="CM327" i="29"/>
  <c r="CV326" i="29"/>
  <c r="CU326" i="29"/>
  <c r="CT326" i="29"/>
  <c r="CS326" i="29"/>
  <c r="CR326" i="29"/>
  <c r="CQ326" i="29"/>
  <c r="CP326" i="29"/>
  <c r="CO326" i="29"/>
  <c r="CN326" i="29"/>
  <c r="CM326" i="29"/>
  <c r="CV325" i="29"/>
  <c r="CU325" i="29"/>
  <c r="CT325" i="29"/>
  <c r="CS325" i="29"/>
  <c r="CR325" i="29"/>
  <c r="CQ325" i="29"/>
  <c r="CP325" i="29"/>
  <c r="CO325" i="29"/>
  <c r="CN325" i="29"/>
  <c r="CM325" i="29"/>
  <c r="CV324" i="29"/>
  <c r="CU324" i="29"/>
  <c r="CT324" i="29"/>
  <c r="CS324" i="29"/>
  <c r="CR324" i="29"/>
  <c r="CQ324" i="29"/>
  <c r="CP324" i="29"/>
  <c r="CO324" i="29"/>
  <c r="CN324" i="29"/>
  <c r="CM324" i="29"/>
  <c r="CV323" i="29"/>
  <c r="CU323" i="29"/>
  <c r="CT323" i="29"/>
  <c r="CS323" i="29"/>
  <c r="CR323" i="29"/>
  <c r="CQ323" i="29"/>
  <c r="CP323" i="29"/>
  <c r="CO323" i="29"/>
  <c r="CN323" i="29"/>
  <c r="CM323" i="29"/>
  <c r="CV322" i="29"/>
  <c r="CU322" i="29"/>
  <c r="CT322" i="29"/>
  <c r="CS322" i="29"/>
  <c r="CR322" i="29"/>
  <c r="CQ322" i="29"/>
  <c r="CP322" i="29"/>
  <c r="CO322" i="29"/>
  <c r="CN322" i="29"/>
  <c r="CM322" i="29"/>
  <c r="CV321" i="29"/>
  <c r="CU321" i="29"/>
  <c r="CT321" i="29"/>
  <c r="CS321" i="29"/>
  <c r="CR321" i="29"/>
  <c r="CQ321" i="29"/>
  <c r="CP321" i="29"/>
  <c r="CO321" i="29"/>
  <c r="CN321" i="29"/>
  <c r="CM321" i="29"/>
  <c r="CV320" i="29"/>
  <c r="CU320" i="29"/>
  <c r="CT320" i="29"/>
  <c r="CS320" i="29"/>
  <c r="CR320" i="29"/>
  <c r="CQ320" i="29"/>
  <c r="CP320" i="29"/>
  <c r="CO320" i="29"/>
  <c r="CN320" i="29"/>
  <c r="CM320" i="29"/>
  <c r="CV319" i="29"/>
  <c r="CU319" i="29"/>
  <c r="CT319" i="29"/>
  <c r="CS319" i="29"/>
  <c r="CR319" i="29"/>
  <c r="CQ319" i="29"/>
  <c r="CP319" i="29"/>
  <c r="CO319" i="29"/>
  <c r="CN319" i="29"/>
  <c r="CM319" i="29"/>
  <c r="CV318" i="29"/>
  <c r="CU318" i="29"/>
  <c r="CT318" i="29"/>
  <c r="CS318" i="29"/>
  <c r="CR318" i="29"/>
  <c r="CQ318" i="29"/>
  <c r="CP318" i="29"/>
  <c r="CO318" i="29"/>
  <c r="CN318" i="29"/>
  <c r="CM318" i="29"/>
  <c r="CV317" i="29"/>
  <c r="CU317" i="29"/>
  <c r="CT317" i="29"/>
  <c r="CS317" i="29"/>
  <c r="CR317" i="29"/>
  <c r="CQ317" i="29"/>
  <c r="CP317" i="29"/>
  <c r="CO317" i="29"/>
  <c r="CN317" i="29"/>
  <c r="CM317" i="29"/>
  <c r="CV316" i="29"/>
  <c r="CU316" i="29"/>
  <c r="CT316" i="29"/>
  <c r="CS316" i="29"/>
  <c r="CR316" i="29"/>
  <c r="CQ316" i="29"/>
  <c r="CP316" i="29"/>
  <c r="CO316" i="29"/>
  <c r="CN316" i="29"/>
  <c r="CM316" i="29"/>
  <c r="CV315" i="29"/>
  <c r="CU315" i="29"/>
  <c r="CT315" i="29"/>
  <c r="CS315" i="29"/>
  <c r="CR315" i="29"/>
  <c r="CQ315" i="29"/>
  <c r="CP315" i="29"/>
  <c r="CO315" i="29"/>
  <c r="CN315" i="29"/>
  <c r="CM315" i="29"/>
  <c r="CV314" i="29"/>
  <c r="CU314" i="29"/>
  <c r="CT314" i="29"/>
  <c r="CS314" i="29"/>
  <c r="CR314" i="29"/>
  <c r="CQ314" i="29"/>
  <c r="CP314" i="29"/>
  <c r="CO314" i="29"/>
  <c r="CN314" i="29"/>
  <c r="CM314" i="29"/>
  <c r="CV313" i="29"/>
  <c r="CU313" i="29"/>
  <c r="CT313" i="29"/>
  <c r="CS313" i="29"/>
  <c r="CR313" i="29"/>
  <c r="CQ313" i="29"/>
  <c r="CP313" i="29"/>
  <c r="CO313" i="29"/>
  <c r="CN313" i="29"/>
  <c r="CM313" i="29"/>
  <c r="CV312" i="29"/>
  <c r="CU312" i="29"/>
  <c r="CT312" i="29"/>
  <c r="CS312" i="29"/>
  <c r="CR312" i="29"/>
  <c r="CQ312" i="29"/>
  <c r="CP312" i="29"/>
  <c r="CO312" i="29"/>
  <c r="CN312" i="29"/>
  <c r="CM312" i="29"/>
  <c r="CV311" i="29"/>
  <c r="CU311" i="29"/>
  <c r="CT311" i="29"/>
  <c r="CS311" i="29"/>
  <c r="CR311" i="29"/>
  <c r="CQ311" i="29"/>
  <c r="CP311" i="29"/>
  <c r="CO311" i="29"/>
  <c r="CN311" i="29"/>
  <c r="CM311" i="29"/>
  <c r="CV310" i="29"/>
  <c r="CU310" i="29"/>
  <c r="CT310" i="29"/>
  <c r="CS310" i="29"/>
  <c r="CR310" i="29"/>
  <c r="CQ310" i="29"/>
  <c r="CP310" i="29"/>
  <c r="CO310" i="29"/>
  <c r="CN310" i="29"/>
  <c r="CM310" i="29"/>
  <c r="CV309" i="29"/>
  <c r="CU309" i="29"/>
  <c r="CT309" i="29"/>
  <c r="CS309" i="29"/>
  <c r="CR309" i="29"/>
  <c r="CQ309" i="29"/>
  <c r="CP309" i="29"/>
  <c r="CO309" i="29"/>
  <c r="CN309" i="29"/>
  <c r="CM309" i="29"/>
  <c r="CV308" i="29"/>
  <c r="CU308" i="29"/>
  <c r="CT308" i="29"/>
  <c r="CS308" i="29"/>
  <c r="CR308" i="29"/>
  <c r="CQ308" i="29"/>
  <c r="CP308" i="29"/>
  <c r="CO308" i="29"/>
  <c r="CN308" i="29"/>
  <c r="CM308" i="29"/>
  <c r="BH337" i="29"/>
  <c r="BG337" i="29"/>
  <c r="BF337" i="29"/>
  <c r="BE337" i="29"/>
  <c r="BD337" i="29"/>
  <c r="BC337" i="29"/>
  <c r="BB337" i="29"/>
  <c r="BA337" i="29"/>
  <c r="AZ337" i="29"/>
  <c r="AY337" i="29"/>
  <c r="BH336" i="29"/>
  <c r="BG336" i="29"/>
  <c r="BF336" i="29"/>
  <c r="BE336" i="29"/>
  <c r="BD336" i="29"/>
  <c r="BC336" i="29"/>
  <c r="BB336" i="29"/>
  <c r="BA336" i="29"/>
  <c r="AZ336" i="29"/>
  <c r="AY336" i="29"/>
  <c r="BH335" i="29"/>
  <c r="BG335" i="29"/>
  <c r="BF335" i="29"/>
  <c r="BE335" i="29"/>
  <c r="BD335" i="29"/>
  <c r="BC335" i="29"/>
  <c r="BB335" i="29"/>
  <c r="BA335" i="29"/>
  <c r="AZ335" i="29"/>
  <c r="AY335" i="29"/>
  <c r="BH334" i="29"/>
  <c r="BG334" i="29"/>
  <c r="BF334" i="29"/>
  <c r="BE334" i="29"/>
  <c r="BD334" i="29"/>
  <c r="BC334" i="29"/>
  <c r="BB334" i="29"/>
  <c r="BA334" i="29"/>
  <c r="AZ334" i="29"/>
  <c r="AY334" i="29"/>
  <c r="BH333" i="29"/>
  <c r="BG333" i="29"/>
  <c r="BF333" i="29"/>
  <c r="BE333" i="29"/>
  <c r="BD333" i="29"/>
  <c r="BC333" i="29"/>
  <c r="BB333" i="29"/>
  <c r="BA333" i="29"/>
  <c r="AZ333" i="29"/>
  <c r="AY333" i="29"/>
  <c r="BH332" i="29"/>
  <c r="BG332" i="29"/>
  <c r="BF332" i="29"/>
  <c r="BE332" i="29"/>
  <c r="BD332" i="29"/>
  <c r="BC332" i="29"/>
  <c r="BB332" i="29"/>
  <c r="BA332" i="29"/>
  <c r="AZ332" i="29"/>
  <c r="AY332" i="29"/>
  <c r="BH331" i="29"/>
  <c r="BG331" i="29"/>
  <c r="BF331" i="29"/>
  <c r="BE331" i="29"/>
  <c r="BD331" i="29"/>
  <c r="BC331" i="29"/>
  <c r="BB331" i="29"/>
  <c r="BA331" i="29"/>
  <c r="AZ331" i="29"/>
  <c r="AY331" i="29"/>
  <c r="BH330" i="29"/>
  <c r="BG330" i="29"/>
  <c r="BF330" i="29"/>
  <c r="BE330" i="29"/>
  <c r="BD330" i="29"/>
  <c r="BC330" i="29"/>
  <c r="BB330" i="29"/>
  <c r="BA330" i="29"/>
  <c r="AZ330" i="29"/>
  <c r="AY330" i="29"/>
  <c r="BH329" i="29"/>
  <c r="BG329" i="29"/>
  <c r="BF329" i="29"/>
  <c r="BE329" i="29"/>
  <c r="BD329" i="29"/>
  <c r="BC329" i="29"/>
  <c r="BB329" i="29"/>
  <c r="BA329" i="29"/>
  <c r="AZ329" i="29"/>
  <c r="AY329" i="29"/>
  <c r="BH328" i="29"/>
  <c r="BG328" i="29"/>
  <c r="BF328" i="29"/>
  <c r="BE328" i="29"/>
  <c r="BD328" i="29"/>
  <c r="BC328" i="29"/>
  <c r="BB328" i="29"/>
  <c r="BA328" i="29"/>
  <c r="AZ328" i="29"/>
  <c r="AY328" i="29"/>
  <c r="BH327" i="29"/>
  <c r="BG327" i="29"/>
  <c r="BF327" i="29"/>
  <c r="BE327" i="29"/>
  <c r="BD327" i="29"/>
  <c r="BC327" i="29"/>
  <c r="BB327" i="29"/>
  <c r="BA327" i="29"/>
  <c r="AZ327" i="29"/>
  <c r="AY327" i="29"/>
  <c r="BH326" i="29"/>
  <c r="BG326" i="29"/>
  <c r="BF326" i="29"/>
  <c r="BE326" i="29"/>
  <c r="BD326" i="29"/>
  <c r="BC326" i="29"/>
  <c r="BB326" i="29"/>
  <c r="BA326" i="29"/>
  <c r="AZ326" i="29"/>
  <c r="AY326" i="29"/>
  <c r="BH325" i="29"/>
  <c r="BG325" i="29"/>
  <c r="BF325" i="29"/>
  <c r="BE325" i="29"/>
  <c r="BD325" i="29"/>
  <c r="BC325" i="29"/>
  <c r="BB325" i="29"/>
  <c r="BA325" i="29"/>
  <c r="AZ325" i="29"/>
  <c r="AY325" i="29"/>
  <c r="BH324" i="29"/>
  <c r="BG324" i="29"/>
  <c r="BF324" i="29"/>
  <c r="BE324" i="29"/>
  <c r="BD324" i="29"/>
  <c r="BC324" i="29"/>
  <c r="BB324" i="29"/>
  <c r="BA324" i="29"/>
  <c r="AZ324" i="29"/>
  <c r="AY324" i="29"/>
  <c r="BH323" i="29"/>
  <c r="BG323" i="29"/>
  <c r="BF323" i="29"/>
  <c r="BE323" i="29"/>
  <c r="BD323" i="29"/>
  <c r="BC323" i="29"/>
  <c r="BB323" i="29"/>
  <c r="BA323" i="29"/>
  <c r="AZ323" i="29"/>
  <c r="AY323" i="29"/>
  <c r="BH322" i="29"/>
  <c r="BG322" i="29"/>
  <c r="BF322" i="29"/>
  <c r="BE322" i="29"/>
  <c r="BD322" i="29"/>
  <c r="BC322" i="29"/>
  <c r="BB322" i="29"/>
  <c r="BA322" i="29"/>
  <c r="AZ322" i="29"/>
  <c r="AY322" i="29"/>
  <c r="BH321" i="29"/>
  <c r="BG321" i="29"/>
  <c r="BF321" i="29"/>
  <c r="BE321" i="29"/>
  <c r="BD321" i="29"/>
  <c r="BC321" i="29"/>
  <c r="BB321" i="29"/>
  <c r="BA321" i="29"/>
  <c r="AZ321" i="29"/>
  <c r="AY321" i="29"/>
  <c r="BH320" i="29"/>
  <c r="BG320" i="29"/>
  <c r="BF320" i="29"/>
  <c r="BE320" i="29"/>
  <c r="BD320" i="29"/>
  <c r="BC320" i="29"/>
  <c r="BB320" i="29"/>
  <c r="BA320" i="29"/>
  <c r="AZ320" i="29"/>
  <c r="AY320" i="29"/>
  <c r="BH319" i="29"/>
  <c r="BG319" i="29"/>
  <c r="BF319" i="29"/>
  <c r="BE319" i="29"/>
  <c r="BD319" i="29"/>
  <c r="BC319" i="29"/>
  <c r="BB319" i="29"/>
  <c r="BA319" i="29"/>
  <c r="AZ319" i="29"/>
  <c r="AY319" i="29"/>
  <c r="BH318" i="29"/>
  <c r="BG318" i="29"/>
  <c r="BF318" i="29"/>
  <c r="BE318" i="29"/>
  <c r="BD318" i="29"/>
  <c r="BC318" i="29"/>
  <c r="BB318" i="29"/>
  <c r="BA318" i="29"/>
  <c r="AZ318" i="29"/>
  <c r="AY318" i="29"/>
  <c r="BH317" i="29"/>
  <c r="BG317" i="29"/>
  <c r="BF317" i="29"/>
  <c r="BE317" i="29"/>
  <c r="BD317" i="29"/>
  <c r="BC317" i="29"/>
  <c r="BB317" i="29"/>
  <c r="BA317" i="29"/>
  <c r="AZ317" i="29"/>
  <c r="AY317" i="29"/>
  <c r="BH316" i="29"/>
  <c r="BG316" i="29"/>
  <c r="BF316" i="29"/>
  <c r="BE316" i="29"/>
  <c r="BD316" i="29"/>
  <c r="BC316" i="29"/>
  <c r="BB316" i="29"/>
  <c r="BA316" i="29"/>
  <c r="AZ316" i="29"/>
  <c r="AY316" i="29"/>
  <c r="BH315" i="29"/>
  <c r="BG315" i="29"/>
  <c r="BF315" i="29"/>
  <c r="BE315" i="29"/>
  <c r="BD315" i="29"/>
  <c r="BC315" i="29"/>
  <c r="BB315" i="29"/>
  <c r="BA315" i="29"/>
  <c r="AZ315" i="29"/>
  <c r="AY315" i="29"/>
  <c r="BH314" i="29"/>
  <c r="BG314" i="29"/>
  <c r="BF314" i="29"/>
  <c r="BE314" i="29"/>
  <c r="BD314" i="29"/>
  <c r="BC314" i="29"/>
  <c r="BB314" i="29"/>
  <c r="BA314" i="29"/>
  <c r="AZ314" i="29"/>
  <c r="AY314" i="29"/>
  <c r="BH313" i="29"/>
  <c r="BG313" i="29"/>
  <c r="BF313" i="29"/>
  <c r="BE313" i="29"/>
  <c r="BD313" i="29"/>
  <c r="BC313" i="29"/>
  <c r="BB313" i="29"/>
  <c r="BA313" i="29"/>
  <c r="AZ313" i="29"/>
  <c r="AY313" i="29"/>
  <c r="BH312" i="29"/>
  <c r="BG312" i="29"/>
  <c r="BF312" i="29"/>
  <c r="BE312" i="29"/>
  <c r="BD312" i="29"/>
  <c r="BC312" i="29"/>
  <c r="BB312" i="29"/>
  <c r="BA312" i="29"/>
  <c r="AZ312" i="29"/>
  <c r="AY312" i="29"/>
  <c r="BH311" i="29"/>
  <c r="BG311" i="29"/>
  <c r="BF311" i="29"/>
  <c r="BE311" i="29"/>
  <c r="BD311" i="29"/>
  <c r="BC311" i="29"/>
  <c r="BB311" i="29"/>
  <c r="BA311" i="29"/>
  <c r="AZ311" i="29"/>
  <c r="AY311" i="29"/>
  <c r="BH310" i="29"/>
  <c r="BG310" i="29"/>
  <c r="BF310" i="29"/>
  <c r="BE310" i="29"/>
  <c r="BD310" i="29"/>
  <c r="BC310" i="29"/>
  <c r="BB310" i="29"/>
  <c r="BA310" i="29"/>
  <c r="AZ310" i="29"/>
  <c r="AY310" i="29"/>
  <c r="BH309" i="29"/>
  <c r="BG309" i="29"/>
  <c r="BF309" i="29"/>
  <c r="BE309" i="29"/>
  <c r="BD309" i="29"/>
  <c r="BC309" i="29"/>
  <c r="BB309" i="29"/>
  <c r="BA309" i="29"/>
  <c r="AZ309" i="29"/>
  <c r="AY309" i="29"/>
  <c r="BH308" i="29"/>
  <c r="BG308" i="29"/>
  <c r="BF308" i="29"/>
  <c r="BE308" i="29"/>
  <c r="BD308" i="29"/>
  <c r="BC308" i="29"/>
  <c r="BB308" i="29"/>
  <c r="BA308" i="29"/>
  <c r="AZ308" i="29"/>
  <c r="AY308" i="29"/>
  <c r="T337" i="29"/>
  <c r="S337" i="29"/>
  <c r="R337" i="29"/>
  <c r="Q337" i="29"/>
  <c r="P337" i="29"/>
  <c r="O337" i="29"/>
  <c r="N337" i="29"/>
  <c r="M337" i="29"/>
  <c r="L337" i="29"/>
  <c r="K337" i="29"/>
  <c r="T336" i="29"/>
  <c r="S336" i="29"/>
  <c r="R336" i="29"/>
  <c r="Q336" i="29"/>
  <c r="P336" i="29"/>
  <c r="O336" i="29"/>
  <c r="N336" i="29"/>
  <c r="M336" i="29"/>
  <c r="L336" i="29"/>
  <c r="K336" i="29"/>
  <c r="T335" i="29"/>
  <c r="S335" i="29"/>
  <c r="R335" i="29"/>
  <c r="Q335" i="29"/>
  <c r="P335" i="29"/>
  <c r="O335" i="29"/>
  <c r="N335" i="29"/>
  <c r="M335" i="29"/>
  <c r="L335" i="29"/>
  <c r="K335" i="29"/>
  <c r="T334" i="29"/>
  <c r="S334" i="29"/>
  <c r="R334" i="29"/>
  <c r="Q334" i="29"/>
  <c r="P334" i="29"/>
  <c r="O334" i="29"/>
  <c r="N334" i="29"/>
  <c r="M334" i="29"/>
  <c r="L334" i="29"/>
  <c r="K334" i="29"/>
  <c r="T333" i="29"/>
  <c r="S333" i="29"/>
  <c r="R333" i="29"/>
  <c r="Q333" i="29"/>
  <c r="P333" i="29"/>
  <c r="O333" i="29"/>
  <c r="N333" i="29"/>
  <c r="M333" i="29"/>
  <c r="L333" i="29"/>
  <c r="K333" i="29"/>
  <c r="T332" i="29"/>
  <c r="S332" i="29"/>
  <c r="R332" i="29"/>
  <c r="Q332" i="29"/>
  <c r="P332" i="29"/>
  <c r="O332" i="29"/>
  <c r="N332" i="29"/>
  <c r="M332" i="29"/>
  <c r="L332" i="29"/>
  <c r="K332" i="29"/>
  <c r="T331" i="29"/>
  <c r="S331" i="29"/>
  <c r="R331" i="29"/>
  <c r="Q331" i="29"/>
  <c r="P331" i="29"/>
  <c r="O331" i="29"/>
  <c r="N331" i="29"/>
  <c r="M331" i="29"/>
  <c r="L331" i="29"/>
  <c r="K331" i="29"/>
  <c r="T330" i="29"/>
  <c r="S330" i="29"/>
  <c r="R330" i="29"/>
  <c r="Q330" i="29"/>
  <c r="P330" i="29"/>
  <c r="O330" i="29"/>
  <c r="N330" i="29"/>
  <c r="M330" i="29"/>
  <c r="L330" i="29"/>
  <c r="K330" i="29"/>
  <c r="T329" i="29"/>
  <c r="S329" i="29"/>
  <c r="R329" i="29"/>
  <c r="Q329" i="29"/>
  <c r="P329" i="29"/>
  <c r="O329" i="29"/>
  <c r="N329" i="29"/>
  <c r="M329" i="29"/>
  <c r="L329" i="29"/>
  <c r="K329" i="29"/>
  <c r="T328" i="29"/>
  <c r="S328" i="29"/>
  <c r="R328" i="29"/>
  <c r="Q328" i="29"/>
  <c r="P328" i="29"/>
  <c r="O328" i="29"/>
  <c r="N328" i="29"/>
  <c r="M328" i="29"/>
  <c r="L328" i="29"/>
  <c r="K328" i="29"/>
  <c r="T327" i="29"/>
  <c r="S327" i="29"/>
  <c r="R327" i="29"/>
  <c r="Q327" i="29"/>
  <c r="P327" i="29"/>
  <c r="O327" i="29"/>
  <c r="N327" i="29"/>
  <c r="M327" i="29"/>
  <c r="L327" i="29"/>
  <c r="K327" i="29"/>
  <c r="T326" i="29"/>
  <c r="S326" i="29"/>
  <c r="R326" i="29"/>
  <c r="Q326" i="29"/>
  <c r="P326" i="29"/>
  <c r="O326" i="29"/>
  <c r="N326" i="29"/>
  <c r="M326" i="29"/>
  <c r="L326" i="29"/>
  <c r="K326" i="29"/>
  <c r="T325" i="29"/>
  <c r="S325" i="29"/>
  <c r="R325" i="29"/>
  <c r="Q325" i="29"/>
  <c r="P325" i="29"/>
  <c r="O325" i="29"/>
  <c r="N325" i="29"/>
  <c r="M325" i="29"/>
  <c r="L325" i="29"/>
  <c r="K325" i="29"/>
  <c r="T324" i="29"/>
  <c r="S324" i="29"/>
  <c r="R324" i="29"/>
  <c r="Q324" i="29"/>
  <c r="P324" i="29"/>
  <c r="O324" i="29"/>
  <c r="N324" i="29"/>
  <c r="M324" i="29"/>
  <c r="L324" i="29"/>
  <c r="K324" i="29"/>
  <c r="T323" i="29"/>
  <c r="S323" i="29"/>
  <c r="R323" i="29"/>
  <c r="Q323" i="29"/>
  <c r="P323" i="29"/>
  <c r="O323" i="29"/>
  <c r="N323" i="29"/>
  <c r="M323" i="29"/>
  <c r="L323" i="29"/>
  <c r="K323" i="29"/>
  <c r="T322" i="29"/>
  <c r="S322" i="29"/>
  <c r="R322" i="29"/>
  <c r="Q322" i="29"/>
  <c r="P322" i="29"/>
  <c r="O322" i="29"/>
  <c r="N322" i="29"/>
  <c r="M322" i="29"/>
  <c r="L322" i="29"/>
  <c r="K322" i="29"/>
  <c r="T321" i="29"/>
  <c r="S321" i="29"/>
  <c r="R321" i="29"/>
  <c r="Q321" i="29"/>
  <c r="P321" i="29"/>
  <c r="O321" i="29"/>
  <c r="N321" i="29"/>
  <c r="M321" i="29"/>
  <c r="L321" i="29"/>
  <c r="K321" i="29"/>
  <c r="T320" i="29"/>
  <c r="S320" i="29"/>
  <c r="R320" i="29"/>
  <c r="Q320" i="29"/>
  <c r="P320" i="29"/>
  <c r="O320" i="29"/>
  <c r="N320" i="29"/>
  <c r="M320" i="29"/>
  <c r="L320" i="29"/>
  <c r="K320" i="29"/>
  <c r="T319" i="29"/>
  <c r="S319" i="29"/>
  <c r="R319" i="29"/>
  <c r="Q319" i="29"/>
  <c r="P319" i="29"/>
  <c r="O319" i="29"/>
  <c r="N319" i="29"/>
  <c r="M319" i="29"/>
  <c r="L319" i="29"/>
  <c r="K319" i="29"/>
  <c r="T318" i="29"/>
  <c r="S318" i="29"/>
  <c r="R318" i="29"/>
  <c r="Q318" i="29"/>
  <c r="P318" i="29"/>
  <c r="O318" i="29"/>
  <c r="N318" i="29"/>
  <c r="M318" i="29"/>
  <c r="L318" i="29"/>
  <c r="K318" i="29"/>
  <c r="T317" i="29"/>
  <c r="S317" i="29"/>
  <c r="R317" i="29"/>
  <c r="Q317" i="29"/>
  <c r="P317" i="29"/>
  <c r="O317" i="29"/>
  <c r="N317" i="29"/>
  <c r="M317" i="29"/>
  <c r="L317" i="29"/>
  <c r="K317" i="29"/>
  <c r="T316" i="29"/>
  <c r="S316" i="29"/>
  <c r="R316" i="29"/>
  <c r="Q316" i="29"/>
  <c r="P316" i="29"/>
  <c r="O316" i="29"/>
  <c r="N316" i="29"/>
  <c r="M316" i="29"/>
  <c r="L316" i="29"/>
  <c r="K316" i="29"/>
  <c r="T315" i="29"/>
  <c r="S315" i="29"/>
  <c r="R315" i="29"/>
  <c r="Q315" i="29"/>
  <c r="P315" i="29"/>
  <c r="O315" i="29"/>
  <c r="N315" i="29"/>
  <c r="M315" i="29"/>
  <c r="L315" i="29"/>
  <c r="K315" i="29"/>
  <c r="T314" i="29"/>
  <c r="S314" i="29"/>
  <c r="R314" i="29"/>
  <c r="Q314" i="29"/>
  <c r="P314" i="29"/>
  <c r="O314" i="29"/>
  <c r="N314" i="29"/>
  <c r="M314" i="29"/>
  <c r="L314" i="29"/>
  <c r="K314" i="29"/>
  <c r="T313" i="29"/>
  <c r="S313" i="29"/>
  <c r="R313" i="29"/>
  <c r="Q313" i="29"/>
  <c r="P313" i="29"/>
  <c r="O313" i="29"/>
  <c r="N313" i="29"/>
  <c r="M313" i="29"/>
  <c r="L313" i="29"/>
  <c r="K313" i="29"/>
  <c r="T312" i="29"/>
  <c r="S312" i="29"/>
  <c r="R312" i="29"/>
  <c r="Q312" i="29"/>
  <c r="P312" i="29"/>
  <c r="O312" i="29"/>
  <c r="N312" i="29"/>
  <c r="M312" i="29"/>
  <c r="L312" i="29"/>
  <c r="K312" i="29"/>
  <c r="T311" i="29"/>
  <c r="S311" i="29"/>
  <c r="R311" i="29"/>
  <c r="Q311" i="29"/>
  <c r="P311" i="29"/>
  <c r="O311" i="29"/>
  <c r="N311" i="29"/>
  <c r="M311" i="29"/>
  <c r="L311" i="29"/>
  <c r="K311" i="29"/>
  <c r="T310" i="29"/>
  <c r="S310" i="29"/>
  <c r="R310" i="29"/>
  <c r="Q310" i="29"/>
  <c r="P310" i="29"/>
  <c r="O310" i="29"/>
  <c r="N310" i="29"/>
  <c r="M310" i="29"/>
  <c r="L310" i="29"/>
  <c r="K310" i="29"/>
  <c r="T309" i="29"/>
  <c r="S309" i="29"/>
  <c r="R309" i="29"/>
  <c r="Q309" i="29"/>
  <c r="P309" i="29"/>
  <c r="O309" i="29"/>
  <c r="N309" i="29"/>
  <c r="M309" i="29"/>
  <c r="L309" i="29"/>
  <c r="K309" i="29"/>
  <c r="T308" i="29"/>
  <c r="S308" i="29"/>
  <c r="R308" i="29"/>
  <c r="Q308" i="29"/>
  <c r="P308" i="29"/>
  <c r="O308" i="29"/>
  <c r="N308" i="29"/>
  <c r="M308" i="29"/>
  <c r="L308" i="29"/>
  <c r="K308" i="29"/>
  <c r="CV307" i="29"/>
  <c r="CU307" i="29"/>
  <c r="CT307" i="29"/>
  <c r="CS307" i="29"/>
  <c r="CR307" i="29"/>
  <c r="CQ307" i="29"/>
  <c r="CP307" i="29"/>
  <c r="CO307" i="29"/>
  <c r="CN307" i="29"/>
  <c r="CM307" i="29"/>
  <c r="CV306" i="29"/>
  <c r="CU306" i="29"/>
  <c r="CT306" i="29"/>
  <c r="CS306" i="29"/>
  <c r="CR306" i="29"/>
  <c r="CQ306" i="29"/>
  <c r="CP306" i="29"/>
  <c r="CO306" i="29"/>
  <c r="CN306" i="29"/>
  <c r="CM306" i="29"/>
  <c r="CV305" i="29"/>
  <c r="CU305" i="29"/>
  <c r="CT305" i="29"/>
  <c r="CS305" i="29"/>
  <c r="CR305" i="29"/>
  <c r="CQ305" i="29"/>
  <c r="CP305" i="29"/>
  <c r="CO305" i="29"/>
  <c r="CN305" i="29"/>
  <c r="CM305" i="29"/>
  <c r="CV304" i="29"/>
  <c r="CU304" i="29"/>
  <c r="CT304" i="29"/>
  <c r="CS304" i="29"/>
  <c r="CR304" i="29"/>
  <c r="CQ304" i="29"/>
  <c r="CP304" i="29"/>
  <c r="CO304" i="29"/>
  <c r="CN304" i="29"/>
  <c r="CM304" i="29"/>
  <c r="CV303" i="29"/>
  <c r="CU303" i="29"/>
  <c r="CT303" i="29"/>
  <c r="CS303" i="29"/>
  <c r="CR303" i="29"/>
  <c r="CQ303" i="29"/>
  <c r="CP303" i="29"/>
  <c r="CO303" i="29"/>
  <c r="CN303" i="29"/>
  <c r="CM303" i="29"/>
  <c r="CV302" i="29"/>
  <c r="CU302" i="29"/>
  <c r="CT302" i="29"/>
  <c r="CS302" i="29"/>
  <c r="CR302" i="29"/>
  <c r="CQ302" i="29"/>
  <c r="CP302" i="29"/>
  <c r="CO302" i="29"/>
  <c r="CN302" i="29"/>
  <c r="CM302" i="29"/>
  <c r="CV301" i="29"/>
  <c r="CU301" i="29"/>
  <c r="CT301" i="29"/>
  <c r="CS301" i="29"/>
  <c r="CR301" i="29"/>
  <c r="CQ301" i="29"/>
  <c r="CP301" i="29"/>
  <c r="CO301" i="29"/>
  <c r="CN301" i="29"/>
  <c r="CM301" i="29"/>
  <c r="CV300" i="29"/>
  <c r="CU300" i="29"/>
  <c r="CT300" i="29"/>
  <c r="CS300" i="29"/>
  <c r="CR300" i="29"/>
  <c r="CQ300" i="29"/>
  <c r="CP300" i="29"/>
  <c r="CO300" i="29"/>
  <c r="CN300" i="29"/>
  <c r="CM300" i="29"/>
  <c r="CV299" i="29"/>
  <c r="CU299" i="29"/>
  <c r="CT299" i="29"/>
  <c r="CS299" i="29"/>
  <c r="CR299" i="29"/>
  <c r="CQ299" i="29"/>
  <c r="CP299" i="29"/>
  <c r="CO299" i="29"/>
  <c r="CN299" i="29"/>
  <c r="CM299" i="29"/>
  <c r="CV298" i="29"/>
  <c r="CU298" i="29"/>
  <c r="CT298" i="29"/>
  <c r="CS298" i="29"/>
  <c r="CR298" i="29"/>
  <c r="CQ298" i="29"/>
  <c r="CP298" i="29"/>
  <c r="CO298" i="29"/>
  <c r="CN298" i="29"/>
  <c r="CM298" i="29"/>
  <c r="CV297" i="29"/>
  <c r="CU297" i="29"/>
  <c r="CT297" i="29"/>
  <c r="CS297" i="29"/>
  <c r="CR297" i="29"/>
  <c r="CQ297" i="29"/>
  <c r="CP297" i="29"/>
  <c r="CO297" i="29"/>
  <c r="CN297" i="29"/>
  <c r="CM297" i="29"/>
  <c r="CV296" i="29"/>
  <c r="CU296" i="29"/>
  <c r="CT296" i="29"/>
  <c r="CS296" i="29"/>
  <c r="CR296" i="29"/>
  <c r="CQ296" i="29"/>
  <c r="CP296" i="29"/>
  <c r="CO296" i="29"/>
  <c r="CN296" i="29"/>
  <c r="CM296" i="29"/>
  <c r="CV295" i="29"/>
  <c r="CU295" i="29"/>
  <c r="CT295" i="29"/>
  <c r="CS295" i="29"/>
  <c r="CR295" i="29"/>
  <c r="CQ295" i="29"/>
  <c r="CP295" i="29"/>
  <c r="CO295" i="29"/>
  <c r="CN295" i="29"/>
  <c r="CM295" i="29"/>
  <c r="CV294" i="29"/>
  <c r="CU294" i="29"/>
  <c r="CT294" i="29"/>
  <c r="CS294" i="29"/>
  <c r="CR294" i="29"/>
  <c r="CQ294" i="29"/>
  <c r="CP294" i="29"/>
  <c r="CO294" i="29"/>
  <c r="CN294" i="29"/>
  <c r="CM294" i="29"/>
  <c r="CV293" i="29"/>
  <c r="CU293" i="29"/>
  <c r="CT293" i="29"/>
  <c r="CS293" i="29"/>
  <c r="CR293" i="29"/>
  <c r="CQ293" i="29"/>
  <c r="CP293" i="29"/>
  <c r="CO293" i="29"/>
  <c r="CN293" i="29"/>
  <c r="CM293" i="29"/>
  <c r="CV292" i="29"/>
  <c r="CU292" i="29"/>
  <c r="CT292" i="29"/>
  <c r="CS292" i="29"/>
  <c r="CR292" i="29"/>
  <c r="CQ292" i="29"/>
  <c r="CP292" i="29"/>
  <c r="CO292" i="29"/>
  <c r="CN292" i="29"/>
  <c r="CM292" i="29"/>
  <c r="CV291" i="29"/>
  <c r="CU291" i="29"/>
  <c r="CT291" i="29"/>
  <c r="CS291" i="29"/>
  <c r="CR291" i="29"/>
  <c r="CQ291" i="29"/>
  <c r="CP291" i="29"/>
  <c r="CO291" i="29"/>
  <c r="CN291" i="29"/>
  <c r="CM291" i="29"/>
  <c r="CV290" i="29"/>
  <c r="CU290" i="29"/>
  <c r="CT290" i="29"/>
  <c r="CS290" i="29"/>
  <c r="CR290" i="29"/>
  <c r="CQ290" i="29"/>
  <c r="CP290" i="29"/>
  <c r="CO290" i="29"/>
  <c r="CN290" i="29"/>
  <c r="CM290" i="29"/>
  <c r="CV289" i="29"/>
  <c r="CU289" i="29"/>
  <c r="CT289" i="29"/>
  <c r="CS289" i="29"/>
  <c r="CR289" i="29"/>
  <c r="CQ289" i="29"/>
  <c r="CP289" i="29"/>
  <c r="CO289" i="29"/>
  <c r="CN289" i="29"/>
  <c r="CM289" i="29"/>
  <c r="CV288" i="29"/>
  <c r="CU288" i="29"/>
  <c r="CT288" i="29"/>
  <c r="CS288" i="29"/>
  <c r="CR288" i="29"/>
  <c r="CQ288" i="29"/>
  <c r="CP288" i="29"/>
  <c r="CO288" i="29"/>
  <c r="CN288" i="29"/>
  <c r="CM288" i="29"/>
  <c r="CV287" i="29"/>
  <c r="CU287" i="29"/>
  <c r="CT287" i="29"/>
  <c r="CS287" i="29"/>
  <c r="CR287" i="29"/>
  <c r="CQ287" i="29"/>
  <c r="CP287" i="29"/>
  <c r="CO287" i="29"/>
  <c r="CN287" i="29"/>
  <c r="CM287" i="29"/>
  <c r="CV286" i="29"/>
  <c r="CU286" i="29"/>
  <c r="CT286" i="29"/>
  <c r="CS286" i="29"/>
  <c r="CR286" i="29"/>
  <c r="CQ286" i="29"/>
  <c r="CP286" i="29"/>
  <c r="CO286" i="29"/>
  <c r="CN286" i="29"/>
  <c r="CM286" i="29"/>
  <c r="CV285" i="29"/>
  <c r="CU285" i="29"/>
  <c r="CT285" i="29"/>
  <c r="CS285" i="29"/>
  <c r="CR285" i="29"/>
  <c r="CQ285" i="29"/>
  <c r="CP285" i="29"/>
  <c r="CO285" i="29"/>
  <c r="CN285" i="29"/>
  <c r="CM285" i="29"/>
  <c r="CV284" i="29"/>
  <c r="CU284" i="29"/>
  <c r="CT284" i="29"/>
  <c r="CS284" i="29"/>
  <c r="CR284" i="29"/>
  <c r="CQ284" i="29"/>
  <c r="CP284" i="29"/>
  <c r="CO284" i="29"/>
  <c r="CN284" i="29"/>
  <c r="CM284" i="29"/>
  <c r="CV283" i="29"/>
  <c r="CU283" i="29"/>
  <c r="CT283" i="29"/>
  <c r="CS283" i="29"/>
  <c r="CR283" i="29"/>
  <c r="CQ283" i="29"/>
  <c r="CP283" i="29"/>
  <c r="CO283" i="29"/>
  <c r="CN283" i="29"/>
  <c r="CM283" i="29"/>
  <c r="CV282" i="29"/>
  <c r="CU282" i="29"/>
  <c r="CT282" i="29"/>
  <c r="CS282" i="29"/>
  <c r="CR282" i="29"/>
  <c r="CQ282" i="29"/>
  <c r="CP282" i="29"/>
  <c r="CO282" i="29"/>
  <c r="CN282" i="29"/>
  <c r="CM282" i="29"/>
  <c r="CV281" i="29"/>
  <c r="CU281" i="29"/>
  <c r="CT281" i="29"/>
  <c r="CS281" i="29"/>
  <c r="CR281" i="29"/>
  <c r="CQ281" i="29"/>
  <c r="CP281" i="29"/>
  <c r="CO281" i="29"/>
  <c r="CN281" i="29"/>
  <c r="CM281" i="29"/>
  <c r="CV280" i="29"/>
  <c r="CU280" i="29"/>
  <c r="CT280" i="29"/>
  <c r="CS280" i="29"/>
  <c r="CR280" i="29"/>
  <c r="CQ280" i="29"/>
  <c r="CP280" i="29"/>
  <c r="CO280" i="29"/>
  <c r="CN280" i="29"/>
  <c r="CM280" i="29"/>
  <c r="CV279" i="29"/>
  <c r="CU279" i="29"/>
  <c r="CT279" i="29"/>
  <c r="CS279" i="29"/>
  <c r="CR279" i="29"/>
  <c r="CQ279" i="29"/>
  <c r="CP279" i="29"/>
  <c r="CO279" i="29"/>
  <c r="CN279" i="29"/>
  <c r="CM279" i="29"/>
  <c r="CV278" i="29"/>
  <c r="CU278" i="29"/>
  <c r="CT278" i="29"/>
  <c r="CS278" i="29"/>
  <c r="CR278" i="29"/>
  <c r="CQ278" i="29"/>
  <c r="CP278" i="29"/>
  <c r="CO278" i="29"/>
  <c r="CN278" i="29"/>
  <c r="CM278" i="29"/>
  <c r="CV277" i="29"/>
  <c r="CU277" i="29"/>
  <c r="CT277" i="29"/>
  <c r="CS277" i="29"/>
  <c r="CR277" i="29"/>
  <c r="CQ277" i="29"/>
  <c r="CP277" i="29"/>
  <c r="CO277" i="29"/>
  <c r="CN277" i="29"/>
  <c r="CM277" i="29"/>
  <c r="BH307" i="29"/>
  <c r="BG307" i="29"/>
  <c r="BF307" i="29"/>
  <c r="BE307" i="29"/>
  <c r="BD307" i="29"/>
  <c r="BC307" i="29"/>
  <c r="BB307" i="29"/>
  <c r="BA307" i="29"/>
  <c r="AZ307" i="29"/>
  <c r="AY307" i="29"/>
  <c r="BH306" i="29"/>
  <c r="BG306" i="29"/>
  <c r="BF306" i="29"/>
  <c r="BE306" i="29"/>
  <c r="BD306" i="29"/>
  <c r="BC306" i="29"/>
  <c r="BB306" i="29"/>
  <c r="BA306" i="29"/>
  <c r="AZ306" i="29"/>
  <c r="AY306" i="29"/>
  <c r="BH305" i="29"/>
  <c r="BG305" i="29"/>
  <c r="BF305" i="29"/>
  <c r="BE305" i="29"/>
  <c r="BD305" i="29"/>
  <c r="BC305" i="29"/>
  <c r="BB305" i="29"/>
  <c r="BA305" i="29"/>
  <c r="AZ305" i="29"/>
  <c r="AY305" i="29"/>
  <c r="BH304" i="29"/>
  <c r="BG304" i="29"/>
  <c r="BF304" i="29"/>
  <c r="BE304" i="29"/>
  <c r="BD304" i="29"/>
  <c r="BC304" i="29"/>
  <c r="BB304" i="29"/>
  <c r="BA304" i="29"/>
  <c r="AZ304" i="29"/>
  <c r="AY304" i="29"/>
  <c r="BH303" i="29"/>
  <c r="BG303" i="29"/>
  <c r="BF303" i="29"/>
  <c r="BE303" i="29"/>
  <c r="BD303" i="29"/>
  <c r="BC303" i="29"/>
  <c r="BB303" i="29"/>
  <c r="BA303" i="29"/>
  <c r="AZ303" i="29"/>
  <c r="AY303" i="29"/>
  <c r="BH302" i="29"/>
  <c r="BG302" i="29"/>
  <c r="BF302" i="29"/>
  <c r="BE302" i="29"/>
  <c r="BD302" i="29"/>
  <c r="BC302" i="29"/>
  <c r="BB302" i="29"/>
  <c r="BA302" i="29"/>
  <c r="AZ302" i="29"/>
  <c r="AY302" i="29"/>
  <c r="BH301" i="29"/>
  <c r="BG301" i="29"/>
  <c r="BF301" i="29"/>
  <c r="BE301" i="29"/>
  <c r="BD301" i="29"/>
  <c r="BC301" i="29"/>
  <c r="BB301" i="29"/>
  <c r="BA301" i="29"/>
  <c r="AZ301" i="29"/>
  <c r="AY301" i="29"/>
  <c r="BH300" i="29"/>
  <c r="BG300" i="29"/>
  <c r="BF300" i="29"/>
  <c r="BE300" i="29"/>
  <c r="BD300" i="29"/>
  <c r="BC300" i="29"/>
  <c r="BB300" i="29"/>
  <c r="BA300" i="29"/>
  <c r="AZ300" i="29"/>
  <c r="AY300" i="29"/>
  <c r="BH299" i="29"/>
  <c r="BG299" i="29"/>
  <c r="BF299" i="29"/>
  <c r="BE299" i="29"/>
  <c r="BD299" i="29"/>
  <c r="BC299" i="29"/>
  <c r="BB299" i="29"/>
  <c r="BA299" i="29"/>
  <c r="AZ299" i="29"/>
  <c r="AY299" i="29"/>
  <c r="BH298" i="29"/>
  <c r="BG298" i="29"/>
  <c r="BF298" i="29"/>
  <c r="BE298" i="29"/>
  <c r="BD298" i="29"/>
  <c r="BC298" i="29"/>
  <c r="BB298" i="29"/>
  <c r="BA298" i="29"/>
  <c r="AZ298" i="29"/>
  <c r="AY298" i="29"/>
  <c r="BH297" i="29"/>
  <c r="BG297" i="29"/>
  <c r="BF297" i="29"/>
  <c r="BE297" i="29"/>
  <c r="BD297" i="29"/>
  <c r="BC297" i="29"/>
  <c r="BB297" i="29"/>
  <c r="BA297" i="29"/>
  <c r="AZ297" i="29"/>
  <c r="AY297" i="29"/>
  <c r="BH296" i="29"/>
  <c r="BG296" i="29"/>
  <c r="BF296" i="29"/>
  <c r="BE296" i="29"/>
  <c r="BD296" i="29"/>
  <c r="BC296" i="29"/>
  <c r="BB296" i="29"/>
  <c r="BA296" i="29"/>
  <c r="AZ296" i="29"/>
  <c r="AY296" i="29"/>
  <c r="BH295" i="29"/>
  <c r="BG295" i="29"/>
  <c r="BF295" i="29"/>
  <c r="BE295" i="29"/>
  <c r="BD295" i="29"/>
  <c r="BC295" i="29"/>
  <c r="BB295" i="29"/>
  <c r="BA295" i="29"/>
  <c r="AZ295" i="29"/>
  <c r="AY295" i="29"/>
  <c r="BH294" i="29"/>
  <c r="BG294" i="29"/>
  <c r="BF294" i="29"/>
  <c r="BE294" i="29"/>
  <c r="BD294" i="29"/>
  <c r="BC294" i="29"/>
  <c r="BB294" i="29"/>
  <c r="BA294" i="29"/>
  <c r="AZ294" i="29"/>
  <c r="AY294" i="29"/>
  <c r="BH293" i="29"/>
  <c r="BG293" i="29"/>
  <c r="BF293" i="29"/>
  <c r="BE293" i="29"/>
  <c r="BD293" i="29"/>
  <c r="BC293" i="29"/>
  <c r="BB293" i="29"/>
  <c r="BA293" i="29"/>
  <c r="AZ293" i="29"/>
  <c r="AY293" i="29"/>
  <c r="BH292" i="29"/>
  <c r="BG292" i="29"/>
  <c r="BF292" i="29"/>
  <c r="BE292" i="29"/>
  <c r="BD292" i="29"/>
  <c r="BC292" i="29"/>
  <c r="BB292" i="29"/>
  <c r="BA292" i="29"/>
  <c r="AZ292" i="29"/>
  <c r="AY292" i="29"/>
  <c r="BH291" i="29"/>
  <c r="BG291" i="29"/>
  <c r="BF291" i="29"/>
  <c r="BE291" i="29"/>
  <c r="BD291" i="29"/>
  <c r="BC291" i="29"/>
  <c r="BB291" i="29"/>
  <c r="BA291" i="29"/>
  <c r="AZ291" i="29"/>
  <c r="AY291" i="29"/>
  <c r="BH290" i="29"/>
  <c r="BG290" i="29"/>
  <c r="BF290" i="29"/>
  <c r="BE290" i="29"/>
  <c r="BD290" i="29"/>
  <c r="BC290" i="29"/>
  <c r="BB290" i="29"/>
  <c r="BA290" i="29"/>
  <c r="AZ290" i="29"/>
  <c r="AY290" i="29"/>
  <c r="BH289" i="29"/>
  <c r="BG289" i="29"/>
  <c r="BF289" i="29"/>
  <c r="BE289" i="29"/>
  <c r="BD289" i="29"/>
  <c r="BC289" i="29"/>
  <c r="BB289" i="29"/>
  <c r="BA289" i="29"/>
  <c r="AZ289" i="29"/>
  <c r="AY289" i="29"/>
  <c r="BH288" i="29"/>
  <c r="BG288" i="29"/>
  <c r="BF288" i="29"/>
  <c r="BE288" i="29"/>
  <c r="BD288" i="29"/>
  <c r="BC288" i="29"/>
  <c r="BB288" i="29"/>
  <c r="BA288" i="29"/>
  <c r="AZ288" i="29"/>
  <c r="AY288" i="29"/>
  <c r="BH287" i="29"/>
  <c r="BG287" i="29"/>
  <c r="BF287" i="29"/>
  <c r="BE287" i="29"/>
  <c r="BD287" i="29"/>
  <c r="BC287" i="29"/>
  <c r="BB287" i="29"/>
  <c r="BA287" i="29"/>
  <c r="AZ287" i="29"/>
  <c r="AY287" i="29"/>
  <c r="BH286" i="29"/>
  <c r="BG286" i="29"/>
  <c r="BF286" i="29"/>
  <c r="BE286" i="29"/>
  <c r="BD286" i="29"/>
  <c r="BC286" i="29"/>
  <c r="BB286" i="29"/>
  <c r="BA286" i="29"/>
  <c r="AZ286" i="29"/>
  <c r="AY286" i="29"/>
  <c r="BH285" i="29"/>
  <c r="BG285" i="29"/>
  <c r="BF285" i="29"/>
  <c r="BE285" i="29"/>
  <c r="BD285" i="29"/>
  <c r="BC285" i="29"/>
  <c r="BB285" i="29"/>
  <c r="BA285" i="29"/>
  <c r="AZ285" i="29"/>
  <c r="AY285" i="29"/>
  <c r="BH284" i="29"/>
  <c r="BG284" i="29"/>
  <c r="BF284" i="29"/>
  <c r="BE284" i="29"/>
  <c r="BD284" i="29"/>
  <c r="BC284" i="29"/>
  <c r="BB284" i="29"/>
  <c r="BA284" i="29"/>
  <c r="AZ284" i="29"/>
  <c r="AY284" i="29"/>
  <c r="BH283" i="29"/>
  <c r="BG283" i="29"/>
  <c r="BF283" i="29"/>
  <c r="BE283" i="29"/>
  <c r="BD283" i="29"/>
  <c r="BC283" i="29"/>
  <c r="BB283" i="29"/>
  <c r="BA283" i="29"/>
  <c r="AZ283" i="29"/>
  <c r="AY283" i="29"/>
  <c r="BH282" i="29"/>
  <c r="BG282" i="29"/>
  <c r="BF282" i="29"/>
  <c r="BE282" i="29"/>
  <c r="BD282" i="29"/>
  <c r="BC282" i="29"/>
  <c r="BB282" i="29"/>
  <c r="BA282" i="29"/>
  <c r="AZ282" i="29"/>
  <c r="AY282" i="29"/>
  <c r="BH281" i="29"/>
  <c r="BG281" i="29"/>
  <c r="BF281" i="29"/>
  <c r="BE281" i="29"/>
  <c r="BD281" i="29"/>
  <c r="BC281" i="29"/>
  <c r="BB281" i="29"/>
  <c r="BA281" i="29"/>
  <c r="AZ281" i="29"/>
  <c r="AY281" i="29"/>
  <c r="BH280" i="29"/>
  <c r="BG280" i="29"/>
  <c r="BF280" i="29"/>
  <c r="BE280" i="29"/>
  <c r="BD280" i="29"/>
  <c r="BC280" i="29"/>
  <c r="BB280" i="29"/>
  <c r="BA280" i="29"/>
  <c r="AZ280" i="29"/>
  <c r="AY280" i="29"/>
  <c r="BH279" i="29"/>
  <c r="BG279" i="29"/>
  <c r="BF279" i="29"/>
  <c r="BE279" i="29"/>
  <c r="BD279" i="29"/>
  <c r="BC279" i="29"/>
  <c r="BB279" i="29"/>
  <c r="BA279" i="29"/>
  <c r="AZ279" i="29"/>
  <c r="AY279" i="29"/>
  <c r="BH278" i="29"/>
  <c r="BG278" i="29"/>
  <c r="BF278" i="29"/>
  <c r="BE278" i="29"/>
  <c r="BD278" i="29"/>
  <c r="BC278" i="29"/>
  <c r="BB278" i="29"/>
  <c r="BA278" i="29"/>
  <c r="AZ278" i="29"/>
  <c r="AY278" i="29"/>
  <c r="BH277" i="29"/>
  <c r="BG277" i="29"/>
  <c r="BF277" i="29"/>
  <c r="BE277" i="29"/>
  <c r="BD277" i="29"/>
  <c r="BC277" i="29"/>
  <c r="BB277" i="29"/>
  <c r="BA277" i="29"/>
  <c r="AZ277" i="29"/>
  <c r="AY277" i="29"/>
  <c r="T307" i="29"/>
  <c r="S307" i="29"/>
  <c r="R307" i="29"/>
  <c r="Q307" i="29"/>
  <c r="P307" i="29"/>
  <c r="O307" i="29"/>
  <c r="N307" i="29"/>
  <c r="M307" i="29"/>
  <c r="L307" i="29"/>
  <c r="K307" i="29"/>
  <c r="T306" i="29"/>
  <c r="S306" i="29"/>
  <c r="R306" i="29"/>
  <c r="Q306" i="29"/>
  <c r="P306" i="29"/>
  <c r="O306" i="29"/>
  <c r="N306" i="29"/>
  <c r="M306" i="29"/>
  <c r="L306" i="29"/>
  <c r="K306" i="29"/>
  <c r="T305" i="29"/>
  <c r="S305" i="29"/>
  <c r="R305" i="29"/>
  <c r="Q305" i="29"/>
  <c r="P305" i="29"/>
  <c r="O305" i="29"/>
  <c r="N305" i="29"/>
  <c r="M305" i="29"/>
  <c r="L305" i="29"/>
  <c r="K305" i="29"/>
  <c r="T304" i="29"/>
  <c r="S304" i="29"/>
  <c r="R304" i="29"/>
  <c r="Q304" i="29"/>
  <c r="P304" i="29"/>
  <c r="O304" i="29"/>
  <c r="N304" i="29"/>
  <c r="M304" i="29"/>
  <c r="L304" i="29"/>
  <c r="K304" i="29"/>
  <c r="T303" i="29"/>
  <c r="S303" i="29"/>
  <c r="R303" i="29"/>
  <c r="Q303" i="29"/>
  <c r="P303" i="29"/>
  <c r="O303" i="29"/>
  <c r="N303" i="29"/>
  <c r="M303" i="29"/>
  <c r="L303" i="29"/>
  <c r="K303" i="29"/>
  <c r="T302" i="29"/>
  <c r="S302" i="29"/>
  <c r="R302" i="29"/>
  <c r="Q302" i="29"/>
  <c r="P302" i="29"/>
  <c r="O302" i="29"/>
  <c r="N302" i="29"/>
  <c r="M302" i="29"/>
  <c r="L302" i="29"/>
  <c r="K302" i="29"/>
  <c r="T301" i="29"/>
  <c r="S301" i="29"/>
  <c r="R301" i="29"/>
  <c r="Q301" i="29"/>
  <c r="P301" i="29"/>
  <c r="O301" i="29"/>
  <c r="N301" i="29"/>
  <c r="M301" i="29"/>
  <c r="L301" i="29"/>
  <c r="K301" i="29"/>
  <c r="T300" i="29"/>
  <c r="S300" i="29"/>
  <c r="R300" i="29"/>
  <c r="Q300" i="29"/>
  <c r="P300" i="29"/>
  <c r="O300" i="29"/>
  <c r="N300" i="29"/>
  <c r="M300" i="29"/>
  <c r="L300" i="29"/>
  <c r="K300" i="29"/>
  <c r="T299" i="29"/>
  <c r="S299" i="29"/>
  <c r="R299" i="29"/>
  <c r="Q299" i="29"/>
  <c r="P299" i="29"/>
  <c r="O299" i="29"/>
  <c r="N299" i="29"/>
  <c r="M299" i="29"/>
  <c r="L299" i="29"/>
  <c r="K299" i="29"/>
  <c r="T298" i="29"/>
  <c r="S298" i="29"/>
  <c r="R298" i="29"/>
  <c r="Q298" i="29"/>
  <c r="P298" i="29"/>
  <c r="O298" i="29"/>
  <c r="N298" i="29"/>
  <c r="M298" i="29"/>
  <c r="L298" i="29"/>
  <c r="K298" i="29"/>
  <c r="T297" i="29"/>
  <c r="S297" i="29"/>
  <c r="R297" i="29"/>
  <c r="Q297" i="29"/>
  <c r="P297" i="29"/>
  <c r="O297" i="29"/>
  <c r="N297" i="29"/>
  <c r="M297" i="29"/>
  <c r="L297" i="29"/>
  <c r="K297" i="29"/>
  <c r="T296" i="29"/>
  <c r="S296" i="29"/>
  <c r="R296" i="29"/>
  <c r="Q296" i="29"/>
  <c r="P296" i="29"/>
  <c r="O296" i="29"/>
  <c r="N296" i="29"/>
  <c r="M296" i="29"/>
  <c r="L296" i="29"/>
  <c r="K296" i="29"/>
  <c r="T295" i="29"/>
  <c r="S295" i="29"/>
  <c r="R295" i="29"/>
  <c r="Q295" i="29"/>
  <c r="P295" i="29"/>
  <c r="O295" i="29"/>
  <c r="N295" i="29"/>
  <c r="M295" i="29"/>
  <c r="L295" i="29"/>
  <c r="K295" i="29"/>
  <c r="T294" i="29"/>
  <c r="S294" i="29"/>
  <c r="R294" i="29"/>
  <c r="Q294" i="29"/>
  <c r="P294" i="29"/>
  <c r="O294" i="29"/>
  <c r="N294" i="29"/>
  <c r="M294" i="29"/>
  <c r="L294" i="29"/>
  <c r="K294" i="29"/>
  <c r="T293" i="29"/>
  <c r="S293" i="29"/>
  <c r="R293" i="29"/>
  <c r="Q293" i="29"/>
  <c r="P293" i="29"/>
  <c r="O293" i="29"/>
  <c r="N293" i="29"/>
  <c r="M293" i="29"/>
  <c r="L293" i="29"/>
  <c r="K293" i="29"/>
  <c r="T292" i="29"/>
  <c r="S292" i="29"/>
  <c r="R292" i="29"/>
  <c r="Q292" i="29"/>
  <c r="P292" i="29"/>
  <c r="O292" i="29"/>
  <c r="N292" i="29"/>
  <c r="M292" i="29"/>
  <c r="L292" i="29"/>
  <c r="K292" i="29"/>
  <c r="T291" i="29"/>
  <c r="S291" i="29"/>
  <c r="R291" i="29"/>
  <c r="Q291" i="29"/>
  <c r="P291" i="29"/>
  <c r="O291" i="29"/>
  <c r="N291" i="29"/>
  <c r="M291" i="29"/>
  <c r="L291" i="29"/>
  <c r="K291" i="29"/>
  <c r="T290" i="29"/>
  <c r="S290" i="29"/>
  <c r="R290" i="29"/>
  <c r="Q290" i="29"/>
  <c r="P290" i="29"/>
  <c r="O290" i="29"/>
  <c r="N290" i="29"/>
  <c r="M290" i="29"/>
  <c r="L290" i="29"/>
  <c r="K290" i="29"/>
  <c r="T289" i="29"/>
  <c r="S289" i="29"/>
  <c r="R289" i="29"/>
  <c r="Q289" i="29"/>
  <c r="P289" i="29"/>
  <c r="O289" i="29"/>
  <c r="N289" i="29"/>
  <c r="M289" i="29"/>
  <c r="L289" i="29"/>
  <c r="K289" i="29"/>
  <c r="T288" i="29"/>
  <c r="S288" i="29"/>
  <c r="R288" i="29"/>
  <c r="Q288" i="29"/>
  <c r="P288" i="29"/>
  <c r="O288" i="29"/>
  <c r="N288" i="29"/>
  <c r="M288" i="29"/>
  <c r="L288" i="29"/>
  <c r="K288" i="29"/>
  <c r="T287" i="29"/>
  <c r="S287" i="29"/>
  <c r="R287" i="29"/>
  <c r="Q287" i="29"/>
  <c r="P287" i="29"/>
  <c r="O287" i="29"/>
  <c r="N287" i="29"/>
  <c r="M287" i="29"/>
  <c r="L287" i="29"/>
  <c r="K287" i="29"/>
  <c r="T286" i="29"/>
  <c r="S286" i="29"/>
  <c r="R286" i="29"/>
  <c r="Q286" i="29"/>
  <c r="P286" i="29"/>
  <c r="O286" i="29"/>
  <c r="N286" i="29"/>
  <c r="M286" i="29"/>
  <c r="L286" i="29"/>
  <c r="K286" i="29"/>
  <c r="T285" i="29"/>
  <c r="S285" i="29"/>
  <c r="R285" i="29"/>
  <c r="Q285" i="29"/>
  <c r="P285" i="29"/>
  <c r="O285" i="29"/>
  <c r="N285" i="29"/>
  <c r="M285" i="29"/>
  <c r="L285" i="29"/>
  <c r="K285" i="29"/>
  <c r="T284" i="29"/>
  <c r="S284" i="29"/>
  <c r="R284" i="29"/>
  <c r="Q284" i="29"/>
  <c r="P284" i="29"/>
  <c r="O284" i="29"/>
  <c r="N284" i="29"/>
  <c r="M284" i="29"/>
  <c r="L284" i="29"/>
  <c r="K284" i="29"/>
  <c r="T283" i="29"/>
  <c r="S283" i="29"/>
  <c r="R283" i="29"/>
  <c r="Q283" i="29"/>
  <c r="P283" i="29"/>
  <c r="O283" i="29"/>
  <c r="N283" i="29"/>
  <c r="M283" i="29"/>
  <c r="L283" i="29"/>
  <c r="K283" i="29"/>
  <c r="T282" i="29"/>
  <c r="S282" i="29"/>
  <c r="R282" i="29"/>
  <c r="Q282" i="29"/>
  <c r="P282" i="29"/>
  <c r="O282" i="29"/>
  <c r="N282" i="29"/>
  <c r="M282" i="29"/>
  <c r="L282" i="29"/>
  <c r="K282" i="29"/>
  <c r="T281" i="29"/>
  <c r="S281" i="29"/>
  <c r="R281" i="29"/>
  <c r="Q281" i="29"/>
  <c r="P281" i="29"/>
  <c r="O281" i="29"/>
  <c r="N281" i="29"/>
  <c r="M281" i="29"/>
  <c r="L281" i="29"/>
  <c r="K281" i="29"/>
  <c r="T280" i="29"/>
  <c r="S280" i="29"/>
  <c r="R280" i="29"/>
  <c r="Q280" i="29"/>
  <c r="P280" i="29"/>
  <c r="O280" i="29"/>
  <c r="N280" i="29"/>
  <c r="M280" i="29"/>
  <c r="L280" i="29"/>
  <c r="K280" i="29"/>
  <c r="T279" i="29"/>
  <c r="S279" i="29"/>
  <c r="R279" i="29"/>
  <c r="Q279" i="29"/>
  <c r="P279" i="29"/>
  <c r="O279" i="29"/>
  <c r="N279" i="29"/>
  <c r="M279" i="29"/>
  <c r="L279" i="29"/>
  <c r="K279" i="29"/>
  <c r="T278" i="29"/>
  <c r="S278" i="29"/>
  <c r="R278" i="29"/>
  <c r="Q278" i="29"/>
  <c r="P278" i="29"/>
  <c r="O278" i="29"/>
  <c r="N278" i="29"/>
  <c r="M278" i="29"/>
  <c r="L278" i="29"/>
  <c r="K278" i="29"/>
  <c r="T277" i="29"/>
  <c r="S277" i="29"/>
  <c r="R277" i="29"/>
  <c r="Q277" i="29"/>
  <c r="P277" i="29"/>
  <c r="O277" i="29"/>
  <c r="N277" i="29"/>
  <c r="M277" i="29"/>
  <c r="L277" i="29"/>
  <c r="K277" i="29"/>
  <c r="CV276" i="29"/>
  <c r="CU276" i="29"/>
  <c r="CT276" i="29"/>
  <c r="CS276" i="29"/>
  <c r="CR276" i="29"/>
  <c r="CQ276" i="29"/>
  <c r="CP276" i="29"/>
  <c r="CO276" i="29"/>
  <c r="CN276" i="29"/>
  <c r="CM276" i="29"/>
  <c r="CV275" i="29"/>
  <c r="CU275" i="29"/>
  <c r="CT275" i="29"/>
  <c r="CS275" i="29"/>
  <c r="CR275" i="29"/>
  <c r="CQ275" i="29"/>
  <c r="CP275" i="29"/>
  <c r="CO275" i="29"/>
  <c r="CN275" i="29"/>
  <c r="CM275" i="29"/>
  <c r="CV274" i="29"/>
  <c r="CU274" i="29"/>
  <c r="CT274" i="29"/>
  <c r="CS274" i="29"/>
  <c r="CR274" i="29"/>
  <c r="CQ274" i="29"/>
  <c r="CP274" i="29"/>
  <c r="CO274" i="29"/>
  <c r="CN274" i="29"/>
  <c r="CM274" i="29"/>
  <c r="CV273" i="29"/>
  <c r="CU273" i="29"/>
  <c r="CT273" i="29"/>
  <c r="CS273" i="29"/>
  <c r="CR273" i="29"/>
  <c r="CQ273" i="29"/>
  <c r="CP273" i="29"/>
  <c r="CO273" i="29"/>
  <c r="CN273" i="29"/>
  <c r="CM273" i="29"/>
  <c r="CV272" i="29"/>
  <c r="CU272" i="29"/>
  <c r="CT272" i="29"/>
  <c r="CS272" i="29"/>
  <c r="CR272" i="29"/>
  <c r="CQ272" i="29"/>
  <c r="CP272" i="29"/>
  <c r="CO272" i="29"/>
  <c r="CN272" i="29"/>
  <c r="CM272" i="29"/>
  <c r="CV271" i="29"/>
  <c r="CU271" i="29"/>
  <c r="CT271" i="29"/>
  <c r="CS271" i="29"/>
  <c r="CR271" i="29"/>
  <c r="CQ271" i="29"/>
  <c r="CP271" i="29"/>
  <c r="CO271" i="29"/>
  <c r="CN271" i="29"/>
  <c r="CM271" i="29"/>
  <c r="CV270" i="29"/>
  <c r="CU270" i="29"/>
  <c r="CT270" i="29"/>
  <c r="CS270" i="29"/>
  <c r="CR270" i="29"/>
  <c r="CQ270" i="29"/>
  <c r="CP270" i="29"/>
  <c r="CO270" i="29"/>
  <c r="CN270" i="29"/>
  <c r="CM270" i="29"/>
  <c r="CV269" i="29"/>
  <c r="CU269" i="29"/>
  <c r="CT269" i="29"/>
  <c r="CS269" i="29"/>
  <c r="CR269" i="29"/>
  <c r="CQ269" i="29"/>
  <c r="CP269" i="29"/>
  <c r="CO269" i="29"/>
  <c r="CN269" i="29"/>
  <c r="CM269" i="29"/>
  <c r="CV268" i="29"/>
  <c r="CU268" i="29"/>
  <c r="CT268" i="29"/>
  <c r="CS268" i="29"/>
  <c r="CR268" i="29"/>
  <c r="CQ268" i="29"/>
  <c r="CP268" i="29"/>
  <c r="CO268" i="29"/>
  <c r="CN268" i="29"/>
  <c r="CM268" i="29"/>
  <c r="CV267" i="29"/>
  <c r="CU267" i="29"/>
  <c r="CT267" i="29"/>
  <c r="CS267" i="29"/>
  <c r="CR267" i="29"/>
  <c r="CQ267" i="29"/>
  <c r="CP267" i="29"/>
  <c r="CO267" i="29"/>
  <c r="CN267" i="29"/>
  <c r="CM267" i="29"/>
  <c r="CV266" i="29"/>
  <c r="CU266" i="29"/>
  <c r="CT266" i="29"/>
  <c r="CS266" i="29"/>
  <c r="CR266" i="29"/>
  <c r="CQ266" i="29"/>
  <c r="CP266" i="29"/>
  <c r="CO266" i="29"/>
  <c r="CN266" i="29"/>
  <c r="CM266" i="29"/>
  <c r="CV265" i="29"/>
  <c r="CU265" i="29"/>
  <c r="CT265" i="29"/>
  <c r="CS265" i="29"/>
  <c r="CR265" i="29"/>
  <c r="CQ265" i="29"/>
  <c r="CP265" i="29"/>
  <c r="CO265" i="29"/>
  <c r="CN265" i="29"/>
  <c r="CM265" i="29"/>
  <c r="CV264" i="29"/>
  <c r="CU264" i="29"/>
  <c r="CT264" i="29"/>
  <c r="CS264" i="29"/>
  <c r="CR264" i="29"/>
  <c r="CQ264" i="29"/>
  <c r="CP264" i="29"/>
  <c r="CO264" i="29"/>
  <c r="CN264" i="29"/>
  <c r="CM264" i="29"/>
  <c r="CV263" i="29"/>
  <c r="CU263" i="29"/>
  <c r="CT263" i="29"/>
  <c r="CS263" i="29"/>
  <c r="CR263" i="29"/>
  <c r="CQ263" i="29"/>
  <c r="CP263" i="29"/>
  <c r="CO263" i="29"/>
  <c r="CN263" i="29"/>
  <c r="CM263" i="29"/>
  <c r="CV262" i="29"/>
  <c r="CU262" i="29"/>
  <c r="CT262" i="29"/>
  <c r="CS262" i="29"/>
  <c r="CR262" i="29"/>
  <c r="CQ262" i="29"/>
  <c r="CP262" i="29"/>
  <c r="CO262" i="29"/>
  <c r="CN262" i="29"/>
  <c r="CM262" i="29"/>
  <c r="CV261" i="29"/>
  <c r="CU261" i="29"/>
  <c r="CT261" i="29"/>
  <c r="CS261" i="29"/>
  <c r="CR261" i="29"/>
  <c r="CQ261" i="29"/>
  <c r="CP261" i="29"/>
  <c r="CO261" i="29"/>
  <c r="CN261" i="29"/>
  <c r="CM261" i="29"/>
  <c r="CV260" i="29"/>
  <c r="CU260" i="29"/>
  <c r="CT260" i="29"/>
  <c r="CS260" i="29"/>
  <c r="CR260" i="29"/>
  <c r="CQ260" i="29"/>
  <c r="CP260" i="29"/>
  <c r="CO260" i="29"/>
  <c r="CN260" i="29"/>
  <c r="CM260" i="29"/>
  <c r="CV259" i="29"/>
  <c r="CU259" i="29"/>
  <c r="CT259" i="29"/>
  <c r="CS259" i="29"/>
  <c r="CR259" i="29"/>
  <c r="CQ259" i="29"/>
  <c r="CP259" i="29"/>
  <c r="CO259" i="29"/>
  <c r="CN259" i="29"/>
  <c r="CM259" i="29"/>
  <c r="CV258" i="29"/>
  <c r="CU258" i="29"/>
  <c r="CT258" i="29"/>
  <c r="CS258" i="29"/>
  <c r="CR258" i="29"/>
  <c r="CQ258" i="29"/>
  <c r="CP258" i="29"/>
  <c r="CO258" i="29"/>
  <c r="CN258" i="29"/>
  <c r="CM258" i="29"/>
  <c r="CV257" i="29"/>
  <c r="CU257" i="29"/>
  <c r="CT257" i="29"/>
  <c r="CS257" i="29"/>
  <c r="CR257" i="29"/>
  <c r="CQ257" i="29"/>
  <c r="CP257" i="29"/>
  <c r="CO257" i="29"/>
  <c r="CN257" i="29"/>
  <c r="CM257" i="29"/>
  <c r="CV256" i="29"/>
  <c r="CU256" i="29"/>
  <c r="CT256" i="29"/>
  <c r="CS256" i="29"/>
  <c r="CR256" i="29"/>
  <c r="CQ256" i="29"/>
  <c r="CP256" i="29"/>
  <c r="CO256" i="29"/>
  <c r="CN256" i="29"/>
  <c r="CM256" i="29"/>
  <c r="CV255" i="29"/>
  <c r="CU255" i="29"/>
  <c r="CT255" i="29"/>
  <c r="CS255" i="29"/>
  <c r="CR255" i="29"/>
  <c r="CQ255" i="29"/>
  <c r="CP255" i="29"/>
  <c r="CO255" i="29"/>
  <c r="CN255" i="29"/>
  <c r="CM255" i="29"/>
  <c r="CV254" i="29"/>
  <c r="CU254" i="29"/>
  <c r="CT254" i="29"/>
  <c r="CS254" i="29"/>
  <c r="CR254" i="29"/>
  <c r="CQ254" i="29"/>
  <c r="CP254" i="29"/>
  <c r="CO254" i="29"/>
  <c r="CN254" i="29"/>
  <c r="CM254" i="29"/>
  <c r="CV253" i="29"/>
  <c r="CU253" i="29"/>
  <c r="CT253" i="29"/>
  <c r="CS253" i="29"/>
  <c r="CR253" i="29"/>
  <c r="CQ253" i="29"/>
  <c r="CP253" i="29"/>
  <c r="CO253" i="29"/>
  <c r="CN253" i="29"/>
  <c r="CM253" i="29"/>
  <c r="CV252" i="29"/>
  <c r="CU252" i="29"/>
  <c r="CT252" i="29"/>
  <c r="CS252" i="29"/>
  <c r="CR252" i="29"/>
  <c r="CQ252" i="29"/>
  <c r="CP252" i="29"/>
  <c r="CO252" i="29"/>
  <c r="CN252" i="29"/>
  <c r="CM252" i="29"/>
  <c r="CV251" i="29"/>
  <c r="CU251" i="29"/>
  <c r="CT251" i="29"/>
  <c r="CS251" i="29"/>
  <c r="CR251" i="29"/>
  <c r="CQ251" i="29"/>
  <c r="CP251" i="29"/>
  <c r="CO251" i="29"/>
  <c r="CN251" i="29"/>
  <c r="CM251" i="29"/>
  <c r="CV250" i="29"/>
  <c r="CU250" i="29"/>
  <c r="CT250" i="29"/>
  <c r="CS250" i="29"/>
  <c r="CR250" i="29"/>
  <c r="CQ250" i="29"/>
  <c r="CP250" i="29"/>
  <c r="CO250" i="29"/>
  <c r="CN250" i="29"/>
  <c r="CM250" i="29"/>
  <c r="CV249" i="29"/>
  <c r="CU249" i="29"/>
  <c r="CT249" i="29"/>
  <c r="CS249" i="29"/>
  <c r="CR249" i="29"/>
  <c r="CQ249" i="29"/>
  <c r="CP249" i="29"/>
  <c r="CO249" i="29"/>
  <c r="CN249" i="29"/>
  <c r="CM249" i="29"/>
  <c r="CV248" i="29"/>
  <c r="CU248" i="29"/>
  <c r="CT248" i="29"/>
  <c r="CS248" i="29"/>
  <c r="CR248" i="29"/>
  <c r="CQ248" i="29"/>
  <c r="CP248" i="29"/>
  <c r="CO248" i="29"/>
  <c r="CN248" i="29"/>
  <c r="CM248" i="29"/>
  <c r="CV247" i="29"/>
  <c r="CU247" i="29"/>
  <c r="CT247" i="29"/>
  <c r="CS247" i="29"/>
  <c r="CR247" i="29"/>
  <c r="CQ247" i="29"/>
  <c r="CP247" i="29"/>
  <c r="CO247" i="29"/>
  <c r="CN247" i="29"/>
  <c r="CM247" i="29"/>
  <c r="BH276" i="29"/>
  <c r="BG276" i="29"/>
  <c r="BF276" i="29"/>
  <c r="BE276" i="29"/>
  <c r="BD276" i="29"/>
  <c r="BC276" i="29"/>
  <c r="BB276" i="29"/>
  <c r="BA276" i="29"/>
  <c r="AZ276" i="29"/>
  <c r="AY276" i="29"/>
  <c r="BH275" i="29"/>
  <c r="BG275" i="29"/>
  <c r="BF275" i="29"/>
  <c r="BE275" i="29"/>
  <c r="BD275" i="29"/>
  <c r="BC275" i="29"/>
  <c r="BB275" i="29"/>
  <c r="BA275" i="29"/>
  <c r="AZ275" i="29"/>
  <c r="AY275" i="29"/>
  <c r="BH274" i="29"/>
  <c r="BG274" i="29"/>
  <c r="BF274" i="29"/>
  <c r="BE274" i="29"/>
  <c r="BD274" i="29"/>
  <c r="BC274" i="29"/>
  <c r="BB274" i="29"/>
  <c r="BA274" i="29"/>
  <c r="AZ274" i="29"/>
  <c r="AY274" i="29"/>
  <c r="BH273" i="29"/>
  <c r="BG273" i="29"/>
  <c r="BF273" i="29"/>
  <c r="BE273" i="29"/>
  <c r="BD273" i="29"/>
  <c r="BC273" i="29"/>
  <c r="BB273" i="29"/>
  <c r="BA273" i="29"/>
  <c r="AZ273" i="29"/>
  <c r="AY273" i="29"/>
  <c r="BH272" i="29"/>
  <c r="BG272" i="29"/>
  <c r="BF272" i="29"/>
  <c r="BE272" i="29"/>
  <c r="BD272" i="29"/>
  <c r="BC272" i="29"/>
  <c r="BB272" i="29"/>
  <c r="BA272" i="29"/>
  <c r="AZ272" i="29"/>
  <c r="AY272" i="29"/>
  <c r="BH271" i="29"/>
  <c r="BG271" i="29"/>
  <c r="BF271" i="29"/>
  <c r="BE271" i="29"/>
  <c r="BD271" i="29"/>
  <c r="BC271" i="29"/>
  <c r="BB271" i="29"/>
  <c r="BA271" i="29"/>
  <c r="AZ271" i="29"/>
  <c r="AY271" i="29"/>
  <c r="BH270" i="29"/>
  <c r="BG270" i="29"/>
  <c r="BF270" i="29"/>
  <c r="BE270" i="29"/>
  <c r="BD270" i="29"/>
  <c r="BC270" i="29"/>
  <c r="BB270" i="29"/>
  <c r="BA270" i="29"/>
  <c r="AZ270" i="29"/>
  <c r="AY270" i="29"/>
  <c r="BH269" i="29"/>
  <c r="BG269" i="29"/>
  <c r="BF269" i="29"/>
  <c r="BE269" i="29"/>
  <c r="BD269" i="29"/>
  <c r="BC269" i="29"/>
  <c r="BB269" i="29"/>
  <c r="BA269" i="29"/>
  <c r="AZ269" i="29"/>
  <c r="AY269" i="29"/>
  <c r="BH268" i="29"/>
  <c r="BG268" i="29"/>
  <c r="BF268" i="29"/>
  <c r="BE268" i="29"/>
  <c r="BD268" i="29"/>
  <c r="BC268" i="29"/>
  <c r="BB268" i="29"/>
  <c r="BA268" i="29"/>
  <c r="AZ268" i="29"/>
  <c r="AY268" i="29"/>
  <c r="BH267" i="29"/>
  <c r="BG267" i="29"/>
  <c r="BF267" i="29"/>
  <c r="BE267" i="29"/>
  <c r="BD267" i="29"/>
  <c r="BC267" i="29"/>
  <c r="BB267" i="29"/>
  <c r="BA267" i="29"/>
  <c r="AZ267" i="29"/>
  <c r="AY267" i="29"/>
  <c r="BH266" i="29"/>
  <c r="BG266" i="29"/>
  <c r="BF266" i="29"/>
  <c r="BE266" i="29"/>
  <c r="BD266" i="29"/>
  <c r="BC266" i="29"/>
  <c r="BB266" i="29"/>
  <c r="BA266" i="29"/>
  <c r="AZ266" i="29"/>
  <c r="AY266" i="29"/>
  <c r="BH265" i="29"/>
  <c r="BG265" i="29"/>
  <c r="BF265" i="29"/>
  <c r="BE265" i="29"/>
  <c r="BD265" i="29"/>
  <c r="BC265" i="29"/>
  <c r="BB265" i="29"/>
  <c r="BA265" i="29"/>
  <c r="AZ265" i="29"/>
  <c r="AY265" i="29"/>
  <c r="BH264" i="29"/>
  <c r="BG264" i="29"/>
  <c r="BF264" i="29"/>
  <c r="BE264" i="29"/>
  <c r="BD264" i="29"/>
  <c r="BC264" i="29"/>
  <c r="BB264" i="29"/>
  <c r="BA264" i="29"/>
  <c r="AZ264" i="29"/>
  <c r="AY264" i="29"/>
  <c r="BH263" i="29"/>
  <c r="BG263" i="29"/>
  <c r="BF263" i="29"/>
  <c r="BE263" i="29"/>
  <c r="BD263" i="29"/>
  <c r="BC263" i="29"/>
  <c r="BB263" i="29"/>
  <c r="BA263" i="29"/>
  <c r="AZ263" i="29"/>
  <c r="AY263" i="29"/>
  <c r="BH262" i="29"/>
  <c r="BG262" i="29"/>
  <c r="BF262" i="29"/>
  <c r="BE262" i="29"/>
  <c r="BD262" i="29"/>
  <c r="BC262" i="29"/>
  <c r="BB262" i="29"/>
  <c r="BA262" i="29"/>
  <c r="AZ262" i="29"/>
  <c r="AY262" i="29"/>
  <c r="BH261" i="29"/>
  <c r="BG261" i="29"/>
  <c r="BF261" i="29"/>
  <c r="BE261" i="29"/>
  <c r="BD261" i="29"/>
  <c r="BC261" i="29"/>
  <c r="BB261" i="29"/>
  <c r="BA261" i="29"/>
  <c r="AZ261" i="29"/>
  <c r="AY261" i="29"/>
  <c r="BH260" i="29"/>
  <c r="BG260" i="29"/>
  <c r="BF260" i="29"/>
  <c r="BE260" i="29"/>
  <c r="BD260" i="29"/>
  <c r="BC260" i="29"/>
  <c r="BB260" i="29"/>
  <c r="BA260" i="29"/>
  <c r="AZ260" i="29"/>
  <c r="AY260" i="29"/>
  <c r="BH259" i="29"/>
  <c r="BG259" i="29"/>
  <c r="BF259" i="29"/>
  <c r="BE259" i="29"/>
  <c r="BD259" i="29"/>
  <c r="BC259" i="29"/>
  <c r="BB259" i="29"/>
  <c r="BA259" i="29"/>
  <c r="AZ259" i="29"/>
  <c r="AY259" i="29"/>
  <c r="BH258" i="29"/>
  <c r="BG258" i="29"/>
  <c r="BF258" i="29"/>
  <c r="BE258" i="29"/>
  <c r="BD258" i="29"/>
  <c r="BC258" i="29"/>
  <c r="BB258" i="29"/>
  <c r="BA258" i="29"/>
  <c r="AZ258" i="29"/>
  <c r="AY258" i="29"/>
  <c r="BH257" i="29"/>
  <c r="BG257" i="29"/>
  <c r="BF257" i="29"/>
  <c r="BE257" i="29"/>
  <c r="BD257" i="29"/>
  <c r="BC257" i="29"/>
  <c r="BB257" i="29"/>
  <c r="BA257" i="29"/>
  <c r="AZ257" i="29"/>
  <c r="AY257" i="29"/>
  <c r="BH256" i="29"/>
  <c r="BG256" i="29"/>
  <c r="BF256" i="29"/>
  <c r="BE256" i="29"/>
  <c r="BD256" i="29"/>
  <c r="BC256" i="29"/>
  <c r="BB256" i="29"/>
  <c r="BA256" i="29"/>
  <c r="AZ256" i="29"/>
  <c r="AY256" i="29"/>
  <c r="BH255" i="29"/>
  <c r="BG255" i="29"/>
  <c r="BF255" i="29"/>
  <c r="BE255" i="29"/>
  <c r="BD255" i="29"/>
  <c r="BC255" i="29"/>
  <c r="BB255" i="29"/>
  <c r="BA255" i="29"/>
  <c r="AZ255" i="29"/>
  <c r="AY255" i="29"/>
  <c r="BH254" i="29"/>
  <c r="BG254" i="29"/>
  <c r="BF254" i="29"/>
  <c r="BE254" i="29"/>
  <c r="BD254" i="29"/>
  <c r="BC254" i="29"/>
  <c r="BB254" i="29"/>
  <c r="BA254" i="29"/>
  <c r="AZ254" i="29"/>
  <c r="AY254" i="29"/>
  <c r="BH253" i="29"/>
  <c r="BG253" i="29"/>
  <c r="BF253" i="29"/>
  <c r="BE253" i="29"/>
  <c r="BD253" i="29"/>
  <c r="BC253" i="29"/>
  <c r="BB253" i="29"/>
  <c r="BA253" i="29"/>
  <c r="AZ253" i="29"/>
  <c r="AY253" i="29"/>
  <c r="BH252" i="29"/>
  <c r="BG252" i="29"/>
  <c r="BF252" i="29"/>
  <c r="BE252" i="29"/>
  <c r="BD252" i="29"/>
  <c r="BC252" i="29"/>
  <c r="BB252" i="29"/>
  <c r="BA252" i="29"/>
  <c r="AZ252" i="29"/>
  <c r="AY252" i="29"/>
  <c r="BH251" i="29"/>
  <c r="BG251" i="29"/>
  <c r="BF251" i="29"/>
  <c r="BE251" i="29"/>
  <c r="BD251" i="29"/>
  <c r="BC251" i="29"/>
  <c r="BB251" i="29"/>
  <c r="BA251" i="29"/>
  <c r="AZ251" i="29"/>
  <c r="AY251" i="29"/>
  <c r="BH250" i="29"/>
  <c r="BG250" i="29"/>
  <c r="BF250" i="29"/>
  <c r="BE250" i="29"/>
  <c r="BD250" i="29"/>
  <c r="BC250" i="29"/>
  <c r="BB250" i="29"/>
  <c r="BA250" i="29"/>
  <c r="AZ250" i="29"/>
  <c r="AY250" i="29"/>
  <c r="BH249" i="29"/>
  <c r="BG249" i="29"/>
  <c r="BF249" i="29"/>
  <c r="BE249" i="29"/>
  <c r="BD249" i="29"/>
  <c r="BC249" i="29"/>
  <c r="BB249" i="29"/>
  <c r="BA249" i="29"/>
  <c r="AZ249" i="29"/>
  <c r="AY249" i="29"/>
  <c r="BH248" i="29"/>
  <c r="BG248" i="29"/>
  <c r="BF248" i="29"/>
  <c r="BE248" i="29"/>
  <c r="BD248" i="29"/>
  <c r="BC248" i="29"/>
  <c r="BB248" i="29"/>
  <c r="BA248" i="29"/>
  <c r="AZ248" i="29"/>
  <c r="AY248" i="29"/>
  <c r="BH247" i="29"/>
  <c r="BG247" i="29"/>
  <c r="BF247" i="29"/>
  <c r="BE247" i="29"/>
  <c r="BD247" i="29"/>
  <c r="BC247" i="29"/>
  <c r="BB247" i="29"/>
  <c r="BA247" i="29"/>
  <c r="AZ247" i="29"/>
  <c r="AY247" i="29"/>
  <c r="T276" i="29"/>
  <c r="S276" i="29"/>
  <c r="R276" i="29"/>
  <c r="Q276" i="29"/>
  <c r="P276" i="29"/>
  <c r="O276" i="29"/>
  <c r="N276" i="29"/>
  <c r="M276" i="29"/>
  <c r="L276" i="29"/>
  <c r="K276" i="29"/>
  <c r="T275" i="29"/>
  <c r="S275" i="29"/>
  <c r="R275" i="29"/>
  <c r="Q275" i="29"/>
  <c r="P275" i="29"/>
  <c r="O275" i="29"/>
  <c r="N275" i="29"/>
  <c r="M275" i="29"/>
  <c r="L275" i="29"/>
  <c r="K275" i="29"/>
  <c r="T274" i="29"/>
  <c r="S274" i="29"/>
  <c r="R274" i="29"/>
  <c r="Q274" i="29"/>
  <c r="P274" i="29"/>
  <c r="O274" i="29"/>
  <c r="N274" i="29"/>
  <c r="M274" i="29"/>
  <c r="L274" i="29"/>
  <c r="K274" i="29"/>
  <c r="T273" i="29"/>
  <c r="S273" i="29"/>
  <c r="R273" i="29"/>
  <c r="Q273" i="29"/>
  <c r="P273" i="29"/>
  <c r="O273" i="29"/>
  <c r="N273" i="29"/>
  <c r="M273" i="29"/>
  <c r="L273" i="29"/>
  <c r="K273" i="29"/>
  <c r="T272" i="29"/>
  <c r="S272" i="29"/>
  <c r="R272" i="29"/>
  <c r="Q272" i="29"/>
  <c r="P272" i="29"/>
  <c r="O272" i="29"/>
  <c r="N272" i="29"/>
  <c r="M272" i="29"/>
  <c r="L272" i="29"/>
  <c r="K272" i="29"/>
  <c r="T271" i="29"/>
  <c r="S271" i="29"/>
  <c r="R271" i="29"/>
  <c r="Q271" i="29"/>
  <c r="P271" i="29"/>
  <c r="O271" i="29"/>
  <c r="N271" i="29"/>
  <c r="M271" i="29"/>
  <c r="L271" i="29"/>
  <c r="K271" i="29"/>
  <c r="T270" i="29"/>
  <c r="S270" i="29"/>
  <c r="R270" i="29"/>
  <c r="Q270" i="29"/>
  <c r="P270" i="29"/>
  <c r="O270" i="29"/>
  <c r="N270" i="29"/>
  <c r="M270" i="29"/>
  <c r="L270" i="29"/>
  <c r="K270" i="29"/>
  <c r="T269" i="29"/>
  <c r="S269" i="29"/>
  <c r="R269" i="29"/>
  <c r="Q269" i="29"/>
  <c r="P269" i="29"/>
  <c r="O269" i="29"/>
  <c r="N269" i="29"/>
  <c r="M269" i="29"/>
  <c r="L269" i="29"/>
  <c r="K269" i="29"/>
  <c r="T268" i="29"/>
  <c r="S268" i="29"/>
  <c r="R268" i="29"/>
  <c r="Q268" i="29"/>
  <c r="P268" i="29"/>
  <c r="O268" i="29"/>
  <c r="N268" i="29"/>
  <c r="M268" i="29"/>
  <c r="L268" i="29"/>
  <c r="K268" i="29"/>
  <c r="T267" i="29"/>
  <c r="S267" i="29"/>
  <c r="R267" i="29"/>
  <c r="Q267" i="29"/>
  <c r="P267" i="29"/>
  <c r="O267" i="29"/>
  <c r="N267" i="29"/>
  <c r="M267" i="29"/>
  <c r="L267" i="29"/>
  <c r="K267" i="29"/>
  <c r="T266" i="29"/>
  <c r="S266" i="29"/>
  <c r="R266" i="29"/>
  <c r="Q266" i="29"/>
  <c r="P266" i="29"/>
  <c r="O266" i="29"/>
  <c r="N266" i="29"/>
  <c r="M266" i="29"/>
  <c r="L266" i="29"/>
  <c r="K266" i="29"/>
  <c r="T265" i="29"/>
  <c r="S265" i="29"/>
  <c r="R265" i="29"/>
  <c r="Q265" i="29"/>
  <c r="P265" i="29"/>
  <c r="O265" i="29"/>
  <c r="N265" i="29"/>
  <c r="M265" i="29"/>
  <c r="L265" i="29"/>
  <c r="K265" i="29"/>
  <c r="T264" i="29"/>
  <c r="S264" i="29"/>
  <c r="R264" i="29"/>
  <c r="Q264" i="29"/>
  <c r="P264" i="29"/>
  <c r="O264" i="29"/>
  <c r="N264" i="29"/>
  <c r="M264" i="29"/>
  <c r="L264" i="29"/>
  <c r="K264" i="29"/>
  <c r="T263" i="29"/>
  <c r="S263" i="29"/>
  <c r="R263" i="29"/>
  <c r="Q263" i="29"/>
  <c r="P263" i="29"/>
  <c r="O263" i="29"/>
  <c r="N263" i="29"/>
  <c r="M263" i="29"/>
  <c r="L263" i="29"/>
  <c r="K263" i="29"/>
  <c r="T262" i="29"/>
  <c r="S262" i="29"/>
  <c r="R262" i="29"/>
  <c r="Q262" i="29"/>
  <c r="P262" i="29"/>
  <c r="O262" i="29"/>
  <c r="N262" i="29"/>
  <c r="M262" i="29"/>
  <c r="L262" i="29"/>
  <c r="K262" i="29"/>
  <c r="T261" i="29"/>
  <c r="S261" i="29"/>
  <c r="R261" i="29"/>
  <c r="Q261" i="29"/>
  <c r="P261" i="29"/>
  <c r="O261" i="29"/>
  <c r="N261" i="29"/>
  <c r="M261" i="29"/>
  <c r="L261" i="29"/>
  <c r="K261" i="29"/>
  <c r="T260" i="29"/>
  <c r="S260" i="29"/>
  <c r="R260" i="29"/>
  <c r="Q260" i="29"/>
  <c r="P260" i="29"/>
  <c r="O260" i="29"/>
  <c r="N260" i="29"/>
  <c r="M260" i="29"/>
  <c r="L260" i="29"/>
  <c r="K260" i="29"/>
  <c r="T259" i="29"/>
  <c r="S259" i="29"/>
  <c r="R259" i="29"/>
  <c r="Q259" i="29"/>
  <c r="P259" i="29"/>
  <c r="O259" i="29"/>
  <c r="N259" i="29"/>
  <c r="M259" i="29"/>
  <c r="L259" i="29"/>
  <c r="K259" i="29"/>
  <c r="T258" i="29"/>
  <c r="S258" i="29"/>
  <c r="R258" i="29"/>
  <c r="Q258" i="29"/>
  <c r="P258" i="29"/>
  <c r="O258" i="29"/>
  <c r="N258" i="29"/>
  <c r="M258" i="29"/>
  <c r="L258" i="29"/>
  <c r="K258" i="29"/>
  <c r="T257" i="29"/>
  <c r="S257" i="29"/>
  <c r="R257" i="29"/>
  <c r="Q257" i="29"/>
  <c r="P257" i="29"/>
  <c r="O257" i="29"/>
  <c r="N257" i="29"/>
  <c r="M257" i="29"/>
  <c r="L257" i="29"/>
  <c r="K257" i="29"/>
  <c r="T256" i="29"/>
  <c r="S256" i="29"/>
  <c r="R256" i="29"/>
  <c r="Q256" i="29"/>
  <c r="P256" i="29"/>
  <c r="O256" i="29"/>
  <c r="N256" i="29"/>
  <c r="M256" i="29"/>
  <c r="L256" i="29"/>
  <c r="K256" i="29"/>
  <c r="T255" i="29"/>
  <c r="S255" i="29"/>
  <c r="R255" i="29"/>
  <c r="Q255" i="29"/>
  <c r="P255" i="29"/>
  <c r="O255" i="29"/>
  <c r="N255" i="29"/>
  <c r="M255" i="29"/>
  <c r="L255" i="29"/>
  <c r="K255" i="29"/>
  <c r="T254" i="29"/>
  <c r="S254" i="29"/>
  <c r="R254" i="29"/>
  <c r="Q254" i="29"/>
  <c r="P254" i="29"/>
  <c r="O254" i="29"/>
  <c r="N254" i="29"/>
  <c r="M254" i="29"/>
  <c r="L254" i="29"/>
  <c r="K254" i="29"/>
  <c r="T253" i="29"/>
  <c r="S253" i="29"/>
  <c r="R253" i="29"/>
  <c r="Q253" i="29"/>
  <c r="P253" i="29"/>
  <c r="O253" i="29"/>
  <c r="N253" i="29"/>
  <c r="M253" i="29"/>
  <c r="L253" i="29"/>
  <c r="K253" i="29"/>
  <c r="T252" i="29"/>
  <c r="S252" i="29"/>
  <c r="R252" i="29"/>
  <c r="Q252" i="29"/>
  <c r="P252" i="29"/>
  <c r="O252" i="29"/>
  <c r="N252" i="29"/>
  <c r="M252" i="29"/>
  <c r="L252" i="29"/>
  <c r="K252" i="29"/>
  <c r="T251" i="29"/>
  <c r="S251" i="29"/>
  <c r="R251" i="29"/>
  <c r="Q251" i="29"/>
  <c r="P251" i="29"/>
  <c r="O251" i="29"/>
  <c r="N251" i="29"/>
  <c r="M251" i="29"/>
  <c r="L251" i="29"/>
  <c r="K251" i="29"/>
  <c r="T250" i="29"/>
  <c r="S250" i="29"/>
  <c r="R250" i="29"/>
  <c r="Q250" i="29"/>
  <c r="P250" i="29"/>
  <c r="O250" i="29"/>
  <c r="N250" i="29"/>
  <c r="M250" i="29"/>
  <c r="L250" i="29"/>
  <c r="K250" i="29"/>
  <c r="T249" i="29"/>
  <c r="S249" i="29"/>
  <c r="R249" i="29"/>
  <c r="Q249" i="29"/>
  <c r="P249" i="29"/>
  <c r="O249" i="29"/>
  <c r="N249" i="29"/>
  <c r="M249" i="29"/>
  <c r="L249" i="29"/>
  <c r="K249" i="29"/>
  <c r="T248" i="29"/>
  <c r="S248" i="29"/>
  <c r="R248" i="29"/>
  <c r="Q248" i="29"/>
  <c r="P248" i="29"/>
  <c r="O248" i="29"/>
  <c r="N248" i="29"/>
  <c r="M248" i="29"/>
  <c r="L248" i="29"/>
  <c r="K248" i="29"/>
  <c r="T247" i="29"/>
  <c r="S247" i="29"/>
  <c r="R247" i="29"/>
  <c r="Q247" i="29"/>
  <c r="P247" i="29"/>
  <c r="O247" i="29"/>
  <c r="N247" i="29"/>
  <c r="M247" i="29"/>
  <c r="L247" i="29"/>
  <c r="K247" i="29"/>
  <c r="CV246" i="29"/>
  <c r="CU246" i="29"/>
  <c r="CT246" i="29"/>
  <c r="CS246" i="29"/>
  <c r="CR246" i="29"/>
  <c r="CQ246" i="29"/>
  <c r="CP246" i="29"/>
  <c r="CO246" i="29"/>
  <c r="CN246" i="29"/>
  <c r="CM246" i="29"/>
  <c r="CV245" i="29"/>
  <c r="CU245" i="29"/>
  <c r="CT245" i="29"/>
  <c r="CS245" i="29"/>
  <c r="CR245" i="29"/>
  <c r="CQ245" i="29"/>
  <c r="CP245" i="29"/>
  <c r="CO245" i="29"/>
  <c r="CN245" i="29"/>
  <c r="CM245" i="29"/>
  <c r="CV244" i="29"/>
  <c r="CU244" i="29"/>
  <c r="CT244" i="29"/>
  <c r="CS244" i="29"/>
  <c r="CR244" i="29"/>
  <c r="CQ244" i="29"/>
  <c r="CP244" i="29"/>
  <c r="CO244" i="29"/>
  <c r="CN244" i="29"/>
  <c r="CM244" i="29"/>
  <c r="CV243" i="29"/>
  <c r="CU243" i="29"/>
  <c r="CT243" i="29"/>
  <c r="CS243" i="29"/>
  <c r="CR243" i="29"/>
  <c r="CQ243" i="29"/>
  <c r="CP243" i="29"/>
  <c r="CO243" i="29"/>
  <c r="CN243" i="29"/>
  <c r="CM243" i="29"/>
  <c r="CV242" i="29"/>
  <c r="CU242" i="29"/>
  <c r="CT242" i="29"/>
  <c r="CS242" i="29"/>
  <c r="CR242" i="29"/>
  <c r="CQ242" i="29"/>
  <c r="CP242" i="29"/>
  <c r="CO242" i="29"/>
  <c r="CN242" i="29"/>
  <c r="CM242" i="29"/>
  <c r="CV241" i="29"/>
  <c r="CU241" i="29"/>
  <c r="CT241" i="29"/>
  <c r="CS241" i="29"/>
  <c r="CR241" i="29"/>
  <c r="CQ241" i="29"/>
  <c r="CP241" i="29"/>
  <c r="CO241" i="29"/>
  <c r="CN241" i="29"/>
  <c r="CM241" i="29"/>
  <c r="CV240" i="29"/>
  <c r="CU240" i="29"/>
  <c r="CT240" i="29"/>
  <c r="CS240" i="29"/>
  <c r="CR240" i="29"/>
  <c r="CQ240" i="29"/>
  <c r="CP240" i="29"/>
  <c r="CO240" i="29"/>
  <c r="CN240" i="29"/>
  <c r="CM240" i="29"/>
  <c r="CV239" i="29"/>
  <c r="CU239" i="29"/>
  <c r="CT239" i="29"/>
  <c r="CS239" i="29"/>
  <c r="CR239" i="29"/>
  <c r="CQ239" i="29"/>
  <c r="CP239" i="29"/>
  <c r="CO239" i="29"/>
  <c r="CN239" i="29"/>
  <c r="CM239" i="29"/>
  <c r="CV238" i="29"/>
  <c r="CU238" i="29"/>
  <c r="CT238" i="29"/>
  <c r="CS238" i="29"/>
  <c r="CR238" i="29"/>
  <c r="CQ238" i="29"/>
  <c r="CP238" i="29"/>
  <c r="CO238" i="29"/>
  <c r="CN238" i="29"/>
  <c r="CM238" i="29"/>
  <c r="CV237" i="29"/>
  <c r="CU237" i="29"/>
  <c r="CT237" i="29"/>
  <c r="CS237" i="29"/>
  <c r="CR237" i="29"/>
  <c r="CQ237" i="29"/>
  <c r="CP237" i="29"/>
  <c r="CO237" i="29"/>
  <c r="CN237" i="29"/>
  <c r="CM237" i="29"/>
  <c r="CV236" i="29"/>
  <c r="CU236" i="29"/>
  <c r="CT236" i="29"/>
  <c r="CS236" i="29"/>
  <c r="CR236" i="29"/>
  <c r="CQ236" i="29"/>
  <c r="CP236" i="29"/>
  <c r="CO236" i="29"/>
  <c r="CN236" i="29"/>
  <c r="CM236" i="29"/>
  <c r="CV235" i="29"/>
  <c r="CU235" i="29"/>
  <c r="CT235" i="29"/>
  <c r="CS235" i="29"/>
  <c r="CR235" i="29"/>
  <c r="CQ235" i="29"/>
  <c r="CP235" i="29"/>
  <c r="CO235" i="29"/>
  <c r="CN235" i="29"/>
  <c r="CM235" i="29"/>
  <c r="CV234" i="29"/>
  <c r="CU234" i="29"/>
  <c r="CT234" i="29"/>
  <c r="CS234" i="29"/>
  <c r="CR234" i="29"/>
  <c r="CQ234" i="29"/>
  <c r="CP234" i="29"/>
  <c r="CO234" i="29"/>
  <c r="CN234" i="29"/>
  <c r="CM234" i="29"/>
  <c r="CV233" i="29"/>
  <c r="CU233" i="29"/>
  <c r="CT233" i="29"/>
  <c r="CS233" i="29"/>
  <c r="CR233" i="29"/>
  <c r="CQ233" i="29"/>
  <c r="CP233" i="29"/>
  <c r="CO233" i="29"/>
  <c r="CN233" i="29"/>
  <c r="CM233" i="29"/>
  <c r="CV232" i="29"/>
  <c r="CU232" i="29"/>
  <c r="CT232" i="29"/>
  <c r="CS232" i="29"/>
  <c r="CR232" i="29"/>
  <c r="CQ232" i="29"/>
  <c r="CP232" i="29"/>
  <c r="CO232" i="29"/>
  <c r="CN232" i="29"/>
  <c r="CM232" i="29"/>
  <c r="CV231" i="29"/>
  <c r="CU231" i="29"/>
  <c r="CT231" i="29"/>
  <c r="CS231" i="29"/>
  <c r="CR231" i="29"/>
  <c r="CQ231" i="29"/>
  <c r="CP231" i="29"/>
  <c r="CO231" i="29"/>
  <c r="CN231" i="29"/>
  <c r="CM231" i="29"/>
  <c r="CV230" i="29"/>
  <c r="CU230" i="29"/>
  <c r="CT230" i="29"/>
  <c r="CS230" i="29"/>
  <c r="CR230" i="29"/>
  <c r="CQ230" i="29"/>
  <c r="CP230" i="29"/>
  <c r="CO230" i="29"/>
  <c r="CN230" i="29"/>
  <c r="CM230" i="29"/>
  <c r="CV229" i="29"/>
  <c r="CU229" i="29"/>
  <c r="CT229" i="29"/>
  <c r="CS229" i="29"/>
  <c r="CR229" i="29"/>
  <c r="CQ229" i="29"/>
  <c r="CP229" i="29"/>
  <c r="CO229" i="29"/>
  <c r="CN229" i="29"/>
  <c r="CM229" i="29"/>
  <c r="CV228" i="29"/>
  <c r="CU228" i="29"/>
  <c r="CT228" i="29"/>
  <c r="CS228" i="29"/>
  <c r="CR228" i="29"/>
  <c r="CQ228" i="29"/>
  <c r="CP228" i="29"/>
  <c r="CO228" i="29"/>
  <c r="CN228" i="29"/>
  <c r="CM228" i="29"/>
  <c r="CV227" i="29"/>
  <c r="CU227" i="29"/>
  <c r="CT227" i="29"/>
  <c r="CS227" i="29"/>
  <c r="CR227" i="29"/>
  <c r="CQ227" i="29"/>
  <c r="CP227" i="29"/>
  <c r="CO227" i="29"/>
  <c r="CN227" i="29"/>
  <c r="CM227" i="29"/>
  <c r="CV226" i="29"/>
  <c r="CU226" i="29"/>
  <c r="CT226" i="29"/>
  <c r="CS226" i="29"/>
  <c r="CR226" i="29"/>
  <c r="CQ226" i="29"/>
  <c r="CP226" i="29"/>
  <c r="CO226" i="29"/>
  <c r="CN226" i="29"/>
  <c r="CM226" i="29"/>
  <c r="CV225" i="29"/>
  <c r="CU225" i="29"/>
  <c r="CT225" i="29"/>
  <c r="CS225" i="29"/>
  <c r="CR225" i="29"/>
  <c r="CQ225" i="29"/>
  <c r="CP225" i="29"/>
  <c r="CO225" i="29"/>
  <c r="CN225" i="29"/>
  <c r="CM225" i="29"/>
  <c r="CV224" i="29"/>
  <c r="CU224" i="29"/>
  <c r="CT224" i="29"/>
  <c r="CS224" i="29"/>
  <c r="CR224" i="29"/>
  <c r="CQ224" i="29"/>
  <c r="CP224" i="29"/>
  <c r="CO224" i="29"/>
  <c r="CN224" i="29"/>
  <c r="CM224" i="29"/>
  <c r="CV223" i="29"/>
  <c r="CU223" i="29"/>
  <c r="CT223" i="29"/>
  <c r="CS223" i="29"/>
  <c r="CR223" i="29"/>
  <c r="CQ223" i="29"/>
  <c r="CP223" i="29"/>
  <c r="CO223" i="29"/>
  <c r="CN223" i="29"/>
  <c r="CM223" i="29"/>
  <c r="CV222" i="29"/>
  <c r="CU222" i="29"/>
  <c r="CT222" i="29"/>
  <c r="CS222" i="29"/>
  <c r="CR222" i="29"/>
  <c r="CQ222" i="29"/>
  <c r="CP222" i="29"/>
  <c r="CO222" i="29"/>
  <c r="CN222" i="29"/>
  <c r="CM222" i="29"/>
  <c r="CV221" i="29"/>
  <c r="CU221" i="29"/>
  <c r="CT221" i="29"/>
  <c r="CS221" i="29"/>
  <c r="CR221" i="29"/>
  <c r="CQ221" i="29"/>
  <c r="CP221" i="29"/>
  <c r="CO221" i="29"/>
  <c r="CN221" i="29"/>
  <c r="CM221" i="29"/>
  <c r="CV220" i="29"/>
  <c r="CU220" i="29"/>
  <c r="CT220" i="29"/>
  <c r="CS220" i="29"/>
  <c r="CR220" i="29"/>
  <c r="CQ220" i="29"/>
  <c r="CP220" i="29"/>
  <c r="CO220" i="29"/>
  <c r="CN220" i="29"/>
  <c r="CM220" i="29"/>
  <c r="CV219" i="29"/>
  <c r="CU219" i="29"/>
  <c r="CT219" i="29"/>
  <c r="CS219" i="29"/>
  <c r="CR219" i="29"/>
  <c r="CQ219" i="29"/>
  <c r="CP219" i="29"/>
  <c r="CO219" i="29"/>
  <c r="CN219" i="29"/>
  <c r="CM219" i="29"/>
  <c r="CV218" i="29"/>
  <c r="CU218" i="29"/>
  <c r="CT218" i="29"/>
  <c r="CS218" i="29"/>
  <c r="CR218" i="29"/>
  <c r="CQ218" i="29"/>
  <c r="CP218" i="29"/>
  <c r="CO218" i="29"/>
  <c r="CN218" i="29"/>
  <c r="CM218" i="29"/>
  <c r="CV217" i="29"/>
  <c r="CU217" i="29"/>
  <c r="CT217" i="29"/>
  <c r="CS217" i="29"/>
  <c r="CR217" i="29"/>
  <c r="CQ217" i="29"/>
  <c r="CP217" i="29"/>
  <c r="CO217" i="29"/>
  <c r="CN217" i="29"/>
  <c r="CM217" i="29"/>
  <c r="CV216" i="29"/>
  <c r="CU216" i="29"/>
  <c r="CT216" i="29"/>
  <c r="CS216" i="29"/>
  <c r="CR216" i="29"/>
  <c r="CQ216" i="29"/>
  <c r="CP216" i="29"/>
  <c r="CO216" i="29"/>
  <c r="CN216" i="29"/>
  <c r="CM216" i="29"/>
  <c r="BH246" i="29"/>
  <c r="BG246" i="29"/>
  <c r="BF246" i="29"/>
  <c r="BE246" i="29"/>
  <c r="BD246" i="29"/>
  <c r="BC246" i="29"/>
  <c r="BB246" i="29"/>
  <c r="BA246" i="29"/>
  <c r="AZ246" i="29"/>
  <c r="AY246" i="29"/>
  <c r="BH245" i="29"/>
  <c r="BG245" i="29"/>
  <c r="BF245" i="29"/>
  <c r="BE245" i="29"/>
  <c r="BD245" i="29"/>
  <c r="BC245" i="29"/>
  <c r="BB245" i="29"/>
  <c r="BA245" i="29"/>
  <c r="AZ245" i="29"/>
  <c r="AY245" i="29"/>
  <c r="BH244" i="29"/>
  <c r="BG244" i="29"/>
  <c r="BF244" i="29"/>
  <c r="BE244" i="29"/>
  <c r="BD244" i="29"/>
  <c r="BC244" i="29"/>
  <c r="BB244" i="29"/>
  <c r="BA244" i="29"/>
  <c r="AZ244" i="29"/>
  <c r="AY244" i="29"/>
  <c r="BH243" i="29"/>
  <c r="BG243" i="29"/>
  <c r="BF243" i="29"/>
  <c r="BE243" i="29"/>
  <c r="BD243" i="29"/>
  <c r="BC243" i="29"/>
  <c r="BB243" i="29"/>
  <c r="BA243" i="29"/>
  <c r="AZ243" i="29"/>
  <c r="AY243" i="29"/>
  <c r="BH242" i="29"/>
  <c r="BG242" i="29"/>
  <c r="BF242" i="29"/>
  <c r="BE242" i="29"/>
  <c r="BD242" i="29"/>
  <c r="BC242" i="29"/>
  <c r="BB242" i="29"/>
  <c r="BA242" i="29"/>
  <c r="AZ242" i="29"/>
  <c r="AY242" i="29"/>
  <c r="BH241" i="29"/>
  <c r="BG241" i="29"/>
  <c r="BF241" i="29"/>
  <c r="BE241" i="29"/>
  <c r="BD241" i="29"/>
  <c r="BC241" i="29"/>
  <c r="BB241" i="29"/>
  <c r="BA241" i="29"/>
  <c r="AZ241" i="29"/>
  <c r="AY241" i="29"/>
  <c r="BH240" i="29"/>
  <c r="BG240" i="29"/>
  <c r="BF240" i="29"/>
  <c r="BE240" i="29"/>
  <c r="BD240" i="29"/>
  <c r="BC240" i="29"/>
  <c r="BB240" i="29"/>
  <c r="BA240" i="29"/>
  <c r="AZ240" i="29"/>
  <c r="AY240" i="29"/>
  <c r="BH239" i="29"/>
  <c r="BG239" i="29"/>
  <c r="BF239" i="29"/>
  <c r="BE239" i="29"/>
  <c r="BD239" i="29"/>
  <c r="BC239" i="29"/>
  <c r="BB239" i="29"/>
  <c r="BA239" i="29"/>
  <c r="AZ239" i="29"/>
  <c r="AY239" i="29"/>
  <c r="BH238" i="29"/>
  <c r="BG238" i="29"/>
  <c r="BF238" i="29"/>
  <c r="BE238" i="29"/>
  <c r="BD238" i="29"/>
  <c r="BC238" i="29"/>
  <c r="BB238" i="29"/>
  <c r="BA238" i="29"/>
  <c r="AZ238" i="29"/>
  <c r="AY238" i="29"/>
  <c r="BH237" i="29"/>
  <c r="BG237" i="29"/>
  <c r="BF237" i="29"/>
  <c r="BE237" i="29"/>
  <c r="BD237" i="29"/>
  <c r="BC237" i="29"/>
  <c r="BB237" i="29"/>
  <c r="BA237" i="29"/>
  <c r="AZ237" i="29"/>
  <c r="AY237" i="29"/>
  <c r="BH236" i="29"/>
  <c r="BG236" i="29"/>
  <c r="BF236" i="29"/>
  <c r="BE236" i="29"/>
  <c r="BD236" i="29"/>
  <c r="BC236" i="29"/>
  <c r="BB236" i="29"/>
  <c r="BA236" i="29"/>
  <c r="AZ236" i="29"/>
  <c r="AY236" i="29"/>
  <c r="BH235" i="29"/>
  <c r="BG235" i="29"/>
  <c r="BF235" i="29"/>
  <c r="BE235" i="29"/>
  <c r="BD235" i="29"/>
  <c r="BC235" i="29"/>
  <c r="BB235" i="29"/>
  <c r="BA235" i="29"/>
  <c r="AZ235" i="29"/>
  <c r="AY235" i="29"/>
  <c r="BH234" i="29"/>
  <c r="BG234" i="29"/>
  <c r="BF234" i="29"/>
  <c r="BE234" i="29"/>
  <c r="BD234" i="29"/>
  <c r="BC234" i="29"/>
  <c r="BB234" i="29"/>
  <c r="BA234" i="29"/>
  <c r="AZ234" i="29"/>
  <c r="AY234" i="29"/>
  <c r="BH233" i="29"/>
  <c r="BG233" i="29"/>
  <c r="BF233" i="29"/>
  <c r="BE233" i="29"/>
  <c r="BD233" i="29"/>
  <c r="BC233" i="29"/>
  <c r="BB233" i="29"/>
  <c r="BA233" i="29"/>
  <c r="AZ233" i="29"/>
  <c r="AY233" i="29"/>
  <c r="BH232" i="29"/>
  <c r="BG232" i="29"/>
  <c r="BF232" i="29"/>
  <c r="BE232" i="29"/>
  <c r="BD232" i="29"/>
  <c r="BC232" i="29"/>
  <c r="BB232" i="29"/>
  <c r="BA232" i="29"/>
  <c r="AZ232" i="29"/>
  <c r="AY232" i="29"/>
  <c r="BH231" i="29"/>
  <c r="BG231" i="29"/>
  <c r="BF231" i="29"/>
  <c r="BE231" i="29"/>
  <c r="BD231" i="29"/>
  <c r="BC231" i="29"/>
  <c r="BB231" i="29"/>
  <c r="BA231" i="29"/>
  <c r="AZ231" i="29"/>
  <c r="AY231" i="29"/>
  <c r="BH230" i="29"/>
  <c r="BG230" i="29"/>
  <c r="BF230" i="29"/>
  <c r="BE230" i="29"/>
  <c r="BD230" i="29"/>
  <c r="BC230" i="29"/>
  <c r="BB230" i="29"/>
  <c r="BA230" i="29"/>
  <c r="AZ230" i="29"/>
  <c r="AY230" i="29"/>
  <c r="BH229" i="29"/>
  <c r="BG229" i="29"/>
  <c r="BF229" i="29"/>
  <c r="BE229" i="29"/>
  <c r="BD229" i="29"/>
  <c r="BC229" i="29"/>
  <c r="BB229" i="29"/>
  <c r="BA229" i="29"/>
  <c r="AZ229" i="29"/>
  <c r="AY229" i="29"/>
  <c r="BH228" i="29"/>
  <c r="BG228" i="29"/>
  <c r="BF228" i="29"/>
  <c r="BE228" i="29"/>
  <c r="BD228" i="29"/>
  <c r="BC228" i="29"/>
  <c r="BB228" i="29"/>
  <c r="BA228" i="29"/>
  <c r="AZ228" i="29"/>
  <c r="AY228" i="29"/>
  <c r="BH227" i="29"/>
  <c r="BG227" i="29"/>
  <c r="BF227" i="29"/>
  <c r="BE227" i="29"/>
  <c r="BD227" i="29"/>
  <c r="BC227" i="29"/>
  <c r="BB227" i="29"/>
  <c r="BA227" i="29"/>
  <c r="AZ227" i="29"/>
  <c r="AY227" i="29"/>
  <c r="BH226" i="29"/>
  <c r="BG226" i="29"/>
  <c r="BF226" i="29"/>
  <c r="BE226" i="29"/>
  <c r="BD226" i="29"/>
  <c r="BC226" i="29"/>
  <c r="BB226" i="29"/>
  <c r="BA226" i="29"/>
  <c r="AZ226" i="29"/>
  <c r="AY226" i="29"/>
  <c r="BH225" i="29"/>
  <c r="BG225" i="29"/>
  <c r="BF225" i="29"/>
  <c r="BE225" i="29"/>
  <c r="BD225" i="29"/>
  <c r="BC225" i="29"/>
  <c r="BB225" i="29"/>
  <c r="BA225" i="29"/>
  <c r="AZ225" i="29"/>
  <c r="AY225" i="29"/>
  <c r="BH224" i="29"/>
  <c r="BG224" i="29"/>
  <c r="BF224" i="29"/>
  <c r="BE224" i="29"/>
  <c r="BD224" i="29"/>
  <c r="BC224" i="29"/>
  <c r="BB224" i="29"/>
  <c r="BA224" i="29"/>
  <c r="AZ224" i="29"/>
  <c r="AY224" i="29"/>
  <c r="BH223" i="29"/>
  <c r="BG223" i="29"/>
  <c r="BF223" i="29"/>
  <c r="BE223" i="29"/>
  <c r="BD223" i="29"/>
  <c r="BC223" i="29"/>
  <c r="BB223" i="29"/>
  <c r="BA223" i="29"/>
  <c r="AZ223" i="29"/>
  <c r="AY223" i="29"/>
  <c r="BH222" i="29"/>
  <c r="BG222" i="29"/>
  <c r="BF222" i="29"/>
  <c r="BE222" i="29"/>
  <c r="BD222" i="29"/>
  <c r="BC222" i="29"/>
  <c r="BB222" i="29"/>
  <c r="BA222" i="29"/>
  <c r="AZ222" i="29"/>
  <c r="AY222" i="29"/>
  <c r="BH221" i="29"/>
  <c r="BG221" i="29"/>
  <c r="BF221" i="29"/>
  <c r="BE221" i="29"/>
  <c r="BD221" i="29"/>
  <c r="BC221" i="29"/>
  <c r="BB221" i="29"/>
  <c r="BA221" i="29"/>
  <c r="AZ221" i="29"/>
  <c r="AY221" i="29"/>
  <c r="BH220" i="29"/>
  <c r="BG220" i="29"/>
  <c r="BF220" i="29"/>
  <c r="BE220" i="29"/>
  <c r="BD220" i="29"/>
  <c r="BC220" i="29"/>
  <c r="BB220" i="29"/>
  <c r="BA220" i="29"/>
  <c r="AZ220" i="29"/>
  <c r="AY220" i="29"/>
  <c r="BH219" i="29"/>
  <c r="BG219" i="29"/>
  <c r="BF219" i="29"/>
  <c r="BE219" i="29"/>
  <c r="BD219" i="29"/>
  <c r="BC219" i="29"/>
  <c r="BB219" i="29"/>
  <c r="BA219" i="29"/>
  <c r="AZ219" i="29"/>
  <c r="AY219" i="29"/>
  <c r="BH218" i="29"/>
  <c r="BG218" i="29"/>
  <c r="BF218" i="29"/>
  <c r="BE218" i="29"/>
  <c r="BD218" i="29"/>
  <c r="BC218" i="29"/>
  <c r="BB218" i="29"/>
  <c r="BA218" i="29"/>
  <c r="AZ218" i="29"/>
  <c r="AY218" i="29"/>
  <c r="BH217" i="29"/>
  <c r="BG217" i="29"/>
  <c r="BF217" i="29"/>
  <c r="BE217" i="29"/>
  <c r="BD217" i="29"/>
  <c r="BC217" i="29"/>
  <c r="BB217" i="29"/>
  <c r="BA217" i="29"/>
  <c r="AZ217" i="29"/>
  <c r="AY217" i="29"/>
  <c r="BH216" i="29"/>
  <c r="BG216" i="29"/>
  <c r="BF216" i="29"/>
  <c r="BE216" i="29"/>
  <c r="BD216" i="29"/>
  <c r="BC216" i="29"/>
  <c r="BB216" i="29"/>
  <c r="BA216" i="29"/>
  <c r="AZ216" i="29"/>
  <c r="AY216" i="29"/>
  <c r="T246" i="29"/>
  <c r="S246" i="29"/>
  <c r="R246" i="29"/>
  <c r="Q246" i="29"/>
  <c r="P246" i="29"/>
  <c r="O246" i="29"/>
  <c r="N246" i="29"/>
  <c r="M246" i="29"/>
  <c r="L246" i="29"/>
  <c r="K246" i="29"/>
  <c r="T245" i="29"/>
  <c r="S245" i="29"/>
  <c r="R245" i="29"/>
  <c r="Q245" i="29"/>
  <c r="P245" i="29"/>
  <c r="O245" i="29"/>
  <c r="N245" i="29"/>
  <c r="M245" i="29"/>
  <c r="L245" i="29"/>
  <c r="K245" i="29"/>
  <c r="T244" i="29"/>
  <c r="S244" i="29"/>
  <c r="R244" i="29"/>
  <c r="Q244" i="29"/>
  <c r="P244" i="29"/>
  <c r="O244" i="29"/>
  <c r="N244" i="29"/>
  <c r="M244" i="29"/>
  <c r="L244" i="29"/>
  <c r="K244" i="29"/>
  <c r="T243" i="29"/>
  <c r="S243" i="29"/>
  <c r="R243" i="29"/>
  <c r="Q243" i="29"/>
  <c r="P243" i="29"/>
  <c r="O243" i="29"/>
  <c r="N243" i="29"/>
  <c r="M243" i="29"/>
  <c r="L243" i="29"/>
  <c r="K243" i="29"/>
  <c r="T242" i="29"/>
  <c r="S242" i="29"/>
  <c r="R242" i="29"/>
  <c r="Q242" i="29"/>
  <c r="P242" i="29"/>
  <c r="O242" i="29"/>
  <c r="N242" i="29"/>
  <c r="M242" i="29"/>
  <c r="L242" i="29"/>
  <c r="K242" i="29"/>
  <c r="T241" i="29"/>
  <c r="S241" i="29"/>
  <c r="R241" i="29"/>
  <c r="Q241" i="29"/>
  <c r="P241" i="29"/>
  <c r="O241" i="29"/>
  <c r="N241" i="29"/>
  <c r="M241" i="29"/>
  <c r="L241" i="29"/>
  <c r="K241" i="29"/>
  <c r="T240" i="29"/>
  <c r="S240" i="29"/>
  <c r="R240" i="29"/>
  <c r="Q240" i="29"/>
  <c r="P240" i="29"/>
  <c r="O240" i="29"/>
  <c r="N240" i="29"/>
  <c r="M240" i="29"/>
  <c r="L240" i="29"/>
  <c r="K240" i="29"/>
  <c r="T239" i="29"/>
  <c r="S239" i="29"/>
  <c r="R239" i="29"/>
  <c r="Q239" i="29"/>
  <c r="P239" i="29"/>
  <c r="O239" i="29"/>
  <c r="N239" i="29"/>
  <c r="M239" i="29"/>
  <c r="L239" i="29"/>
  <c r="K239" i="29"/>
  <c r="T238" i="29"/>
  <c r="S238" i="29"/>
  <c r="R238" i="29"/>
  <c r="Q238" i="29"/>
  <c r="P238" i="29"/>
  <c r="O238" i="29"/>
  <c r="N238" i="29"/>
  <c r="M238" i="29"/>
  <c r="L238" i="29"/>
  <c r="K238" i="29"/>
  <c r="T237" i="29"/>
  <c r="S237" i="29"/>
  <c r="R237" i="29"/>
  <c r="Q237" i="29"/>
  <c r="P237" i="29"/>
  <c r="O237" i="29"/>
  <c r="N237" i="29"/>
  <c r="M237" i="29"/>
  <c r="L237" i="29"/>
  <c r="K237" i="29"/>
  <c r="T236" i="29"/>
  <c r="S236" i="29"/>
  <c r="R236" i="29"/>
  <c r="Q236" i="29"/>
  <c r="P236" i="29"/>
  <c r="O236" i="29"/>
  <c r="N236" i="29"/>
  <c r="M236" i="29"/>
  <c r="L236" i="29"/>
  <c r="K236" i="29"/>
  <c r="T235" i="29"/>
  <c r="S235" i="29"/>
  <c r="R235" i="29"/>
  <c r="Q235" i="29"/>
  <c r="P235" i="29"/>
  <c r="O235" i="29"/>
  <c r="N235" i="29"/>
  <c r="M235" i="29"/>
  <c r="L235" i="29"/>
  <c r="K235" i="29"/>
  <c r="T234" i="29"/>
  <c r="S234" i="29"/>
  <c r="R234" i="29"/>
  <c r="Q234" i="29"/>
  <c r="P234" i="29"/>
  <c r="O234" i="29"/>
  <c r="N234" i="29"/>
  <c r="M234" i="29"/>
  <c r="L234" i="29"/>
  <c r="K234" i="29"/>
  <c r="T233" i="29"/>
  <c r="S233" i="29"/>
  <c r="R233" i="29"/>
  <c r="Q233" i="29"/>
  <c r="P233" i="29"/>
  <c r="O233" i="29"/>
  <c r="N233" i="29"/>
  <c r="M233" i="29"/>
  <c r="L233" i="29"/>
  <c r="K233" i="29"/>
  <c r="T232" i="29"/>
  <c r="S232" i="29"/>
  <c r="R232" i="29"/>
  <c r="Q232" i="29"/>
  <c r="P232" i="29"/>
  <c r="O232" i="29"/>
  <c r="N232" i="29"/>
  <c r="M232" i="29"/>
  <c r="L232" i="29"/>
  <c r="K232" i="29"/>
  <c r="T231" i="29"/>
  <c r="S231" i="29"/>
  <c r="R231" i="29"/>
  <c r="Q231" i="29"/>
  <c r="P231" i="29"/>
  <c r="O231" i="29"/>
  <c r="N231" i="29"/>
  <c r="M231" i="29"/>
  <c r="L231" i="29"/>
  <c r="K231" i="29"/>
  <c r="T230" i="29"/>
  <c r="S230" i="29"/>
  <c r="R230" i="29"/>
  <c r="Q230" i="29"/>
  <c r="P230" i="29"/>
  <c r="O230" i="29"/>
  <c r="N230" i="29"/>
  <c r="M230" i="29"/>
  <c r="L230" i="29"/>
  <c r="K230" i="29"/>
  <c r="T229" i="29"/>
  <c r="S229" i="29"/>
  <c r="R229" i="29"/>
  <c r="Q229" i="29"/>
  <c r="P229" i="29"/>
  <c r="O229" i="29"/>
  <c r="N229" i="29"/>
  <c r="M229" i="29"/>
  <c r="L229" i="29"/>
  <c r="K229" i="29"/>
  <c r="T228" i="29"/>
  <c r="S228" i="29"/>
  <c r="R228" i="29"/>
  <c r="Q228" i="29"/>
  <c r="P228" i="29"/>
  <c r="O228" i="29"/>
  <c r="N228" i="29"/>
  <c r="M228" i="29"/>
  <c r="L228" i="29"/>
  <c r="K228" i="29"/>
  <c r="T227" i="29"/>
  <c r="S227" i="29"/>
  <c r="R227" i="29"/>
  <c r="Q227" i="29"/>
  <c r="P227" i="29"/>
  <c r="O227" i="29"/>
  <c r="N227" i="29"/>
  <c r="M227" i="29"/>
  <c r="L227" i="29"/>
  <c r="K227" i="29"/>
  <c r="T226" i="29"/>
  <c r="S226" i="29"/>
  <c r="R226" i="29"/>
  <c r="Q226" i="29"/>
  <c r="P226" i="29"/>
  <c r="O226" i="29"/>
  <c r="N226" i="29"/>
  <c r="M226" i="29"/>
  <c r="L226" i="29"/>
  <c r="K226" i="29"/>
  <c r="T225" i="29"/>
  <c r="S225" i="29"/>
  <c r="R225" i="29"/>
  <c r="Q225" i="29"/>
  <c r="P225" i="29"/>
  <c r="O225" i="29"/>
  <c r="N225" i="29"/>
  <c r="M225" i="29"/>
  <c r="L225" i="29"/>
  <c r="K225" i="29"/>
  <c r="T224" i="29"/>
  <c r="S224" i="29"/>
  <c r="R224" i="29"/>
  <c r="Q224" i="29"/>
  <c r="P224" i="29"/>
  <c r="O224" i="29"/>
  <c r="N224" i="29"/>
  <c r="M224" i="29"/>
  <c r="L224" i="29"/>
  <c r="K224" i="29"/>
  <c r="T223" i="29"/>
  <c r="S223" i="29"/>
  <c r="R223" i="29"/>
  <c r="Q223" i="29"/>
  <c r="P223" i="29"/>
  <c r="O223" i="29"/>
  <c r="N223" i="29"/>
  <c r="M223" i="29"/>
  <c r="L223" i="29"/>
  <c r="K223" i="29"/>
  <c r="T222" i="29"/>
  <c r="S222" i="29"/>
  <c r="R222" i="29"/>
  <c r="Q222" i="29"/>
  <c r="P222" i="29"/>
  <c r="O222" i="29"/>
  <c r="N222" i="29"/>
  <c r="M222" i="29"/>
  <c r="L222" i="29"/>
  <c r="K222" i="29"/>
  <c r="T221" i="29"/>
  <c r="S221" i="29"/>
  <c r="R221" i="29"/>
  <c r="Q221" i="29"/>
  <c r="P221" i="29"/>
  <c r="O221" i="29"/>
  <c r="N221" i="29"/>
  <c r="M221" i="29"/>
  <c r="L221" i="29"/>
  <c r="K221" i="29"/>
  <c r="T220" i="29"/>
  <c r="S220" i="29"/>
  <c r="R220" i="29"/>
  <c r="Q220" i="29"/>
  <c r="P220" i="29"/>
  <c r="O220" i="29"/>
  <c r="N220" i="29"/>
  <c r="M220" i="29"/>
  <c r="L220" i="29"/>
  <c r="K220" i="29"/>
  <c r="T219" i="29"/>
  <c r="S219" i="29"/>
  <c r="R219" i="29"/>
  <c r="Q219" i="29"/>
  <c r="P219" i="29"/>
  <c r="O219" i="29"/>
  <c r="N219" i="29"/>
  <c r="M219" i="29"/>
  <c r="L219" i="29"/>
  <c r="K219" i="29"/>
  <c r="T218" i="29"/>
  <c r="S218" i="29"/>
  <c r="R218" i="29"/>
  <c r="Q218" i="29"/>
  <c r="P218" i="29"/>
  <c r="O218" i="29"/>
  <c r="N218" i="29"/>
  <c r="M218" i="29"/>
  <c r="L218" i="29"/>
  <c r="K218" i="29"/>
  <c r="T217" i="29"/>
  <c r="S217" i="29"/>
  <c r="R217" i="29"/>
  <c r="Q217" i="29"/>
  <c r="P217" i="29"/>
  <c r="O217" i="29"/>
  <c r="N217" i="29"/>
  <c r="M217" i="29"/>
  <c r="L217" i="29"/>
  <c r="K217" i="29"/>
  <c r="T216" i="29"/>
  <c r="S216" i="29"/>
  <c r="R216" i="29"/>
  <c r="Q216" i="29"/>
  <c r="P216" i="29"/>
  <c r="O216" i="29"/>
  <c r="N216" i="29"/>
  <c r="M216" i="29"/>
  <c r="L216" i="29"/>
  <c r="K216" i="29"/>
  <c r="CV215" i="29"/>
  <c r="CU215" i="29"/>
  <c r="CT215" i="29"/>
  <c r="CS215" i="29"/>
  <c r="CR215" i="29"/>
  <c r="CQ215" i="29"/>
  <c r="CP215" i="29"/>
  <c r="CO215" i="29"/>
  <c r="CN215" i="29"/>
  <c r="CM215" i="29"/>
  <c r="CV214" i="29"/>
  <c r="CU214" i="29"/>
  <c r="CT214" i="29"/>
  <c r="CS214" i="29"/>
  <c r="CR214" i="29"/>
  <c r="CQ214" i="29"/>
  <c r="CP214" i="29"/>
  <c r="CO214" i="29"/>
  <c r="CN214" i="29"/>
  <c r="CM214" i="29"/>
  <c r="CV213" i="29"/>
  <c r="CU213" i="29"/>
  <c r="CT213" i="29"/>
  <c r="CS213" i="29"/>
  <c r="CR213" i="29"/>
  <c r="CQ213" i="29"/>
  <c r="CP213" i="29"/>
  <c r="CO213" i="29"/>
  <c r="CN213" i="29"/>
  <c r="CM213" i="29"/>
  <c r="CV212" i="29"/>
  <c r="CU212" i="29"/>
  <c r="CT212" i="29"/>
  <c r="CS212" i="29"/>
  <c r="CR212" i="29"/>
  <c r="CQ212" i="29"/>
  <c r="CP212" i="29"/>
  <c r="CO212" i="29"/>
  <c r="CN212" i="29"/>
  <c r="CM212" i="29"/>
  <c r="CV211" i="29"/>
  <c r="CU211" i="29"/>
  <c r="CT211" i="29"/>
  <c r="CS211" i="29"/>
  <c r="CR211" i="29"/>
  <c r="CQ211" i="29"/>
  <c r="CP211" i="29"/>
  <c r="CO211" i="29"/>
  <c r="CN211" i="29"/>
  <c r="CM211" i="29"/>
  <c r="CV210" i="29"/>
  <c r="CU210" i="29"/>
  <c r="CT210" i="29"/>
  <c r="CS210" i="29"/>
  <c r="CR210" i="29"/>
  <c r="CQ210" i="29"/>
  <c r="CP210" i="29"/>
  <c r="CO210" i="29"/>
  <c r="CN210" i="29"/>
  <c r="CM210" i="29"/>
  <c r="CV209" i="29"/>
  <c r="CU209" i="29"/>
  <c r="CT209" i="29"/>
  <c r="CS209" i="29"/>
  <c r="CR209" i="29"/>
  <c r="CQ209" i="29"/>
  <c r="CP209" i="29"/>
  <c r="CO209" i="29"/>
  <c r="CN209" i="29"/>
  <c r="CM209" i="29"/>
  <c r="CV208" i="29"/>
  <c r="CU208" i="29"/>
  <c r="CT208" i="29"/>
  <c r="CS208" i="29"/>
  <c r="CR208" i="29"/>
  <c r="CQ208" i="29"/>
  <c r="CP208" i="29"/>
  <c r="CO208" i="29"/>
  <c r="CN208" i="29"/>
  <c r="CM208" i="29"/>
  <c r="CV207" i="29"/>
  <c r="CU207" i="29"/>
  <c r="CT207" i="29"/>
  <c r="CS207" i="29"/>
  <c r="CR207" i="29"/>
  <c r="CQ207" i="29"/>
  <c r="CP207" i="29"/>
  <c r="CO207" i="29"/>
  <c r="CN207" i="29"/>
  <c r="CM207" i="29"/>
  <c r="CV206" i="29"/>
  <c r="CU206" i="29"/>
  <c r="CT206" i="29"/>
  <c r="CS206" i="29"/>
  <c r="CR206" i="29"/>
  <c r="CQ206" i="29"/>
  <c r="CP206" i="29"/>
  <c r="CO206" i="29"/>
  <c r="CN206" i="29"/>
  <c r="CM206" i="29"/>
  <c r="CV205" i="29"/>
  <c r="CU205" i="29"/>
  <c r="CT205" i="29"/>
  <c r="CS205" i="29"/>
  <c r="CR205" i="29"/>
  <c r="CQ205" i="29"/>
  <c r="CP205" i="29"/>
  <c r="CO205" i="29"/>
  <c r="CN205" i="29"/>
  <c r="CM205" i="29"/>
  <c r="CV204" i="29"/>
  <c r="CU204" i="29"/>
  <c r="CT204" i="29"/>
  <c r="CS204" i="29"/>
  <c r="CR204" i="29"/>
  <c r="CQ204" i="29"/>
  <c r="CP204" i="29"/>
  <c r="CO204" i="29"/>
  <c r="CN204" i="29"/>
  <c r="CM204" i="29"/>
  <c r="CV203" i="29"/>
  <c r="CU203" i="29"/>
  <c r="CT203" i="29"/>
  <c r="CS203" i="29"/>
  <c r="CR203" i="29"/>
  <c r="CQ203" i="29"/>
  <c r="CP203" i="29"/>
  <c r="CO203" i="29"/>
  <c r="CN203" i="29"/>
  <c r="CM203" i="29"/>
  <c r="CV202" i="29"/>
  <c r="CU202" i="29"/>
  <c r="CT202" i="29"/>
  <c r="CS202" i="29"/>
  <c r="CR202" i="29"/>
  <c r="CQ202" i="29"/>
  <c r="CP202" i="29"/>
  <c r="CO202" i="29"/>
  <c r="CN202" i="29"/>
  <c r="CM202" i="29"/>
  <c r="CV201" i="29"/>
  <c r="CU201" i="29"/>
  <c r="CT201" i="29"/>
  <c r="CS201" i="29"/>
  <c r="CR201" i="29"/>
  <c r="CQ201" i="29"/>
  <c r="CP201" i="29"/>
  <c r="CO201" i="29"/>
  <c r="CN201" i="29"/>
  <c r="CM201" i="29"/>
  <c r="CV200" i="29"/>
  <c r="CU200" i="29"/>
  <c r="CT200" i="29"/>
  <c r="CS200" i="29"/>
  <c r="CR200" i="29"/>
  <c r="CQ200" i="29"/>
  <c r="CP200" i="29"/>
  <c r="CO200" i="29"/>
  <c r="CN200" i="29"/>
  <c r="CM200" i="29"/>
  <c r="CV199" i="29"/>
  <c r="CU199" i="29"/>
  <c r="CT199" i="29"/>
  <c r="CS199" i="29"/>
  <c r="CR199" i="29"/>
  <c r="CQ199" i="29"/>
  <c r="CP199" i="29"/>
  <c r="CO199" i="29"/>
  <c r="CN199" i="29"/>
  <c r="CM199" i="29"/>
  <c r="CV198" i="29"/>
  <c r="CU198" i="29"/>
  <c r="CT198" i="29"/>
  <c r="CS198" i="29"/>
  <c r="CR198" i="29"/>
  <c r="CQ198" i="29"/>
  <c r="CP198" i="29"/>
  <c r="CO198" i="29"/>
  <c r="CN198" i="29"/>
  <c r="CM198" i="29"/>
  <c r="CV197" i="29"/>
  <c r="CU197" i="29"/>
  <c r="CT197" i="29"/>
  <c r="CS197" i="29"/>
  <c r="CR197" i="29"/>
  <c r="CQ197" i="29"/>
  <c r="CP197" i="29"/>
  <c r="CO197" i="29"/>
  <c r="CN197" i="29"/>
  <c r="CM197" i="29"/>
  <c r="CV196" i="29"/>
  <c r="CU196" i="29"/>
  <c r="CT196" i="29"/>
  <c r="CS196" i="29"/>
  <c r="CR196" i="29"/>
  <c r="CQ196" i="29"/>
  <c r="CP196" i="29"/>
  <c r="CO196" i="29"/>
  <c r="CN196" i="29"/>
  <c r="CM196" i="29"/>
  <c r="CV195" i="29"/>
  <c r="CU195" i="29"/>
  <c r="CT195" i="29"/>
  <c r="CS195" i="29"/>
  <c r="CR195" i="29"/>
  <c r="CQ195" i="29"/>
  <c r="CP195" i="29"/>
  <c r="CO195" i="29"/>
  <c r="CN195" i="29"/>
  <c r="CM195" i="29"/>
  <c r="CV194" i="29"/>
  <c r="CU194" i="29"/>
  <c r="CT194" i="29"/>
  <c r="CS194" i="29"/>
  <c r="CR194" i="29"/>
  <c r="CQ194" i="29"/>
  <c r="CP194" i="29"/>
  <c r="CO194" i="29"/>
  <c r="CN194" i="29"/>
  <c r="CM194" i="29"/>
  <c r="CV193" i="29"/>
  <c r="CU193" i="29"/>
  <c r="CT193" i="29"/>
  <c r="CS193" i="29"/>
  <c r="CR193" i="29"/>
  <c r="CQ193" i="29"/>
  <c r="CP193" i="29"/>
  <c r="CO193" i="29"/>
  <c r="CN193" i="29"/>
  <c r="CM193" i="29"/>
  <c r="CV192" i="29"/>
  <c r="CU192" i="29"/>
  <c r="CT192" i="29"/>
  <c r="CS192" i="29"/>
  <c r="CR192" i="29"/>
  <c r="CQ192" i="29"/>
  <c r="CP192" i="29"/>
  <c r="CO192" i="29"/>
  <c r="CN192" i="29"/>
  <c r="CM192" i="29"/>
  <c r="CV191" i="29"/>
  <c r="CU191" i="29"/>
  <c r="CT191" i="29"/>
  <c r="CS191" i="29"/>
  <c r="CR191" i="29"/>
  <c r="CQ191" i="29"/>
  <c r="CP191" i="29"/>
  <c r="CO191" i="29"/>
  <c r="CN191" i="29"/>
  <c r="CM191" i="29"/>
  <c r="CV190" i="29"/>
  <c r="CU190" i="29"/>
  <c r="CT190" i="29"/>
  <c r="CS190" i="29"/>
  <c r="CR190" i="29"/>
  <c r="CQ190" i="29"/>
  <c r="CP190" i="29"/>
  <c r="CO190" i="29"/>
  <c r="CN190" i="29"/>
  <c r="CM190" i="29"/>
  <c r="CV189" i="29"/>
  <c r="CU189" i="29"/>
  <c r="CT189" i="29"/>
  <c r="CS189" i="29"/>
  <c r="CR189" i="29"/>
  <c r="CQ189" i="29"/>
  <c r="CP189" i="29"/>
  <c r="CO189" i="29"/>
  <c r="CN189" i="29"/>
  <c r="CM189" i="29"/>
  <c r="CV188" i="29"/>
  <c r="CU188" i="29"/>
  <c r="CT188" i="29"/>
  <c r="CS188" i="29"/>
  <c r="CR188" i="29"/>
  <c r="CQ188" i="29"/>
  <c r="CP188" i="29"/>
  <c r="CO188" i="29"/>
  <c r="CN188" i="29"/>
  <c r="CM188" i="29"/>
  <c r="CV187" i="29"/>
  <c r="CU187" i="29"/>
  <c r="CT187" i="29"/>
  <c r="CS187" i="29"/>
  <c r="CR187" i="29"/>
  <c r="CQ187" i="29"/>
  <c r="CP187" i="29"/>
  <c r="CO187" i="29"/>
  <c r="CN187" i="29"/>
  <c r="CM187" i="29"/>
  <c r="CV186" i="29"/>
  <c r="CU186" i="29"/>
  <c r="CT186" i="29"/>
  <c r="CS186" i="29"/>
  <c r="CR186" i="29"/>
  <c r="CQ186" i="29"/>
  <c r="CP186" i="29"/>
  <c r="CO186" i="29"/>
  <c r="CN186" i="29"/>
  <c r="CM186" i="29"/>
  <c r="CV185" i="29"/>
  <c r="CU185" i="29"/>
  <c r="CT185" i="29"/>
  <c r="CS185" i="29"/>
  <c r="CR185" i="29"/>
  <c r="CQ185" i="29"/>
  <c r="CP185" i="29"/>
  <c r="CO185" i="29"/>
  <c r="CN185" i="29"/>
  <c r="CM185" i="29"/>
  <c r="BH215" i="29"/>
  <c r="BG215" i="29"/>
  <c r="BF215" i="29"/>
  <c r="BE215" i="29"/>
  <c r="BD215" i="29"/>
  <c r="BC215" i="29"/>
  <c r="BB215" i="29"/>
  <c r="BA215" i="29"/>
  <c r="AZ215" i="29"/>
  <c r="AY215" i="29"/>
  <c r="BH214" i="29"/>
  <c r="BG214" i="29"/>
  <c r="BF214" i="29"/>
  <c r="BE214" i="29"/>
  <c r="BD214" i="29"/>
  <c r="BC214" i="29"/>
  <c r="BB214" i="29"/>
  <c r="BA214" i="29"/>
  <c r="AZ214" i="29"/>
  <c r="AY214" i="29"/>
  <c r="BH213" i="29"/>
  <c r="BG213" i="29"/>
  <c r="BF213" i="29"/>
  <c r="BE213" i="29"/>
  <c r="BD213" i="29"/>
  <c r="BC213" i="29"/>
  <c r="BB213" i="29"/>
  <c r="BA213" i="29"/>
  <c r="AZ213" i="29"/>
  <c r="AY213" i="29"/>
  <c r="BH212" i="29"/>
  <c r="BG212" i="29"/>
  <c r="BF212" i="29"/>
  <c r="BE212" i="29"/>
  <c r="BD212" i="29"/>
  <c r="BC212" i="29"/>
  <c r="BB212" i="29"/>
  <c r="BA212" i="29"/>
  <c r="AZ212" i="29"/>
  <c r="AY212" i="29"/>
  <c r="BH211" i="29"/>
  <c r="BG211" i="29"/>
  <c r="BF211" i="29"/>
  <c r="BE211" i="29"/>
  <c r="BD211" i="29"/>
  <c r="BC211" i="29"/>
  <c r="BB211" i="29"/>
  <c r="BA211" i="29"/>
  <c r="AZ211" i="29"/>
  <c r="AY211" i="29"/>
  <c r="BH210" i="29"/>
  <c r="BG210" i="29"/>
  <c r="BF210" i="29"/>
  <c r="BE210" i="29"/>
  <c r="BD210" i="29"/>
  <c r="BC210" i="29"/>
  <c r="BB210" i="29"/>
  <c r="BA210" i="29"/>
  <c r="AZ210" i="29"/>
  <c r="AY210" i="29"/>
  <c r="BH209" i="29"/>
  <c r="BG209" i="29"/>
  <c r="BF209" i="29"/>
  <c r="BE209" i="29"/>
  <c r="BD209" i="29"/>
  <c r="BC209" i="29"/>
  <c r="BB209" i="29"/>
  <c r="BA209" i="29"/>
  <c r="AZ209" i="29"/>
  <c r="AY209" i="29"/>
  <c r="BH208" i="29"/>
  <c r="BG208" i="29"/>
  <c r="BF208" i="29"/>
  <c r="BE208" i="29"/>
  <c r="BD208" i="29"/>
  <c r="BC208" i="29"/>
  <c r="BB208" i="29"/>
  <c r="BA208" i="29"/>
  <c r="AZ208" i="29"/>
  <c r="AY208" i="29"/>
  <c r="BH207" i="29"/>
  <c r="BG207" i="29"/>
  <c r="BF207" i="29"/>
  <c r="BE207" i="29"/>
  <c r="BD207" i="29"/>
  <c r="BC207" i="29"/>
  <c r="BB207" i="29"/>
  <c r="BA207" i="29"/>
  <c r="AZ207" i="29"/>
  <c r="AY207" i="29"/>
  <c r="BH206" i="29"/>
  <c r="BG206" i="29"/>
  <c r="BF206" i="29"/>
  <c r="BE206" i="29"/>
  <c r="BD206" i="29"/>
  <c r="BC206" i="29"/>
  <c r="BB206" i="29"/>
  <c r="BA206" i="29"/>
  <c r="AZ206" i="29"/>
  <c r="AY206" i="29"/>
  <c r="BH205" i="29"/>
  <c r="BG205" i="29"/>
  <c r="BF205" i="29"/>
  <c r="BE205" i="29"/>
  <c r="BD205" i="29"/>
  <c r="BC205" i="29"/>
  <c r="BB205" i="29"/>
  <c r="BA205" i="29"/>
  <c r="AZ205" i="29"/>
  <c r="AY205" i="29"/>
  <c r="BH204" i="29"/>
  <c r="BG204" i="29"/>
  <c r="BF204" i="29"/>
  <c r="BE204" i="29"/>
  <c r="BD204" i="29"/>
  <c r="BC204" i="29"/>
  <c r="BB204" i="29"/>
  <c r="BA204" i="29"/>
  <c r="AZ204" i="29"/>
  <c r="AY204" i="29"/>
  <c r="BH203" i="29"/>
  <c r="BG203" i="29"/>
  <c r="BF203" i="29"/>
  <c r="BE203" i="29"/>
  <c r="BD203" i="29"/>
  <c r="BC203" i="29"/>
  <c r="BB203" i="29"/>
  <c r="BA203" i="29"/>
  <c r="AZ203" i="29"/>
  <c r="AY203" i="29"/>
  <c r="BH202" i="29"/>
  <c r="BG202" i="29"/>
  <c r="BF202" i="29"/>
  <c r="BE202" i="29"/>
  <c r="BD202" i="29"/>
  <c r="BC202" i="29"/>
  <c r="BB202" i="29"/>
  <c r="BA202" i="29"/>
  <c r="AZ202" i="29"/>
  <c r="AY202" i="29"/>
  <c r="BH201" i="29"/>
  <c r="BG201" i="29"/>
  <c r="BF201" i="29"/>
  <c r="BE201" i="29"/>
  <c r="BD201" i="29"/>
  <c r="BC201" i="29"/>
  <c r="BB201" i="29"/>
  <c r="BA201" i="29"/>
  <c r="AZ201" i="29"/>
  <c r="AY201" i="29"/>
  <c r="BH200" i="29"/>
  <c r="BG200" i="29"/>
  <c r="BF200" i="29"/>
  <c r="BE200" i="29"/>
  <c r="BD200" i="29"/>
  <c r="BC200" i="29"/>
  <c r="BB200" i="29"/>
  <c r="BA200" i="29"/>
  <c r="AZ200" i="29"/>
  <c r="AY200" i="29"/>
  <c r="BH199" i="29"/>
  <c r="BG199" i="29"/>
  <c r="BF199" i="29"/>
  <c r="BE199" i="29"/>
  <c r="BD199" i="29"/>
  <c r="BC199" i="29"/>
  <c r="BB199" i="29"/>
  <c r="BA199" i="29"/>
  <c r="AZ199" i="29"/>
  <c r="AY199" i="29"/>
  <c r="BH198" i="29"/>
  <c r="BG198" i="29"/>
  <c r="BF198" i="29"/>
  <c r="BE198" i="29"/>
  <c r="BD198" i="29"/>
  <c r="BC198" i="29"/>
  <c r="BB198" i="29"/>
  <c r="BA198" i="29"/>
  <c r="AZ198" i="29"/>
  <c r="AY198" i="29"/>
  <c r="BH197" i="29"/>
  <c r="BG197" i="29"/>
  <c r="BF197" i="29"/>
  <c r="BE197" i="29"/>
  <c r="BD197" i="29"/>
  <c r="BC197" i="29"/>
  <c r="BB197" i="29"/>
  <c r="BA197" i="29"/>
  <c r="AZ197" i="29"/>
  <c r="AY197" i="29"/>
  <c r="BH196" i="29"/>
  <c r="BG196" i="29"/>
  <c r="BF196" i="29"/>
  <c r="BE196" i="29"/>
  <c r="BD196" i="29"/>
  <c r="BC196" i="29"/>
  <c r="BB196" i="29"/>
  <c r="BA196" i="29"/>
  <c r="AZ196" i="29"/>
  <c r="AY196" i="29"/>
  <c r="BH195" i="29"/>
  <c r="BG195" i="29"/>
  <c r="BF195" i="29"/>
  <c r="BE195" i="29"/>
  <c r="BD195" i="29"/>
  <c r="BC195" i="29"/>
  <c r="BB195" i="29"/>
  <c r="BA195" i="29"/>
  <c r="AZ195" i="29"/>
  <c r="AY195" i="29"/>
  <c r="BH194" i="29"/>
  <c r="BG194" i="29"/>
  <c r="BF194" i="29"/>
  <c r="BE194" i="29"/>
  <c r="BD194" i="29"/>
  <c r="BC194" i="29"/>
  <c r="BB194" i="29"/>
  <c r="BA194" i="29"/>
  <c r="AZ194" i="29"/>
  <c r="AY194" i="29"/>
  <c r="BH193" i="29"/>
  <c r="BG193" i="29"/>
  <c r="BF193" i="29"/>
  <c r="BE193" i="29"/>
  <c r="BD193" i="29"/>
  <c r="BC193" i="29"/>
  <c r="BB193" i="29"/>
  <c r="BA193" i="29"/>
  <c r="AZ193" i="29"/>
  <c r="AY193" i="29"/>
  <c r="BH192" i="29"/>
  <c r="BG192" i="29"/>
  <c r="BF192" i="29"/>
  <c r="BE192" i="29"/>
  <c r="BD192" i="29"/>
  <c r="BC192" i="29"/>
  <c r="BB192" i="29"/>
  <c r="BA192" i="29"/>
  <c r="AZ192" i="29"/>
  <c r="AY192" i="29"/>
  <c r="BH191" i="29"/>
  <c r="BG191" i="29"/>
  <c r="BF191" i="29"/>
  <c r="BE191" i="29"/>
  <c r="BD191" i="29"/>
  <c r="BC191" i="29"/>
  <c r="BB191" i="29"/>
  <c r="BA191" i="29"/>
  <c r="AZ191" i="29"/>
  <c r="AY191" i="29"/>
  <c r="BH190" i="29"/>
  <c r="BG190" i="29"/>
  <c r="BF190" i="29"/>
  <c r="BE190" i="29"/>
  <c r="BD190" i="29"/>
  <c r="BC190" i="29"/>
  <c r="BB190" i="29"/>
  <c r="BA190" i="29"/>
  <c r="AZ190" i="29"/>
  <c r="AY190" i="29"/>
  <c r="BH189" i="29"/>
  <c r="BG189" i="29"/>
  <c r="BF189" i="29"/>
  <c r="BE189" i="29"/>
  <c r="BD189" i="29"/>
  <c r="BC189" i="29"/>
  <c r="BB189" i="29"/>
  <c r="BA189" i="29"/>
  <c r="AZ189" i="29"/>
  <c r="AY189" i="29"/>
  <c r="BH188" i="29"/>
  <c r="BG188" i="29"/>
  <c r="BF188" i="29"/>
  <c r="BE188" i="29"/>
  <c r="BD188" i="29"/>
  <c r="BC188" i="29"/>
  <c r="BB188" i="29"/>
  <c r="BA188" i="29"/>
  <c r="AZ188" i="29"/>
  <c r="AY188" i="29"/>
  <c r="BH187" i="29"/>
  <c r="BG187" i="29"/>
  <c r="BF187" i="29"/>
  <c r="BE187" i="29"/>
  <c r="BD187" i="29"/>
  <c r="BC187" i="29"/>
  <c r="BB187" i="29"/>
  <c r="BA187" i="29"/>
  <c r="AZ187" i="29"/>
  <c r="AY187" i="29"/>
  <c r="BH186" i="29"/>
  <c r="BG186" i="29"/>
  <c r="BF186" i="29"/>
  <c r="BE186" i="29"/>
  <c r="BD186" i="29"/>
  <c r="BC186" i="29"/>
  <c r="BB186" i="29"/>
  <c r="BA186" i="29"/>
  <c r="AZ186" i="29"/>
  <c r="AY186" i="29"/>
  <c r="BH185" i="29"/>
  <c r="BG185" i="29"/>
  <c r="BF185" i="29"/>
  <c r="BE185" i="29"/>
  <c r="BD185" i="29"/>
  <c r="BC185" i="29"/>
  <c r="BB185" i="29"/>
  <c r="BA185" i="29"/>
  <c r="AZ185" i="29"/>
  <c r="AY185" i="29"/>
  <c r="T215" i="29"/>
  <c r="S215" i="29"/>
  <c r="R215" i="29"/>
  <c r="Q215" i="29"/>
  <c r="P215" i="29"/>
  <c r="O215" i="29"/>
  <c r="N215" i="29"/>
  <c r="M215" i="29"/>
  <c r="L215" i="29"/>
  <c r="K215" i="29"/>
  <c r="T214" i="29"/>
  <c r="S214" i="29"/>
  <c r="R214" i="29"/>
  <c r="Q214" i="29"/>
  <c r="P214" i="29"/>
  <c r="O214" i="29"/>
  <c r="N214" i="29"/>
  <c r="M214" i="29"/>
  <c r="L214" i="29"/>
  <c r="K214" i="29"/>
  <c r="T213" i="29"/>
  <c r="S213" i="29"/>
  <c r="R213" i="29"/>
  <c r="Q213" i="29"/>
  <c r="P213" i="29"/>
  <c r="O213" i="29"/>
  <c r="N213" i="29"/>
  <c r="M213" i="29"/>
  <c r="L213" i="29"/>
  <c r="K213" i="29"/>
  <c r="T212" i="29"/>
  <c r="S212" i="29"/>
  <c r="R212" i="29"/>
  <c r="Q212" i="29"/>
  <c r="P212" i="29"/>
  <c r="O212" i="29"/>
  <c r="N212" i="29"/>
  <c r="M212" i="29"/>
  <c r="L212" i="29"/>
  <c r="K212" i="29"/>
  <c r="T211" i="29"/>
  <c r="S211" i="29"/>
  <c r="R211" i="29"/>
  <c r="Q211" i="29"/>
  <c r="P211" i="29"/>
  <c r="O211" i="29"/>
  <c r="N211" i="29"/>
  <c r="M211" i="29"/>
  <c r="L211" i="29"/>
  <c r="K211" i="29"/>
  <c r="T210" i="29"/>
  <c r="S210" i="29"/>
  <c r="R210" i="29"/>
  <c r="Q210" i="29"/>
  <c r="P210" i="29"/>
  <c r="O210" i="29"/>
  <c r="N210" i="29"/>
  <c r="M210" i="29"/>
  <c r="L210" i="29"/>
  <c r="K210" i="29"/>
  <c r="T209" i="29"/>
  <c r="S209" i="29"/>
  <c r="R209" i="29"/>
  <c r="Q209" i="29"/>
  <c r="P209" i="29"/>
  <c r="O209" i="29"/>
  <c r="N209" i="29"/>
  <c r="M209" i="29"/>
  <c r="L209" i="29"/>
  <c r="K209" i="29"/>
  <c r="T208" i="29"/>
  <c r="S208" i="29"/>
  <c r="R208" i="29"/>
  <c r="Q208" i="29"/>
  <c r="P208" i="29"/>
  <c r="O208" i="29"/>
  <c r="N208" i="29"/>
  <c r="M208" i="29"/>
  <c r="L208" i="29"/>
  <c r="K208" i="29"/>
  <c r="T207" i="29"/>
  <c r="S207" i="29"/>
  <c r="R207" i="29"/>
  <c r="Q207" i="29"/>
  <c r="P207" i="29"/>
  <c r="O207" i="29"/>
  <c r="N207" i="29"/>
  <c r="M207" i="29"/>
  <c r="L207" i="29"/>
  <c r="K207" i="29"/>
  <c r="T206" i="29"/>
  <c r="S206" i="29"/>
  <c r="R206" i="29"/>
  <c r="Q206" i="29"/>
  <c r="P206" i="29"/>
  <c r="O206" i="29"/>
  <c r="N206" i="29"/>
  <c r="M206" i="29"/>
  <c r="L206" i="29"/>
  <c r="K206" i="29"/>
  <c r="T205" i="29"/>
  <c r="S205" i="29"/>
  <c r="R205" i="29"/>
  <c r="Q205" i="29"/>
  <c r="P205" i="29"/>
  <c r="O205" i="29"/>
  <c r="N205" i="29"/>
  <c r="M205" i="29"/>
  <c r="L205" i="29"/>
  <c r="K205" i="29"/>
  <c r="T204" i="29"/>
  <c r="S204" i="29"/>
  <c r="R204" i="29"/>
  <c r="Q204" i="29"/>
  <c r="P204" i="29"/>
  <c r="O204" i="29"/>
  <c r="N204" i="29"/>
  <c r="M204" i="29"/>
  <c r="L204" i="29"/>
  <c r="K204" i="29"/>
  <c r="T203" i="29"/>
  <c r="S203" i="29"/>
  <c r="R203" i="29"/>
  <c r="Q203" i="29"/>
  <c r="P203" i="29"/>
  <c r="O203" i="29"/>
  <c r="N203" i="29"/>
  <c r="M203" i="29"/>
  <c r="L203" i="29"/>
  <c r="K203" i="29"/>
  <c r="T202" i="29"/>
  <c r="S202" i="29"/>
  <c r="R202" i="29"/>
  <c r="Q202" i="29"/>
  <c r="P202" i="29"/>
  <c r="O202" i="29"/>
  <c r="N202" i="29"/>
  <c r="M202" i="29"/>
  <c r="L202" i="29"/>
  <c r="K202" i="29"/>
  <c r="T201" i="29"/>
  <c r="S201" i="29"/>
  <c r="R201" i="29"/>
  <c r="Q201" i="29"/>
  <c r="P201" i="29"/>
  <c r="O201" i="29"/>
  <c r="N201" i="29"/>
  <c r="M201" i="29"/>
  <c r="L201" i="29"/>
  <c r="K201" i="29"/>
  <c r="T200" i="29"/>
  <c r="S200" i="29"/>
  <c r="R200" i="29"/>
  <c r="Q200" i="29"/>
  <c r="P200" i="29"/>
  <c r="O200" i="29"/>
  <c r="N200" i="29"/>
  <c r="M200" i="29"/>
  <c r="L200" i="29"/>
  <c r="K200" i="29"/>
  <c r="T199" i="29"/>
  <c r="S199" i="29"/>
  <c r="R199" i="29"/>
  <c r="Q199" i="29"/>
  <c r="P199" i="29"/>
  <c r="O199" i="29"/>
  <c r="N199" i="29"/>
  <c r="M199" i="29"/>
  <c r="L199" i="29"/>
  <c r="K199" i="29"/>
  <c r="T198" i="29"/>
  <c r="S198" i="29"/>
  <c r="R198" i="29"/>
  <c r="Q198" i="29"/>
  <c r="P198" i="29"/>
  <c r="O198" i="29"/>
  <c r="N198" i="29"/>
  <c r="M198" i="29"/>
  <c r="L198" i="29"/>
  <c r="K198" i="29"/>
  <c r="T197" i="29"/>
  <c r="S197" i="29"/>
  <c r="R197" i="29"/>
  <c r="Q197" i="29"/>
  <c r="P197" i="29"/>
  <c r="O197" i="29"/>
  <c r="N197" i="29"/>
  <c r="M197" i="29"/>
  <c r="L197" i="29"/>
  <c r="K197" i="29"/>
  <c r="T196" i="29"/>
  <c r="S196" i="29"/>
  <c r="R196" i="29"/>
  <c r="Q196" i="29"/>
  <c r="P196" i="29"/>
  <c r="O196" i="29"/>
  <c r="N196" i="29"/>
  <c r="M196" i="29"/>
  <c r="L196" i="29"/>
  <c r="K196" i="29"/>
  <c r="T195" i="29"/>
  <c r="S195" i="29"/>
  <c r="R195" i="29"/>
  <c r="Q195" i="29"/>
  <c r="P195" i="29"/>
  <c r="O195" i="29"/>
  <c r="N195" i="29"/>
  <c r="M195" i="29"/>
  <c r="L195" i="29"/>
  <c r="K195" i="29"/>
  <c r="T194" i="29"/>
  <c r="S194" i="29"/>
  <c r="R194" i="29"/>
  <c r="Q194" i="29"/>
  <c r="P194" i="29"/>
  <c r="O194" i="29"/>
  <c r="N194" i="29"/>
  <c r="M194" i="29"/>
  <c r="L194" i="29"/>
  <c r="K194" i="29"/>
  <c r="T193" i="29"/>
  <c r="S193" i="29"/>
  <c r="R193" i="29"/>
  <c r="Q193" i="29"/>
  <c r="P193" i="29"/>
  <c r="O193" i="29"/>
  <c r="N193" i="29"/>
  <c r="M193" i="29"/>
  <c r="L193" i="29"/>
  <c r="K193" i="29"/>
  <c r="T192" i="29"/>
  <c r="S192" i="29"/>
  <c r="R192" i="29"/>
  <c r="Q192" i="29"/>
  <c r="P192" i="29"/>
  <c r="O192" i="29"/>
  <c r="N192" i="29"/>
  <c r="M192" i="29"/>
  <c r="L192" i="29"/>
  <c r="K192" i="29"/>
  <c r="T191" i="29"/>
  <c r="S191" i="29"/>
  <c r="R191" i="29"/>
  <c r="Q191" i="29"/>
  <c r="P191" i="29"/>
  <c r="O191" i="29"/>
  <c r="N191" i="29"/>
  <c r="M191" i="29"/>
  <c r="L191" i="29"/>
  <c r="K191" i="29"/>
  <c r="T190" i="29"/>
  <c r="S190" i="29"/>
  <c r="R190" i="29"/>
  <c r="Q190" i="29"/>
  <c r="P190" i="29"/>
  <c r="O190" i="29"/>
  <c r="N190" i="29"/>
  <c r="M190" i="29"/>
  <c r="L190" i="29"/>
  <c r="K190" i="29"/>
  <c r="T189" i="29"/>
  <c r="S189" i="29"/>
  <c r="R189" i="29"/>
  <c r="Q189" i="29"/>
  <c r="P189" i="29"/>
  <c r="O189" i="29"/>
  <c r="N189" i="29"/>
  <c r="M189" i="29"/>
  <c r="L189" i="29"/>
  <c r="K189" i="29"/>
  <c r="T188" i="29"/>
  <c r="S188" i="29"/>
  <c r="R188" i="29"/>
  <c r="Q188" i="29"/>
  <c r="P188" i="29"/>
  <c r="O188" i="29"/>
  <c r="N188" i="29"/>
  <c r="M188" i="29"/>
  <c r="L188" i="29"/>
  <c r="K188" i="29"/>
  <c r="T187" i="29"/>
  <c r="S187" i="29"/>
  <c r="R187" i="29"/>
  <c r="Q187" i="29"/>
  <c r="P187" i="29"/>
  <c r="O187" i="29"/>
  <c r="N187" i="29"/>
  <c r="M187" i="29"/>
  <c r="L187" i="29"/>
  <c r="K187" i="29"/>
  <c r="T186" i="29"/>
  <c r="S186" i="29"/>
  <c r="R186" i="29"/>
  <c r="Q186" i="29"/>
  <c r="P186" i="29"/>
  <c r="O186" i="29"/>
  <c r="N186" i="29"/>
  <c r="M186" i="29"/>
  <c r="L186" i="29"/>
  <c r="K186" i="29"/>
  <c r="T185" i="29"/>
  <c r="S185" i="29"/>
  <c r="R185" i="29"/>
  <c r="Q185" i="29"/>
  <c r="P185" i="29"/>
  <c r="O185" i="29"/>
  <c r="N185" i="29"/>
  <c r="M185" i="29"/>
  <c r="L185" i="29"/>
  <c r="K185" i="29"/>
  <c r="CV184" i="29"/>
  <c r="CU184" i="29"/>
  <c r="CT184" i="29"/>
  <c r="CS184" i="29"/>
  <c r="CR184" i="29"/>
  <c r="CQ184" i="29"/>
  <c r="CP184" i="29"/>
  <c r="CO184" i="29"/>
  <c r="CN184" i="29"/>
  <c r="CM184" i="29"/>
  <c r="CV183" i="29"/>
  <c r="CU183" i="29"/>
  <c r="CT183" i="29"/>
  <c r="CS183" i="29"/>
  <c r="CR183" i="29"/>
  <c r="CQ183" i="29"/>
  <c r="CP183" i="29"/>
  <c r="CO183" i="29"/>
  <c r="CN183" i="29"/>
  <c r="CM183" i="29"/>
  <c r="CV182" i="29"/>
  <c r="CU182" i="29"/>
  <c r="CT182" i="29"/>
  <c r="CS182" i="29"/>
  <c r="CR182" i="29"/>
  <c r="CQ182" i="29"/>
  <c r="CP182" i="29"/>
  <c r="CO182" i="29"/>
  <c r="CN182" i="29"/>
  <c r="CM182" i="29"/>
  <c r="CV181" i="29"/>
  <c r="CU181" i="29"/>
  <c r="CT181" i="29"/>
  <c r="CS181" i="29"/>
  <c r="CR181" i="29"/>
  <c r="CQ181" i="29"/>
  <c r="CP181" i="29"/>
  <c r="CO181" i="29"/>
  <c r="CN181" i="29"/>
  <c r="CM181" i="29"/>
  <c r="CV180" i="29"/>
  <c r="CU180" i="29"/>
  <c r="CT180" i="29"/>
  <c r="CS180" i="29"/>
  <c r="CR180" i="29"/>
  <c r="CQ180" i="29"/>
  <c r="CP180" i="29"/>
  <c r="CO180" i="29"/>
  <c r="CN180" i="29"/>
  <c r="CM180" i="29"/>
  <c r="CV179" i="29"/>
  <c r="CU179" i="29"/>
  <c r="CT179" i="29"/>
  <c r="CS179" i="29"/>
  <c r="CR179" i="29"/>
  <c r="CQ179" i="29"/>
  <c r="CP179" i="29"/>
  <c r="CO179" i="29"/>
  <c r="CN179" i="29"/>
  <c r="CM179" i="29"/>
  <c r="CV178" i="29"/>
  <c r="CU178" i="29"/>
  <c r="CT178" i="29"/>
  <c r="CS178" i="29"/>
  <c r="CR178" i="29"/>
  <c r="CQ178" i="29"/>
  <c r="CP178" i="29"/>
  <c r="CO178" i="29"/>
  <c r="CN178" i="29"/>
  <c r="CM178" i="29"/>
  <c r="CV177" i="29"/>
  <c r="CU177" i="29"/>
  <c r="CT177" i="29"/>
  <c r="CS177" i="29"/>
  <c r="CR177" i="29"/>
  <c r="CQ177" i="29"/>
  <c r="CP177" i="29"/>
  <c r="CO177" i="29"/>
  <c r="CN177" i="29"/>
  <c r="CM177" i="29"/>
  <c r="CV176" i="29"/>
  <c r="CU176" i="29"/>
  <c r="CT176" i="29"/>
  <c r="CS176" i="29"/>
  <c r="CR176" i="29"/>
  <c r="CQ176" i="29"/>
  <c r="CP176" i="29"/>
  <c r="CO176" i="29"/>
  <c r="CN176" i="29"/>
  <c r="CM176" i="29"/>
  <c r="CV175" i="29"/>
  <c r="CU175" i="29"/>
  <c r="CT175" i="29"/>
  <c r="CS175" i="29"/>
  <c r="CR175" i="29"/>
  <c r="CQ175" i="29"/>
  <c r="CP175" i="29"/>
  <c r="CO175" i="29"/>
  <c r="CN175" i="29"/>
  <c r="CM175" i="29"/>
  <c r="CV174" i="29"/>
  <c r="CU174" i="29"/>
  <c r="CT174" i="29"/>
  <c r="CS174" i="29"/>
  <c r="CR174" i="29"/>
  <c r="CQ174" i="29"/>
  <c r="CP174" i="29"/>
  <c r="CO174" i="29"/>
  <c r="CN174" i="29"/>
  <c r="CM174" i="29"/>
  <c r="CV173" i="29"/>
  <c r="CU173" i="29"/>
  <c r="CT173" i="29"/>
  <c r="CS173" i="29"/>
  <c r="CR173" i="29"/>
  <c r="CQ173" i="29"/>
  <c r="CP173" i="29"/>
  <c r="CO173" i="29"/>
  <c r="CN173" i="29"/>
  <c r="CM173" i="29"/>
  <c r="CV172" i="29"/>
  <c r="CU172" i="29"/>
  <c r="CT172" i="29"/>
  <c r="CS172" i="29"/>
  <c r="CR172" i="29"/>
  <c r="CQ172" i="29"/>
  <c r="CP172" i="29"/>
  <c r="CO172" i="29"/>
  <c r="CN172" i="29"/>
  <c r="CM172" i="29"/>
  <c r="CV171" i="29"/>
  <c r="CU171" i="29"/>
  <c r="CT171" i="29"/>
  <c r="CS171" i="29"/>
  <c r="CR171" i="29"/>
  <c r="CQ171" i="29"/>
  <c r="CP171" i="29"/>
  <c r="CO171" i="29"/>
  <c r="CN171" i="29"/>
  <c r="CM171" i="29"/>
  <c r="CV170" i="29"/>
  <c r="CU170" i="29"/>
  <c r="CT170" i="29"/>
  <c r="CS170" i="29"/>
  <c r="CR170" i="29"/>
  <c r="CQ170" i="29"/>
  <c r="CP170" i="29"/>
  <c r="CO170" i="29"/>
  <c r="CN170" i="29"/>
  <c r="CM170" i="29"/>
  <c r="CV169" i="29"/>
  <c r="CU169" i="29"/>
  <c r="CT169" i="29"/>
  <c r="CS169" i="29"/>
  <c r="CR169" i="29"/>
  <c r="CQ169" i="29"/>
  <c r="CP169" i="29"/>
  <c r="CO169" i="29"/>
  <c r="CN169" i="29"/>
  <c r="CM169" i="29"/>
  <c r="CV168" i="29"/>
  <c r="CU168" i="29"/>
  <c r="CT168" i="29"/>
  <c r="CS168" i="29"/>
  <c r="CR168" i="29"/>
  <c r="CQ168" i="29"/>
  <c r="CP168" i="29"/>
  <c r="CO168" i="29"/>
  <c r="CN168" i="29"/>
  <c r="CM168" i="29"/>
  <c r="CV167" i="29"/>
  <c r="CU167" i="29"/>
  <c r="CT167" i="29"/>
  <c r="CS167" i="29"/>
  <c r="CR167" i="29"/>
  <c r="CQ167" i="29"/>
  <c r="CP167" i="29"/>
  <c r="CO167" i="29"/>
  <c r="CN167" i="29"/>
  <c r="CM167" i="29"/>
  <c r="CV166" i="29"/>
  <c r="CU166" i="29"/>
  <c r="CT166" i="29"/>
  <c r="CS166" i="29"/>
  <c r="CR166" i="29"/>
  <c r="CQ166" i="29"/>
  <c r="CP166" i="29"/>
  <c r="CO166" i="29"/>
  <c r="CN166" i="29"/>
  <c r="CM166" i="29"/>
  <c r="CV165" i="29"/>
  <c r="CU165" i="29"/>
  <c r="CT165" i="29"/>
  <c r="CS165" i="29"/>
  <c r="CR165" i="29"/>
  <c r="CQ165" i="29"/>
  <c r="CP165" i="29"/>
  <c r="CO165" i="29"/>
  <c r="CN165" i="29"/>
  <c r="CM165" i="29"/>
  <c r="CV164" i="29"/>
  <c r="CU164" i="29"/>
  <c r="CT164" i="29"/>
  <c r="CS164" i="29"/>
  <c r="CR164" i="29"/>
  <c r="CQ164" i="29"/>
  <c r="CP164" i="29"/>
  <c r="CO164" i="29"/>
  <c r="CN164" i="29"/>
  <c r="CM164" i="29"/>
  <c r="CV163" i="29"/>
  <c r="CU163" i="29"/>
  <c r="CT163" i="29"/>
  <c r="CS163" i="29"/>
  <c r="CR163" i="29"/>
  <c r="CQ163" i="29"/>
  <c r="CP163" i="29"/>
  <c r="CO163" i="29"/>
  <c r="CN163" i="29"/>
  <c r="CM163" i="29"/>
  <c r="CV162" i="29"/>
  <c r="CU162" i="29"/>
  <c r="CT162" i="29"/>
  <c r="CS162" i="29"/>
  <c r="CR162" i="29"/>
  <c r="CQ162" i="29"/>
  <c r="CP162" i="29"/>
  <c r="CO162" i="29"/>
  <c r="CN162" i="29"/>
  <c r="CM162" i="29"/>
  <c r="CV161" i="29"/>
  <c r="CU161" i="29"/>
  <c r="CT161" i="29"/>
  <c r="CS161" i="29"/>
  <c r="CR161" i="29"/>
  <c r="CQ161" i="29"/>
  <c r="CP161" i="29"/>
  <c r="CO161" i="29"/>
  <c r="CN161" i="29"/>
  <c r="CM161" i="29"/>
  <c r="CV160" i="29"/>
  <c r="CU160" i="29"/>
  <c r="CT160" i="29"/>
  <c r="CS160" i="29"/>
  <c r="CR160" i="29"/>
  <c r="CQ160" i="29"/>
  <c r="CP160" i="29"/>
  <c r="CO160" i="29"/>
  <c r="CN160" i="29"/>
  <c r="CM160" i="29"/>
  <c r="CV159" i="29"/>
  <c r="CU159" i="29"/>
  <c r="CT159" i="29"/>
  <c r="CS159" i="29"/>
  <c r="CR159" i="29"/>
  <c r="CQ159" i="29"/>
  <c r="CP159" i="29"/>
  <c r="CO159" i="29"/>
  <c r="CN159" i="29"/>
  <c r="CM159" i="29"/>
  <c r="CV158" i="29"/>
  <c r="CU158" i="29"/>
  <c r="CT158" i="29"/>
  <c r="CS158" i="29"/>
  <c r="CR158" i="29"/>
  <c r="CQ158" i="29"/>
  <c r="CP158" i="29"/>
  <c r="CO158" i="29"/>
  <c r="CN158" i="29"/>
  <c r="CM158" i="29"/>
  <c r="CV157" i="29"/>
  <c r="CU157" i="29"/>
  <c r="CT157" i="29"/>
  <c r="CS157" i="29"/>
  <c r="CR157" i="29"/>
  <c r="CQ157" i="29"/>
  <c r="CP157" i="29"/>
  <c r="CO157" i="29"/>
  <c r="CN157" i="29"/>
  <c r="CM157" i="29"/>
  <c r="CV156" i="29"/>
  <c r="CU156" i="29"/>
  <c r="CT156" i="29"/>
  <c r="CS156" i="29"/>
  <c r="CR156" i="29"/>
  <c r="CQ156" i="29"/>
  <c r="CP156" i="29"/>
  <c r="CO156" i="29"/>
  <c r="CN156" i="29"/>
  <c r="CM156" i="29"/>
  <c r="CV155" i="29"/>
  <c r="CU155" i="29"/>
  <c r="CT155" i="29"/>
  <c r="CS155" i="29"/>
  <c r="CR155" i="29"/>
  <c r="CQ155" i="29"/>
  <c r="CP155" i="29"/>
  <c r="CO155" i="29"/>
  <c r="CN155" i="29"/>
  <c r="CM155" i="29"/>
  <c r="BH184" i="29"/>
  <c r="BG184" i="29"/>
  <c r="BF184" i="29"/>
  <c r="BE184" i="29"/>
  <c r="BD184" i="29"/>
  <c r="BC184" i="29"/>
  <c r="BB184" i="29"/>
  <c r="BA184" i="29"/>
  <c r="AZ184" i="29"/>
  <c r="AY184" i="29"/>
  <c r="BH183" i="29"/>
  <c r="BG183" i="29"/>
  <c r="BF183" i="29"/>
  <c r="BE183" i="29"/>
  <c r="BD183" i="29"/>
  <c r="BC183" i="29"/>
  <c r="BB183" i="29"/>
  <c r="BA183" i="29"/>
  <c r="AZ183" i="29"/>
  <c r="AY183" i="29"/>
  <c r="BH182" i="29"/>
  <c r="BG182" i="29"/>
  <c r="BF182" i="29"/>
  <c r="BE182" i="29"/>
  <c r="BD182" i="29"/>
  <c r="BC182" i="29"/>
  <c r="BB182" i="29"/>
  <c r="BA182" i="29"/>
  <c r="AZ182" i="29"/>
  <c r="AY182" i="29"/>
  <c r="BH181" i="29"/>
  <c r="BG181" i="29"/>
  <c r="BF181" i="29"/>
  <c r="BE181" i="29"/>
  <c r="BD181" i="29"/>
  <c r="BC181" i="29"/>
  <c r="BB181" i="29"/>
  <c r="BA181" i="29"/>
  <c r="AZ181" i="29"/>
  <c r="AY181" i="29"/>
  <c r="BH180" i="29"/>
  <c r="BG180" i="29"/>
  <c r="BF180" i="29"/>
  <c r="BE180" i="29"/>
  <c r="BD180" i="29"/>
  <c r="BC180" i="29"/>
  <c r="BB180" i="29"/>
  <c r="BA180" i="29"/>
  <c r="AZ180" i="29"/>
  <c r="AY180" i="29"/>
  <c r="BH179" i="29"/>
  <c r="BG179" i="29"/>
  <c r="BF179" i="29"/>
  <c r="BE179" i="29"/>
  <c r="BD179" i="29"/>
  <c r="BC179" i="29"/>
  <c r="BB179" i="29"/>
  <c r="BA179" i="29"/>
  <c r="AZ179" i="29"/>
  <c r="AY179" i="29"/>
  <c r="BH178" i="29"/>
  <c r="BG178" i="29"/>
  <c r="BF178" i="29"/>
  <c r="BE178" i="29"/>
  <c r="BD178" i="29"/>
  <c r="BC178" i="29"/>
  <c r="BB178" i="29"/>
  <c r="BA178" i="29"/>
  <c r="AZ178" i="29"/>
  <c r="AY178" i="29"/>
  <c r="BH177" i="29"/>
  <c r="BG177" i="29"/>
  <c r="BF177" i="29"/>
  <c r="BE177" i="29"/>
  <c r="BD177" i="29"/>
  <c r="BC177" i="29"/>
  <c r="BB177" i="29"/>
  <c r="BA177" i="29"/>
  <c r="AZ177" i="29"/>
  <c r="AY177" i="29"/>
  <c r="BH176" i="29"/>
  <c r="BG176" i="29"/>
  <c r="BF176" i="29"/>
  <c r="BE176" i="29"/>
  <c r="BD176" i="29"/>
  <c r="BC176" i="29"/>
  <c r="BB176" i="29"/>
  <c r="BA176" i="29"/>
  <c r="AZ176" i="29"/>
  <c r="AY176" i="29"/>
  <c r="BH175" i="29"/>
  <c r="BG175" i="29"/>
  <c r="BF175" i="29"/>
  <c r="BE175" i="29"/>
  <c r="BD175" i="29"/>
  <c r="BC175" i="29"/>
  <c r="BB175" i="29"/>
  <c r="BA175" i="29"/>
  <c r="AZ175" i="29"/>
  <c r="AY175" i="29"/>
  <c r="BH174" i="29"/>
  <c r="BG174" i="29"/>
  <c r="BF174" i="29"/>
  <c r="BE174" i="29"/>
  <c r="BD174" i="29"/>
  <c r="BC174" i="29"/>
  <c r="BB174" i="29"/>
  <c r="BA174" i="29"/>
  <c r="AZ174" i="29"/>
  <c r="AY174" i="29"/>
  <c r="BH173" i="29"/>
  <c r="BG173" i="29"/>
  <c r="BF173" i="29"/>
  <c r="BE173" i="29"/>
  <c r="BD173" i="29"/>
  <c r="BC173" i="29"/>
  <c r="BB173" i="29"/>
  <c r="BA173" i="29"/>
  <c r="AZ173" i="29"/>
  <c r="AY173" i="29"/>
  <c r="BH172" i="29"/>
  <c r="BG172" i="29"/>
  <c r="BF172" i="29"/>
  <c r="BE172" i="29"/>
  <c r="BD172" i="29"/>
  <c r="BC172" i="29"/>
  <c r="BB172" i="29"/>
  <c r="BA172" i="29"/>
  <c r="AZ172" i="29"/>
  <c r="AY172" i="29"/>
  <c r="BH171" i="29"/>
  <c r="BG171" i="29"/>
  <c r="BF171" i="29"/>
  <c r="BE171" i="29"/>
  <c r="BD171" i="29"/>
  <c r="BC171" i="29"/>
  <c r="BB171" i="29"/>
  <c r="BA171" i="29"/>
  <c r="AZ171" i="29"/>
  <c r="AY171" i="29"/>
  <c r="BH170" i="29"/>
  <c r="BG170" i="29"/>
  <c r="BF170" i="29"/>
  <c r="BE170" i="29"/>
  <c r="BD170" i="29"/>
  <c r="BC170" i="29"/>
  <c r="BB170" i="29"/>
  <c r="BA170" i="29"/>
  <c r="AZ170" i="29"/>
  <c r="AY170" i="29"/>
  <c r="BH169" i="29"/>
  <c r="BG169" i="29"/>
  <c r="BF169" i="29"/>
  <c r="BE169" i="29"/>
  <c r="BD169" i="29"/>
  <c r="BC169" i="29"/>
  <c r="BB169" i="29"/>
  <c r="BA169" i="29"/>
  <c r="AZ169" i="29"/>
  <c r="AY169" i="29"/>
  <c r="BH168" i="29"/>
  <c r="BG168" i="29"/>
  <c r="BF168" i="29"/>
  <c r="BE168" i="29"/>
  <c r="BD168" i="29"/>
  <c r="BC168" i="29"/>
  <c r="BB168" i="29"/>
  <c r="BA168" i="29"/>
  <c r="AZ168" i="29"/>
  <c r="AY168" i="29"/>
  <c r="BH167" i="29"/>
  <c r="BG167" i="29"/>
  <c r="BF167" i="29"/>
  <c r="BE167" i="29"/>
  <c r="BD167" i="29"/>
  <c r="BC167" i="29"/>
  <c r="BB167" i="29"/>
  <c r="BA167" i="29"/>
  <c r="AZ167" i="29"/>
  <c r="AY167" i="29"/>
  <c r="BH166" i="29"/>
  <c r="BG166" i="29"/>
  <c r="BF166" i="29"/>
  <c r="BE166" i="29"/>
  <c r="BD166" i="29"/>
  <c r="BC166" i="29"/>
  <c r="BB166" i="29"/>
  <c r="BA166" i="29"/>
  <c r="AZ166" i="29"/>
  <c r="AY166" i="29"/>
  <c r="BH165" i="29"/>
  <c r="BG165" i="29"/>
  <c r="BF165" i="29"/>
  <c r="BE165" i="29"/>
  <c r="BD165" i="29"/>
  <c r="BC165" i="29"/>
  <c r="BB165" i="29"/>
  <c r="BA165" i="29"/>
  <c r="AZ165" i="29"/>
  <c r="AY165" i="29"/>
  <c r="BH164" i="29"/>
  <c r="BG164" i="29"/>
  <c r="BF164" i="29"/>
  <c r="BE164" i="29"/>
  <c r="BD164" i="29"/>
  <c r="BC164" i="29"/>
  <c r="BB164" i="29"/>
  <c r="BA164" i="29"/>
  <c r="AZ164" i="29"/>
  <c r="AY164" i="29"/>
  <c r="BH163" i="29"/>
  <c r="BG163" i="29"/>
  <c r="BF163" i="29"/>
  <c r="BE163" i="29"/>
  <c r="BD163" i="29"/>
  <c r="BC163" i="29"/>
  <c r="BB163" i="29"/>
  <c r="BA163" i="29"/>
  <c r="AZ163" i="29"/>
  <c r="AY163" i="29"/>
  <c r="BH162" i="29"/>
  <c r="BG162" i="29"/>
  <c r="BF162" i="29"/>
  <c r="BE162" i="29"/>
  <c r="BD162" i="29"/>
  <c r="BC162" i="29"/>
  <c r="BB162" i="29"/>
  <c r="BA162" i="29"/>
  <c r="AZ162" i="29"/>
  <c r="AY162" i="29"/>
  <c r="BH161" i="29"/>
  <c r="BG161" i="29"/>
  <c r="BF161" i="29"/>
  <c r="BE161" i="29"/>
  <c r="BD161" i="29"/>
  <c r="BC161" i="29"/>
  <c r="BB161" i="29"/>
  <c r="BA161" i="29"/>
  <c r="AZ161" i="29"/>
  <c r="AY161" i="29"/>
  <c r="BH160" i="29"/>
  <c r="BG160" i="29"/>
  <c r="BF160" i="29"/>
  <c r="BE160" i="29"/>
  <c r="BD160" i="29"/>
  <c r="BC160" i="29"/>
  <c r="BB160" i="29"/>
  <c r="BA160" i="29"/>
  <c r="AZ160" i="29"/>
  <c r="AY160" i="29"/>
  <c r="BH159" i="29"/>
  <c r="BG159" i="29"/>
  <c r="BF159" i="29"/>
  <c r="BE159" i="29"/>
  <c r="BD159" i="29"/>
  <c r="BC159" i="29"/>
  <c r="BB159" i="29"/>
  <c r="BA159" i="29"/>
  <c r="AZ159" i="29"/>
  <c r="AY159" i="29"/>
  <c r="BH158" i="29"/>
  <c r="BG158" i="29"/>
  <c r="BF158" i="29"/>
  <c r="BE158" i="29"/>
  <c r="BD158" i="29"/>
  <c r="BC158" i="29"/>
  <c r="BB158" i="29"/>
  <c r="BA158" i="29"/>
  <c r="AZ158" i="29"/>
  <c r="AY158" i="29"/>
  <c r="BH157" i="29"/>
  <c r="BG157" i="29"/>
  <c r="BF157" i="29"/>
  <c r="BE157" i="29"/>
  <c r="BD157" i="29"/>
  <c r="BC157" i="29"/>
  <c r="BB157" i="29"/>
  <c r="BA157" i="29"/>
  <c r="AZ157" i="29"/>
  <c r="AY157" i="29"/>
  <c r="BH156" i="29"/>
  <c r="BG156" i="29"/>
  <c r="BF156" i="29"/>
  <c r="BE156" i="29"/>
  <c r="BD156" i="29"/>
  <c r="BC156" i="29"/>
  <c r="BB156" i="29"/>
  <c r="BA156" i="29"/>
  <c r="AZ156" i="29"/>
  <c r="AY156" i="29"/>
  <c r="BH155" i="29"/>
  <c r="BG155" i="29"/>
  <c r="BF155" i="29"/>
  <c r="BE155" i="29"/>
  <c r="BD155" i="29"/>
  <c r="BC155" i="29"/>
  <c r="BB155" i="29"/>
  <c r="BA155" i="29"/>
  <c r="AZ155" i="29"/>
  <c r="AY155" i="29"/>
  <c r="T184" i="29"/>
  <c r="S184" i="29"/>
  <c r="R184" i="29"/>
  <c r="Q184" i="29"/>
  <c r="P184" i="29"/>
  <c r="O184" i="29"/>
  <c r="N184" i="29"/>
  <c r="M184" i="29"/>
  <c r="L184" i="29"/>
  <c r="K184" i="29"/>
  <c r="T183" i="29"/>
  <c r="S183" i="29"/>
  <c r="R183" i="29"/>
  <c r="Q183" i="29"/>
  <c r="P183" i="29"/>
  <c r="O183" i="29"/>
  <c r="N183" i="29"/>
  <c r="M183" i="29"/>
  <c r="L183" i="29"/>
  <c r="K183" i="29"/>
  <c r="T182" i="29"/>
  <c r="S182" i="29"/>
  <c r="R182" i="29"/>
  <c r="Q182" i="29"/>
  <c r="P182" i="29"/>
  <c r="O182" i="29"/>
  <c r="N182" i="29"/>
  <c r="M182" i="29"/>
  <c r="L182" i="29"/>
  <c r="K182" i="29"/>
  <c r="T181" i="29"/>
  <c r="S181" i="29"/>
  <c r="R181" i="29"/>
  <c r="Q181" i="29"/>
  <c r="P181" i="29"/>
  <c r="O181" i="29"/>
  <c r="N181" i="29"/>
  <c r="M181" i="29"/>
  <c r="L181" i="29"/>
  <c r="K181" i="29"/>
  <c r="T180" i="29"/>
  <c r="S180" i="29"/>
  <c r="R180" i="29"/>
  <c r="Q180" i="29"/>
  <c r="P180" i="29"/>
  <c r="O180" i="29"/>
  <c r="N180" i="29"/>
  <c r="M180" i="29"/>
  <c r="L180" i="29"/>
  <c r="K180" i="29"/>
  <c r="T179" i="29"/>
  <c r="S179" i="29"/>
  <c r="R179" i="29"/>
  <c r="Q179" i="29"/>
  <c r="P179" i="29"/>
  <c r="O179" i="29"/>
  <c r="N179" i="29"/>
  <c r="M179" i="29"/>
  <c r="L179" i="29"/>
  <c r="K179" i="29"/>
  <c r="T178" i="29"/>
  <c r="S178" i="29"/>
  <c r="R178" i="29"/>
  <c r="Q178" i="29"/>
  <c r="P178" i="29"/>
  <c r="O178" i="29"/>
  <c r="N178" i="29"/>
  <c r="M178" i="29"/>
  <c r="L178" i="29"/>
  <c r="K178" i="29"/>
  <c r="T177" i="29"/>
  <c r="S177" i="29"/>
  <c r="R177" i="29"/>
  <c r="Q177" i="29"/>
  <c r="P177" i="29"/>
  <c r="O177" i="29"/>
  <c r="N177" i="29"/>
  <c r="M177" i="29"/>
  <c r="L177" i="29"/>
  <c r="K177" i="29"/>
  <c r="T176" i="29"/>
  <c r="S176" i="29"/>
  <c r="R176" i="29"/>
  <c r="Q176" i="29"/>
  <c r="P176" i="29"/>
  <c r="O176" i="29"/>
  <c r="N176" i="29"/>
  <c r="M176" i="29"/>
  <c r="L176" i="29"/>
  <c r="K176" i="29"/>
  <c r="T175" i="29"/>
  <c r="S175" i="29"/>
  <c r="R175" i="29"/>
  <c r="Q175" i="29"/>
  <c r="P175" i="29"/>
  <c r="O175" i="29"/>
  <c r="N175" i="29"/>
  <c r="M175" i="29"/>
  <c r="L175" i="29"/>
  <c r="K175" i="29"/>
  <c r="T174" i="29"/>
  <c r="S174" i="29"/>
  <c r="R174" i="29"/>
  <c r="Q174" i="29"/>
  <c r="P174" i="29"/>
  <c r="O174" i="29"/>
  <c r="N174" i="29"/>
  <c r="M174" i="29"/>
  <c r="L174" i="29"/>
  <c r="K174" i="29"/>
  <c r="T173" i="29"/>
  <c r="S173" i="29"/>
  <c r="R173" i="29"/>
  <c r="Q173" i="29"/>
  <c r="P173" i="29"/>
  <c r="O173" i="29"/>
  <c r="N173" i="29"/>
  <c r="M173" i="29"/>
  <c r="L173" i="29"/>
  <c r="K173" i="29"/>
  <c r="T172" i="29"/>
  <c r="S172" i="29"/>
  <c r="R172" i="29"/>
  <c r="Q172" i="29"/>
  <c r="P172" i="29"/>
  <c r="O172" i="29"/>
  <c r="N172" i="29"/>
  <c r="M172" i="29"/>
  <c r="L172" i="29"/>
  <c r="K172" i="29"/>
  <c r="T171" i="29"/>
  <c r="S171" i="29"/>
  <c r="R171" i="29"/>
  <c r="Q171" i="29"/>
  <c r="P171" i="29"/>
  <c r="O171" i="29"/>
  <c r="N171" i="29"/>
  <c r="M171" i="29"/>
  <c r="L171" i="29"/>
  <c r="K171" i="29"/>
  <c r="T170" i="29"/>
  <c r="S170" i="29"/>
  <c r="R170" i="29"/>
  <c r="Q170" i="29"/>
  <c r="P170" i="29"/>
  <c r="O170" i="29"/>
  <c r="N170" i="29"/>
  <c r="M170" i="29"/>
  <c r="L170" i="29"/>
  <c r="K170" i="29"/>
  <c r="T169" i="29"/>
  <c r="S169" i="29"/>
  <c r="R169" i="29"/>
  <c r="Q169" i="29"/>
  <c r="P169" i="29"/>
  <c r="O169" i="29"/>
  <c r="N169" i="29"/>
  <c r="M169" i="29"/>
  <c r="L169" i="29"/>
  <c r="K169" i="29"/>
  <c r="T168" i="29"/>
  <c r="S168" i="29"/>
  <c r="R168" i="29"/>
  <c r="Q168" i="29"/>
  <c r="P168" i="29"/>
  <c r="O168" i="29"/>
  <c r="N168" i="29"/>
  <c r="M168" i="29"/>
  <c r="L168" i="29"/>
  <c r="K168" i="29"/>
  <c r="T167" i="29"/>
  <c r="S167" i="29"/>
  <c r="R167" i="29"/>
  <c r="Q167" i="29"/>
  <c r="P167" i="29"/>
  <c r="O167" i="29"/>
  <c r="N167" i="29"/>
  <c r="M167" i="29"/>
  <c r="L167" i="29"/>
  <c r="K167" i="29"/>
  <c r="T166" i="29"/>
  <c r="S166" i="29"/>
  <c r="R166" i="29"/>
  <c r="Q166" i="29"/>
  <c r="P166" i="29"/>
  <c r="O166" i="29"/>
  <c r="N166" i="29"/>
  <c r="M166" i="29"/>
  <c r="L166" i="29"/>
  <c r="K166" i="29"/>
  <c r="T165" i="29"/>
  <c r="S165" i="29"/>
  <c r="R165" i="29"/>
  <c r="Q165" i="29"/>
  <c r="P165" i="29"/>
  <c r="O165" i="29"/>
  <c r="N165" i="29"/>
  <c r="M165" i="29"/>
  <c r="L165" i="29"/>
  <c r="K165" i="29"/>
  <c r="T164" i="29"/>
  <c r="S164" i="29"/>
  <c r="R164" i="29"/>
  <c r="Q164" i="29"/>
  <c r="P164" i="29"/>
  <c r="O164" i="29"/>
  <c r="N164" i="29"/>
  <c r="M164" i="29"/>
  <c r="L164" i="29"/>
  <c r="K164" i="29"/>
  <c r="T163" i="29"/>
  <c r="S163" i="29"/>
  <c r="R163" i="29"/>
  <c r="Q163" i="29"/>
  <c r="P163" i="29"/>
  <c r="O163" i="29"/>
  <c r="N163" i="29"/>
  <c r="M163" i="29"/>
  <c r="L163" i="29"/>
  <c r="K163" i="29"/>
  <c r="T162" i="29"/>
  <c r="S162" i="29"/>
  <c r="R162" i="29"/>
  <c r="Q162" i="29"/>
  <c r="P162" i="29"/>
  <c r="O162" i="29"/>
  <c r="N162" i="29"/>
  <c r="M162" i="29"/>
  <c r="L162" i="29"/>
  <c r="K162" i="29"/>
  <c r="T161" i="29"/>
  <c r="S161" i="29"/>
  <c r="R161" i="29"/>
  <c r="Q161" i="29"/>
  <c r="P161" i="29"/>
  <c r="O161" i="29"/>
  <c r="N161" i="29"/>
  <c r="M161" i="29"/>
  <c r="L161" i="29"/>
  <c r="K161" i="29"/>
  <c r="T160" i="29"/>
  <c r="S160" i="29"/>
  <c r="R160" i="29"/>
  <c r="Q160" i="29"/>
  <c r="P160" i="29"/>
  <c r="O160" i="29"/>
  <c r="N160" i="29"/>
  <c r="M160" i="29"/>
  <c r="L160" i="29"/>
  <c r="K160" i="29"/>
  <c r="T159" i="29"/>
  <c r="S159" i="29"/>
  <c r="R159" i="29"/>
  <c r="Q159" i="29"/>
  <c r="P159" i="29"/>
  <c r="O159" i="29"/>
  <c r="N159" i="29"/>
  <c r="M159" i="29"/>
  <c r="L159" i="29"/>
  <c r="K159" i="29"/>
  <c r="T158" i="29"/>
  <c r="S158" i="29"/>
  <c r="R158" i="29"/>
  <c r="Q158" i="29"/>
  <c r="P158" i="29"/>
  <c r="O158" i="29"/>
  <c r="N158" i="29"/>
  <c r="M158" i="29"/>
  <c r="L158" i="29"/>
  <c r="K158" i="29"/>
  <c r="T157" i="29"/>
  <c r="S157" i="29"/>
  <c r="R157" i="29"/>
  <c r="Q157" i="29"/>
  <c r="P157" i="29"/>
  <c r="O157" i="29"/>
  <c r="N157" i="29"/>
  <c r="M157" i="29"/>
  <c r="L157" i="29"/>
  <c r="K157" i="29"/>
  <c r="T156" i="29"/>
  <c r="S156" i="29"/>
  <c r="R156" i="29"/>
  <c r="Q156" i="29"/>
  <c r="P156" i="29"/>
  <c r="O156" i="29"/>
  <c r="N156" i="29"/>
  <c r="M156" i="29"/>
  <c r="L156" i="29"/>
  <c r="K156" i="29"/>
  <c r="T155" i="29"/>
  <c r="S155" i="29"/>
  <c r="R155" i="29"/>
  <c r="Q155" i="29"/>
  <c r="P155" i="29"/>
  <c r="O155" i="29"/>
  <c r="N155" i="29"/>
  <c r="M155" i="29"/>
  <c r="L155" i="29"/>
  <c r="K155" i="29"/>
  <c r="CV154" i="29"/>
  <c r="CU154" i="29"/>
  <c r="CT154" i="29"/>
  <c r="CS154" i="29"/>
  <c r="CR154" i="29"/>
  <c r="CQ154" i="29"/>
  <c r="CP154" i="29"/>
  <c r="CO154" i="29"/>
  <c r="CN154" i="29"/>
  <c r="CM154" i="29"/>
  <c r="CV153" i="29"/>
  <c r="CU153" i="29"/>
  <c r="CT153" i="29"/>
  <c r="CS153" i="29"/>
  <c r="CR153" i="29"/>
  <c r="CQ153" i="29"/>
  <c r="CP153" i="29"/>
  <c r="CO153" i="29"/>
  <c r="CN153" i="29"/>
  <c r="CM153" i="29"/>
  <c r="CV152" i="29"/>
  <c r="CU152" i="29"/>
  <c r="CT152" i="29"/>
  <c r="CS152" i="29"/>
  <c r="CR152" i="29"/>
  <c r="CQ152" i="29"/>
  <c r="CP152" i="29"/>
  <c r="CO152" i="29"/>
  <c r="CN152" i="29"/>
  <c r="CM152" i="29"/>
  <c r="CV151" i="29"/>
  <c r="CU151" i="29"/>
  <c r="CT151" i="29"/>
  <c r="CS151" i="29"/>
  <c r="CR151" i="29"/>
  <c r="CQ151" i="29"/>
  <c r="CP151" i="29"/>
  <c r="CO151" i="29"/>
  <c r="CN151" i="29"/>
  <c r="CM151" i="29"/>
  <c r="CV150" i="29"/>
  <c r="CU150" i="29"/>
  <c r="CT150" i="29"/>
  <c r="CS150" i="29"/>
  <c r="CR150" i="29"/>
  <c r="CQ150" i="29"/>
  <c r="CP150" i="29"/>
  <c r="CO150" i="29"/>
  <c r="CN150" i="29"/>
  <c r="CM150" i="29"/>
  <c r="CV149" i="29"/>
  <c r="CU149" i="29"/>
  <c r="CT149" i="29"/>
  <c r="CS149" i="29"/>
  <c r="CR149" i="29"/>
  <c r="CQ149" i="29"/>
  <c r="CP149" i="29"/>
  <c r="CO149" i="29"/>
  <c r="CN149" i="29"/>
  <c r="CM149" i="29"/>
  <c r="CV148" i="29"/>
  <c r="CU148" i="29"/>
  <c r="CT148" i="29"/>
  <c r="CS148" i="29"/>
  <c r="CR148" i="29"/>
  <c r="CQ148" i="29"/>
  <c r="CP148" i="29"/>
  <c r="CO148" i="29"/>
  <c r="CN148" i="29"/>
  <c r="CM148" i="29"/>
  <c r="CV147" i="29"/>
  <c r="CU147" i="29"/>
  <c r="CT147" i="29"/>
  <c r="CS147" i="29"/>
  <c r="CR147" i="29"/>
  <c r="CQ147" i="29"/>
  <c r="CP147" i="29"/>
  <c r="CO147" i="29"/>
  <c r="CN147" i="29"/>
  <c r="CM147" i="29"/>
  <c r="CV146" i="29"/>
  <c r="CU146" i="29"/>
  <c r="CT146" i="29"/>
  <c r="CS146" i="29"/>
  <c r="CR146" i="29"/>
  <c r="CQ146" i="29"/>
  <c r="CP146" i="29"/>
  <c r="CO146" i="29"/>
  <c r="CN146" i="29"/>
  <c r="CM146" i="29"/>
  <c r="CV145" i="29"/>
  <c r="CU145" i="29"/>
  <c r="CT145" i="29"/>
  <c r="CS145" i="29"/>
  <c r="CR145" i="29"/>
  <c r="CQ145" i="29"/>
  <c r="CP145" i="29"/>
  <c r="CO145" i="29"/>
  <c r="CN145" i="29"/>
  <c r="CM145" i="29"/>
  <c r="CV144" i="29"/>
  <c r="CU144" i="29"/>
  <c r="CT144" i="29"/>
  <c r="CS144" i="29"/>
  <c r="CR144" i="29"/>
  <c r="CQ144" i="29"/>
  <c r="CP144" i="29"/>
  <c r="CO144" i="29"/>
  <c r="CN144" i="29"/>
  <c r="CM144" i="29"/>
  <c r="CV143" i="29"/>
  <c r="CU143" i="29"/>
  <c r="CT143" i="29"/>
  <c r="CS143" i="29"/>
  <c r="CR143" i="29"/>
  <c r="CQ143" i="29"/>
  <c r="CP143" i="29"/>
  <c r="CO143" i="29"/>
  <c r="CN143" i="29"/>
  <c r="CM143" i="29"/>
  <c r="CV142" i="29"/>
  <c r="CU142" i="29"/>
  <c r="CT142" i="29"/>
  <c r="CS142" i="29"/>
  <c r="CR142" i="29"/>
  <c r="CQ142" i="29"/>
  <c r="CP142" i="29"/>
  <c r="CO142" i="29"/>
  <c r="CN142" i="29"/>
  <c r="CM142" i="29"/>
  <c r="CV141" i="29"/>
  <c r="CU141" i="29"/>
  <c r="CT141" i="29"/>
  <c r="CS141" i="29"/>
  <c r="CR141" i="29"/>
  <c r="CQ141" i="29"/>
  <c r="CP141" i="29"/>
  <c r="CO141" i="29"/>
  <c r="CN141" i="29"/>
  <c r="CM141" i="29"/>
  <c r="CV140" i="29"/>
  <c r="CU140" i="29"/>
  <c r="CT140" i="29"/>
  <c r="CS140" i="29"/>
  <c r="CR140" i="29"/>
  <c r="CQ140" i="29"/>
  <c r="CP140" i="29"/>
  <c r="CO140" i="29"/>
  <c r="CN140" i="29"/>
  <c r="CM140" i="29"/>
  <c r="CV139" i="29"/>
  <c r="CU139" i="29"/>
  <c r="CT139" i="29"/>
  <c r="CS139" i="29"/>
  <c r="CR139" i="29"/>
  <c r="CQ139" i="29"/>
  <c r="CP139" i="29"/>
  <c r="CO139" i="29"/>
  <c r="CN139" i="29"/>
  <c r="CM139" i="29"/>
  <c r="CV138" i="29"/>
  <c r="CU138" i="29"/>
  <c r="CT138" i="29"/>
  <c r="CS138" i="29"/>
  <c r="CR138" i="29"/>
  <c r="CQ138" i="29"/>
  <c r="CP138" i="29"/>
  <c r="CO138" i="29"/>
  <c r="CN138" i="29"/>
  <c r="CM138" i="29"/>
  <c r="CV137" i="29"/>
  <c r="CU137" i="29"/>
  <c r="CT137" i="29"/>
  <c r="CS137" i="29"/>
  <c r="CR137" i="29"/>
  <c r="CQ137" i="29"/>
  <c r="CP137" i="29"/>
  <c r="CO137" i="29"/>
  <c r="CN137" i="29"/>
  <c r="CM137" i="29"/>
  <c r="CV136" i="29"/>
  <c r="CU136" i="29"/>
  <c r="CT136" i="29"/>
  <c r="CS136" i="29"/>
  <c r="CR136" i="29"/>
  <c r="CQ136" i="29"/>
  <c r="CP136" i="29"/>
  <c r="CO136" i="29"/>
  <c r="CN136" i="29"/>
  <c r="CM136" i="29"/>
  <c r="CV135" i="29"/>
  <c r="CU135" i="29"/>
  <c r="CT135" i="29"/>
  <c r="CS135" i="29"/>
  <c r="CR135" i="29"/>
  <c r="CQ135" i="29"/>
  <c r="CP135" i="29"/>
  <c r="CO135" i="29"/>
  <c r="CN135" i="29"/>
  <c r="CM135" i="29"/>
  <c r="CV134" i="29"/>
  <c r="CU134" i="29"/>
  <c r="CT134" i="29"/>
  <c r="CS134" i="29"/>
  <c r="CR134" i="29"/>
  <c r="CQ134" i="29"/>
  <c r="CP134" i="29"/>
  <c r="CO134" i="29"/>
  <c r="CN134" i="29"/>
  <c r="CM134" i="29"/>
  <c r="CV133" i="29"/>
  <c r="CU133" i="29"/>
  <c r="CT133" i="29"/>
  <c r="CS133" i="29"/>
  <c r="CR133" i="29"/>
  <c r="CQ133" i="29"/>
  <c r="CP133" i="29"/>
  <c r="CO133" i="29"/>
  <c r="CN133" i="29"/>
  <c r="CM133" i="29"/>
  <c r="CV132" i="29"/>
  <c r="CU132" i="29"/>
  <c r="CT132" i="29"/>
  <c r="CS132" i="29"/>
  <c r="CR132" i="29"/>
  <c r="CQ132" i="29"/>
  <c r="CP132" i="29"/>
  <c r="CO132" i="29"/>
  <c r="CN132" i="29"/>
  <c r="CM132" i="29"/>
  <c r="CV131" i="29"/>
  <c r="CU131" i="29"/>
  <c r="CT131" i="29"/>
  <c r="CS131" i="29"/>
  <c r="CR131" i="29"/>
  <c r="CQ131" i="29"/>
  <c r="CP131" i="29"/>
  <c r="CO131" i="29"/>
  <c r="CN131" i="29"/>
  <c r="CM131" i="29"/>
  <c r="CV130" i="29"/>
  <c r="CU130" i="29"/>
  <c r="CT130" i="29"/>
  <c r="CS130" i="29"/>
  <c r="CR130" i="29"/>
  <c r="CQ130" i="29"/>
  <c r="CP130" i="29"/>
  <c r="CO130" i="29"/>
  <c r="CN130" i="29"/>
  <c r="CM130" i="29"/>
  <c r="CV129" i="29"/>
  <c r="CU129" i="29"/>
  <c r="CT129" i="29"/>
  <c r="CS129" i="29"/>
  <c r="CR129" i="29"/>
  <c r="CQ129" i="29"/>
  <c r="CP129" i="29"/>
  <c r="CO129" i="29"/>
  <c r="CN129" i="29"/>
  <c r="CM129" i="29"/>
  <c r="CV128" i="29"/>
  <c r="CU128" i="29"/>
  <c r="CT128" i="29"/>
  <c r="CS128" i="29"/>
  <c r="CR128" i="29"/>
  <c r="CQ128" i="29"/>
  <c r="CP128" i="29"/>
  <c r="CO128" i="29"/>
  <c r="CN128" i="29"/>
  <c r="CM128" i="29"/>
  <c r="CV127" i="29"/>
  <c r="CU127" i="29"/>
  <c r="CT127" i="29"/>
  <c r="CS127" i="29"/>
  <c r="CR127" i="29"/>
  <c r="CQ127" i="29"/>
  <c r="CP127" i="29"/>
  <c r="CO127" i="29"/>
  <c r="CN127" i="29"/>
  <c r="CM127" i="29"/>
  <c r="CV126" i="29"/>
  <c r="CU126" i="29"/>
  <c r="CT126" i="29"/>
  <c r="CS126" i="29"/>
  <c r="CR126" i="29"/>
  <c r="CQ126" i="29"/>
  <c r="CP126" i="29"/>
  <c r="CO126" i="29"/>
  <c r="CN126" i="29"/>
  <c r="CM126" i="29"/>
  <c r="CV125" i="29"/>
  <c r="CU125" i="29"/>
  <c r="CT125" i="29"/>
  <c r="CS125" i="29"/>
  <c r="CR125" i="29"/>
  <c r="CQ125" i="29"/>
  <c r="CP125" i="29"/>
  <c r="CO125" i="29"/>
  <c r="CN125" i="29"/>
  <c r="CM125" i="29"/>
  <c r="CV124" i="29"/>
  <c r="CU124" i="29"/>
  <c r="CT124" i="29"/>
  <c r="CS124" i="29"/>
  <c r="CR124" i="29"/>
  <c r="CQ124" i="29"/>
  <c r="CP124" i="29"/>
  <c r="CO124" i="29"/>
  <c r="CN124" i="29"/>
  <c r="CM124" i="29"/>
  <c r="BH154" i="29"/>
  <c r="BG154" i="29"/>
  <c r="BF154" i="29"/>
  <c r="BE154" i="29"/>
  <c r="BD154" i="29"/>
  <c r="BC154" i="29"/>
  <c r="BB154" i="29"/>
  <c r="BA154" i="29"/>
  <c r="AZ154" i="29"/>
  <c r="AY154" i="29"/>
  <c r="BH153" i="29"/>
  <c r="BG153" i="29"/>
  <c r="BF153" i="29"/>
  <c r="BE153" i="29"/>
  <c r="BD153" i="29"/>
  <c r="BC153" i="29"/>
  <c r="BB153" i="29"/>
  <c r="BA153" i="29"/>
  <c r="AZ153" i="29"/>
  <c r="AY153" i="29"/>
  <c r="BH152" i="29"/>
  <c r="BG152" i="29"/>
  <c r="BF152" i="29"/>
  <c r="BE152" i="29"/>
  <c r="BD152" i="29"/>
  <c r="BC152" i="29"/>
  <c r="BB152" i="29"/>
  <c r="BA152" i="29"/>
  <c r="AZ152" i="29"/>
  <c r="AY152" i="29"/>
  <c r="BH151" i="29"/>
  <c r="BG151" i="29"/>
  <c r="BF151" i="29"/>
  <c r="BE151" i="29"/>
  <c r="BD151" i="29"/>
  <c r="BC151" i="29"/>
  <c r="BB151" i="29"/>
  <c r="BA151" i="29"/>
  <c r="AZ151" i="29"/>
  <c r="AY151" i="29"/>
  <c r="BH150" i="29"/>
  <c r="BG150" i="29"/>
  <c r="BF150" i="29"/>
  <c r="BE150" i="29"/>
  <c r="BD150" i="29"/>
  <c r="BC150" i="29"/>
  <c r="BB150" i="29"/>
  <c r="BA150" i="29"/>
  <c r="AZ150" i="29"/>
  <c r="AY150" i="29"/>
  <c r="BH149" i="29"/>
  <c r="BG149" i="29"/>
  <c r="BF149" i="29"/>
  <c r="BE149" i="29"/>
  <c r="BD149" i="29"/>
  <c r="BC149" i="29"/>
  <c r="BB149" i="29"/>
  <c r="BA149" i="29"/>
  <c r="AZ149" i="29"/>
  <c r="AY149" i="29"/>
  <c r="BH148" i="29"/>
  <c r="BG148" i="29"/>
  <c r="BF148" i="29"/>
  <c r="BE148" i="29"/>
  <c r="BD148" i="29"/>
  <c r="BC148" i="29"/>
  <c r="BB148" i="29"/>
  <c r="BA148" i="29"/>
  <c r="AZ148" i="29"/>
  <c r="AY148" i="29"/>
  <c r="BH147" i="29"/>
  <c r="BG147" i="29"/>
  <c r="BF147" i="29"/>
  <c r="BE147" i="29"/>
  <c r="BD147" i="29"/>
  <c r="BC147" i="29"/>
  <c r="BB147" i="29"/>
  <c r="BA147" i="29"/>
  <c r="AZ147" i="29"/>
  <c r="AY147" i="29"/>
  <c r="BH146" i="29"/>
  <c r="BG146" i="29"/>
  <c r="BF146" i="29"/>
  <c r="BE146" i="29"/>
  <c r="BD146" i="29"/>
  <c r="BC146" i="29"/>
  <c r="BB146" i="29"/>
  <c r="BA146" i="29"/>
  <c r="AZ146" i="29"/>
  <c r="AY146" i="29"/>
  <c r="BH145" i="29"/>
  <c r="BG145" i="29"/>
  <c r="BF145" i="29"/>
  <c r="BE145" i="29"/>
  <c r="BD145" i="29"/>
  <c r="BC145" i="29"/>
  <c r="BB145" i="29"/>
  <c r="BA145" i="29"/>
  <c r="AZ145" i="29"/>
  <c r="AY145" i="29"/>
  <c r="BH144" i="29"/>
  <c r="BG144" i="29"/>
  <c r="BF144" i="29"/>
  <c r="BE144" i="29"/>
  <c r="BD144" i="29"/>
  <c r="BC144" i="29"/>
  <c r="BB144" i="29"/>
  <c r="BA144" i="29"/>
  <c r="AZ144" i="29"/>
  <c r="AY144" i="29"/>
  <c r="BH143" i="29"/>
  <c r="BG143" i="29"/>
  <c r="BF143" i="29"/>
  <c r="BE143" i="29"/>
  <c r="BD143" i="29"/>
  <c r="BC143" i="29"/>
  <c r="BB143" i="29"/>
  <c r="BA143" i="29"/>
  <c r="AZ143" i="29"/>
  <c r="AY143" i="29"/>
  <c r="BH142" i="29"/>
  <c r="BG142" i="29"/>
  <c r="BF142" i="29"/>
  <c r="BE142" i="29"/>
  <c r="BD142" i="29"/>
  <c r="BC142" i="29"/>
  <c r="BB142" i="29"/>
  <c r="BA142" i="29"/>
  <c r="AZ142" i="29"/>
  <c r="AY142" i="29"/>
  <c r="BH141" i="29"/>
  <c r="BG141" i="29"/>
  <c r="BF141" i="29"/>
  <c r="BE141" i="29"/>
  <c r="BD141" i="29"/>
  <c r="BC141" i="29"/>
  <c r="BB141" i="29"/>
  <c r="BA141" i="29"/>
  <c r="AZ141" i="29"/>
  <c r="AY141" i="29"/>
  <c r="BH140" i="29"/>
  <c r="BG140" i="29"/>
  <c r="BF140" i="29"/>
  <c r="BE140" i="29"/>
  <c r="BD140" i="29"/>
  <c r="BC140" i="29"/>
  <c r="BB140" i="29"/>
  <c r="BA140" i="29"/>
  <c r="AZ140" i="29"/>
  <c r="AY140" i="29"/>
  <c r="BH139" i="29"/>
  <c r="BG139" i="29"/>
  <c r="BF139" i="29"/>
  <c r="BE139" i="29"/>
  <c r="BD139" i="29"/>
  <c r="BC139" i="29"/>
  <c r="BB139" i="29"/>
  <c r="BA139" i="29"/>
  <c r="AZ139" i="29"/>
  <c r="AY139" i="29"/>
  <c r="BH138" i="29"/>
  <c r="BG138" i="29"/>
  <c r="BF138" i="29"/>
  <c r="BE138" i="29"/>
  <c r="BD138" i="29"/>
  <c r="BC138" i="29"/>
  <c r="BB138" i="29"/>
  <c r="BA138" i="29"/>
  <c r="AZ138" i="29"/>
  <c r="AY138" i="29"/>
  <c r="BH137" i="29"/>
  <c r="BG137" i="29"/>
  <c r="BF137" i="29"/>
  <c r="BE137" i="29"/>
  <c r="BD137" i="29"/>
  <c r="BC137" i="29"/>
  <c r="BB137" i="29"/>
  <c r="BA137" i="29"/>
  <c r="AZ137" i="29"/>
  <c r="AY137" i="29"/>
  <c r="BH136" i="29"/>
  <c r="BG136" i="29"/>
  <c r="BF136" i="29"/>
  <c r="BE136" i="29"/>
  <c r="BD136" i="29"/>
  <c r="BC136" i="29"/>
  <c r="BB136" i="29"/>
  <c r="BA136" i="29"/>
  <c r="AZ136" i="29"/>
  <c r="AY136" i="29"/>
  <c r="BH135" i="29"/>
  <c r="BG135" i="29"/>
  <c r="BF135" i="29"/>
  <c r="BE135" i="29"/>
  <c r="BD135" i="29"/>
  <c r="BC135" i="29"/>
  <c r="BB135" i="29"/>
  <c r="BA135" i="29"/>
  <c r="AZ135" i="29"/>
  <c r="AY135" i="29"/>
  <c r="BH134" i="29"/>
  <c r="BG134" i="29"/>
  <c r="BF134" i="29"/>
  <c r="BE134" i="29"/>
  <c r="BD134" i="29"/>
  <c r="BC134" i="29"/>
  <c r="BB134" i="29"/>
  <c r="BA134" i="29"/>
  <c r="AZ134" i="29"/>
  <c r="AY134" i="29"/>
  <c r="BH133" i="29"/>
  <c r="BG133" i="29"/>
  <c r="BF133" i="29"/>
  <c r="BE133" i="29"/>
  <c r="BD133" i="29"/>
  <c r="BC133" i="29"/>
  <c r="BB133" i="29"/>
  <c r="BA133" i="29"/>
  <c r="AZ133" i="29"/>
  <c r="AY133" i="29"/>
  <c r="BH132" i="29"/>
  <c r="BG132" i="29"/>
  <c r="BF132" i="29"/>
  <c r="BE132" i="29"/>
  <c r="BD132" i="29"/>
  <c r="BC132" i="29"/>
  <c r="BB132" i="29"/>
  <c r="BA132" i="29"/>
  <c r="AZ132" i="29"/>
  <c r="AY132" i="29"/>
  <c r="BH131" i="29"/>
  <c r="BG131" i="29"/>
  <c r="BF131" i="29"/>
  <c r="BE131" i="29"/>
  <c r="BD131" i="29"/>
  <c r="BC131" i="29"/>
  <c r="BB131" i="29"/>
  <c r="BA131" i="29"/>
  <c r="AZ131" i="29"/>
  <c r="AY131" i="29"/>
  <c r="BH130" i="29"/>
  <c r="BG130" i="29"/>
  <c r="BF130" i="29"/>
  <c r="BE130" i="29"/>
  <c r="BD130" i="29"/>
  <c r="BC130" i="29"/>
  <c r="BB130" i="29"/>
  <c r="BA130" i="29"/>
  <c r="AZ130" i="29"/>
  <c r="AY130" i="29"/>
  <c r="BH129" i="29"/>
  <c r="BG129" i="29"/>
  <c r="BF129" i="29"/>
  <c r="BE129" i="29"/>
  <c r="BD129" i="29"/>
  <c r="BC129" i="29"/>
  <c r="BB129" i="29"/>
  <c r="BA129" i="29"/>
  <c r="AZ129" i="29"/>
  <c r="AY129" i="29"/>
  <c r="BH128" i="29"/>
  <c r="BG128" i="29"/>
  <c r="BF128" i="29"/>
  <c r="BE128" i="29"/>
  <c r="BD128" i="29"/>
  <c r="BC128" i="29"/>
  <c r="BB128" i="29"/>
  <c r="BA128" i="29"/>
  <c r="AZ128" i="29"/>
  <c r="AY128" i="29"/>
  <c r="BH127" i="29"/>
  <c r="BG127" i="29"/>
  <c r="BF127" i="29"/>
  <c r="BE127" i="29"/>
  <c r="BD127" i="29"/>
  <c r="BC127" i="29"/>
  <c r="BB127" i="29"/>
  <c r="BA127" i="29"/>
  <c r="AZ127" i="29"/>
  <c r="AY127" i="29"/>
  <c r="BH126" i="29"/>
  <c r="BG126" i="29"/>
  <c r="BF126" i="29"/>
  <c r="BE126" i="29"/>
  <c r="BD126" i="29"/>
  <c r="BC126" i="29"/>
  <c r="BB126" i="29"/>
  <c r="BA126" i="29"/>
  <c r="AZ126" i="29"/>
  <c r="AY126" i="29"/>
  <c r="BH125" i="29"/>
  <c r="BG125" i="29"/>
  <c r="BF125" i="29"/>
  <c r="BE125" i="29"/>
  <c r="BD125" i="29"/>
  <c r="BC125" i="29"/>
  <c r="BB125" i="29"/>
  <c r="BA125" i="29"/>
  <c r="AZ125" i="29"/>
  <c r="AY125" i="29"/>
  <c r="BH124" i="29"/>
  <c r="BG124" i="29"/>
  <c r="BF124" i="29"/>
  <c r="BE124" i="29"/>
  <c r="BD124" i="29"/>
  <c r="BC124" i="29"/>
  <c r="BB124" i="29"/>
  <c r="BA124" i="29"/>
  <c r="AZ124" i="29"/>
  <c r="AY124" i="29"/>
  <c r="T154" i="29"/>
  <c r="S154" i="29"/>
  <c r="R154" i="29"/>
  <c r="Q154" i="29"/>
  <c r="P154" i="29"/>
  <c r="O154" i="29"/>
  <c r="N154" i="29"/>
  <c r="M154" i="29"/>
  <c r="L154" i="29"/>
  <c r="K154" i="29"/>
  <c r="T153" i="29"/>
  <c r="S153" i="29"/>
  <c r="R153" i="29"/>
  <c r="Q153" i="29"/>
  <c r="P153" i="29"/>
  <c r="O153" i="29"/>
  <c r="N153" i="29"/>
  <c r="M153" i="29"/>
  <c r="L153" i="29"/>
  <c r="K153" i="29"/>
  <c r="T152" i="29"/>
  <c r="S152" i="29"/>
  <c r="R152" i="29"/>
  <c r="Q152" i="29"/>
  <c r="P152" i="29"/>
  <c r="O152" i="29"/>
  <c r="N152" i="29"/>
  <c r="M152" i="29"/>
  <c r="L152" i="29"/>
  <c r="K152" i="29"/>
  <c r="T151" i="29"/>
  <c r="S151" i="29"/>
  <c r="R151" i="29"/>
  <c r="Q151" i="29"/>
  <c r="P151" i="29"/>
  <c r="O151" i="29"/>
  <c r="N151" i="29"/>
  <c r="M151" i="29"/>
  <c r="L151" i="29"/>
  <c r="K151" i="29"/>
  <c r="T150" i="29"/>
  <c r="S150" i="29"/>
  <c r="R150" i="29"/>
  <c r="Q150" i="29"/>
  <c r="P150" i="29"/>
  <c r="O150" i="29"/>
  <c r="N150" i="29"/>
  <c r="M150" i="29"/>
  <c r="L150" i="29"/>
  <c r="K150" i="29"/>
  <c r="T149" i="29"/>
  <c r="S149" i="29"/>
  <c r="R149" i="29"/>
  <c r="Q149" i="29"/>
  <c r="P149" i="29"/>
  <c r="O149" i="29"/>
  <c r="N149" i="29"/>
  <c r="M149" i="29"/>
  <c r="L149" i="29"/>
  <c r="K149" i="29"/>
  <c r="T148" i="29"/>
  <c r="S148" i="29"/>
  <c r="R148" i="29"/>
  <c r="Q148" i="29"/>
  <c r="P148" i="29"/>
  <c r="O148" i="29"/>
  <c r="N148" i="29"/>
  <c r="M148" i="29"/>
  <c r="L148" i="29"/>
  <c r="K148" i="29"/>
  <c r="T147" i="29"/>
  <c r="S147" i="29"/>
  <c r="R147" i="29"/>
  <c r="Q147" i="29"/>
  <c r="P147" i="29"/>
  <c r="O147" i="29"/>
  <c r="N147" i="29"/>
  <c r="M147" i="29"/>
  <c r="L147" i="29"/>
  <c r="K147" i="29"/>
  <c r="T146" i="29"/>
  <c r="S146" i="29"/>
  <c r="R146" i="29"/>
  <c r="Q146" i="29"/>
  <c r="P146" i="29"/>
  <c r="O146" i="29"/>
  <c r="N146" i="29"/>
  <c r="M146" i="29"/>
  <c r="L146" i="29"/>
  <c r="K146" i="29"/>
  <c r="T145" i="29"/>
  <c r="S145" i="29"/>
  <c r="R145" i="29"/>
  <c r="Q145" i="29"/>
  <c r="P145" i="29"/>
  <c r="O145" i="29"/>
  <c r="N145" i="29"/>
  <c r="M145" i="29"/>
  <c r="L145" i="29"/>
  <c r="K145" i="29"/>
  <c r="T144" i="29"/>
  <c r="S144" i="29"/>
  <c r="R144" i="29"/>
  <c r="Q144" i="29"/>
  <c r="P144" i="29"/>
  <c r="O144" i="29"/>
  <c r="N144" i="29"/>
  <c r="M144" i="29"/>
  <c r="L144" i="29"/>
  <c r="K144" i="29"/>
  <c r="T143" i="29"/>
  <c r="S143" i="29"/>
  <c r="R143" i="29"/>
  <c r="Q143" i="29"/>
  <c r="P143" i="29"/>
  <c r="O143" i="29"/>
  <c r="N143" i="29"/>
  <c r="M143" i="29"/>
  <c r="L143" i="29"/>
  <c r="K143" i="29"/>
  <c r="T142" i="29"/>
  <c r="S142" i="29"/>
  <c r="R142" i="29"/>
  <c r="Q142" i="29"/>
  <c r="P142" i="29"/>
  <c r="O142" i="29"/>
  <c r="N142" i="29"/>
  <c r="M142" i="29"/>
  <c r="L142" i="29"/>
  <c r="K142" i="29"/>
  <c r="T141" i="29"/>
  <c r="S141" i="29"/>
  <c r="R141" i="29"/>
  <c r="Q141" i="29"/>
  <c r="P141" i="29"/>
  <c r="O141" i="29"/>
  <c r="N141" i="29"/>
  <c r="M141" i="29"/>
  <c r="L141" i="29"/>
  <c r="K141" i="29"/>
  <c r="T140" i="29"/>
  <c r="S140" i="29"/>
  <c r="R140" i="29"/>
  <c r="Q140" i="29"/>
  <c r="P140" i="29"/>
  <c r="O140" i="29"/>
  <c r="N140" i="29"/>
  <c r="M140" i="29"/>
  <c r="L140" i="29"/>
  <c r="K140" i="29"/>
  <c r="T139" i="29"/>
  <c r="S139" i="29"/>
  <c r="R139" i="29"/>
  <c r="Q139" i="29"/>
  <c r="P139" i="29"/>
  <c r="O139" i="29"/>
  <c r="N139" i="29"/>
  <c r="M139" i="29"/>
  <c r="L139" i="29"/>
  <c r="K139" i="29"/>
  <c r="T138" i="29"/>
  <c r="S138" i="29"/>
  <c r="R138" i="29"/>
  <c r="Q138" i="29"/>
  <c r="P138" i="29"/>
  <c r="O138" i="29"/>
  <c r="N138" i="29"/>
  <c r="M138" i="29"/>
  <c r="L138" i="29"/>
  <c r="K138" i="29"/>
  <c r="T137" i="29"/>
  <c r="S137" i="29"/>
  <c r="R137" i="29"/>
  <c r="Q137" i="29"/>
  <c r="P137" i="29"/>
  <c r="O137" i="29"/>
  <c r="N137" i="29"/>
  <c r="M137" i="29"/>
  <c r="L137" i="29"/>
  <c r="K137" i="29"/>
  <c r="T136" i="29"/>
  <c r="S136" i="29"/>
  <c r="R136" i="29"/>
  <c r="Q136" i="29"/>
  <c r="P136" i="29"/>
  <c r="O136" i="29"/>
  <c r="N136" i="29"/>
  <c r="M136" i="29"/>
  <c r="L136" i="29"/>
  <c r="K136" i="29"/>
  <c r="T135" i="29"/>
  <c r="S135" i="29"/>
  <c r="R135" i="29"/>
  <c r="Q135" i="29"/>
  <c r="P135" i="29"/>
  <c r="O135" i="29"/>
  <c r="N135" i="29"/>
  <c r="M135" i="29"/>
  <c r="L135" i="29"/>
  <c r="K135" i="29"/>
  <c r="T134" i="29"/>
  <c r="S134" i="29"/>
  <c r="R134" i="29"/>
  <c r="Q134" i="29"/>
  <c r="P134" i="29"/>
  <c r="O134" i="29"/>
  <c r="N134" i="29"/>
  <c r="M134" i="29"/>
  <c r="L134" i="29"/>
  <c r="K134" i="29"/>
  <c r="T133" i="29"/>
  <c r="S133" i="29"/>
  <c r="R133" i="29"/>
  <c r="Q133" i="29"/>
  <c r="P133" i="29"/>
  <c r="O133" i="29"/>
  <c r="N133" i="29"/>
  <c r="M133" i="29"/>
  <c r="L133" i="29"/>
  <c r="K133" i="29"/>
  <c r="T132" i="29"/>
  <c r="S132" i="29"/>
  <c r="R132" i="29"/>
  <c r="Q132" i="29"/>
  <c r="P132" i="29"/>
  <c r="O132" i="29"/>
  <c r="N132" i="29"/>
  <c r="M132" i="29"/>
  <c r="L132" i="29"/>
  <c r="K132" i="29"/>
  <c r="T131" i="29"/>
  <c r="S131" i="29"/>
  <c r="R131" i="29"/>
  <c r="Q131" i="29"/>
  <c r="P131" i="29"/>
  <c r="O131" i="29"/>
  <c r="N131" i="29"/>
  <c r="M131" i="29"/>
  <c r="L131" i="29"/>
  <c r="K131" i="29"/>
  <c r="T130" i="29"/>
  <c r="S130" i="29"/>
  <c r="R130" i="29"/>
  <c r="Q130" i="29"/>
  <c r="P130" i="29"/>
  <c r="O130" i="29"/>
  <c r="N130" i="29"/>
  <c r="M130" i="29"/>
  <c r="L130" i="29"/>
  <c r="K130" i="29"/>
  <c r="T129" i="29"/>
  <c r="S129" i="29"/>
  <c r="R129" i="29"/>
  <c r="Q129" i="29"/>
  <c r="P129" i="29"/>
  <c r="O129" i="29"/>
  <c r="N129" i="29"/>
  <c r="M129" i="29"/>
  <c r="L129" i="29"/>
  <c r="K129" i="29"/>
  <c r="T128" i="29"/>
  <c r="S128" i="29"/>
  <c r="R128" i="29"/>
  <c r="Q128" i="29"/>
  <c r="P128" i="29"/>
  <c r="O128" i="29"/>
  <c r="N128" i="29"/>
  <c r="M128" i="29"/>
  <c r="L128" i="29"/>
  <c r="K128" i="29"/>
  <c r="T127" i="29"/>
  <c r="S127" i="29"/>
  <c r="R127" i="29"/>
  <c r="Q127" i="29"/>
  <c r="P127" i="29"/>
  <c r="O127" i="29"/>
  <c r="N127" i="29"/>
  <c r="M127" i="29"/>
  <c r="L127" i="29"/>
  <c r="K127" i="29"/>
  <c r="T126" i="29"/>
  <c r="S126" i="29"/>
  <c r="R126" i="29"/>
  <c r="Q126" i="29"/>
  <c r="P126" i="29"/>
  <c r="O126" i="29"/>
  <c r="N126" i="29"/>
  <c r="M126" i="29"/>
  <c r="L126" i="29"/>
  <c r="K126" i="29"/>
  <c r="T125" i="29"/>
  <c r="S125" i="29"/>
  <c r="R125" i="29"/>
  <c r="Q125" i="29"/>
  <c r="P125" i="29"/>
  <c r="O125" i="29"/>
  <c r="N125" i="29"/>
  <c r="M125" i="29"/>
  <c r="L125" i="29"/>
  <c r="K125" i="29"/>
  <c r="T124" i="29"/>
  <c r="S124" i="29"/>
  <c r="R124" i="29"/>
  <c r="Q124" i="29"/>
  <c r="P124" i="29"/>
  <c r="O124" i="29"/>
  <c r="N124" i="29"/>
  <c r="M124" i="29"/>
  <c r="L124" i="29"/>
  <c r="K124" i="29"/>
  <c r="CV123" i="29"/>
  <c r="CU123" i="29"/>
  <c r="CT123" i="29"/>
  <c r="CS123" i="29"/>
  <c r="CR123" i="29"/>
  <c r="CQ123" i="29"/>
  <c r="CP123" i="29"/>
  <c r="CO123" i="29"/>
  <c r="CN123" i="29"/>
  <c r="CM123" i="29"/>
  <c r="CV122" i="29"/>
  <c r="CU122" i="29"/>
  <c r="CT122" i="29"/>
  <c r="CS122" i="29"/>
  <c r="CR122" i="29"/>
  <c r="CQ122" i="29"/>
  <c r="CP122" i="29"/>
  <c r="CO122" i="29"/>
  <c r="CN122" i="29"/>
  <c r="CM122" i="29"/>
  <c r="CV121" i="29"/>
  <c r="CU121" i="29"/>
  <c r="CT121" i="29"/>
  <c r="CS121" i="29"/>
  <c r="CR121" i="29"/>
  <c r="CQ121" i="29"/>
  <c r="CP121" i="29"/>
  <c r="CO121" i="29"/>
  <c r="CN121" i="29"/>
  <c r="CM121" i="29"/>
  <c r="CV120" i="29"/>
  <c r="CU120" i="29"/>
  <c r="CT120" i="29"/>
  <c r="CS120" i="29"/>
  <c r="CR120" i="29"/>
  <c r="CQ120" i="29"/>
  <c r="CP120" i="29"/>
  <c r="CO120" i="29"/>
  <c r="CN120" i="29"/>
  <c r="CM120" i="29"/>
  <c r="CV119" i="29"/>
  <c r="CU119" i="29"/>
  <c r="CT119" i="29"/>
  <c r="CS119" i="29"/>
  <c r="CR119" i="29"/>
  <c r="CQ119" i="29"/>
  <c r="CP119" i="29"/>
  <c r="CO119" i="29"/>
  <c r="CN119" i="29"/>
  <c r="CM119" i="29"/>
  <c r="CV118" i="29"/>
  <c r="CU118" i="29"/>
  <c r="CT118" i="29"/>
  <c r="CS118" i="29"/>
  <c r="CR118" i="29"/>
  <c r="CQ118" i="29"/>
  <c r="CP118" i="29"/>
  <c r="CO118" i="29"/>
  <c r="CN118" i="29"/>
  <c r="CM118" i="29"/>
  <c r="CV117" i="29"/>
  <c r="CU117" i="29"/>
  <c r="CT117" i="29"/>
  <c r="CS117" i="29"/>
  <c r="CR117" i="29"/>
  <c r="CQ117" i="29"/>
  <c r="CP117" i="29"/>
  <c r="CO117" i="29"/>
  <c r="CN117" i="29"/>
  <c r="CM117" i="29"/>
  <c r="CV116" i="29"/>
  <c r="CU116" i="29"/>
  <c r="CT116" i="29"/>
  <c r="CS116" i="29"/>
  <c r="CR116" i="29"/>
  <c r="CQ116" i="29"/>
  <c r="CP116" i="29"/>
  <c r="CO116" i="29"/>
  <c r="CN116" i="29"/>
  <c r="CM116" i="29"/>
  <c r="CV115" i="29"/>
  <c r="CU115" i="29"/>
  <c r="CT115" i="29"/>
  <c r="CS115" i="29"/>
  <c r="CR115" i="29"/>
  <c r="CQ115" i="29"/>
  <c r="CP115" i="29"/>
  <c r="CO115" i="29"/>
  <c r="CN115" i="29"/>
  <c r="CM115" i="29"/>
  <c r="CV114" i="29"/>
  <c r="CU114" i="29"/>
  <c r="CT114" i="29"/>
  <c r="CS114" i="29"/>
  <c r="CR114" i="29"/>
  <c r="CQ114" i="29"/>
  <c r="CP114" i="29"/>
  <c r="CO114" i="29"/>
  <c r="CN114" i="29"/>
  <c r="CM114" i="29"/>
  <c r="CV113" i="29"/>
  <c r="CU113" i="29"/>
  <c r="CT113" i="29"/>
  <c r="CS113" i="29"/>
  <c r="CR113" i="29"/>
  <c r="CQ113" i="29"/>
  <c r="CP113" i="29"/>
  <c r="CO113" i="29"/>
  <c r="CN113" i="29"/>
  <c r="CM113" i="29"/>
  <c r="CV112" i="29"/>
  <c r="CU112" i="29"/>
  <c r="CT112" i="29"/>
  <c r="CS112" i="29"/>
  <c r="CR112" i="29"/>
  <c r="CQ112" i="29"/>
  <c r="CP112" i="29"/>
  <c r="CO112" i="29"/>
  <c r="CN112" i="29"/>
  <c r="CM112" i="29"/>
  <c r="CV111" i="29"/>
  <c r="CU111" i="29"/>
  <c r="CT111" i="29"/>
  <c r="CS111" i="29"/>
  <c r="CR111" i="29"/>
  <c r="CQ111" i="29"/>
  <c r="CP111" i="29"/>
  <c r="CO111" i="29"/>
  <c r="CN111" i="29"/>
  <c r="CM111" i="29"/>
  <c r="CV110" i="29"/>
  <c r="CU110" i="29"/>
  <c r="CT110" i="29"/>
  <c r="CS110" i="29"/>
  <c r="CR110" i="29"/>
  <c r="CQ110" i="29"/>
  <c r="CP110" i="29"/>
  <c r="CO110" i="29"/>
  <c r="CN110" i="29"/>
  <c r="CM110" i="29"/>
  <c r="CV109" i="29"/>
  <c r="CU109" i="29"/>
  <c r="CT109" i="29"/>
  <c r="CS109" i="29"/>
  <c r="CR109" i="29"/>
  <c r="CQ109" i="29"/>
  <c r="CP109" i="29"/>
  <c r="CO109" i="29"/>
  <c r="CN109" i="29"/>
  <c r="CM109" i="29"/>
  <c r="CV108" i="29"/>
  <c r="CU108" i="29"/>
  <c r="CT108" i="29"/>
  <c r="CS108" i="29"/>
  <c r="CR108" i="29"/>
  <c r="CQ108" i="29"/>
  <c r="CP108" i="29"/>
  <c r="CO108" i="29"/>
  <c r="CN108" i="29"/>
  <c r="CM108" i="29"/>
  <c r="CV107" i="29"/>
  <c r="CU107" i="29"/>
  <c r="CT107" i="29"/>
  <c r="CS107" i="29"/>
  <c r="CR107" i="29"/>
  <c r="CQ107" i="29"/>
  <c r="CP107" i="29"/>
  <c r="CO107" i="29"/>
  <c r="CN107" i="29"/>
  <c r="CM107" i="29"/>
  <c r="CV106" i="29"/>
  <c r="CU106" i="29"/>
  <c r="CT106" i="29"/>
  <c r="CS106" i="29"/>
  <c r="CR106" i="29"/>
  <c r="CQ106" i="29"/>
  <c r="CP106" i="29"/>
  <c r="CO106" i="29"/>
  <c r="CN106" i="29"/>
  <c r="CM106" i="29"/>
  <c r="CV105" i="29"/>
  <c r="CU105" i="29"/>
  <c r="CT105" i="29"/>
  <c r="CS105" i="29"/>
  <c r="CR105" i="29"/>
  <c r="CQ105" i="29"/>
  <c r="CP105" i="29"/>
  <c r="CO105" i="29"/>
  <c r="CN105" i="29"/>
  <c r="CM105" i="29"/>
  <c r="CV104" i="29"/>
  <c r="CU104" i="29"/>
  <c r="CT104" i="29"/>
  <c r="CS104" i="29"/>
  <c r="CR104" i="29"/>
  <c r="CQ104" i="29"/>
  <c r="CP104" i="29"/>
  <c r="CO104" i="29"/>
  <c r="CN104" i="29"/>
  <c r="CM104" i="29"/>
  <c r="CV103" i="29"/>
  <c r="CU103" i="29"/>
  <c r="CT103" i="29"/>
  <c r="CS103" i="29"/>
  <c r="CR103" i="29"/>
  <c r="CQ103" i="29"/>
  <c r="CP103" i="29"/>
  <c r="CO103" i="29"/>
  <c r="CN103" i="29"/>
  <c r="CM103" i="29"/>
  <c r="CV102" i="29"/>
  <c r="CU102" i="29"/>
  <c r="CT102" i="29"/>
  <c r="CS102" i="29"/>
  <c r="CR102" i="29"/>
  <c r="CQ102" i="29"/>
  <c r="CP102" i="29"/>
  <c r="CO102" i="29"/>
  <c r="CN102" i="29"/>
  <c r="CM102" i="29"/>
  <c r="CV101" i="29"/>
  <c r="CU101" i="29"/>
  <c r="CT101" i="29"/>
  <c r="CS101" i="29"/>
  <c r="CR101" i="29"/>
  <c r="CQ101" i="29"/>
  <c r="CP101" i="29"/>
  <c r="CO101" i="29"/>
  <c r="CN101" i="29"/>
  <c r="CM101" i="29"/>
  <c r="CV100" i="29"/>
  <c r="CU100" i="29"/>
  <c r="CT100" i="29"/>
  <c r="CS100" i="29"/>
  <c r="CR100" i="29"/>
  <c r="CQ100" i="29"/>
  <c r="CP100" i="29"/>
  <c r="CO100" i="29"/>
  <c r="CN100" i="29"/>
  <c r="CM100" i="29"/>
  <c r="CV99" i="29"/>
  <c r="CU99" i="29"/>
  <c r="CT99" i="29"/>
  <c r="CS99" i="29"/>
  <c r="CR99" i="29"/>
  <c r="CQ99" i="29"/>
  <c r="CP99" i="29"/>
  <c r="CO99" i="29"/>
  <c r="CN99" i="29"/>
  <c r="CM99" i="29"/>
  <c r="CV98" i="29"/>
  <c r="CU98" i="29"/>
  <c r="CT98" i="29"/>
  <c r="CS98" i="29"/>
  <c r="CR98" i="29"/>
  <c r="CQ98" i="29"/>
  <c r="CP98" i="29"/>
  <c r="CO98" i="29"/>
  <c r="CN98" i="29"/>
  <c r="CM98" i="29"/>
  <c r="CV97" i="29"/>
  <c r="CU97" i="29"/>
  <c r="CT97" i="29"/>
  <c r="CS97" i="29"/>
  <c r="CR97" i="29"/>
  <c r="CQ97" i="29"/>
  <c r="CP97" i="29"/>
  <c r="CO97" i="29"/>
  <c r="CN97" i="29"/>
  <c r="CM97" i="29"/>
  <c r="CV96" i="29"/>
  <c r="CU96" i="29"/>
  <c r="CT96" i="29"/>
  <c r="CS96" i="29"/>
  <c r="CR96" i="29"/>
  <c r="CQ96" i="29"/>
  <c r="CP96" i="29"/>
  <c r="CO96" i="29"/>
  <c r="CN96" i="29"/>
  <c r="CM96" i="29"/>
  <c r="CV95" i="29"/>
  <c r="CU95" i="29"/>
  <c r="CT95" i="29"/>
  <c r="CS95" i="29"/>
  <c r="CR95" i="29"/>
  <c r="CQ95" i="29"/>
  <c r="CP95" i="29"/>
  <c r="CO95" i="29"/>
  <c r="CN95" i="29"/>
  <c r="CM95" i="29"/>
  <c r="CV94" i="29"/>
  <c r="CU94" i="29"/>
  <c r="CT94" i="29"/>
  <c r="CS94" i="29"/>
  <c r="CR94" i="29"/>
  <c r="CQ94" i="29"/>
  <c r="CP94" i="29"/>
  <c r="CO94" i="29"/>
  <c r="CN94" i="29"/>
  <c r="CM94" i="29"/>
  <c r="BH123" i="29"/>
  <c r="BG123" i="29"/>
  <c r="BF123" i="29"/>
  <c r="BE123" i="29"/>
  <c r="BD123" i="29"/>
  <c r="BC123" i="29"/>
  <c r="BB123" i="29"/>
  <c r="BA123" i="29"/>
  <c r="AZ123" i="29"/>
  <c r="AY123" i="29"/>
  <c r="BH122" i="29"/>
  <c r="BG122" i="29"/>
  <c r="BF122" i="29"/>
  <c r="BE122" i="29"/>
  <c r="BD122" i="29"/>
  <c r="BC122" i="29"/>
  <c r="BB122" i="29"/>
  <c r="BA122" i="29"/>
  <c r="AZ122" i="29"/>
  <c r="AY122" i="29"/>
  <c r="BH121" i="29"/>
  <c r="BG121" i="29"/>
  <c r="BF121" i="29"/>
  <c r="BE121" i="29"/>
  <c r="BD121" i="29"/>
  <c r="BC121" i="29"/>
  <c r="BB121" i="29"/>
  <c r="BA121" i="29"/>
  <c r="AZ121" i="29"/>
  <c r="AY121" i="29"/>
  <c r="BH120" i="29"/>
  <c r="BG120" i="29"/>
  <c r="BF120" i="29"/>
  <c r="BE120" i="29"/>
  <c r="BD120" i="29"/>
  <c r="BC120" i="29"/>
  <c r="BB120" i="29"/>
  <c r="BA120" i="29"/>
  <c r="AZ120" i="29"/>
  <c r="AY120" i="29"/>
  <c r="BH119" i="29"/>
  <c r="BG119" i="29"/>
  <c r="BF119" i="29"/>
  <c r="BE119" i="29"/>
  <c r="BD119" i="29"/>
  <c r="BC119" i="29"/>
  <c r="BB119" i="29"/>
  <c r="BA119" i="29"/>
  <c r="AZ119" i="29"/>
  <c r="AY119" i="29"/>
  <c r="BH118" i="29"/>
  <c r="BG118" i="29"/>
  <c r="BF118" i="29"/>
  <c r="BE118" i="29"/>
  <c r="BD118" i="29"/>
  <c r="BC118" i="29"/>
  <c r="BB118" i="29"/>
  <c r="BA118" i="29"/>
  <c r="AZ118" i="29"/>
  <c r="AY118" i="29"/>
  <c r="BH117" i="29"/>
  <c r="BG117" i="29"/>
  <c r="BF117" i="29"/>
  <c r="BE117" i="29"/>
  <c r="BD117" i="29"/>
  <c r="BC117" i="29"/>
  <c r="BB117" i="29"/>
  <c r="BA117" i="29"/>
  <c r="AZ117" i="29"/>
  <c r="AY117" i="29"/>
  <c r="BH116" i="29"/>
  <c r="BG116" i="29"/>
  <c r="BF116" i="29"/>
  <c r="BE116" i="29"/>
  <c r="BD116" i="29"/>
  <c r="BC116" i="29"/>
  <c r="BB116" i="29"/>
  <c r="BA116" i="29"/>
  <c r="AZ116" i="29"/>
  <c r="AY116" i="29"/>
  <c r="BH115" i="29"/>
  <c r="BG115" i="29"/>
  <c r="BF115" i="29"/>
  <c r="BE115" i="29"/>
  <c r="BD115" i="29"/>
  <c r="BC115" i="29"/>
  <c r="BB115" i="29"/>
  <c r="BA115" i="29"/>
  <c r="AZ115" i="29"/>
  <c r="AY115" i="29"/>
  <c r="BH114" i="29"/>
  <c r="BG114" i="29"/>
  <c r="BF114" i="29"/>
  <c r="BE114" i="29"/>
  <c r="BD114" i="29"/>
  <c r="BC114" i="29"/>
  <c r="BB114" i="29"/>
  <c r="BA114" i="29"/>
  <c r="AZ114" i="29"/>
  <c r="AY114" i="29"/>
  <c r="BH113" i="29"/>
  <c r="BG113" i="29"/>
  <c r="BF113" i="29"/>
  <c r="BE113" i="29"/>
  <c r="BD113" i="29"/>
  <c r="BC113" i="29"/>
  <c r="BB113" i="29"/>
  <c r="BA113" i="29"/>
  <c r="AZ113" i="29"/>
  <c r="AY113" i="29"/>
  <c r="BH112" i="29"/>
  <c r="BG112" i="29"/>
  <c r="BF112" i="29"/>
  <c r="BE112" i="29"/>
  <c r="BD112" i="29"/>
  <c r="BC112" i="29"/>
  <c r="BB112" i="29"/>
  <c r="BA112" i="29"/>
  <c r="AZ112" i="29"/>
  <c r="AY112" i="29"/>
  <c r="BH111" i="29"/>
  <c r="BG111" i="29"/>
  <c r="BF111" i="29"/>
  <c r="BE111" i="29"/>
  <c r="BD111" i="29"/>
  <c r="BC111" i="29"/>
  <c r="BB111" i="29"/>
  <c r="BA111" i="29"/>
  <c r="AZ111" i="29"/>
  <c r="AY111" i="29"/>
  <c r="BH110" i="29"/>
  <c r="BG110" i="29"/>
  <c r="BF110" i="29"/>
  <c r="BE110" i="29"/>
  <c r="BD110" i="29"/>
  <c r="BC110" i="29"/>
  <c r="BB110" i="29"/>
  <c r="BA110" i="29"/>
  <c r="AZ110" i="29"/>
  <c r="AY110" i="29"/>
  <c r="BH109" i="29"/>
  <c r="BG109" i="29"/>
  <c r="BF109" i="29"/>
  <c r="BE109" i="29"/>
  <c r="BD109" i="29"/>
  <c r="BC109" i="29"/>
  <c r="BB109" i="29"/>
  <c r="BA109" i="29"/>
  <c r="AZ109" i="29"/>
  <c r="AY109" i="29"/>
  <c r="BH108" i="29"/>
  <c r="BG108" i="29"/>
  <c r="BF108" i="29"/>
  <c r="BE108" i="29"/>
  <c r="BD108" i="29"/>
  <c r="BC108" i="29"/>
  <c r="BB108" i="29"/>
  <c r="BA108" i="29"/>
  <c r="AZ108" i="29"/>
  <c r="AY108" i="29"/>
  <c r="BH107" i="29"/>
  <c r="BG107" i="29"/>
  <c r="BF107" i="29"/>
  <c r="BE107" i="29"/>
  <c r="BD107" i="29"/>
  <c r="BC107" i="29"/>
  <c r="BB107" i="29"/>
  <c r="BA107" i="29"/>
  <c r="AZ107" i="29"/>
  <c r="AY107" i="29"/>
  <c r="BH106" i="29"/>
  <c r="BG106" i="29"/>
  <c r="BF106" i="29"/>
  <c r="BE106" i="29"/>
  <c r="BD106" i="29"/>
  <c r="BC106" i="29"/>
  <c r="BB106" i="29"/>
  <c r="BA106" i="29"/>
  <c r="AZ106" i="29"/>
  <c r="AY106" i="29"/>
  <c r="BH105" i="29"/>
  <c r="BG105" i="29"/>
  <c r="BF105" i="29"/>
  <c r="BE105" i="29"/>
  <c r="BD105" i="29"/>
  <c r="BC105" i="29"/>
  <c r="BB105" i="29"/>
  <c r="BA105" i="29"/>
  <c r="AZ105" i="29"/>
  <c r="AY105" i="29"/>
  <c r="BH104" i="29"/>
  <c r="BG104" i="29"/>
  <c r="BF104" i="29"/>
  <c r="BE104" i="29"/>
  <c r="BD104" i="29"/>
  <c r="BC104" i="29"/>
  <c r="BB104" i="29"/>
  <c r="BA104" i="29"/>
  <c r="AZ104" i="29"/>
  <c r="AY104" i="29"/>
  <c r="BH103" i="29"/>
  <c r="BG103" i="29"/>
  <c r="BF103" i="29"/>
  <c r="BE103" i="29"/>
  <c r="BD103" i="29"/>
  <c r="BC103" i="29"/>
  <c r="BB103" i="29"/>
  <c r="BA103" i="29"/>
  <c r="AZ103" i="29"/>
  <c r="AY103" i="29"/>
  <c r="BH102" i="29"/>
  <c r="BG102" i="29"/>
  <c r="BF102" i="29"/>
  <c r="BE102" i="29"/>
  <c r="BD102" i="29"/>
  <c r="BC102" i="29"/>
  <c r="BB102" i="29"/>
  <c r="BA102" i="29"/>
  <c r="AZ102" i="29"/>
  <c r="AY102" i="29"/>
  <c r="BH101" i="29"/>
  <c r="BG101" i="29"/>
  <c r="BF101" i="29"/>
  <c r="BE101" i="29"/>
  <c r="BD101" i="29"/>
  <c r="BC101" i="29"/>
  <c r="BB101" i="29"/>
  <c r="BA101" i="29"/>
  <c r="AZ101" i="29"/>
  <c r="AY101" i="29"/>
  <c r="BH100" i="29"/>
  <c r="BG100" i="29"/>
  <c r="BF100" i="29"/>
  <c r="BE100" i="29"/>
  <c r="BD100" i="29"/>
  <c r="BC100" i="29"/>
  <c r="BB100" i="29"/>
  <c r="BA100" i="29"/>
  <c r="AZ100" i="29"/>
  <c r="AY100" i="29"/>
  <c r="BH99" i="29"/>
  <c r="BG99" i="29"/>
  <c r="BF99" i="29"/>
  <c r="BE99" i="29"/>
  <c r="BD99" i="29"/>
  <c r="BC99" i="29"/>
  <c r="BB99" i="29"/>
  <c r="BA99" i="29"/>
  <c r="AZ99" i="29"/>
  <c r="AY99" i="29"/>
  <c r="BH98" i="29"/>
  <c r="BG98" i="29"/>
  <c r="BF98" i="29"/>
  <c r="BE98" i="29"/>
  <c r="BD98" i="29"/>
  <c r="BC98" i="29"/>
  <c r="BB98" i="29"/>
  <c r="BA98" i="29"/>
  <c r="AZ98" i="29"/>
  <c r="AY98" i="29"/>
  <c r="BH97" i="29"/>
  <c r="BG97" i="29"/>
  <c r="BF97" i="29"/>
  <c r="BE97" i="29"/>
  <c r="BD97" i="29"/>
  <c r="BC97" i="29"/>
  <c r="BB97" i="29"/>
  <c r="BA97" i="29"/>
  <c r="AZ97" i="29"/>
  <c r="AY97" i="29"/>
  <c r="BH96" i="29"/>
  <c r="BG96" i="29"/>
  <c r="BF96" i="29"/>
  <c r="BE96" i="29"/>
  <c r="BD96" i="29"/>
  <c r="BC96" i="29"/>
  <c r="BB96" i="29"/>
  <c r="BA96" i="29"/>
  <c r="AZ96" i="29"/>
  <c r="AY96" i="29"/>
  <c r="BH95" i="29"/>
  <c r="BG95" i="29"/>
  <c r="BF95" i="29"/>
  <c r="BE95" i="29"/>
  <c r="BD95" i="29"/>
  <c r="BC95" i="29"/>
  <c r="BB95" i="29"/>
  <c r="BA95" i="29"/>
  <c r="AZ95" i="29"/>
  <c r="AY95" i="29"/>
  <c r="BH94" i="29"/>
  <c r="BG94" i="29"/>
  <c r="BF94" i="29"/>
  <c r="BE94" i="29"/>
  <c r="BD94" i="29"/>
  <c r="BC94" i="29"/>
  <c r="BB94" i="29"/>
  <c r="BA94" i="29"/>
  <c r="AZ94" i="29"/>
  <c r="AY94" i="29"/>
  <c r="T123" i="29"/>
  <c r="S123" i="29"/>
  <c r="R123" i="29"/>
  <c r="Q123" i="29"/>
  <c r="P123" i="29"/>
  <c r="O123" i="29"/>
  <c r="N123" i="29"/>
  <c r="M123" i="29"/>
  <c r="L123" i="29"/>
  <c r="K123" i="29"/>
  <c r="T122" i="29"/>
  <c r="S122" i="29"/>
  <c r="R122" i="29"/>
  <c r="Q122" i="29"/>
  <c r="P122" i="29"/>
  <c r="O122" i="29"/>
  <c r="N122" i="29"/>
  <c r="M122" i="29"/>
  <c r="L122" i="29"/>
  <c r="K122" i="29"/>
  <c r="T121" i="29"/>
  <c r="S121" i="29"/>
  <c r="R121" i="29"/>
  <c r="Q121" i="29"/>
  <c r="P121" i="29"/>
  <c r="O121" i="29"/>
  <c r="N121" i="29"/>
  <c r="M121" i="29"/>
  <c r="L121" i="29"/>
  <c r="K121" i="29"/>
  <c r="T120" i="29"/>
  <c r="S120" i="29"/>
  <c r="R120" i="29"/>
  <c r="Q120" i="29"/>
  <c r="P120" i="29"/>
  <c r="O120" i="29"/>
  <c r="N120" i="29"/>
  <c r="M120" i="29"/>
  <c r="L120" i="29"/>
  <c r="K120" i="29"/>
  <c r="T119" i="29"/>
  <c r="S119" i="29"/>
  <c r="R119" i="29"/>
  <c r="Q119" i="29"/>
  <c r="P119" i="29"/>
  <c r="O119" i="29"/>
  <c r="N119" i="29"/>
  <c r="M119" i="29"/>
  <c r="L119" i="29"/>
  <c r="K119" i="29"/>
  <c r="T118" i="29"/>
  <c r="S118" i="29"/>
  <c r="R118" i="29"/>
  <c r="Q118" i="29"/>
  <c r="P118" i="29"/>
  <c r="O118" i="29"/>
  <c r="N118" i="29"/>
  <c r="M118" i="29"/>
  <c r="L118" i="29"/>
  <c r="K118" i="29"/>
  <c r="T117" i="29"/>
  <c r="S117" i="29"/>
  <c r="R117" i="29"/>
  <c r="Q117" i="29"/>
  <c r="P117" i="29"/>
  <c r="O117" i="29"/>
  <c r="N117" i="29"/>
  <c r="M117" i="29"/>
  <c r="L117" i="29"/>
  <c r="K117" i="29"/>
  <c r="T116" i="29"/>
  <c r="S116" i="29"/>
  <c r="R116" i="29"/>
  <c r="Q116" i="29"/>
  <c r="P116" i="29"/>
  <c r="O116" i="29"/>
  <c r="N116" i="29"/>
  <c r="M116" i="29"/>
  <c r="L116" i="29"/>
  <c r="K116" i="29"/>
  <c r="T115" i="29"/>
  <c r="S115" i="29"/>
  <c r="R115" i="29"/>
  <c r="Q115" i="29"/>
  <c r="P115" i="29"/>
  <c r="O115" i="29"/>
  <c r="N115" i="29"/>
  <c r="M115" i="29"/>
  <c r="L115" i="29"/>
  <c r="K115" i="29"/>
  <c r="T114" i="29"/>
  <c r="S114" i="29"/>
  <c r="R114" i="29"/>
  <c r="Q114" i="29"/>
  <c r="P114" i="29"/>
  <c r="O114" i="29"/>
  <c r="N114" i="29"/>
  <c r="M114" i="29"/>
  <c r="L114" i="29"/>
  <c r="K114" i="29"/>
  <c r="T113" i="29"/>
  <c r="S113" i="29"/>
  <c r="R113" i="29"/>
  <c r="Q113" i="29"/>
  <c r="P113" i="29"/>
  <c r="O113" i="29"/>
  <c r="N113" i="29"/>
  <c r="M113" i="29"/>
  <c r="L113" i="29"/>
  <c r="K113" i="29"/>
  <c r="T112" i="29"/>
  <c r="S112" i="29"/>
  <c r="R112" i="29"/>
  <c r="Q112" i="29"/>
  <c r="P112" i="29"/>
  <c r="O112" i="29"/>
  <c r="N112" i="29"/>
  <c r="M112" i="29"/>
  <c r="L112" i="29"/>
  <c r="K112" i="29"/>
  <c r="T111" i="29"/>
  <c r="S111" i="29"/>
  <c r="R111" i="29"/>
  <c r="Q111" i="29"/>
  <c r="P111" i="29"/>
  <c r="O111" i="29"/>
  <c r="N111" i="29"/>
  <c r="M111" i="29"/>
  <c r="L111" i="29"/>
  <c r="K111" i="29"/>
  <c r="T110" i="29"/>
  <c r="S110" i="29"/>
  <c r="R110" i="29"/>
  <c r="Q110" i="29"/>
  <c r="P110" i="29"/>
  <c r="O110" i="29"/>
  <c r="N110" i="29"/>
  <c r="M110" i="29"/>
  <c r="L110" i="29"/>
  <c r="K110" i="29"/>
  <c r="T109" i="29"/>
  <c r="S109" i="29"/>
  <c r="R109" i="29"/>
  <c r="Q109" i="29"/>
  <c r="P109" i="29"/>
  <c r="O109" i="29"/>
  <c r="N109" i="29"/>
  <c r="M109" i="29"/>
  <c r="L109" i="29"/>
  <c r="K109" i="29"/>
  <c r="T108" i="29"/>
  <c r="S108" i="29"/>
  <c r="R108" i="29"/>
  <c r="Q108" i="29"/>
  <c r="P108" i="29"/>
  <c r="O108" i="29"/>
  <c r="N108" i="29"/>
  <c r="M108" i="29"/>
  <c r="L108" i="29"/>
  <c r="K108" i="29"/>
  <c r="T107" i="29"/>
  <c r="S107" i="29"/>
  <c r="R107" i="29"/>
  <c r="Q107" i="29"/>
  <c r="P107" i="29"/>
  <c r="O107" i="29"/>
  <c r="N107" i="29"/>
  <c r="M107" i="29"/>
  <c r="L107" i="29"/>
  <c r="K107" i="29"/>
  <c r="T106" i="29"/>
  <c r="S106" i="29"/>
  <c r="R106" i="29"/>
  <c r="Q106" i="29"/>
  <c r="P106" i="29"/>
  <c r="O106" i="29"/>
  <c r="N106" i="29"/>
  <c r="M106" i="29"/>
  <c r="L106" i="29"/>
  <c r="K106" i="29"/>
  <c r="T105" i="29"/>
  <c r="S105" i="29"/>
  <c r="R105" i="29"/>
  <c r="Q105" i="29"/>
  <c r="P105" i="29"/>
  <c r="O105" i="29"/>
  <c r="N105" i="29"/>
  <c r="M105" i="29"/>
  <c r="L105" i="29"/>
  <c r="K105" i="29"/>
  <c r="T104" i="29"/>
  <c r="S104" i="29"/>
  <c r="R104" i="29"/>
  <c r="Q104" i="29"/>
  <c r="P104" i="29"/>
  <c r="O104" i="29"/>
  <c r="N104" i="29"/>
  <c r="M104" i="29"/>
  <c r="L104" i="29"/>
  <c r="K104" i="29"/>
  <c r="T103" i="29"/>
  <c r="S103" i="29"/>
  <c r="R103" i="29"/>
  <c r="Q103" i="29"/>
  <c r="P103" i="29"/>
  <c r="O103" i="29"/>
  <c r="N103" i="29"/>
  <c r="M103" i="29"/>
  <c r="L103" i="29"/>
  <c r="K103" i="29"/>
  <c r="T102" i="29"/>
  <c r="S102" i="29"/>
  <c r="R102" i="29"/>
  <c r="Q102" i="29"/>
  <c r="P102" i="29"/>
  <c r="O102" i="29"/>
  <c r="N102" i="29"/>
  <c r="M102" i="29"/>
  <c r="L102" i="29"/>
  <c r="K102" i="29"/>
  <c r="T101" i="29"/>
  <c r="S101" i="29"/>
  <c r="R101" i="29"/>
  <c r="Q101" i="29"/>
  <c r="P101" i="29"/>
  <c r="O101" i="29"/>
  <c r="N101" i="29"/>
  <c r="M101" i="29"/>
  <c r="L101" i="29"/>
  <c r="K101" i="29"/>
  <c r="T100" i="29"/>
  <c r="S100" i="29"/>
  <c r="R100" i="29"/>
  <c r="Q100" i="29"/>
  <c r="P100" i="29"/>
  <c r="O100" i="29"/>
  <c r="N100" i="29"/>
  <c r="M100" i="29"/>
  <c r="L100" i="29"/>
  <c r="K100" i="29"/>
  <c r="T99" i="29"/>
  <c r="S99" i="29"/>
  <c r="R99" i="29"/>
  <c r="Q99" i="29"/>
  <c r="P99" i="29"/>
  <c r="O99" i="29"/>
  <c r="N99" i="29"/>
  <c r="M99" i="29"/>
  <c r="L99" i="29"/>
  <c r="K99" i="29"/>
  <c r="T98" i="29"/>
  <c r="S98" i="29"/>
  <c r="R98" i="29"/>
  <c r="Q98" i="29"/>
  <c r="P98" i="29"/>
  <c r="O98" i="29"/>
  <c r="N98" i="29"/>
  <c r="M98" i="29"/>
  <c r="L98" i="29"/>
  <c r="K98" i="29"/>
  <c r="T97" i="29"/>
  <c r="S97" i="29"/>
  <c r="R97" i="29"/>
  <c r="Q97" i="29"/>
  <c r="P97" i="29"/>
  <c r="O97" i="29"/>
  <c r="N97" i="29"/>
  <c r="M97" i="29"/>
  <c r="L97" i="29"/>
  <c r="K97" i="29"/>
  <c r="T96" i="29"/>
  <c r="S96" i="29"/>
  <c r="R96" i="29"/>
  <c r="Q96" i="29"/>
  <c r="P96" i="29"/>
  <c r="O96" i="29"/>
  <c r="N96" i="29"/>
  <c r="M96" i="29"/>
  <c r="L96" i="29"/>
  <c r="K96" i="29"/>
  <c r="T95" i="29"/>
  <c r="S95" i="29"/>
  <c r="R95" i="29"/>
  <c r="Q95" i="29"/>
  <c r="P95" i="29"/>
  <c r="O95" i="29"/>
  <c r="N95" i="29"/>
  <c r="M95" i="29"/>
  <c r="L95" i="29"/>
  <c r="K95" i="29"/>
  <c r="T94" i="29"/>
  <c r="S94" i="29"/>
  <c r="R94" i="29"/>
  <c r="Q94" i="29"/>
  <c r="P94" i="29"/>
  <c r="O94" i="29"/>
  <c r="N94" i="29"/>
  <c r="M94" i="29"/>
  <c r="L94" i="29"/>
  <c r="K94" i="29"/>
  <c r="CV93" i="29"/>
  <c r="CU93" i="29"/>
  <c r="CT93" i="29"/>
  <c r="CS93" i="29"/>
  <c r="CR93" i="29"/>
  <c r="CQ93" i="29"/>
  <c r="CP93" i="29"/>
  <c r="CO93" i="29"/>
  <c r="CN93" i="29"/>
  <c r="CM93" i="29"/>
  <c r="CV92" i="29"/>
  <c r="CU92" i="29"/>
  <c r="CT92" i="29"/>
  <c r="CS92" i="29"/>
  <c r="CR92" i="29"/>
  <c r="CQ92" i="29"/>
  <c r="CP92" i="29"/>
  <c r="CO92" i="29"/>
  <c r="CN92" i="29"/>
  <c r="CM92" i="29"/>
  <c r="CV91" i="29"/>
  <c r="CU91" i="29"/>
  <c r="CT91" i="29"/>
  <c r="CS91" i="29"/>
  <c r="CR91" i="29"/>
  <c r="CQ91" i="29"/>
  <c r="CP91" i="29"/>
  <c r="CO91" i="29"/>
  <c r="CN91" i="29"/>
  <c r="CM91" i="29"/>
  <c r="CV90" i="29"/>
  <c r="CU90" i="29"/>
  <c r="CT90" i="29"/>
  <c r="CS90" i="29"/>
  <c r="CR90" i="29"/>
  <c r="CQ90" i="29"/>
  <c r="CP90" i="29"/>
  <c r="CO90" i="29"/>
  <c r="CN90" i="29"/>
  <c r="CM90" i="29"/>
  <c r="CV89" i="29"/>
  <c r="CU89" i="29"/>
  <c r="CT89" i="29"/>
  <c r="CS89" i="29"/>
  <c r="CR89" i="29"/>
  <c r="CQ89" i="29"/>
  <c r="CP89" i="29"/>
  <c r="CO89" i="29"/>
  <c r="CN89" i="29"/>
  <c r="CM89" i="29"/>
  <c r="CV88" i="29"/>
  <c r="CU88" i="29"/>
  <c r="CT88" i="29"/>
  <c r="CS88" i="29"/>
  <c r="CR88" i="29"/>
  <c r="CQ88" i="29"/>
  <c r="CP88" i="29"/>
  <c r="CO88" i="29"/>
  <c r="CN88" i="29"/>
  <c r="CM88" i="29"/>
  <c r="CV87" i="29"/>
  <c r="CU87" i="29"/>
  <c r="CT87" i="29"/>
  <c r="CS87" i="29"/>
  <c r="CR87" i="29"/>
  <c r="CQ87" i="29"/>
  <c r="CP87" i="29"/>
  <c r="CO87" i="29"/>
  <c r="CN87" i="29"/>
  <c r="CM87" i="29"/>
  <c r="CV86" i="29"/>
  <c r="CU86" i="29"/>
  <c r="CT86" i="29"/>
  <c r="CS86" i="29"/>
  <c r="CR86" i="29"/>
  <c r="CQ86" i="29"/>
  <c r="CP86" i="29"/>
  <c r="CO86" i="29"/>
  <c r="CN86" i="29"/>
  <c r="CM86" i="29"/>
  <c r="CV85" i="29"/>
  <c r="CU85" i="29"/>
  <c r="CT85" i="29"/>
  <c r="CS85" i="29"/>
  <c r="CR85" i="29"/>
  <c r="CQ85" i="29"/>
  <c r="CP85" i="29"/>
  <c r="CO85" i="29"/>
  <c r="CN85" i="29"/>
  <c r="CM85" i="29"/>
  <c r="CV84" i="29"/>
  <c r="CU84" i="29"/>
  <c r="CT84" i="29"/>
  <c r="CS84" i="29"/>
  <c r="CR84" i="29"/>
  <c r="CQ84" i="29"/>
  <c r="CP84" i="29"/>
  <c r="CO84" i="29"/>
  <c r="CN84" i="29"/>
  <c r="CM84" i="29"/>
  <c r="CV83" i="29"/>
  <c r="CU83" i="29"/>
  <c r="CT83" i="29"/>
  <c r="CS83" i="29"/>
  <c r="CR83" i="29"/>
  <c r="CQ83" i="29"/>
  <c r="CP83" i="29"/>
  <c r="CO83" i="29"/>
  <c r="CN83" i="29"/>
  <c r="CM83" i="29"/>
  <c r="CV82" i="29"/>
  <c r="CU82" i="29"/>
  <c r="CT82" i="29"/>
  <c r="CS82" i="29"/>
  <c r="CR82" i="29"/>
  <c r="CQ82" i="29"/>
  <c r="CP82" i="29"/>
  <c r="CO82" i="29"/>
  <c r="CN82" i="29"/>
  <c r="CM82" i="29"/>
  <c r="CV81" i="29"/>
  <c r="CU81" i="29"/>
  <c r="CT81" i="29"/>
  <c r="CS81" i="29"/>
  <c r="CR81" i="29"/>
  <c r="CQ81" i="29"/>
  <c r="CP81" i="29"/>
  <c r="CO81" i="29"/>
  <c r="CN81" i="29"/>
  <c r="CM81" i="29"/>
  <c r="CV80" i="29"/>
  <c r="CU80" i="29"/>
  <c r="CT80" i="29"/>
  <c r="CS80" i="29"/>
  <c r="CR80" i="29"/>
  <c r="CQ80" i="29"/>
  <c r="CP80" i="29"/>
  <c r="CO80" i="29"/>
  <c r="CN80" i="29"/>
  <c r="CM80" i="29"/>
  <c r="CV79" i="29"/>
  <c r="CU79" i="29"/>
  <c r="CT79" i="29"/>
  <c r="CS79" i="29"/>
  <c r="CR79" i="29"/>
  <c r="CQ79" i="29"/>
  <c r="CP79" i="29"/>
  <c r="CO79" i="29"/>
  <c r="CN79" i="29"/>
  <c r="CM79" i="29"/>
  <c r="CV78" i="29"/>
  <c r="CU78" i="29"/>
  <c r="CT78" i="29"/>
  <c r="CS78" i="29"/>
  <c r="CR78" i="29"/>
  <c r="CQ78" i="29"/>
  <c r="CP78" i="29"/>
  <c r="CO78" i="29"/>
  <c r="CN78" i="29"/>
  <c r="CM78" i="29"/>
  <c r="CV77" i="29"/>
  <c r="CU77" i="29"/>
  <c r="CT77" i="29"/>
  <c r="CS77" i="29"/>
  <c r="CR77" i="29"/>
  <c r="CQ77" i="29"/>
  <c r="CP77" i="29"/>
  <c r="CO77" i="29"/>
  <c r="CN77" i="29"/>
  <c r="CM77" i="29"/>
  <c r="CV76" i="29"/>
  <c r="CU76" i="29"/>
  <c r="CT76" i="29"/>
  <c r="CS76" i="29"/>
  <c r="CR76" i="29"/>
  <c r="CQ76" i="29"/>
  <c r="CP76" i="29"/>
  <c r="CO76" i="29"/>
  <c r="CN76" i="29"/>
  <c r="CM76" i="29"/>
  <c r="CV75" i="29"/>
  <c r="CU75" i="29"/>
  <c r="CT75" i="29"/>
  <c r="CS75" i="29"/>
  <c r="CR75" i="29"/>
  <c r="CQ75" i="29"/>
  <c r="CP75" i="29"/>
  <c r="CO75" i="29"/>
  <c r="CN75" i="29"/>
  <c r="CM75" i="29"/>
  <c r="CV74" i="29"/>
  <c r="CU74" i="29"/>
  <c r="CT74" i="29"/>
  <c r="CS74" i="29"/>
  <c r="CR74" i="29"/>
  <c r="CQ74" i="29"/>
  <c r="CP74" i="29"/>
  <c r="CO74" i="29"/>
  <c r="CN74" i="29"/>
  <c r="CM74" i="29"/>
  <c r="CV73" i="29"/>
  <c r="CU73" i="29"/>
  <c r="CT73" i="29"/>
  <c r="CS73" i="29"/>
  <c r="CR73" i="29"/>
  <c r="CQ73" i="29"/>
  <c r="CP73" i="29"/>
  <c r="CO73" i="29"/>
  <c r="CN73" i="29"/>
  <c r="CM73" i="29"/>
  <c r="CV72" i="29"/>
  <c r="CU72" i="29"/>
  <c r="CT72" i="29"/>
  <c r="CS72" i="29"/>
  <c r="CR72" i="29"/>
  <c r="CQ72" i="29"/>
  <c r="CP72" i="29"/>
  <c r="CO72" i="29"/>
  <c r="CN72" i="29"/>
  <c r="CM72" i="29"/>
  <c r="CV71" i="29"/>
  <c r="CU71" i="29"/>
  <c r="CT71" i="29"/>
  <c r="CS71" i="29"/>
  <c r="CR71" i="29"/>
  <c r="CQ71" i="29"/>
  <c r="CP71" i="29"/>
  <c r="CO71" i="29"/>
  <c r="CN71" i="29"/>
  <c r="CM71" i="29"/>
  <c r="CV70" i="29"/>
  <c r="CU70" i="29"/>
  <c r="CT70" i="29"/>
  <c r="CS70" i="29"/>
  <c r="CR70" i="29"/>
  <c r="CQ70" i="29"/>
  <c r="CP70" i="29"/>
  <c r="CO70" i="29"/>
  <c r="CN70" i="29"/>
  <c r="CM70" i="29"/>
  <c r="CV69" i="29"/>
  <c r="CU69" i="29"/>
  <c r="CT69" i="29"/>
  <c r="CS69" i="29"/>
  <c r="CR69" i="29"/>
  <c r="CQ69" i="29"/>
  <c r="CP69" i="29"/>
  <c r="CO69" i="29"/>
  <c r="CN69" i="29"/>
  <c r="CM69" i="29"/>
  <c r="CV68" i="29"/>
  <c r="CU68" i="29"/>
  <c r="CT68" i="29"/>
  <c r="CS68" i="29"/>
  <c r="CR68" i="29"/>
  <c r="CQ68" i="29"/>
  <c r="CP68" i="29"/>
  <c r="CO68" i="29"/>
  <c r="CN68" i="29"/>
  <c r="CM68" i="29"/>
  <c r="CV67" i="29"/>
  <c r="CU67" i="29"/>
  <c r="CT67" i="29"/>
  <c r="CS67" i="29"/>
  <c r="CR67" i="29"/>
  <c r="CQ67" i="29"/>
  <c r="CP67" i="29"/>
  <c r="CO67" i="29"/>
  <c r="CN67" i="29"/>
  <c r="CM67" i="29"/>
  <c r="CV66" i="29"/>
  <c r="CU66" i="29"/>
  <c r="CT66" i="29"/>
  <c r="CS66" i="29"/>
  <c r="CR66" i="29"/>
  <c r="CQ66" i="29"/>
  <c r="CP66" i="29"/>
  <c r="CO66" i="29"/>
  <c r="CN66" i="29"/>
  <c r="CM66" i="29"/>
  <c r="CV65" i="29"/>
  <c r="CU65" i="29"/>
  <c r="CT65" i="29"/>
  <c r="CS65" i="29"/>
  <c r="CR65" i="29"/>
  <c r="CQ65" i="29"/>
  <c r="CP65" i="29"/>
  <c r="CO65" i="29"/>
  <c r="CN65" i="29"/>
  <c r="CM65" i="29"/>
  <c r="CV64" i="29"/>
  <c r="CU64" i="29"/>
  <c r="CT64" i="29"/>
  <c r="CS64" i="29"/>
  <c r="CR64" i="29"/>
  <c r="CQ64" i="29"/>
  <c r="CP64" i="29"/>
  <c r="CO64" i="29"/>
  <c r="CN64" i="29"/>
  <c r="CM64" i="29"/>
  <c r="CV63" i="29"/>
  <c r="CU63" i="29"/>
  <c r="CT63" i="29"/>
  <c r="CS63" i="29"/>
  <c r="CR63" i="29"/>
  <c r="CQ63" i="29"/>
  <c r="CP63" i="29"/>
  <c r="CO63" i="29"/>
  <c r="CN63" i="29"/>
  <c r="CM63" i="29"/>
  <c r="BH93" i="29"/>
  <c r="BG93" i="29"/>
  <c r="BF93" i="29"/>
  <c r="BE93" i="29"/>
  <c r="BD93" i="29"/>
  <c r="BC93" i="29"/>
  <c r="BB93" i="29"/>
  <c r="BA93" i="29"/>
  <c r="AZ93" i="29"/>
  <c r="AY93" i="29"/>
  <c r="BH92" i="29"/>
  <c r="BG92" i="29"/>
  <c r="BF92" i="29"/>
  <c r="BE92" i="29"/>
  <c r="BD92" i="29"/>
  <c r="BC92" i="29"/>
  <c r="BB92" i="29"/>
  <c r="BA92" i="29"/>
  <c r="AZ92" i="29"/>
  <c r="AY92" i="29"/>
  <c r="BH91" i="29"/>
  <c r="BG91" i="29"/>
  <c r="BF91" i="29"/>
  <c r="BE91" i="29"/>
  <c r="BD91" i="29"/>
  <c r="BC91" i="29"/>
  <c r="BB91" i="29"/>
  <c r="BA91" i="29"/>
  <c r="AZ91" i="29"/>
  <c r="AY91" i="29"/>
  <c r="BH90" i="29"/>
  <c r="BG90" i="29"/>
  <c r="BF90" i="29"/>
  <c r="BE90" i="29"/>
  <c r="BD90" i="29"/>
  <c r="BC90" i="29"/>
  <c r="BB90" i="29"/>
  <c r="BA90" i="29"/>
  <c r="AZ90" i="29"/>
  <c r="AY90" i="29"/>
  <c r="BH89" i="29"/>
  <c r="BG89" i="29"/>
  <c r="BF89" i="29"/>
  <c r="BE89" i="29"/>
  <c r="BD89" i="29"/>
  <c r="BC89" i="29"/>
  <c r="BB89" i="29"/>
  <c r="BA89" i="29"/>
  <c r="AZ89" i="29"/>
  <c r="AY89" i="29"/>
  <c r="BH88" i="29"/>
  <c r="BG88" i="29"/>
  <c r="BF88" i="29"/>
  <c r="BE88" i="29"/>
  <c r="BD88" i="29"/>
  <c r="BC88" i="29"/>
  <c r="BB88" i="29"/>
  <c r="BA88" i="29"/>
  <c r="AZ88" i="29"/>
  <c r="AY88" i="29"/>
  <c r="BH87" i="29"/>
  <c r="BG87" i="29"/>
  <c r="BF87" i="29"/>
  <c r="BE87" i="29"/>
  <c r="BD87" i="29"/>
  <c r="BC87" i="29"/>
  <c r="BB87" i="29"/>
  <c r="BA87" i="29"/>
  <c r="AZ87" i="29"/>
  <c r="AY87" i="29"/>
  <c r="BH86" i="29"/>
  <c r="BG86" i="29"/>
  <c r="BF86" i="29"/>
  <c r="BE86" i="29"/>
  <c r="BD86" i="29"/>
  <c r="BC86" i="29"/>
  <c r="BB86" i="29"/>
  <c r="BA86" i="29"/>
  <c r="AZ86" i="29"/>
  <c r="AY86" i="29"/>
  <c r="BH85" i="29"/>
  <c r="BG85" i="29"/>
  <c r="BF85" i="29"/>
  <c r="BE85" i="29"/>
  <c r="BD85" i="29"/>
  <c r="BC85" i="29"/>
  <c r="BB85" i="29"/>
  <c r="BA85" i="29"/>
  <c r="AZ85" i="29"/>
  <c r="AY85" i="29"/>
  <c r="BH84" i="29"/>
  <c r="BG84" i="29"/>
  <c r="BF84" i="29"/>
  <c r="BE84" i="29"/>
  <c r="BD84" i="29"/>
  <c r="BC84" i="29"/>
  <c r="BB84" i="29"/>
  <c r="BA84" i="29"/>
  <c r="AZ84" i="29"/>
  <c r="AY84" i="29"/>
  <c r="BH83" i="29"/>
  <c r="BG83" i="29"/>
  <c r="BF83" i="29"/>
  <c r="BE83" i="29"/>
  <c r="BD83" i="29"/>
  <c r="BC83" i="29"/>
  <c r="BB83" i="29"/>
  <c r="BA83" i="29"/>
  <c r="AZ83" i="29"/>
  <c r="AY83" i="29"/>
  <c r="BH82" i="29"/>
  <c r="BG82" i="29"/>
  <c r="BF82" i="29"/>
  <c r="BE82" i="29"/>
  <c r="BD82" i="29"/>
  <c r="BC82" i="29"/>
  <c r="BB82" i="29"/>
  <c r="BA82" i="29"/>
  <c r="AZ82" i="29"/>
  <c r="AY82" i="29"/>
  <c r="BH81" i="29"/>
  <c r="BG81" i="29"/>
  <c r="BF81" i="29"/>
  <c r="BE81" i="29"/>
  <c r="BD81" i="29"/>
  <c r="BC81" i="29"/>
  <c r="BB81" i="29"/>
  <c r="BA81" i="29"/>
  <c r="AZ81" i="29"/>
  <c r="AY81" i="29"/>
  <c r="BH80" i="29"/>
  <c r="BG80" i="29"/>
  <c r="BF80" i="29"/>
  <c r="BE80" i="29"/>
  <c r="BD80" i="29"/>
  <c r="BC80" i="29"/>
  <c r="BB80" i="29"/>
  <c r="BA80" i="29"/>
  <c r="AZ80" i="29"/>
  <c r="AY80" i="29"/>
  <c r="BH79" i="29"/>
  <c r="BG79" i="29"/>
  <c r="BF79" i="29"/>
  <c r="BE79" i="29"/>
  <c r="BD79" i="29"/>
  <c r="BC79" i="29"/>
  <c r="BB79" i="29"/>
  <c r="BA79" i="29"/>
  <c r="AZ79" i="29"/>
  <c r="AY79" i="29"/>
  <c r="BH78" i="29"/>
  <c r="BG78" i="29"/>
  <c r="BF78" i="29"/>
  <c r="BE78" i="29"/>
  <c r="BD78" i="29"/>
  <c r="BC78" i="29"/>
  <c r="BB78" i="29"/>
  <c r="BA78" i="29"/>
  <c r="AZ78" i="29"/>
  <c r="AY78" i="29"/>
  <c r="BH77" i="29"/>
  <c r="BG77" i="29"/>
  <c r="BF77" i="29"/>
  <c r="BE77" i="29"/>
  <c r="BD77" i="29"/>
  <c r="BC77" i="29"/>
  <c r="BB77" i="29"/>
  <c r="BA77" i="29"/>
  <c r="AZ77" i="29"/>
  <c r="AY77" i="29"/>
  <c r="BH76" i="29"/>
  <c r="BG76" i="29"/>
  <c r="BF76" i="29"/>
  <c r="BE76" i="29"/>
  <c r="BD76" i="29"/>
  <c r="BC76" i="29"/>
  <c r="BB76" i="29"/>
  <c r="BA76" i="29"/>
  <c r="AZ76" i="29"/>
  <c r="AY76" i="29"/>
  <c r="BH75" i="29"/>
  <c r="BG75" i="29"/>
  <c r="BF75" i="29"/>
  <c r="BE75" i="29"/>
  <c r="BD75" i="29"/>
  <c r="BC75" i="29"/>
  <c r="BB75" i="29"/>
  <c r="BA75" i="29"/>
  <c r="AZ75" i="29"/>
  <c r="AY75" i="29"/>
  <c r="BH74" i="29"/>
  <c r="BG74" i="29"/>
  <c r="BF74" i="29"/>
  <c r="BE74" i="29"/>
  <c r="BD74" i="29"/>
  <c r="BC74" i="29"/>
  <c r="BB74" i="29"/>
  <c r="BA74" i="29"/>
  <c r="AZ74" i="29"/>
  <c r="AY74" i="29"/>
  <c r="BH73" i="29"/>
  <c r="BG73" i="29"/>
  <c r="BF73" i="29"/>
  <c r="BE73" i="29"/>
  <c r="BD73" i="29"/>
  <c r="BC73" i="29"/>
  <c r="BB73" i="29"/>
  <c r="BA73" i="29"/>
  <c r="AZ73" i="29"/>
  <c r="AY73" i="29"/>
  <c r="BH72" i="29"/>
  <c r="BG72" i="29"/>
  <c r="BF72" i="29"/>
  <c r="BE72" i="29"/>
  <c r="BD72" i="29"/>
  <c r="BC72" i="29"/>
  <c r="BB72" i="29"/>
  <c r="BA72" i="29"/>
  <c r="AZ72" i="29"/>
  <c r="AY72" i="29"/>
  <c r="BH71" i="29"/>
  <c r="BG71" i="29"/>
  <c r="BF71" i="29"/>
  <c r="BE71" i="29"/>
  <c r="BD71" i="29"/>
  <c r="BC71" i="29"/>
  <c r="BB71" i="29"/>
  <c r="BA71" i="29"/>
  <c r="AZ71" i="29"/>
  <c r="AY71" i="29"/>
  <c r="BH70" i="29"/>
  <c r="BG70" i="29"/>
  <c r="BF70" i="29"/>
  <c r="BE70" i="29"/>
  <c r="BD70" i="29"/>
  <c r="BC70" i="29"/>
  <c r="BB70" i="29"/>
  <c r="BA70" i="29"/>
  <c r="AZ70" i="29"/>
  <c r="AY70" i="29"/>
  <c r="BH69" i="29"/>
  <c r="BG69" i="29"/>
  <c r="BF69" i="29"/>
  <c r="BE69" i="29"/>
  <c r="BD69" i="29"/>
  <c r="BC69" i="29"/>
  <c r="BB69" i="29"/>
  <c r="BA69" i="29"/>
  <c r="AZ69" i="29"/>
  <c r="AY69" i="29"/>
  <c r="BH68" i="29"/>
  <c r="BG68" i="29"/>
  <c r="BF68" i="29"/>
  <c r="BE68" i="29"/>
  <c r="BD68" i="29"/>
  <c r="BC68" i="29"/>
  <c r="BB68" i="29"/>
  <c r="BA68" i="29"/>
  <c r="AZ68" i="29"/>
  <c r="AY68" i="29"/>
  <c r="BH67" i="29"/>
  <c r="BG67" i="29"/>
  <c r="BF67" i="29"/>
  <c r="BE67" i="29"/>
  <c r="BD67" i="29"/>
  <c r="BC67" i="29"/>
  <c r="BB67" i="29"/>
  <c r="BA67" i="29"/>
  <c r="AZ67" i="29"/>
  <c r="AY67" i="29"/>
  <c r="BH66" i="29"/>
  <c r="BG66" i="29"/>
  <c r="BF66" i="29"/>
  <c r="BE66" i="29"/>
  <c r="BD66" i="29"/>
  <c r="BC66" i="29"/>
  <c r="BB66" i="29"/>
  <c r="BA66" i="29"/>
  <c r="AZ66" i="29"/>
  <c r="AY66" i="29"/>
  <c r="BH65" i="29"/>
  <c r="BG65" i="29"/>
  <c r="BF65" i="29"/>
  <c r="BE65" i="29"/>
  <c r="BD65" i="29"/>
  <c r="BC65" i="29"/>
  <c r="BB65" i="29"/>
  <c r="BA65" i="29"/>
  <c r="AZ65" i="29"/>
  <c r="AY65" i="29"/>
  <c r="BH64" i="29"/>
  <c r="BG64" i="29"/>
  <c r="BF64" i="29"/>
  <c r="BE64" i="29"/>
  <c r="BD64" i="29"/>
  <c r="BC64" i="29"/>
  <c r="BB64" i="29"/>
  <c r="BA64" i="29"/>
  <c r="AZ64" i="29"/>
  <c r="AY64" i="29"/>
  <c r="BH63" i="29"/>
  <c r="BG63" i="29"/>
  <c r="BF63" i="29"/>
  <c r="BE63" i="29"/>
  <c r="BD63" i="29"/>
  <c r="BC63" i="29"/>
  <c r="BB63" i="29"/>
  <c r="BA63" i="29"/>
  <c r="AZ63" i="29"/>
  <c r="AY63" i="29"/>
  <c r="T93" i="29"/>
  <c r="S93" i="29"/>
  <c r="R93" i="29"/>
  <c r="Q93" i="29"/>
  <c r="P93" i="29"/>
  <c r="O93" i="29"/>
  <c r="N93" i="29"/>
  <c r="M93" i="29"/>
  <c r="L93" i="29"/>
  <c r="K93" i="29"/>
  <c r="T92" i="29"/>
  <c r="S92" i="29"/>
  <c r="R92" i="29"/>
  <c r="Q92" i="29"/>
  <c r="P92" i="29"/>
  <c r="O92" i="29"/>
  <c r="N92" i="29"/>
  <c r="M92" i="29"/>
  <c r="L92" i="29"/>
  <c r="K92" i="29"/>
  <c r="T91" i="29"/>
  <c r="S91" i="29"/>
  <c r="R91" i="29"/>
  <c r="Q91" i="29"/>
  <c r="P91" i="29"/>
  <c r="O91" i="29"/>
  <c r="N91" i="29"/>
  <c r="M91" i="29"/>
  <c r="L91" i="29"/>
  <c r="K91" i="29"/>
  <c r="T90" i="29"/>
  <c r="S90" i="29"/>
  <c r="R90" i="29"/>
  <c r="Q90" i="29"/>
  <c r="P90" i="29"/>
  <c r="O90" i="29"/>
  <c r="N90" i="29"/>
  <c r="M90" i="29"/>
  <c r="L90" i="29"/>
  <c r="K90" i="29"/>
  <c r="T89" i="29"/>
  <c r="S89" i="29"/>
  <c r="R89" i="29"/>
  <c r="Q89" i="29"/>
  <c r="P89" i="29"/>
  <c r="O89" i="29"/>
  <c r="N89" i="29"/>
  <c r="M89" i="29"/>
  <c r="L89" i="29"/>
  <c r="K89" i="29"/>
  <c r="T88" i="29"/>
  <c r="S88" i="29"/>
  <c r="R88" i="29"/>
  <c r="Q88" i="29"/>
  <c r="P88" i="29"/>
  <c r="O88" i="29"/>
  <c r="N88" i="29"/>
  <c r="M88" i="29"/>
  <c r="L88" i="29"/>
  <c r="K88" i="29"/>
  <c r="T87" i="29"/>
  <c r="S87" i="29"/>
  <c r="R87" i="29"/>
  <c r="Q87" i="29"/>
  <c r="P87" i="29"/>
  <c r="O87" i="29"/>
  <c r="N87" i="29"/>
  <c r="M87" i="29"/>
  <c r="L87" i="29"/>
  <c r="K87" i="29"/>
  <c r="T86" i="29"/>
  <c r="S86" i="29"/>
  <c r="R86" i="29"/>
  <c r="Q86" i="29"/>
  <c r="P86" i="29"/>
  <c r="O86" i="29"/>
  <c r="N86" i="29"/>
  <c r="M86" i="29"/>
  <c r="L86" i="29"/>
  <c r="K86" i="29"/>
  <c r="T85" i="29"/>
  <c r="S85" i="29"/>
  <c r="R85" i="29"/>
  <c r="Q85" i="29"/>
  <c r="P85" i="29"/>
  <c r="O85" i="29"/>
  <c r="N85" i="29"/>
  <c r="M85" i="29"/>
  <c r="L85" i="29"/>
  <c r="K85" i="29"/>
  <c r="T84" i="29"/>
  <c r="S84" i="29"/>
  <c r="R84" i="29"/>
  <c r="Q84" i="29"/>
  <c r="P84" i="29"/>
  <c r="O84" i="29"/>
  <c r="N84" i="29"/>
  <c r="M84" i="29"/>
  <c r="L84" i="29"/>
  <c r="K84" i="29"/>
  <c r="T83" i="29"/>
  <c r="S83" i="29"/>
  <c r="R83" i="29"/>
  <c r="Q83" i="29"/>
  <c r="P83" i="29"/>
  <c r="O83" i="29"/>
  <c r="N83" i="29"/>
  <c r="M83" i="29"/>
  <c r="L83" i="29"/>
  <c r="K83" i="29"/>
  <c r="T82" i="29"/>
  <c r="S82" i="29"/>
  <c r="R82" i="29"/>
  <c r="Q82" i="29"/>
  <c r="P82" i="29"/>
  <c r="O82" i="29"/>
  <c r="N82" i="29"/>
  <c r="M82" i="29"/>
  <c r="L82" i="29"/>
  <c r="K82" i="29"/>
  <c r="T81" i="29"/>
  <c r="S81" i="29"/>
  <c r="R81" i="29"/>
  <c r="Q81" i="29"/>
  <c r="P81" i="29"/>
  <c r="O81" i="29"/>
  <c r="N81" i="29"/>
  <c r="M81" i="29"/>
  <c r="L81" i="29"/>
  <c r="K81" i="29"/>
  <c r="T80" i="29"/>
  <c r="S80" i="29"/>
  <c r="R80" i="29"/>
  <c r="Q80" i="29"/>
  <c r="P80" i="29"/>
  <c r="O80" i="29"/>
  <c r="N80" i="29"/>
  <c r="M80" i="29"/>
  <c r="L80" i="29"/>
  <c r="K80" i="29"/>
  <c r="T79" i="29"/>
  <c r="S79" i="29"/>
  <c r="R79" i="29"/>
  <c r="Q79" i="29"/>
  <c r="P79" i="29"/>
  <c r="O79" i="29"/>
  <c r="N79" i="29"/>
  <c r="M79" i="29"/>
  <c r="L79" i="29"/>
  <c r="K79" i="29"/>
  <c r="T78" i="29"/>
  <c r="S78" i="29"/>
  <c r="R78" i="29"/>
  <c r="Q78" i="29"/>
  <c r="P78" i="29"/>
  <c r="O78" i="29"/>
  <c r="N78" i="29"/>
  <c r="M78" i="29"/>
  <c r="L78" i="29"/>
  <c r="K78" i="29"/>
  <c r="T77" i="29"/>
  <c r="S77" i="29"/>
  <c r="R77" i="29"/>
  <c r="Q77" i="29"/>
  <c r="P77" i="29"/>
  <c r="O77" i="29"/>
  <c r="N77" i="29"/>
  <c r="M77" i="29"/>
  <c r="L77" i="29"/>
  <c r="K77" i="29"/>
  <c r="T76" i="29"/>
  <c r="S76" i="29"/>
  <c r="R76" i="29"/>
  <c r="Q76" i="29"/>
  <c r="P76" i="29"/>
  <c r="O76" i="29"/>
  <c r="N76" i="29"/>
  <c r="M76" i="29"/>
  <c r="L76" i="29"/>
  <c r="K76" i="29"/>
  <c r="T75" i="29"/>
  <c r="S75" i="29"/>
  <c r="R75" i="29"/>
  <c r="Q75" i="29"/>
  <c r="P75" i="29"/>
  <c r="O75" i="29"/>
  <c r="N75" i="29"/>
  <c r="M75" i="29"/>
  <c r="L75" i="29"/>
  <c r="K75" i="29"/>
  <c r="T74" i="29"/>
  <c r="S74" i="29"/>
  <c r="R74" i="29"/>
  <c r="Q74" i="29"/>
  <c r="P74" i="29"/>
  <c r="O74" i="29"/>
  <c r="N74" i="29"/>
  <c r="M74" i="29"/>
  <c r="L74" i="29"/>
  <c r="K74" i="29"/>
  <c r="T73" i="29"/>
  <c r="S73" i="29"/>
  <c r="R73" i="29"/>
  <c r="Q73" i="29"/>
  <c r="P73" i="29"/>
  <c r="O73" i="29"/>
  <c r="N73" i="29"/>
  <c r="M73" i="29"/>
  <c r="L73" i="29"/>
  <c r="K73" i="29"/>
  <c r="T72" i="29"/>
  <c r="S72" i="29"/>
  <c r="R72" i="29"/>
  <c r="Q72" i="29"/>
  <c r="P72" i="29"/>
  <c r="O72" i="29"/>
  <c r="N72" i="29"/>
  <c r="M72" i="29"/>
  <c r="L72" i="29"/>
  <c r="K72" i="29"/>
  <c r="T71" i="29"/>
  <c r="S71" i="29"/>
  <c r="R71" i="29"/>
  <c r="Q71" i="29"/>
  <c r="P71" i="29"/>
  <c r="O71" i="29"/>
  <c r="N71" i="29"/>
  <c r="M71" i="29"/>
  <c r="L71" i="29"/>
  <c r="K71" i="29"/>
  <c r="T70" i="29"/>
  <c r="S70" i="29"/>
  <c r="R70" i="29"/>
  <c r="Q70" i="29"/>
  <c r="P70" i="29"/>
  <c r="O70" i="29"/>
  <c r="N70" i="29"/>
  <c r="M70" i="29"/>
  <c r="L70" i="29"/>
  <c r="K70" i="29"/>
  <c r="T69" i="29"/>
  <c r="S69" i="29"/>
  <c r="R69" i="29"/>
  <c r="Q69" i="29"/>
  <c r="P69" i="29"/>
  <c r="O69" i="29"/>
  <c r="N69" i="29"/>
  <c r="M69" i="29"/>
  <c r="L69" i="29"/>
  <c r="K69" i="29"/>
  <c r="T68" i="29"/>
  <c r="S68" i="29"/>
  <c r="R68" i="29"/>
  <c r="Q68" i="29"/>
  <c r="P68" i="29"/>
  <c r="O68" i="29"/>
  <c r="N68" i="29"/>
  <c r="M68" i="29"/>
  <c r="L68" i="29"/>
  <c r="K68" i="29"/>
  <c r="T67" i="29"/>
  <c r="S67" i="29"/>
  <c r="R67" i="29"/>
  <c r="Q67" i="29"/>
  <c r="P67" i="29"/>
  <c r="O67" i="29"/>
  <c r="N67" i="29"/>
  <c r="M67" i="29"/>
  <c r="L67" i="29"/>
  <c r="K67" i="29"/>
  <c r="T66" i="29"/>
  <c r="S66" i="29"/>
  <c r="R66" i="29"/>
  <c r="Q66" i="29"/>
  <c r="P66" i="29"/>
  <c r="O66" i="29"/>
  <c r="N66" i="29"/>
  <c r="M66" i="29"/>
  <c r="L66" i="29"/>
  <c r="K66" i="29"/>
  <c r="T65" i="29"/>
  <c r="S65" i="29"/>
  <c r="R65" i="29"/>
  <c r="Q65" i="29"/>
  <c r="P65" i="29"/>
  <c r="O65" i="29"/>
  <c r="N65" i="29"/>
  <c r="M65" i="29"/>
  <c r="L65" i="29"/>
  <c r="K65" i="29"/>
  <c r="T64" i="29"/>
  <c r="S64" i="29"/>
  <c r="R64" i="29"/>
  <c r="Q64" i="29"/>
  <c r="P64" i="29"/>
  <c r="O64" i="29"/>
  <c r="N64" i="29"/>
  <c r="M64" i="29"/>
  <c r="L64" i="29"/>
  <c r="K64" i="29"/>
  <c r="T63" i="29"/>
  <c r="S63" i="29"/>
  <c r="R63" i="29"/>
  <c r="Q63" i="29"/>
  <c r="P63" i="29"/>
  <c r="O63" i="29"/>
  <c r="N63" i="29"/>
  <c r="M63" i="29"/>
  <c r="L63" i="29"/>
  <c r="K63" i="29"/>
  <c r="CV62" i="29"/>
  <c r="CU62" i="29"/>
  <c r="CT62" i="29"/>
  <c r="CS62" i="29"/>
  <c r="CR62" i="29"/>
  <c r="CQ62" i="29"/>
  <c r="CP62" i="29"/>
  <c r="CO62" i="29"/>
  <c r="CN62" i="29"/>
  <c r="CM62" i="29"/>
  <c r="CV61" i="29"/>
  <c r="CU61" i="29"/>
  <c r="CT61" i="29"/>
  <c r="CS61" i="29"/>
  <c r="CR61" i="29"/>
  <c r="CQ61" i="29"/>
  <c r="CP61" i="29"/>
  <c r="CO61" i="29"/>
  <c r="CN61" i="29"/>
  <c r="CM61" i="29"/>
  <c r="CV60" i="29"/>
  <c r="CU60" i="29"/>
  <c r="CT60" i="29"/>
  <c r="CS60" i="29"/>
  <c r="CR60" i="29"/>
  <c r="CQ60" i="29"/>
  <c r="CP60" i="29"/>
  <c r="CO60" i="29"/>
  <c r="CN60" i="29"/>
  <c r="CM60" i="29"/>
  <c r="CV59" i="29"/>
  <c r="CU59" i="29"/>
  <c r="CT59" i="29"/>
  <c r="CS59" i="29"/>
  <c r="CR59" i="29"/>
  <c r="CQ59" i="29"/>
  <c r="CP59" i="29"/>
  <c r="CO59" i="29"/>
  <c r="CN59" i="29"/>
  <c r="CM59" i="29"/>
  <c r="CV58" i="29"/>
  <c r="CU58" i="29"/>
  <c r="CT58" i="29"/>
  <c r="CS58" i="29"/>
  <c r="CR58" i="29"/>
  <c r="CQ58" i="29"/>
  <c r="CP58" i="29"/>
  <c r="CO58" i="29"/>
  <c r="CN58" i="29"/>
  <c r="CM58" i="29"/>
  <c r="CV57" i="29"/>
  <c r="CU57" i="29"/>
  <c r="CT57" i="29"/>
  <c r="CS57" i="29"/>
  <c r="CR57" i="29"/>
  <c r="CQ57" i="29"/>
  <c r="CP57" i="29"/>
  <c r="CO57" i="29"/>
  <c r="CN57" i="29"/>
  <c r="CM57" i="29"/>
  <c r="CV56" i="29"/>
  <c r="CU56" i="29"/>
  <c r="CT56" i="29"/>
  <c r="CS56" i="29"/>
  <c r="CR56" i="29"/>
  <c r="CQ56" i="29"/>
  <c r="CP56" i="29"/>
  <c r="CO56" i="29"/>
  <c r="CN56" i="29"/>
  <c r="CM56" i="29"/>
  <c r="CV55" i="29"/>
  <c r="CU55" i="29"/>
  <c r="CT55" i="29"/>
  <c r="CS55" i="29"/>
  <c r="CR55" i="29"/>
  <c r="CQ55" i="29"/>
  <c r="CP55" i="29"/>
  <c r="CO55" i="29"/>
  <c r="CN55" i="29"/>
  <c r="CM55" i="29"/>
  <c r="CV54" i="29"/>
  <c r="CU54" i="29"/>
  <c r="CT54" i="29"/>
  <c r="CS54" i="29"/>
  <c r="CR54" i="29"/>
  <c r="CQ54" i="29"/>
  <c r="CP54" i="29"/>
  <c r="CO54" i="29"/>
  <c r="CN54" i="29"/>
  <c r="CM54" i="29"/>
  <c r="CV53" i="29"/>
  <c r="CU53" i="29"/>
  <c r="CT53" i="29"/>
  <c r="CS53" i="29"/>
  <c r="CR53" i="29"/>
  <c r="CQ53" i="29"/>
  <c r="CP53" i="29"/>
  <c r="CO53" i="29"/>
  <c r="CN53" i="29"/>
  <c r="CM53" i="29"/>
  <c r="CV52" i="29"/>
  <c r="CU52" i="29"/>
  <c r="CT52" i="29"/>
  <c r="CS52" i="29"/>
  <c r="CR52" i="29"/>
  <c r="CQ52" i="29"/>
  <c r="CP52" i="29"/>
  <c r="CO52" i="29"/>
  <c r="CN52" i="29"/>
  <c r="CM52" i="29"/>
  <c r="CV51" i="29"/>
  <c r="CU51" i="29"/>
  <c r="CT51" i="29"/>
  <c r="CS51" i="29"/>
  <c r="CR51" i="29"/>
  <c r="CQ51" i="29"/>
  <c r="CP51" i="29"/>
  <c r="CO51" i="29"/>
  <c r="CN51" i="29"/>
  <c r="CM51" i="29"/>
  <c r="CV50" i="29"/>
  <c r="CU50" i="29"/>
  <c r="CT50" i="29"/>
  <c r="CS50" i="29"/>
  <c r="CR50" i="29"/>
  <c r="CQ50" i="29"/>
  <c r="CP50" i="29"/>
  <c r="CO50" i="29"/>
  <c r="CN50" i="29"/>
  <c r="CM50" i="29"/>
  <c r="CV49" i="29"/>
  <c r="CU49" i="29"/>
  <c r="CT49" i="29"/>
  <c r="CS49" i="29"/>
  <c r="CR49" i="29"/>
  <c r="CQ49" i="29"/>
  <c r="CP49" i="29"/>
  <c r="CO49" i="29"/>
  <c r="CN49" i="29"/>
  <c r="CM49" i="29"/>
  <c r="CV48" i="29"/>
  <c r="CU48" i="29"/>
  <c r="CT48" i="29"/>
  <c r="CS48" i="29"/>
  <c r="CR48" i="29"/>
  <c r="CQ48" i="29"/>
  <c r="CP48" i="29"/>
  <c r="CO48" i="29"/>
  <c r="CN48" i="29"/>
  <c r="CM48" i="29"/>
  <c r="CV47" i="29"/>
  <c r="CU47" i="29"/>
  <c r="CT47" i="29"/>
  <c r="CS47" i="29"/>
  <c r="CR47" i="29"/>
  <c r="CQ47" i="29"/>
  <c r="CP47" i="29"/>
  <c r="CO47" i="29"/>
  <c r="CN47" i="29"/>
  <c r="CM47" i="29"/>
  <c r="CV46" i="29"/>
  <c r="CU46" i="29"/>
  <c r="CT46" i="29"/>
  <c r="CS46" i="29"/>
  <c r="CR46" i="29"/>
  <c r="CQ46" i="29"/>
  <c r="CP46" i="29"/>
  <c r="CO46" i="29"/>
  <c r="CN46" i="29"/>
  <c r="CM46" i="29"/>
  <c r="CV45" i="29"/>
  <c r="CU45" i="29"/>
  <c r="CT45" i="29"/>
  <c r="CS45" i="29"/>
  <c r="CR45" i="29"/>
  <c r="CQ45" i="29"/>
  <c r="CP45" i="29"/>
  <c r="CO45" i="29"/>
  <c r="CN45" i="29"/>
  <c r="CM45" i="29"/>
  <c r="CV44" i="29"/>
  <c r="CU44" i="29"/>
  <c r="CT44" i="29"/>
  <c r="CS44" i="29"/>
  <c r="CR44" i="29"/>
  <c r="CQ44" i="29"/>
  <c r="CP44" i="29"/>
  <c r="CO44" i="29"/>
  <c r="CN44" i="29"/>
  <c r="CM44" i="29"/>
  <c r="CV43" i="29"/>
  <c r="CU43" i="29"/>
  <c r="CT43" i="29"/>
  <c r="CS43" i="29"/>
  <c r="CR43" i="29"/>
  <c r="CQ43" i="29"/>
  <c r="CP43" i="29"/>
  <c r="CO43" i="29"/>
  <c r="CN43" i="29"/>
  <c r="CM43" i="29"/>
  <c r="CV42" i="29"/>
  <c r="CU42" i="29"/>
  <c r="CT42" i="29"/>
  <c r="CS42" i="29"/>
  <c r="CR42" i="29"/>
  <c r="CQ42" i="29"/>
  <c r="CP42" i="29"/>
  <c r="CO42" i="29"/>
  <c r="CN42" i="29"/>
  <c r="CM42" i="29"/>
  <c r="CV41" i="29"/>
  <c r="CU41" i="29"/>
  <c r="CT41" i="29"/>
  <c r="CS41" i="29"/>
  <c r="CR41" i="29"/>
  <c r="CQ41" i="29"/>
  <c r="CP41" i="29"/>
  <c r="CO41" i="29"/>
  <c r="CN41" i="29"/>
  <c r="CM41" i="29"/>
  <c r="CV40" i="29"/>
  <c r="CU40" i="29"/>
  <c r="CT40" i="29"/>
  <c r="CS40" i="29"/>
  <c r="CR40" i="29"/>
  <c r="CQ40" i="29"/>
  <c r="CP40" i="29"/>
  <c r="CO40" i="29"/>
  <c r="CN40" i="29"/>
  <c r="CM40" i="29"/>
  <c r="CV39" i="29"/>
  <c r="CU39" i="29"/>
  <c r="CT39" i="29"/>
  <c r="CS39" i="29"/>
  <c r="CR39" i="29"/>
  <c r="CQ39" i="29"/>
  <c r="CP39" i="29"/>
  <c r="CO39" i="29"/>
  <c r="CN39" i="29"/>
  <c r="CM39" i="29"/>
  <c r="CV38" i="29"/>
  <c r="CU38" i="29"/>
  <c r="CT38" i="29"/>
  <c r="CS38" i="29"/>
  <c r="CR38" i="29"/>
  <c r="CQ38" i="29"/>
  <c r="CP38" i="29"/>
  <c r="CO38" i="29"/>
  <c r="CN38" i="29"/>
  <c r="CM38" i="29"/>
  <c r="CV37" i="29"/>
  <c r="CU37" i="29"/>
  <c r="CT37" i="29"/>
  <c r="CS37" i="29"/>
  <c r="CR37" i="29"/>
  <c r="CQ37" i="29"/>
  <c r="CP37" i="29"/>
  <c r="CO37" i="29"/>
  <c r="CN37" i="29"/>
  <c r="CM37" i="29"/>
  <c r="CV36" i="29"/>
  <c r="CU36" i="29"/>
  <c r="CT36" i="29"/>
  <c r="CS36" i="29"/>
  <c r="CR36" i="29"/>
  <c r="CQ36" i="29"/>
  <c r="CP36" i="29"/>
  <c r="CO36" i="29"/>
  <c r="CN36" i="29"/>
  <c r="CM36" i="29"/>
  <c r="CV35" i="29"/>
  <c r="CU35" i="29"/>
  <c r="CT35" i="29"/>
  <c r="CS35" i="29"/>
  <c r="CR35" i="29"/>
  <c r="CQ35" i="29"/>
  <c r="CP35" i="29"/>
  <c r="CO35" i="29"/>
  <c r="CN35" i="29"/>
  <c r="CM35" i="29"/>
  <c r="BH62" i="29"/>
  <c r="BG62" i="29"/>
  <c r="BF62" i="29"/>
  <c r="BE62" i="29"/>
  <c r="BD62" i="29"/>
  <c r="BC62" i="29"/>
  <c r="BB62" i="29"/>
  <c r="BA62" i="29"/>
  <c r="AZ62" i="29"/>
  <c r="AY62" i="29"/>
  <c r="BH61" i="29"/>
  <c r="BG61" i="29"/>
  <c r="BF61" i="29"/>
  <c r="BE61" i="29"/>
  <c r="BD61" i="29"/>
  <c r="BC61" i="29"/>
  <c r="BB61" i="29"/>
  <c r="BA61" i="29"/>
  <c r="AZ61" i="29"/>
  <c r="AY61" i="29"/>
  <c r="BH60" i="29"/>
  <c r="BG60" i="29"/>
  <c r="BF60" i="29"/>
  <c r="BE60" i="29"/>
  <c r="BD60" i="29"/>
  <c r="BC60" i="29"/>
  <c r="BB60" i="29"/>
  <c r="BA60" i="29"/>
  <c r="AZ60" i="29"/>
  <c r="AY60" i="29"/>
  <c r="BH59" i="29"/>
  <c r="BG59" i="29"/>
  <c r="BF59" i="29"/>
  <c r="BE59" i="29"/>
  <c r="BD59" i="29"/>
  <c r="BC59" i="29"/>
  <c r="BB59" i="29"/>
  <c r="BA59" i="29"/>
  <c r="AZ59" i="29"/>
  <c r="AY59" i="29"/>
  <c r="BH58" i="29"/>
  <c r="BG58" i="29"/>
  <c r="BF58" i="29"/>
  <c r="BE58" i="29"/>
  <c r="BD58" i="29"/>
  <c r="BC58" i="29"/>
  <c r="BB58" i="29"/>
  <c r="BA58" i="29"/>
  <c r="AZ58" i="29"/>
  <c r="AY58" i="29"/>
  <c r="BH57" i="29"/>
  <c r="BG57" i="29"/>
  <c r="BF57" i="29"/>
  <c r="BE57" i="29"/>
  <c r="BD57" i="29"/>
  <c r="BC57" i="29"/>
  <c r="BB57" i="29"/>
  <c r="BA57" i="29"/>
  <c r="AZ57" i="29"/>
  <c r="AY57" i="29"/>
  <c r="BH56" i="29"/>
  <c r="BG56" i="29"/>
  <c r="BF56" i="29"/>
  <c r="BE56" i="29"/>
  <c r="BD56" i="29"/>
  <c r="BC56" i="29"/>
  <c r="BB56" i="29"/>
  <c r="BA56" i="29"/>
  <c r="AZ56" i="29"/>
  <c r="AY56" i="29"/>
  <c r="BH55" i="29"/>
  <c r="BG55" i="29"/>
  <c r="BF55" i="29"/>
  <c r="BE55" i="29"/>
  <c r="BD55" i="29"/>
  <c r="BC55" i="29"/>
  <c r="BB55" i="29"/>
  <c r="BA55" i="29"/>
  <c r="AZ55" i="29"/>
  <c r="AY55" i="29"/>
  <c r="BH54" i="29"/>
  <c r="BG54" i="29"/>
  <c r="BF54" i="29"/>
  <c r="BE54" i="29"/>
  <c r="BD54" i="29"/>
  <c r="BC54" i="29"/>
  <c r="BB54" i="29"/>
  <c r="BA54" i="29"/>
  <c r="AZ54" i="29"/>
  <c r="AY54" i="29"/>
  <c r="BH53" i="29"/>
  <c r="BG53" i="29"/>
  <c r="BF53" i="29"/>
  <c r="BE53" i="29"/>
  <c r="BD53" i="29"/>
  <c r="BC53" i="29"/>
  <c r="BB53" i="29"/>
  <c r="BA53" i="29"/>
  <c r="AZ53" i="29"/>
  <c r="AY53" i="29"/>
  <c r="BH52" i="29"/>
  <c r="BG52" i="29"/>
  <c r="BF52" i="29"/>
  <c r="BE52" i="29"/>
  <c r="BD52" i="29"/>
  <c r="BC52" i="29"/>
  <c r="BB52" i="29"/>
  <c r="BA52" i="29"/>
  <c r="AZ52" i="29"/>
  <c r="AY52" i="29"/>
  <c r="BH51" i="29"/>
  <c r="BG51" i="29"/>
  <c r="BF51" i="29"/>
  <c r="BE51" i="29"/>
  <c r="BD51" i="29"/>
  <c r="BC51" i="29"/>
  <c r="BB51" i="29"/>
  <c r="BA51" i="29"/>
  <c r="AZ51" i="29"/>
  <c r="AY51" i="29"/>
  <c r="BH50" i="29"/>
  <c r="BG50" i="29"/>
  <c r="BF50" i="29"/>
  <c r="BE50" i="29"/>
  <c r="BD50" i="29"/>
  <c r="BC50" i="29"/>
  <c r="BB50" i="29"/>
  <c r="BA50" i="29"/>
  <c r="AZ50" i="29"/>
  <c r="AY50" i="29"/>
  <c r="BH49" i="29"/>
  <c r="BG49" i="29"/>
  <c r="BF49" i="29"/>
  <c r="BE49" i="29"/>
  <c r="BD49" i="29"/>
  <c r="BC49" i="29"/>
  <c r="BB49" i="29"/>
  <c r="BA49" i="29"/>
  <c r="AZ49" i="29"/>
  <c r="AY49" i="29"/>
  <c r="BH48" i="29"/>
  <c r="BG48" i="29"/>
  <c r="BF48" i="29"/>
  <c r="BE48" i="29"/>
  <c r="BD48" i="29"/>
  <c r="BC48" i="29"/>
  <c r="BB48" i="29"/>
  <c r="BA48" i="29"/>
  <c r="AZ48" i="29"/>
  <c r="AY48" i="29"/>
  <c r="BH47" i="29"/>
  <c r="BG47" i="29"/>
  <c r="BF47" i="29"/>
  <c r="BE47" i="29"/>
  <c r="BD47" i="29"/>
  <c r="BC47" i="29"/>
  <c r="BB47" i="29"/>
  <c r="BA47" i="29"/>
  <c r="AZ47" i="29"/>
  <c r="AY47" i="29"/>
  <c r="BH46" i="29"/>
  <c r="BG46" i="29"/>
  <c r="BF46" i="29"/>
  <c r="BE46" i="29"/>
  <c r="BD46" i="29"/>
  <c r="BC46" i="29"/>
  <c r="BB46" i="29"/>
  <c r="BA46" i="29"/>
  <c r="AZ46" i="29"/>
  <c r="AY46" i="29"/>
  <c r="BH45" i="29"/>
  <c r="BG45" i="29"/>
  <c r="BF45" i="29"/>
  <c r="BE45" i="29"/>
  <c r="BD45" i="29"/>
  <c r="BC45" i="29"/>
  <c r="BB45" i="29"/>
  <c r="BA45" i="29"/>
  <c r="AZ45" i="29"/>
  <c r="AY45" i="29"/>
  <c r="BH44" i="29"/>
  <c r="BG44" i="29"/>
  <c r="BF44" i="29"/>
  <c r="BE44" i="29"/>
  <c r="BD44" i="29"/>
  <c r="BC44" i="29"/>
  <c r="BB44" i="29"/>
  <c r="BA44" i="29"/>
  <c r="AZ44" i="29"/>
  <c r="AY44" i="29"/>
  <c r="BH43" i="29"/>
  <c r="BG43" i="29"/>
  <c r="BF43" i="29"/>
  <c r="BE43" i="29"/>
  <c r="BD43" i="29"/>
  <c r="BC43" i="29"/>
  <c r="BB43" i="29"/>
  <c r="BA43" i="29"/>
  <c r="AZ43" i="29"/>
  <c r="AY43" i="29"/>
  <c r="BH42" i="29"/>
  <c r="BG42" i="29"/>
  <c r="BF42" i="29"/>
  <c r="BE42" i="29"/>
  <c r="BD42" i="29"/>
  <c r="BC42" i="29"/>
  <c r="BB42" i="29"/>
  <c r="BA42" i="29"/>
  <c r="AZ42" i="29"/>
  <c r="AY42" i="29"/>
  <c r="BH41" i="29"/>
  <c r="BG41" i="29"/>
  <c r="BF41" i="29"/>
  <c r="BE41" i="29"/>
  <c r="BD41" i="29"/>
  <c r="BC41" i="29"/>
  <c r="BB41" i="29"/>
  <c r="BA41" i="29"/>
  <c r="AZ41" i="29"/>
  <c r="AY41" i="29"/>
  <c r="BH40" i="29"/>
  <c r="BG40" i="29"/>
  <c r="BF40" i="29"/>
  <c r="BE40" i="29"/>
  <c r="BD40" i="29"/>
  <c r="BC40" i="29"/>
  <c r="BB40" i="29"/>
  <c r="BA40" i="29"/>
  <c r="AZ40" i="29"/>
  <c r="AY40" i="29"/>
  <c r="BH39" i="29"/>
  <c r="BG39" i="29"/>
  <c r="BF39" i="29"/>
  <c r="BE39" i="29"/>
  <c r="BD39" i="29"/>
  <c r="BC39" i="29"/>
  <c r="BB39" i="29"/>
  <c r="BA39" i="29"/>
  <c r="AZ39" i="29"/>
  <c r="AY39" i="29"/>
  <c r="BH38" i="29"/>
  <c r="BG38" i="29"/>
  <c r="BF38" i="29"/>
  <c r="BE38" i="29"/>
  <c r="BD38" i="29"/>
  <c r="BC38" i="29"/>
  <c r="BB38" i="29"/>
  <c r="BA38" i="29"/>
  <c r="AZ38" i="29"/>
  <c r="AY38" i="29"/>
  <c r="BH37" i="29"/>
  <c r="BG37" i="29"/>
  <c r="BF37" i="29"/>
  <c r="BE37" i="29"/>
  <c r="BD37" i="29"/>
  <c r="BC37" i="29"/>
  <c r="BB37" i="29"/>
  <c r="BA37" i="29"/>
  <c r="AZ37" i="29"/>
  <c r="AY37" i="29"/>
  <c r="BH36" i="29"/>
  <c r="BG36" i="29"/>
  <c r="BF36" i="29"/>
  <c r="BE36" i="29"/>
  <c r="BD36" i="29"/>
  <c r="BC36" i="29"/>
  <c r="BB36" i="29"/>
  <c r="BA36" i="29"/>
  <c r="AZ36" i="29"/>
  <c r="AY36" i="29"/>
  <c r="BH35" i="29"/>
  <c r="BG35" i="29"/>
  <c r="BF35" i="29"/>
  <c r="BE35" i="29"/>
  <c r="BD35" i="29"/>
  <c r="BC35" i="29"/>
  <c r="BB35" i="29"/>
  <c r="BA35" i="29"/>
  <c r="AZ35" i="29"/>
  <c r="AY35" i="29"/>
  <c r="T62" i="29"/>
  <c r="S62" i="29"/>
  <c r="R62" i="29"/>
  <c r="Q62" i="29"/>
  <c r="P62" i="29"/>
  <c r="O62" i="29"/>
  <c r="N62" i="29"/>
  <c r="M62" i="29"/>
  <c r="L62" i="29"/>
  <c r="K62" i="29"/>
  <c r="T61" i="29"/>
  <c r="S61" i="29"/>
  <c r="R61" i="29"/>
  <c r="Q61" i="29"/>
  <c r="P61" i="29"/>
  <c r="O61" i="29"/>
  <c r="N61" i="29"/>
  <c r="M61" i="29"/>
  <c r="L61" i="29"/>
  <c r="K61" i="29"/>
  <c r="T60" i="29"/>
  <c r="S60" i="29"/>
  <c r="R60" i="29"/>
  <c r="Q60" i="29"/>
  <c r="P60" i="29"/>
  <c r="O60" i="29"/>
  <c r="N60" i="29"/>
  <c r="M60" i="29"/>
  <c r="L60" i="29"/>
  <c r="K60" i="29"/>
  <c r="T59" i="29"/>
  <c r="S59" i="29"/>
  <c r="R59" i="29"/>
  <c r="Q59" i="29"/>
  <c r="P59" i="29"/>
  <c r="O59" i="29"/>
  <c r="N59" i="29"/>
  <c r="M59" i="29"/>
  <c r="L59" i="29"/>
  <c r="K59" i="29"/>
  <c r="T58" i="29"/>
  <c r="S58" i="29"/>
  <c r="R58" i="29"/>
  <c r="Q58" i="29"/>
  <c r="P58" i="29"/>
  <c r="O58" i="29"/>
  <c r="N58" i="29"/>
  <c r="M58" i="29"/>
  <c r="L58" i="29"/>
  <c r="K58" i="29"/>
  <c r="T57" i="29"/>
  <c r="S57" i="29"/>
  <c r="R57" i="29"/>
  <c r="Q57" i="29"/>
  <c r="P57" i="29"/>
  <c r="O57" i="29"/>
  <c r="N57" i="29"/>
  <c r="M57" i="29"/>
  <c r="L57" i="29"/>
  <c r="K57" i="29"/>
  <c r="T56" i="29"/>
  <c r="S56" i="29"/>
  <c r="R56" i="29"/>
  <c r="Q56" i="29"/>
  <c r="P56" i="29"/>
  <c r="O56" i="29"/>
  <c r="N56" i="29"/>
  <c r="M56" i="29"/>
  <c r="L56" i="29"/>
  <c r="K56" i="29"/>
  <c r="T55" i="29"/>
  <c r="S55" i="29"/>
  <c r="R55" i="29"/>
  <c r="Q55" i="29"/>
  <c r="P55" i="29"/>
  <c r="O55" i="29"/>
  <c r="N55" i="29"/>
  <c r="M55" i="29"/>
  <c r="L55" i="29"/>
  <c r="K55" i="29"/>
  <c r="T54" i="29"/>
  <c r="S54" i="29"/>
  <c r="R54" i="29"/>
  <c r="Q54" i="29"/>
  <c r="P54" i="29"/>
  <c r="O54" i="29"/>
  <c r="N54" i="29"/>
  <c r="M54" i="29"/>
  <c r="L54" i="29"/>
  <c r="K54" i="29"/>
  <c r="T53" i="29"/>
  <c r="S53" i="29"/>
  <c r="R53" i="29"/>
  <c r="Q53" i="29"/>
  <c r="P53" i="29"/>
  <c r="O53" i="29"/>
  <c r="N53" i="29"/>
  <c r="M53" i="29"/>
  <c r="L53" i="29"/>
  <c r="K53" i="29"/>
  <c r="T52" i="29"/>
  <c r="S52" i="29"/>
  <c r="R52" i="29"/>
  <c r="Q52" i="29"/>
  <c r="P52" i="29"/>
  <c r="O52" i="29"/>
  <c r="N52" i="29"/>
  <c r="M52" i="29"/>
  <c r="L52" i="29"/>
  <c r="K52" i="29"/>
  <c r="T51" i="29"/>
  <c r="S51" i="29"/>
  <c r="R51" i="29"/>
  <c r="Q51" i="29"/>
  <c r="P51" i="29"/>
  <c r="O51" i="29"/>
  <c r="N51" i="29"/>
  <c r="M51" i="29"/>
  <c r="L51" i="29"/>
  <c r="K51" i="29"/>
  <c r="T50" i="29"/>
  <c r="S50" i="29"/>
  <c r="R50" i="29"/>
  <c r="Q50" i="29"/>
  <c r="P50" i="29"/>
  <c r="O50" i="29"/>
  <c r="N50" i="29"/>
  <c r="M50" i="29"/>
  <c r="L50" i="29"/>
  <c r="K50" i="29"/>
  <c r="T49" i="29"/>
  <c r="S49" i="29"/>
  <c r="R49" i="29"/>
  <c r="Q49" i="29"/>
  <c r="P49" i="29"/>
  <c r="O49" i="29"/>
  <c r="N49" i="29"/>
  <c r="M49" i="29"/>
  <c r="L49" i="29"/>
  <c r="K49" i="29"/>
  <c r="T48" i="29"/>
  <c r="S48" i="29"/>
  <c r="R48" i="29"/>
  <c r="Q48" i="29"/>
  <c r="P48" i="29"/>
  <c r="O48" i="29"/>
  <c r="N48" i="29"/>
  <c r="M48" i="29"/>
  <c r="L48" i="29"/>
  <c r="K48" i="29"/>
  <c r="T47" i="29"/>
  <c r="S47" i="29"/>
  <c r="R47" i="29"/>
  <c r="Q47" i="29"/>
  <c r="P47" i="29"/>
  <c r="O47" i="29"/>
  <c r="N47" i="29"/>
  <c r="M47" i="29"/>
  <c r="L47" i="29"/>
  <c r="K47" i="29"/>
  <c r="T46" i="29"/>
  <c r="S46" i="29"/>
  <c r="R46" i="29"/>
  <c r="Q46" i="29"/>
  <c r="P46" i="29"/>
  <c r="O46" i="29"/>
  <c r="N46" i="29"/>
  <c r="M46" i="29"/>
  <c r="L46" i="29"/>
  <c r="K46" i="29"/>
  <c r="T45" i="29"/>
  <c r="S45" i="29"/>
  <c r="R45" i="29"/>
  <c r="Q45" i="29"/>
  <c r="P45" i="29"/>
  <c r="O45" i="29"/>
  <c r="N45" i="29"/>
  <c r="M45" i="29"/>
  <c r="L45" i="29"/>
  <c r="K45" i="29"/>
  <c r="T44" i="29"/>
  <c r="S44" i="29"/>
  <c r="R44" i="29"/>
  <c r="Q44" i="29"/>
  <c r="P44" i="29"/>
  <c r="O44" i="29"/>
  <c r="N44" i="29"/>
  <c r="M44" i="29"/>
  <c r="L44" i="29"/>
  <c r="K44" i="29"/>
  <c r="T43" i="29"/>
  <c r="S43" i="29"/>
  <c r="R43" i="29"/>
  <c r="Q43" i="29"/>
  <c r="P43" i="29"/>
  <c r="O43" i="29"/>
  <c r="N43" i="29"/>
  <c r="M43" i="29"/>
  <c r="L43" i="29"/>
  <c r="K43" i="29"/>
  <c r="T42" i="29"/>
  <c r="S42" i="29"/>
  <c r="R42" i="29"/>
  <c r="Q42" i="29"/>
  <c r="P42" i="29"/>
  <c r="O42" i="29"/>
  <c r="N42" i="29"/>
  <c r="M42" i="29"/>
  <c r="L42" i="29"/>
  <c r="K42" i="29"/>
  <c r="T41" i="29"/>
  <c r="S41" i="29"/>
  <c r="R41" i="29"/>
  <c r="Q41" i="29"/>
  <c r="P41" i="29"/>
  <c r="O41" i="29"/>
  <c r="N41" i="29"/>
  <c r="M41" i="29"/>
  <c r="L41" i="29"/>
  <c r="K41" i="29"/>
  <c r="T40" i="29"/>
  <c r="S40" i="29"/>
  <c r="R40" i="29"/>
  <c r="Q40" i="29"/>
  <c r="P40" i="29"/>
  <c r="O40" i="29"/>
  <c r="N40" i="29"/>
  <c r="M40" i="29"/>
  <c r="L40" i="29"/>
  <c r="K40" i="29"/>
  <c r="T39" i="29"/>
  <c r="S39" i="29"/>
  <c r="R39" i="29"/>
  <c r="Q39" i="29"/>
  <c r="P39" i="29"/>
  <c r="O39" i="29"/>
  <c r="N39" i="29"/>
  <c r="M39" i="29"/>
  <c r="L39" i="29"/>
  <c r="K39" i="29"/>
  <c r="T38" i="29"/>
  <c r="S38" i="29"/>
  <c r="R38" i="29"/>
  <c r="Q38" i="29"/>
  <c r="P38" i="29"/>
  <c r="O38" i="29"/>
  <c r="N38" i="29"/>
  <c r="M38" i="29"/>
  <c r="L38" i="29"/>
  <c r="K38" i="29"/>
  <c r="T37" i="29"/>
  <c r="S37" i="29"/>
  <c r="R37" i="29"/>
  <c r="Q37" i="29"/>
  <c r="P37" i="29"/>
  <c r="O37" i="29"/>
  <c r="N37" i="29"/>
  <c r="M37" i="29"/>
  <c r="L37" i="29"/>
  <c r="K37" i="29"/>
  <c r="T36" i="29"/>
  <c r="S36" i="29"/>
  <c r="R36" i="29"/>
  <c r="Q36" i="29"/>
  <c r="P36" i="29"/>
  <c r="O36" i="29"/>
  <c r="N36" i="29"/>
  <c r="M36" i="29"/>
  <c r="L36" i="29"/>
  <c r="K36" i="29"/>
  <c r="T35" i="29"/>
  <c r="S35" i="29"/>
  <c r="R35" i="29"/>
  <c r="Q35" i="29"/>
  <c r="P35" i="29"/>
  <c r="O35" i="29"/>
  <c r="N35" i="29"/>
  <c r="M35" i="29"/>
  <c r="L35" i="29"/>
  <c r="K35" i="29"/>
  <c r="CV34" i="29"/>
  <c r="CU34" i="29"/>
  <c r="CT34" i="29"/>
  <c r="CS34" i="29"/>
  <c r="CR34" i="29"/>
  <c r="CQ34" i="29"/>
  <c r="CP34" i="29"/>
  <c r="CO34" i="29"/>
  <c r="CN34" i="29"/>
  <c r="CM34" i="29"/>
  <c r="CV33" i="29"/>
  <c r="CU33" i="29"/>
  <c r="CT33" i="29"/>
  <c r="CS33" i="29"/>
  <c r="CR33" i="29"/>
  <c r="CQ33" i="29"/>
  <c r="CP33" i="29"/>
  <c r="CO33" i="29"/>
  <c r="CN33" i="29"/>
  <c r="CM33" i="29"/>
  <c r="CV32" i="29"/>
  <c r="CU32" i="29"/>
  <c r="CT32" i="29"/>
  <c r="CS32" i="29"/>
  <c r="CR32" i="29"/>
  <c r="CQ32" i="29"/>
  <c r="CP32" i="29"/>
  <c r="CO32" i="29"/>
  <c r="CN32" i="29"/>
  <c r="CM32" i="29"/>
  <c r="CV31" i="29"/>
  <c r="CU31" i="29"/>
  <c r="CT31" i="29"/>
  <c r="CS31" i="29"/>
  <c r="CR31" i="29"/>
  <c r="CQ31" i="29"/>
  <c r="CP31" i="29"/>
  <c r="CO31" i="29"/>
  <c r="CN31" i="29"/>
  <c r="CM31" i="29"/>
  <c r="CV30" i="29"/>
  <c r="CU30" i="29"/>
  <c r="CT30" i="29"/>
  <c r="CS30" i="29"/>
  <c r="CR30" i="29"/>
  <c r="CQ30" i="29"/>
  <c r="CP30" i="29"/>
  <c r="CO30" i="29"/>
  <c r="CN30" i="29"/>
  <c r="CM30" i="29"/>
  <c r="CV29" i="29"/>
  <c r="CU29" i="29"/>
  <c r="CT29" i="29"/>
  <c r="CS29" i="29"/>
  <c r="CR29" i="29"/>
  <c r="CQ29" i="29"/>
  <c r="CP29" i="29"/>
  <c r="CO29" i="29"/>
  <c r="CN29" i="29"/>
  <c r="CM29" i="29"/>
  <c r="CV28" i="29"/>
  <c r="CU28" i="29"/>
  <c r="CT28" i="29"/>
  <c r="CS28" i="29"/>
  <c r="CR28" i="29"/>
  <c r="CQ28" i="29"/>
  <c r="CP28" i="29"/>
  <c r="CO28" i="29"/>
  <c r="CN28" i="29"/>
  <c r="CM28" i="29"/>
  <c r="CV27" i="29"/>
  <c r="CU27" i="29"/>
  <c r="CT27" i="29"/>
  <c r="CS27" i="29"/>
  <c r="CR27" i="29"/>
  <c r="CQ27" i="29"/>
  <c r="CP27" i="29"/>
  <c r="CO27" i="29"/>
  <c r="CN27" i="29"/>
  <c r="CM27" i="29"/>
  <c r="CV26" i="29"/>
  <c r="CU26" i="29"/>
  <c r="CT26" i="29"/>
  <c r="CS26" i="29"/>
  <c r="CR26" i="29"/>
  <c r="CQ26" i="29"/>
  <c r="CP26" i="29"/>
  <c r="CO26" i="29"/>
  <c r="CN26" i="29"/>
  <c r="CM26" i="29"/>
  <c r="CV25" i="29"/>
  <c r="CU25" i="29"/>
  <c r="CT25" i="29"/>
  <c r="CS25" i="29"/>
  <c r="CR25" i="29"/>
  <c r="CQ25" i="29"/>
  <c r="CP25" i="29"/>
  <c r="CO25" i="29"/>
  <c r="CN25" i="29"/>
  <c r="CM25" i="29"/>
  <c r="CV24" i="29"/>
  <c r="CU24" i="29"/>
  <c r="CT24" i="29"/>
  <c r="CS24" i="29"/>
  <c r="CR24" i="29"/>
  <c r="CQ24" i="29"/>
  <c r="CP24" i="29"/>
  <c r="CO24" i="29"/>
  <c r="CN24" i="29"/>
  <c r="CM24" i="29"/>
  <c r="CV23" i="29"/>
  <c r="CU23" i="29"/>
  <c r="CT23" i="29"/>
  <c r="CS23" i="29"/>
  <c r="CR23" i="29"/>
  <c r="CQ23" i="29"/>
  <c r="CP23" i="29"/>
  <c r="CO23" i="29"/>
  <c r="CN23" i="29"/>
  <c r="CM23" i="29"/>
  <c r="CV22" i="29"/>
  <c r="CU22" i="29"/>
  <c r="CT22" i="29"/>
  <c r="CS22" i="29"/>
  <c r="CR22" i="29"/>
  <c r="CQ22" i="29"/>
  <c r="CP22" i="29"/>
  <c r="CO22" i="29"/>
  <c r="CN22" i="29"/>
  <c r="CM22" i="29"/>
  <c r="CV21" i="29"/>
  <c r="CU21" i="29"/>
  <c r="CT21" i="29"/>
  <c r="CS21" i="29"/>
  <c r="CR21" i="29"/>
  <c r="CQ21" i="29"/>
  <c r="CP21" i="29"/>
  <c r="CO21" i="29"/>
  <c r="CN21" i="29"/>
  <c r="CM21" i="29"/>
  <c r="CV20" i="29"/>
  <c r="CU20" i="29"/>
  <c r="CT20" i="29"/>
  <c r="CS20" i="29"/>
  <c r="CR20" i="29"/>
  <c r="CQ20" i="29"/>
  <c r="CP20" i="29"/>
  <c r="CO20" i="29"/>
  <c r="CN20" i="29"/>
  <c r="CM20" i="29"/>
  <c r="CV19" i="29"/>
  <c r="CU19" i="29"/>
  <c r="CT19" i="29"/>
  <c r="CS19" i="29"/>
  <c r="CR19" i="29"/>
  <c r="CQ19" i="29"/>
  <c r="CP19" i="29"/>
  <c r="CO19" i="29"/>
  <c r="CN19" i="29"/>
  <c r="CM19" i="29"/>
  <c r="CV18" i="29"/>
  <c r="CU18" i="29"/>
  <c r="CT18" i="29"/>
  <c r="CS18" i="29"/>
  <c r="CR18" i="29"/>
  <c r="CQ18" i="29"/>
  <c r="CP18" i="29"/>
  <c r="CO18" i="29"/>
  <c r="CN18" i="29"/>
  <c r="CM18" i="29"/>
  <c r="CV17" i="29"/>
  <c r="CU17" i="29"/>
  <c r="CT17" i="29"/>
  <c r="CS17" i="29"/>
  <c r="CR17" i="29"/>
  <c r="CQ17" i="29"/>
  <c r="CP17" i="29"/>
  <c r="CO17" i="29"/>
  <c r="CN17" i="29"/>
  <c r="CM17" i="29"/>
  <c r="CV16" i="29"/>
  <c r="CU16" i="29"/>
  <c r="CT16" i="29"/>
  <c r="CS16" i="29"/>
  <c r="CR16" i="29"/>
  <c r="CQ16" i="29"/>
  <c r="CP16" i="29"/>
  <c r="CO16" i="29"/>
  <c r="CN16" i="29"/>
  <c r="CM16" i="29"/>
  <c r="CV15" i="29"/>
  <c r="CU15" i="29"/>
  <c r="CT15" i="29"/>
  <c r="CS15" i="29"/>
  <c r="CR15" i="29"/>
  <c r="CQ15" i="29"/>
  <c r="CP15" i="29"/>
  <c r="CO15" i="29"/>
  <c r="CN15" i="29"/>
  <c r="CM15" i="29"/>
  <c r="CV14" i="29"/>
  <c r="CU14" i="29"/>
  <c r="CT14" i="29"/>
  <c r="CS14" i="29"/>
  <c r="CR14" i="29"/>
  <c r="CQ14" i="29"/>
  <c r="CP14" i="29"/>
  <c r="CO14" i="29"/>
  <c r="CN14" i="29"/>
  <c r="CM14" i="29"/>
  <c r="CV13" i="29"/>
  <c r="CU13" i="29"/>
  <c r="CT13" i="29"/>
  <c r="CS13" i="29"/>
  <c r="CR13" i="29"/>
  <c r="CQ13" i="29"/>
  <c r="CP13" i="29"/>
  <c r="CO13" i="29"/>
  <c r="CN13" i="29"/>
  <c r="CM13" i="29"/>
  <c r="CV12" i="29"/>
  <c r="CU12" i="29"/>
  <c r="CT12" i="29"/>
  <c r="CS12" i="29"/>
  <c r="CR12" i="29"/>
  <c r="CQ12" i="29"/>
  <c r="CP12" i="29"/>
  <c r="CO12" i="29"/>
  <c r="CN12" i="29"/>
  <c r="CM12" i="29"/>
  <c r="CV11" i="29"/>
  <c r="CU11" i="29"/>
  <c r="CT11" i="29"/>
  <c r="CS11" i="29"/>
  <c r="CR11" i="29"/>
  <c r="CQ11" i="29"/>
  <c r="CP11" i="29"/>
  <c r="CO11" i="29"/>
  <c r="CN11" i="29"/>
  <c r="CM11" i="29"/>
  <c r="CV10" i="29"/>
  <c r="CU10" i="29"/>
  <c r="CT10" i="29"/>
  <c r="CS10" i="29"/>
  <c r="CR10" i="29"/>
  <c r="CQ10" i="29"/>
  <c r="CP10" i="29"/>
  <c r="CO10" i="29"/>
  <c r="CN10" i="29"/>
  <c r="CM10" i="29"/>
  <c r="CV9" i="29"/>
  <c r="CU9" i="29"/>
  <c r="CT9" i="29"/>
  <c r="CS9" i="29"/>
  <c r="CR9" i="29"/>
  <c r="CQ9" i="29"/>
  <c r="CP9" i="29"/>
  <c r="CO9" i="29"/>
  <c r="CN9" i="29"/>
  <c r="CM9" i="29"/>
  <c r="CV8" i="29"/>
  <c r="CU8" i="29"/>
  <c r="CT8" i="29"/>
  <c r="CS8" i="29"/>
  <c r="CR8" i="29"/>
  <c r="CQ8" i="29"/>
  <c r="CP8" i="29"/>
  <c r="CO8" i="29"/>
  <c r="CN8" i="29"/>
  <c r="CM8" i="29"/>
  <c r="CV7" i="29"/>
  <c r="CU7" i="29"/>
  <c r="CT7" i="29"/>
  <c r="CS7" i="29"/>
  <c r="CR7" i="29"/>
  <c r="CQ7" i="29"/>
  <c r="CP7" i="29"/>
  <c r="CO7" i="29"/>
  <c r="CN7" i="29"/>
  <c r="CM7" i="29"/>
  <c r="CV6" i="29"/>
  <c r="CU6" i="29"/>
  <c r="CT6" i="29"/>
  <c r="CS6" i="29"/>
  <c r="CR6" i="29"/>
  <c r="CQ6" i="29"/>
  <c r="CP6" i="29"/>
  <c r="CO6" i="29"/>
  <c r="CN6" i="29"/>
  <c r="CM6" i="29"/>
  <c r="CV5" i="29"/>
  <c r="CU5" i="29"/>
  <c r="CT5" i="29"/>
  <c r="CS5" i="29"/>
  <c r="CR5" i="29"/>
  <c r="CQ5" i="29"/>
  <c r="CP5" i="29"/>
  <c r="CO5" i="29"/>
  <c r="CN5" i="29"/>
  <c r="CM5" i="29"/>
  <c r="CV4" i="29"/>
  <c r="DF4" i="29" s="1"/>
  <c r="CU4" i="29"/>
  <c r="DE4" i="29" s="1"/>
  <c r="CT4" i="29"/>
  <c r="DD4" i="29" s="1"/>
  <c r="CS4" i="29"/>
  <c r="DC4" i="29" s="1"/>
  <c r="CR4" i="29"/>
  <c r="DB4" i="29" s="1"/>
  <c r="CQ4" i="29"/>
  <c r="DA4" i="29" s="1"/>
  <c r="CP4" i="29"/>
  <c r="CZ4" i="29" s="1"/>
  <c r="CO4" i="29"/>
  <c r="CY4" i="29" s="1"/>
  <c r="CN4" i="29"/>
  <c r="CX4" i="29" s="1"/>
  <c r="CM4" i="29"/>
  <c r="CW4" i="29" s="1"/>
  <c r="BH34" i="29"/>
  <c r="BG34" i="29"/>
  <c r="BF34" i="29"/>
  <c r="BE34" i="29"/>
  <c r="BD34" i="29"/>
  <c r="BC34" i="29"/>
  <c r="BB34" i="29"/>
  <c r="BA34" i="29"/>
  <c r="AZ34" i="29"/>
  <c r="AY34" i="29"/>
  <c r="BH33" i="29"/>
  <c r="BG33" i="29"/>
  <c r="BF33" i="29"/>
  <c r="BE33" i="29"/>
  <c r="BD33" i="29"/>
  <c r="BC33" i="29"/>
  <c r="BB33" i="29"/>
  <c r="BA33" i="29"/>
  <c r="AZ33" i="29"/>
  <c r="AY33" i="29"/>
  <c r="BH32" i="29"/>
  <c r="BG32" i="29"/>
  <c r="BF32" i="29"/>
  <c r="BE32" i="29"/>
  <c r="BD32" i="29"/>
  <c r="BC32" i="29"/>
  <c r="BB32" i="29"/>
  <c r="BA32" i="29"/>
  <c r="AZ32" i="29"/>
  <c r="AY32" i="29"/>
  <c r="BH31" i="29"/>
  <c r="BG31" i="29"/>
  <c r="BF31" i="29"/>
  <c r="BE31" i="29"/>
  <c r="BD31" i="29"/>
  <c r="BC31" i="29"/>
  <c r="BB31" i="29"/>
  <c r="BA31" i="29"/>
  <c r="AZ31" i="29"/>
  <c r="AY31" i="29"/>
  <c r="BH30" i="29"/>
  <c r="BG30" i="29"/>
  <c r="BF30" i="29"/>
  <c r="BE30" i="29"/>
  <c r="BD30" i="29"/>
  <c r="BC30" i="29"/>
  <c r="BB30" i="29"/>
  <c r="BA30" i="29"/>
  <c r="AZ30" i="29"/>
  <c r="AY30" i="29"/>
  <c r="BH29" i="29"/>
  <c r="BG29" i="29"/>
  <c r="BF29" i="29"/>
  <c r="BE29" i="29"/>
  <c r="BD29" i="29"/>
  <c r="BC29" i="29"/>
  <c r="BB29" i="29"/>
  <c r="BA29" i="29"/>
  <c r="AZ29" i="29"/>
  <c r="AY29" i="29"/>
  <c r="BH28" i="29"/>
  <c r="BG28" i="29"/>
  <c r="BF28" i="29"/>
  <c r="BE28" i="29"/>
  <c r="BD28" i="29"/>
  <c r="BC28" i="29"/>
  <c r="BB28" i="29"/>
  <c r="BA28" i="29"/>
  <c r="AZ28" i="29"/>
  <c r="AY28" i="29"/>
  <c r="BH27" i="29"/>
  <c r="BG27" i="29"/>
  <c r="BF27" i="29"/>
  <c r="BE27" i="29"/>
  <c r="BD27" i="29"/>
  <c r="BC27" i="29"/>
  <c r="BB27" i="29"/>
  <c r="BA27" i="29"/>
  <c r="AZ27" i="29"/>
  <c r="AY27" i="29"/>
  <c r="BH26" i="29"/>
  <c r="BG26" i="29"/>
  <c r="BF26" i="29"/>
  <c r="BE26" i="29"/>
  <c r="BD26" i="29"/>
  <c r="BC26" i="29"/>
  <c r="BB26" i="29"/>
  <c r="BA26" i="29"/>
  <c r="AZ26" i="29"/>
  <c r="AY26" i="29"/>
  <c r="BH25" i="29"/>
  <c r="BG25" i="29"/>
  <c r="BF25" i="29"/>
  <c r="BE25" i="29"/>
  <c r="BD25" i="29"/>
  <c r="BC25" i="29"/>
  <c r="BB25" i="29"/>
  <c r="BA25" i="29"/>
  <c r="AZ25" i="29"/>
  <c r="AY25" i="29"/>
  <c r="BH24" i="29"/>
  <c r="BG24" i="29"/>
  <c r="BF24" i="29"/>
  <c r="BE24" i="29"/>
  <c r="BD24" i="29"/>
  <c r="BC24" i="29"/>
  <c r="BB24" i="29"/>
  <c r="BA24" i="29"/>
  <c r="AZ24" i="29"/>
  <c r="AY24" i="29"/>
  <c r="BH23" i="29"/>
  <c r="BG23" i="29"/>
  <c r="BF23" i="29"/>
  <c r="BE23" i="29"/>
  <c r="BD23" i="29"/>
  <c r="BC23" i="29"/>
  <c r="BB23" i="29"/>
  <c r="BA23" i="29"/>
  <c r="AZ23" i="29"/>
  <c r="AY23" i="29"/>
  <c r="BH22" i="29"/>
  <c r="BG22" i="29"/>
  <c r="BF22" i="29"/>
  <c r="BE22" i="29"/>
  <c r="BD22" i="29"/>
  <c r="BC22" i="29"/>
  <c r="BB22" i="29"/>
  <c r="BA22" i="29"/>
  <c r="AZ22" i="29"/>
  <c r="AY22" i="29"/>
  <c r="BH21" i="29"/>
  <c r="BG21" i="29"/>
  <c r="BF21" i="29"/>
  <c r="BE21" i="29"/>
  <c r="BD21" i="29"/>
  <c r="BC21" i="29"/>
  <c r="BB21" i="29"/>
  <c r="BA21" i="29"/>
  <c r="AZ21" i="29"/>
  <c r="AY21" i="29"/>
  <c r="BH20" i="29"/>
  <c r="BG20" i="29"/>
  <c r="BF20" i="29"/>
  <c r="BE20" i="29"/>
  <c r="BD20" i="29"/>
  <c r="BC20" i="29"/>
  <c r="BB20" i="29"/>
  <c r="BA20" i="29"/>
  <c r="AZ20" i="29"/>
  <c r="AY20" i="29"/>
  <c r="BH19" i="29"/>
  <c r="BG19" i="29"/>
  <c r="BF19" i="29"/>
  <c r="BE19" i="29"/>
  <c r="BD19" i="29"/>
  <c r="BC19" i="29"/>
  <c r="BB19" i="29"/>
  <c r="BA19" i="29"/>
  <c r="AZ19" i="29"/>
  <c r="AY19" i="29"/>
  <c r="BH18" i="29"/>
  <c r="BG18" i="29"/>
  <c r="BF18" i="29"/>
  <c r="BE18" i="29"/>
  <c r="BD18" i="29"/>
  <c r="BC18" i="29"/>
  <c r="BB18" i="29"/>
  <c r="BA18" i="29"/>
  <c r="AZ18" i="29"/>
  <c r="AY18" i="29"/>
  <c r="BH17" i="29"/>
  <c r="BG17" i="29"/>
  <c r="BF17" i="29"/>
  <c r="BE17" i="29"/>
  <c r="BD17" i="29"/>
  <c r="BC17" i="29"/>
  <c r="BB17" i="29"/>
  <c r="BA17" i="29"/>
  <c r="AZ17" i="29"/>
  <c r="AY17" i="29"/>
  <c r="BH16" i="29"/>
  <c r="BG16" i="29"/>
  <c r="BF16" i="29"/>
  <c r="BE16" i="29"/>
  <c r="BD16" i="29"/>
  <c r="BC16" i="29"/>
  <c r="BB16" i="29"/>
  <c r="BA16" i="29"/>
  <c r="AZ16" i="29"/>
  <c r="AY16" i="29"/>
  <c r="BH15" i="29"/>
  <c r="BG15" i="29"/>
  <c r="BF15" i="29"/>
  <c r="BE15" i="29"/>
  <c r="BD15" i="29"/>
  <c r="BC15" i="29"/>
  <c r="BB15" i="29"/>
  <c r="BA15" i="29"/>
  <c r="AZ15" i="29"/>
  <c r="AY15" i="29"/>
  <c r="BH14" i="29"/>
  <c r="BG14" i="29"/>
  <c r="BF14" i="29"/>
  <c r="BE14" i="29"/>
  <c r="BD14" i="29"/>
  <c r="BC14" i="29"/>
  <c r="BB14" i="29"/>
  <c r="BA14" i="29"/>
  <c r="AZ14" i="29"/>
  <c r="AY14" i="29"/>
  <c r="BH13" i="29"/>
  <c r="BG13" i="29"/>
  <c r="BF13" i="29"/>
  <c r="BE13" i="29"/>
  <c r="BD13" i="29"/>
  <c r="BC13" i="29"/>
  <c r="BB13" i="29"/>
  <c r="BA13" i="29"/>
  <c r="AZ13" i="29"/>
  <c r="AY13" i="29"/>
  <c r="BH12" i="29"/>
  <c r="BG12" i="29"/>
  <c r="BF12" i="29"/>
  <c r="BE12" i="29"/>
  <c r="BD12" i="29"/>
  <c r="BC12" i="29"/>
  <c r="BB12" i="29"/>
  <c r="BA12" i="29"/>
  <c r="AZ12" i="29"/>
  <c r="AY12" i="29"/>
  <c r="BH11" i="29"/>
  <c r="BG11" i="29"/>
  <c r="BF11" i="29"/>
  <c r="BE11" i="29"/>
  <c r="BD11" i="29"/>
  <c r="BC11" i="29"/>
  <c r="BB11" i="29"/>
  <c r="BA11" i="29"/>
  <c r="AZ11" i="29"/>
  <c r="AY11" i="29"/>
  <c r="BH10" i="29"/>
  <c r="BG10" i="29"/>
  <c r="BF10" i="29"/>
  <c r="BE10" i="29"/>
  <c r="BD10" i="29"/>
  <c r="BC10" i="29"/>
  <c r="BB10" i="29"/>
  <c r="BA10" i="29"/>
  <c r="AZ10" i="29"/>
  <c r="AY10" i="29"/>
  <c r="BH9" i="29"/>
  <c r="BG9" i="29"/>
  <c r="BF9" i="29"/>
  <c r="BE9" i="29"/>
  <c r="BD9" i="29"/>
  <c r="BC9" i="29"/>
  <c r="BB9" i="29"/>
  <c r="BA9" i="29"/>
  <c r="AZ9" i="29"/>
  <c r="AY9" i="29"/>
  <c r="BH8" i="29"/>
  <c r="BG8" i="29"/>
  <c r="BF8" i="29"/>
  <c r="BE8" i="29"/>
  <c r="BD8" i="29"/>
  <c r="BC8" i="29"/>
  <c r="BB8" i="29"/>
  <c r="BA8" i="29"/>
  <c r="AZ8" i="29"/>
  <c r="AY8" i="29"/>
  <c r="BH7" i="29"/>
  <c r="BG7" i="29"/>
  <c r="BF7" i="29"/>
  <c r="BE7" i="29"/>
  <c r="BD7" i="29"/>
  <c r="BC7" i="29"/>
  <c r="BB7" i="29"/>
  <c r="BA7" i="29"/>
  <c r="AZ7" i="29"/>
  <c r="AY7" i="29"/>
  <c r="BH6" i="29"/>
  <c r="BG6" i="29"/>
  <c r="BF6" i="29"/>
  <c r="BE6" i="29"/>
  <c r="BD6" i="29"/>
  <c r="BC6" i="29"/>
  <c r="BB6" i="29"/>
  <c r="BA6" i="29"/>
  <c r="AZ6" i="29"/>
  <c r="AY6" i="29"/>
  <c r="BH5" i="29"/>
  <c r="BG5" i="29"/>
  <c r="BF5" i="29"/>
  <c r="BE5" i="29"/>
  <c r="BD5" i="29"/>
  <c r="BC5" i="29"/>
  <c r="BB5" i="29"/>
  <c r="BA5" i="29"/>
  <c r="AZ5" i="29"/>
  <c r="AY5" i="29"/>
  <c r="BH4" i="29"/>
  <c r="BR4" i="29" s="1"/>
  <c r="BG4" i="29"/>
  <c r="BQ4" i="29" s="1"/>
  <c r="BF4" i="29"/>
  <c r="BP4" i="29" s="1"/>
  <c r="BE4" i="29"/>
  <c r="BO4" i="29" s="1"/>
  <c r="BD4" i="29"/>
  <c r="BN4" i="29" s="1"/>
  <c r="BC4" i="29"/>
  <c r="BM4" i="29" s="1"/>
  <c r="BB4" i="29"/>
  <c r="BL4" i="29" s="1"/>
  <c r="BA4" i="29"/>
  <c r="BK4" i="29" s="1"/>
  <c r="AZ4" i="29"/>
  <c r="BJ4" i="29" s="1"/>
  <c r="AY4" i="29"/>
  <c r="BI4" i="29" s="1"/>
  <c r="T34" i="29"/>
  <c r="S34" i="29"/>
  <c r="R34" i="29"/>
  <c r="Q34" i="29"/>
  <c r="P34" i="29"/>
  <c r="O34" i="29"/>
  <c r="N34" i="29"/>
  <c r="M34" i="29"/>
  <c r="L34" i="29"/>
  <c r="K34" i="29"/>
  <c r="T33" i="29"/>
  <c r="S33" i="29"/>
  <c r="R33" i="29"/>
  <c r="Q33" i="29"/>
  <c r="P33" i="29"/>
  <c r="O33" i="29"/>
  <c r="N33" i="29"/>
  <c r="M33" i="29"/>
  <c r="L33" i="29"/>
  <c r="K33" i="29"/>
  <c r="T32" i="29"/>
  <c r="S32" i="29"/>
  <c r="R32" i="29"/>
  <c r="Q32" i="29"/>
  <c r="P32" i="29"/>
  <c r="O32" i="29"/>
  <c r="N32" i="29"/>
  <c r="M32" i="29"/>
  <c r="L32" i="29"/>
  <c r="K32" i="29"/>
  <c r="T31" i="29"/>
  <c r="S31" i="29"/>
  <c r="R31" i="29"/>
  <c r="Q31" i="29"/>
  <c r="P31" i="29"/>
  <c r="O31" i="29"/>
  <c r="N31" i="29"/>
  <c r="M31" i="29"/>
  <c r="L31" i="29"/>
  <c r="K31" i="29"/>
  <c r="T30" i="29"/>
  <c r="S30" i="29"/>
  <c r="R30" i="29"/>
  <c r="Q30" i="29"/>
  <c r="P30" i="29"/>
  <c r="O30" i="29"/>
  <c r="N30" i="29"/>
  <c r="M30" i="29"/>
  <c r="L30" i="29"/>
  <c r="K30" i="29"/>
  <c r="T29" i="29"/>
  <c r="S29" i="29"/>
  <c r="R29" i="29"/>
  <c r="Q29" i="29"/>
  <c r="P29" i="29"/>
  <c r="O29" i="29"/>
  <c r="N29" i="29"/>
  <c r="M29" i="29"/>
  <c r="L29" i="29"/>
  <c r="K29" i="29"/>
  <c r="T28" i="29"/>
  <c r="S28" i="29"/>
  <c r="R28" i="29"/>
  <c r="Q28" i="29"/>
  <c r="P28" i="29"/>
  <c r="O28" i="29"/>
  <c r="N28" i="29"/>
  <c r="M28" i="29"/>
  <c r="L28" i="29"/>
  <c r="K28" i="29"/>
  <c r="T27" i="29"/>
  <c r="S27" i="29"/>
  <c r="R27" i="29"/>
  <c r="Q27" i="29"/>
  <c r="P27" i="29"/>
  <c r="O27" i="29"/>
  <c r="N27" i="29"/>
  <c r="M27" i="29"/>
  <c r="L27" i="29"/>
  <c r="K27" i="29"/>
  <c r="T26" i="29"/>
  <c r="S26" i="29"/>
  <c r="R26" i="29"/>
  <c r="Q26" i="29"/>
  <c r="P26" i="29"/>
  <c r="O26" i="29"/>
  <c r="N26" i="29"/>
  <c r="M26" i="29"/>
  <c r="L26" i="29"/>
  <c r="K26" i="29"/>
  <c r="T25" i="29"/>
  <c r="S25" i="29"/>
  <c r="R25" i="29"/>
  <c r="Q25" i="29"/>
  <c r="P25" i="29"/>
  <c r="O25" i="29"/>
  <c r="N25" i="29"/>
  <c r="M25" i="29"/>
  <c r="L25" i="29"/>
  <c r="K25" i="29"/>
  <c r="T24" i="29"/>
  <c r="S24" i="29"/>
  <c r="R24" i="29"/>
  <c r="Q24" i="29"/>
  <c r="P24" i="29"/>
  <c r="O24" i="29"/>
  <c r="N24" i="29"/>
  <c r="M24" i="29"/>
  <c r="L24" i="29"/>
  <c r="K24" i="29"/>
  <c r="T23" i="29"/>
  <c r="S23" i="29"/>
  <c r="R23" i="29"/>
  <c r="Q23" i="29"/>
  <c r="P23" i="29"/>
  <c r="O23" i="29"/>
  <c r="N23" i="29"/>
  <c r="M23" i="29"/>
  <c r="L23" i="29"/>
  <c r="K23" i="29"/>
  <c r="T22" i="29"/>
  <c r="S22" i="29"/>
  <c r="R22" i="29"/>
  <c r="Q22" i="29"/>
  <c r="P22" i="29"/>
  <c r="O22" i="29"/>
  <c r="N22" i="29"/>
  <c r="M22" i="29"/>
  <c r="L22" i="29"/>
  <c r="K22" i="29"/>
  <c r="T21" i="29"/>
  <c r="S21" i="29"/>
  <c r="R21" i="29"/>
  <c r="Q21" i="29"/>
  <c r="P21" i="29"/>
  <c r="O21" i="29"/>
  <c r="N21" i="29"/>
  <c r="M21" i="29"/>
  <c r="L21" i="29"/>
  <c r="K21" i="29"/>
  <c r="T20" i="29"/>
  <c r="S20" i="29"/>
  <c r="R20" i="29"/>
  <c r="Q20" i="29"/>
  <c r="P20" i="29"/>
  <c r="O20" i="29"/>
  <c r="N20" i="29"/>
  <c r="M20" i="29"/>
  <c r="L20" i="29"/>
  <c r="K20" i="29"/>
  <c r="T19" i="29"/>
  <c r="S19" i="29"/>
  <c r="R19" i="29"/>
  <c r="Q19" i="29"/>
  <c r="P19" i="29"/>
  <c r="O19" i="29"/>
  <c r="N19" i="29"/>
  <c r="M19" i="29"/>
  <c r="L19" i="29"/>
  <c r="K19" i="29"/>
  <c r="T18" i="29"/>
  <c r="S18" i="29"/>
  <c r="R18" i="29"/>
  <c r="Q18" i="29"/>
  <c r="P18" i="29"/>
  <c r="O18" i="29"/>
  <c r="N18" i="29"/>
  <c r="M18" i="29"/>
  <c r="L18" i="29"/>
  <c r="K18" i="29"/>
  <c r="T17" i="29"/>
  <c r="S17" i="29"/>
  <c r="R17" i="29"/>
  <c r="Q17" i="29"/>
  <c r="P17" i="29"/>
  <c r="O17" i="29"/>
  <c r="N17" i="29"/>
  <c r="M17" i="29"/>
  <c r="L17" i="29"/>
  <c r="K17" i="29"/>
  <c r="T16" i="29"/>
  <c r="S16" i="29"/>
  <c r="R16" i="29"/>
  <c r="Q16" i="29"/>
  <c r="P16" i="29"/>
  <c r="O16" i="29"/>
  <c r="N16" i="29"/>
  <c r="M16" i="29"/>
  <c r="L16" i="29"/>
  <c r="K16" i="29"/>
  <c r="T15" i="29"/>
  <c r="S15" i="29"/>
  <c r="R15" i="29"/>
  <c r="Q15" i="29"/>
  <c r="P15" i="29"/>
  <c r="O15" i="29"/>
  <c r="N15" i="29"/>
  <c r="M15" i="29"/>
  <c r="L15" i="29"/>
  <c r="K15" i="29"/>
  <c r="T14" i="29"/>
  <c r="S14" i="29"/>
  <c r="R14" i="29"/>
  <c r="Q14" i="29"/>
  <c r="P14" i="29"/>
  <c r="O14" i="29"/>
  <c r="N14" i="29"/>
  <c r="M14" i="29"/>
  <c r="L14" i="29"/>
  <c r="K14" i="29"/>
  <c r="T13" i="29"/>
  <c r="S13" i="29"/>
  <c r="R13" i="29"/>
  <c r="Q13" i="29"/>
  <c r="P13" i="29"/>
  <c r="O13" i="29"/>
  <c r="N13" i="29"/>
  <c r="M13" i="29"/>
  <c r="L13" i="29"/>
  <c r="K13" i="29"/>
  <c r="T12" i="29"/>
  <c r="S12" i="29"/>
  <c r="R12" i="29"/>
  <c r="Q12" i="29"/>
  <c r="P12" i="29"/>
  <c r="O12" i="29"/>
  <c r="N12" i="29"/>
  <c r="M12" i="29"/>
  <c r="L12" i="29"/>
  <c r="K12" i="29"/>
  <c r="T11" i="29"/>
  <c r="S11" i="29"/>
  <c r="R11" i="29"/>
  <c r="Q11" i="29"/>
  <c r="P11" i="29"/>
  <c r="O11" i="29"/>
  <c r="N11" i="29"/>
  <c r="M11" i="29"/>
  <c r="L11" i="29"/>
  <c r="K11" i="29"/>
  <c r="T10" i="29"/>
  <c r="S10" i="29"/>
  <c r="R10" i="29"/>
  <c r="Q10" i="29"/>
  <c r="P10" i="29"/>
  <c r="O10" i="29"/>
  <c r="N10" i="29"/>
  <c r="M10" i="29"/>
  <c r="L10" i="29"/>
  <c r="K10" i="29"/>
  <c r="T9" i="29"/>
  <c r="S9" i="29"/>
  <c r="R9" i="29"/>
  <c r="Q9" i="29"/>
  <c r="P9" i="29"/>
  <c r="O9" i="29"/>
  <c r="N9" i="29"/>
  <c r="M9" i="29"/>
  <c r="L9" i="29"/>
  <c r="K9" i="29"/>
  <c r="T8" i="29"/>
  <c r="S8" i="29"/>
  <c r="R8" i="29"/>
  <c r="Q8" i="29"/>
  <c r="P8" i="29"/>
  <c r="O8" i="29"/>
  <c r="N8" i="29"/>
  <c r="M8" i="29"/>
  <c r="L8" i="29"/>
  <c r="K8" i="29"/>
  <c r="T7" i="29"/>
  <c r="S7" i="29"/>
  <c r="R7" i="29"/>
  <c r="Q7" i="29"/>
  <c r="P7" i="29"/>
  <c r="O7" i="29"/>
  <c r="N7" i="29"/>
  <c r="M7" i="29"/>
  <c r="L7" i="29"/>
  <c r="K7" i="29"/>
  <c r="T6" i="29"/>
  <c r="S6" i="29"/>
  <c r="R6" i="29"/>
  <c r="Q6" i="29"/>
  <c r="P6" i="29"/>
  <c r="O6" i="29"/>
  <c r="N6" i="29"/>
  <c r="M6" i="29"/>
  <c r="L6" i="29"/>
  <c r="K6" i="29"/>
  <c r="T5" i="29"/>
  <c r="S5" i="29"/>
  <c r="R5" i="29"/>
  <c r="Q5" i="29"/>
  <c r="P5" i="29"/>
  <c r="O5" i="29"/>
  <c r="N5" i="29"/>
  <c r="M5" i="29"/>
  <c r="L5" i="29"/>
  <c r="K5" i="29"/>
  <c r="T4" i="29"/>
  <c r="AD4" i="29" s="1"/>
  <c r="S4" i="29"/>
  <c r="AC4" i="29" s="1"/>
  <c r="R4" i="29"/>
  <c r="AB4" i="29" s="1"/>
  <c r="Q4" i="29"/>
  <c r="AA4" i="29" s="1"/>
  <c r="P4" i="29"/>
  <c r="Z4" i="29" s="1"/>
  <c r="O4" i="29"/>
  <c r="Y4" i="29" s="1"/>
  <c r="N4" i="29"/>
  <c r="X4" i="29" s="1"/>
  <c r="M4" i="29"/>
  <c r="W4" i="29" s="1"/>
  <c r="L4" i="29"/>
  <c r="V4" i="29" s="1"/>
  <c r="K4" i="29"/>
  <c r="U4" i="29" s="1"/>
  <c r="CY5" i="29" l="1"/>
  <c r="DC5" i="29"/>
  <c r="CZ5" i="29"/>
  <c r="DD5" i="29"/>
  <c r="CW5" i="29"/>
  <c r="DA5" i="29"/>
  <c r="DE5" i="29"/>
  <c r="CX5" i="29"/>
  <c r="DB5" i="29"/>
  <c r="DF5" i="29"/>
  <c r="AC5" i="29"/>
  <c r="BK5" i="29"/>
  <c r="BO5" i="29"/>
  <c r="V5" i="29"/>
  <c r="Z5" i="29"/>
  <c r="AD5" i="29"/>
  <c r="BP5" i="29"/>
  <c r="U5" i="29"/>
  <c r="W5" i="29"/>
  <c r="AA5" i="29"/>
  <c r="BI5" i="29"/>
  <c r="BM5" i="29"/>
  <c r="BQ5" i="29"/>
  <c r="X5" i="29"/>
  <c r="AB5" i="29"/>
  <c r="BJ5" i="29"/>
  <c r="BN5" i="29"/>
  <c r="BR5" i="29"/>
  <c r="BL5" i="29"/>
  <c r="Y5" i="29"/>
  <c r="DB6" i="29" l="1"/>
  <c r="DD6" i="29"/>
  <c r="CY6" i="29"/>
  <c r="CX6" i="29"/>
  <c r="CW6" i="29"/>
  <c r="BK6" i="29"/>
  <c r="DF6" i="29"/>
  <c r="DA6" i="29"/>
  <c r="DC6" i="29"/>
  <c r="Z6" i="29"/>
  <c r="CZ6" i="29"/>
  <c r="DE6" i="29"/>
  <c r="X6" i="29"/>
  <c r="AD6" i="29"/>
  <c r="AA6" i="29"/>
  <c r="AC6" i="29"/>
  <c r="W6" i="29"/>
  <c r="AB6" i="29"/>
  <c r="V6" i="29"/>
  <c r="U6" i="29"/>
  <c r="BO6" i="29"/>
  <c r="BR6" i="29"/>
  <c r="BN6" i="29"/>
  <c r="BI6" i="29"/>
  <c r="Y6" i="29"/>
  <c r="BM6" i="29"/>
  <c r="BQ6" i="29"/>
  <c r="BJ6" i="29"/>
  <c r="BP6" i="29"/>
  <c r="BL6" i="29"/>
  <c r="DB7" i="29" l="1"/>
  <c r="CY7" i="29"/>
  <c r="DD7" i="29"/>
  <c r="DF7" i="29"/>
  <c r="DC7" i="29"/>
  <c r="CW7" i="29"/>
  <c r="Z7" i="29"/>
  <c r="DE7" i="29"/>
  <c r="DA7" i="29"/>
  <c r="AD7" i="29"/>
  <c r="BK7" i="29"/>
  <c r="CX7" i="29"/>
  <c r="V7" i="29"/>
  <c r="CZ7" i="29"/>
  <c r="X7" i="29"/>
  <c r="AB7" i="29"/>
  <c r="U7" i="29"/>
  <c r="AA7" i="29"/>
  <c r="BI7" i="29"/>
  <c r="AC7" i="29"/>
  <c r="W7" i="29"/>
  <c r="Y7" i="29"/>
  <c r="BL7" i="29"/>
  <c r="BO7" i="29"/>
  <c r="BR7" i="29"/>
  <c r="BP7" i="29"/>
  <c r="BN7" i="29"/>
  <c r="BM7" i="29"/>
  <c r="BJ7" i="29"/>
  <c r="BQ7" i="29"/>
  <c r="DD8" i="29"/>
  <c r="DB8" i="29" l="1"/>
  <c r="AD8" i="29"/>
  <c r="CY8" i="29"/>
  <c r="DF8" i="29"/>
  <c r="DC8" i="29"/>
  <c r="CW8" i="29"/>
  <c r="DE8" i="29"/>
  <c r="CX8" i="29"/>
  <c r="Z8" i="29"/>
  <c r="V8" i="29"/>
  <c r="BL8" i="29"/>
  <c r="BK8" i="29"/>
  <c r="X8" i="29"/>
  <c r="DA8" i="29"/>
  <c r="CZ8" i="29"/>
  <c r="W8" i="29"/>
  <c r="AB8" i="29"/>
  <c r="U8" i="29"/>
  <c r="Y8" i="29"/>
  <c r="AA8" i="29"/>
  <c r="BN8" i="29"/>
  <c r="BI8" i="29"/>
  <c r="AC8" i="29"/>
  <c r="BQ8" i="29"/>
  <c r="BP8" i="29"/>
  <c r="BJ8" i="29"/>
  <c r="BO8" i="29"/>
  <c r="BR8" i="29"/>
  <c r="BM8" i="29"/>
  <c r="DD9" i="29"/>
  <c r="DB9" i="29" l="1"/>
  <c r="AD9" i="29"/>
  <c r="CY9" i="29"/>
  <c r="DC9" i="29"/>
  <c r="CW9" i="29"/>
  <c r="DF9" i="29"/>
  <c r="Z9" i="29"/>
  <c r="CZ9" i="29"/>
  <c r="BL9" i="29"/>
  <c r="DE9" i="29"/>
  <c r="CX9" i="29"/>
  <c r="V9" i="29"/>
  <c r="DA9" i="29"/>
  <c r="BK9" i="29"/>
  <c r="X9" i="29"/>
  <c r="AB9" i="29"/>
  <c r="W9" i="29"/>
  <c r="BJ9" i="29"/>
  <c r="AA9" i="29"/>
  <c r="Y9" i="29"/>
  <c r="BN9" i="29"/>
  <c r="AC9" i="29"/>
  <c r="U9" i="29"/>
  <c r="BI9" i="29"/>
  <c r="BM9" i="29"/>
  <c r="BO9" i="29"/>
  <c r="BR9" i="29"/>
  <c r="BP9" i="29"/>
  <c r="BQ9" i="29"/>
  <c r="DD10" i="29"/>
  <c r="DB10" i="29" l="1"/>
  <c r="CW10" i="29"/>
  <c r="AD10" i="29"/>
  <c r="DF10" i="29"/>
  <c r="Z10" i="29"/>
  <c r="DC10" i="29"/>
  <c r="CY10" i="29"/>
  <c r="BJ10" i="29"/>
  <c r="BL10" i="29"/>
  <c r="CZ10" i="29"/>
  <c r="Y10" i="29"/>
  <c r="DE10" i="29"/>
  <c r="AB10" i="29"/>
  <c r="DA10" i="29"/>
  <c r="CX10" i="29"/>
  <c r="W10" i="29"/>
  <c r="X10" i="29"/>
  <c r="V10" i="29"/>
  <c r="BK10" i="29"/>
  <c r="U10" i="29"/>
  <c r="AA10" i="29"/>
  <c r="BN10" i="29"/>
  <c r="BI10" i="29"/>
  <c r="AC10" i="29"/>
  <c r="BO10" i="29"/>
  <c r="BM10" i="29"/>
  <c r="BR10" i="29"/>
  <c r="BQ10" i="29"/>
  <c r="BP10" i="29"/>
  <c r="CZ11" i="29"/>
  <c r="CY11" i="29"/>
  <c r="DD11" i="29"/>
  <c r="DB11" i="29" l="1"/>
  <c r="AD11" i="29"/>
  <c r="DF11" i="29"/>
  <c r="Z11" i="29"/>
  <c r="CW11" i="29"/>
  <c r="DC11" i="29"/>
  <c r="BJ11" i="29"/>
  <c r="Y11" i="29"/>
  <c r="V11" i="29"/>
  <c r="W11" i="29"/>
  <c r="DE11" i="29"/>
  <c r="BL11" i="29"/>
  <c r="DA11" i="29"/>
  <c r="X11" i="29"/>
  <c r="AB11" i="29"/>
  <c r="BK11" i="29"/>
  <c r="CX11" i="29"/>
  <c r="U11" i="29"/>
  <c r="BI11" i="29"/>
  <c r="BQ11" i="29"/>
  <c r="BR11" i="29"/>
  <c r="BN11" i="29"/>
  <c r="AA11" i="29"/>
  <c r="BO11" i="29"/>
  <c r="AC11" i="29"/>
  <c r="BM11" i="29"/>
  <c r="BP11" i="29"/>
  <c r="DD12" i="29"/>
  <c r="CZ12" i="29"/>
  <c r="CY12" i="29"/>
  <c r="Z12" i="29" l="1"/>
  <c r="DB12" i="29"/>
  <c r="AD12" i="29"/>
  <c r="DF12" i="29"/>
  <c r="CW12" i="29"/>
  <c r="DC12" i="29"/>
  <c r="Y12" i="29"/>
  <c r="BJ12" i="29"/>
  <c r="V12" i="29"/>
  <c r="W12" i="29"/>
  <c r="DE12" i="29"/>
  <c r="X12" i="29"/>
  <c r="CX12" i="29"/>
  <c r="DA12" i="29"/>
  <c r="AB12" i="29"/>
  <c r="BL12" i="29"/>
  <c r="BP12" i="29"/>
  <c r="BK12" i="29"/>
  <c r="U12" i="29"/>
  <c r="BI12" i="29"/>
  <c r="BQ12" i="29"/>
  <c r="BR12" i="29"/>
  <c r="AA12" i="29"/>
  <c r="BN12" i="29"/>
  <c r="BO12" i="29"/>
  <c r="AC12" i="29"/>
  <c r="BM12" i="29"/>
  <c r="CZ13" i="29"/>
  <c r="CX13" i="29"/>
  <c r="DD13" i="29"/>
  <c r="CY13" i="29"/>
  <c r="Z13" i="29" l="1"/>
  <c r="DF13" i="29"/>
  <c r="DB13" i="29"/>
  <c r="AD13" i="29"/>
  <c r="DE13" i="29"/>
  <c r="CW13" i="29"/>
  <c r="DC13" i="29"/>
  <c r="V13" i="29"/>
  <c r="Y13" i="29"/>
  <c r="BJ13" i="29"/>
  <c r="W13" i="29"/>
  <c r="DA13" i="29"/>
  <c r="BQ13" i="29"/>
  <c r="X13" i="29"/>
  <c r="BL13" i="29"/>
  <c r="AB13" i="29"/>
  <c r="BP13" i="29"/>
  <c r="BK13" i="29"/>
  <c r="BR13" i="29"/>
  <c r="U13" i="29"/>
  <c r="BI13" i="29"/>
  <c r="AA13" i="29"/>
  <c r="BN13" i="29"/>
  <c r="BM13" i="29"/>
  <c r="BO13" i="29"/>
  <c r="AC13" i="29"/>
  <c r="DD14" i="29"/>
  <c r="CX14" i="29"/>
  <c r="CZ14" i="29"/>
  <c r="CY14" i="29"/>
  <c r="Z14" i="29" l="1"/>
  <c r="DB14" i="29"/>
  <c r="DF14" i="29"/>
  <c r="BR14" i="29"/>
  <c r="AD14" i="29"/>
  <c r="DE14" i="29"/>
  <c r="V14" i="29"/>
  <c r="CW14" i="29"/>
  <c r="Y14" i="29"/>
  <c r="BJ14" i="29"/>
  <c r="DC14" i="29"/>
  <c r="W14" i="29"/>
  <c r="BQ14" i="29"/>
  <c r="X14" i="29"/>
  <c r="DA14" i="29"/>
  <c r="BL14" i="29"/>
  <c r="AB14" i="29"/>
  <c r="BP14" i="29"/>
  <c r="U14" i="29"/>
  <c r="BK14" i="29"/>
  <c r="BI14" i="29"/>
  <c r="AA14" i="29"/>
  <c r="BN14" i="29"/>
  <c r="BO14" i="29"/>
  <c r="BM14" i="29"/>
  <c r="AC14" i="29"/>
  <c r="CZ15" i="29"/>
  <c r="DD15" i="29"/>
  <c r="CX15" i="29"/>
  <c r="CY15" i="29"/>
  <c r="DF15" i="29" l="1"/>
  <c r="Z15" i="29"/>
  <c r="DB15" i="29"/>
  <c r="AD15" i="29"/>
  <c r="BR15" i="29"/>
  <c r="V15" i="29"/>
  <c r="DE15" i="29"/>
  <c r="BJ15" i="29"/>
  <c r="CW15" i="29"/>
  <c r="DA15" i="29"/>
  <c r="Y15" i="29"/>
  <c r="DC15" i="29"/>
  <c r="AA15" i="29"/>
  <c r="W15" i="29"/>
  <c r="BQ15" i="29"/>
  <c r="X15" i="29"/>
  <c r="BL15" i="29"/>
  <c r="BP15" i="29"/>
  <c r="U15" i="29"/>
  <c r="AB15" i="29"/>
  <c r="BI15" i="29"/>
  <c r="BN15" i="29"/>
  <c r="BK15" i="29"/>
  <c r="BO15" i="29"/>
  <c r="BM15" i="29"/>
  <c r="AC15" i="29"/>
  <c r="CX16" i="29"/>
  <c r="DD16" i="29"/>
  <c r="CY16" i="29"/>
  <c r="CZ16" i="29"/>
  <c r="Z16" i="29" l="1"/>
  <c r="DF16" i="29"/>
  <c r="DB16" i="29"/>
  <c r="AD16" i="29"/>
  <c r="V16" i="29"/>
  <c r="BR16" i="29"/>
  <c r="BJ16" i="29"/>
  <c r="DE16" i="29"/>
  <c r="Y16" i="29"/>
  <c r="BQ16" i="29"/>
  <c r="DA16" i="29"/>
  <c r="CW16" i="29"/>
  <c r="AA16" i="29"/>
  <c r="DC16" i="29"/>
  <c r="W16" i="29"/>
  <c r="X16" i="29"/>
  <c r="BI16" i="29"/>
  <c r="BP16" i="29"/>
  <c r="BL16" i="29"/>
  <c r="U16" i="29"/>
  <c r="AB16" i="29"/>
  <c r="BK16" i="29"/>
  <c r="BN16" i="29"/>
  <c r="BO16" i="29"/>
  <c r="AC16" i="29"/>
  <c r="BM16" i="29"/>
  <c r="DB17" i="29"/>
  <c r="DD17" i="29"/>
  <c r="CX17" i="29"/>
  <c r="CZ17" i="29"/>
  <c r="CY17" i="29"/>
  <c r="Z17" i="29" l="1"/>
  <c r="DF17" i="29"/>
  <c r="V17" i="29"/>
  <c r="AD17" i="29"/>
  <c r="DE17" i="29"/>
  <c r="BR17" i="29"/>
  <c r="Y17" i="29"/>
  <c r="AB17" i="29"/>
  <c r="BJ17" i="29"/>
  <c r="AA17" i="29"/>
  <c r="BL17" i="29"/>
  <c r="BP17" i="29"/>
  <c r="BQ17" i="29"/>
  <c r="DA17" i="29"/>
  <c r="CW17" i="29"/>
  <c r="DC17" i="29"/>
  <c r="X17" i="29"/>
  <c r="W17" i="29"/>
  <c r="BI17" i="29"/>
  <c r="U17" i="29"/>
  <c r="BM17" i="29"/>
  <c r="BK17" i="29"/>
  <c r="BO17" i="29"/>
  <c r="BN17" i="29"/>
  <c r="AC17" i="29"/>
  <c r="CZ18" i="29"/>
  <c r="DD18" i="29"/>
  <c r="CY18" i="29"/>
  <c r="CX18" i="29"/>
  <c r="BR18" i="29"/>
  <c r="DB18" i="29"/>
  <c r="Z18" i="29" l="1"/>
  <c r="DF18" i="29"/>
  <c r="DE18" i="29"/>
  <c r="V18" i="29"/>
  <c r="AD18" i="29"/>
  <c r="BM18" i="29"/>
  <c r="AB18" i="29"/>
  <c r="BJ18" i="29"/>
  <c r="Y18" i="29"/>
  <c r="AA18" i="29"/>
  <c r="BP18" i="29"/>
  <c r="BL18" i="29"/>
  <c r="CW18" i="29"/>
  <c r="W18" i="29"/>
  <c r="BQ18" i="29"/>
  <c r="X18" i="29"/>
  <c r="DC18" i="29"/>
  <c r="DA18" i="29"/>
  <c r="BI18" i="29"/>
  <c r="U18" i="29"/>
  <c r="BK18" i="29"/>
  <c r="BO18" i="29"/>
  <c r="BN18" i="29"/>
  <c r="AC18" i="29"/>
  <c r="BR19" i="29"/>
  <c r="CX19" i="29"/>
  <c r="CZ19" i="29"/>
  <c r="DB19" i="29"/>
  <c r="DD19" i="29"/>
  <c r="CY19" i="29"/>
  <c r="Z19" i="29" l="1"/>
  <c r="DE19" i="29"/>
  <c r="DF19" i="29"/>
  <c r="V19" i="29"/>
  <c r="AD19" i="29"/>
  <c r="BM19" i="29"/>
  <c r="AB19" i="29"/>
  <c r="BJ19" i="29"/>
  <c r="BL19" i="29"/>
  <c r="AA19" i="29"/>
  <c r="BP19" i="29"/>
  <c r="Y19" i="29"/>
  <c r="X19" i="29"/>
  <c r="DA19" i="29"/>
  <c r="CW19" i="29"/>
  <c r="W19" i="29"/>
  <c r="BQ19" i="29"/>
  <c r="DC19" i="29"/>
  <c r="BK19" i="29"/>
  <c r="BN19" i="29"/>
  <c r="BI19" i="29"/>
  <c r="U19" i="29"/>
  <c r="BO19" i="29"/>
  <c r="AC19" i="29"/>
  <c r="CY20" i="29"/>
  <c r="BR20" i="29"/>
  <c r="DD20" i="29"/>
  <c r="CZ20" i="29"/>
  <c r="DB20" i="29"/>
  <c r="CX20" i="29"/>
  <c r="Z20" i="29" l="1"/>
  <c r="BM20" i="29"/>
  <c r="DE20" i="29"/>
  <c r="DF20" i="29"/>
  <c r="V20" i="29"/>
  <c r="AD20" i="29"/>
  <c r="AB20" i="29"/>
  <c r="BJ20" i="29"/>
  <c r="Y20" i="29"/>
  <c r="BP20" i="29"/>
  <c r="AA20" i="29"/>
  <c r="BL20" i="29"/>
  <c r="X20" i="29"/>
  <c r="DA20" i="29"/>
  <c r="W20" i="29"/>
  <c r="BQ20" i="29"/>
  <c r="CW20" i="29"/>
  <c r="DC20" i="29"/>
  <c r="BN20" i="29"/>
  <c r="BK20" i="29"/>
  <c r="U20" i="29"/>
  <c r="BI20" i="29"/>
  <c r="BO20" i="29"/>
  <c r="AC20" i="29"/>
  <c r="DB21" i="29"/>
  <c r="CZ21" i="29"/>
  <c r="BR21" i="29"/>
  <c r="CY21" i="29"/>
  <c r="CX21" i="29"/>
  <c r="DD21" i="29"/>
  <c r="Z21" i="29" l="1"/>
  <c r="BM21" i="29"/>
  <c r="DE21" i="29"/>
  <c r="DF21" i="29"/>
  <c r="V21" i="29"/>
  <c r="AD21" i="29"/>
  <c r="BL21" i="29"/>
  <c r="CW21" i="29"/>
  <c r="AB21" i="29"/>
  <c r="Y21" i="29"/>
  <c r="BJ21" i="29"/>
  <c r="BP21" i="29"/>
  <c r="X21" i="29"/>
  <c r="AA21" i="29"/>
  <c r="DA21" i="29"/>
  <c r="W21" i="29"/>
  <c r="BQ21" i="29"/>
  <c r="BN21" i="29"/>
  <c r="BI21" i="29"/>
  <c r="BK21" i="29"/>
  <c r="U21" i="29"/>
  <c r="BO21" i="29"/>
  <c r="DC21" i="29"/>
  <c r="AC21" i="29"/>
  <c r="CY22" i="29"/>
  <c r="DD22" i="29"/>
  <c r="BJ22" i="29"/>
  <c r="BR22" i="29"/>
  <c r="CZ22" i="29"/>
  <c r="DB22" i="29"/>
  <c r="DE22" i="29"/>
  <c r="CX22" i="29"/>
  <c r="Z22" i="29" l="1"/>
  <c r="BM22" i="29"/>
  <c r="DF22" i="29"/>
  <c r="V22" i="29"/>
  <c r="AD22" i="29"/>
  <c r="AB22" i="29"/>
  <c r="BL22" i="29"/>
  <c r="Y22" i="29"/>
  <c r="CW22" i="29"/>
  <c r="BP22" i="29"/>
  <c r="X22" i="29"/>
  <c r="AA22" i="29"/>
  <c r="DA22" i="29"/>
  <c r="BQ22" i="29"/>
  <c r="W22" i="29"/>
  <c r="BN22" i="29"/>
  <c r="BK22" i="29"/>
  <c r="BI22" i="29"/>
  <c r="BO22" i="29"/>
  <c r="U22" i="29"/>
  <c r="DC22" i="29"/>
  <c r="AC22" i="29"/>
  <c r="DB23" i="29"/>
  <c r="BR23" i="29"/>
  <c r="DD23" i="29"/>
  <c r="DE23" i="29"/>
  <c r="CY23" i="29"/>
  <c r="CX23" i="29"/>
  <c r="CZ23" i="29"/>
  <c r="BJ23" i="29"/>
  <c r="Z23" i="29" l="1"/>
  <c r="BM23" i="29"/>
  <c r="DF23" i="29"/>
  <c r="V23" i="29"/>
  <c r="AD23" i="29"/>
  <c r="AB23" i="29"/>
  <c r="BL23" i="29"/>
  <c r="Y23" i="29"/>
  <c r="CW23" i="29"/>
  <c r="BN23" i="29"/>
  <c r="BO23" i="29"/>
  <c r="BI23" i="29"/>
  <c r="BK23" i="29"/>
  <c r="BP23" i="29"/>
  <c r="X23" i="29"/>
  <c r="DA23" i="29"/>
  <c r="AA23" i="29"/>
  <c r="BQ23" i="29"/>
  <c r="W23" i="29"/>
  <c r="U23" i="29"/>
  <c r="DC23" i="29"/>
  <c r="AC23" i="29"/>
  <c r="CY24" i="29"/>
  <c r="CZ24" i="29"/>
  <c r="BJ24" i="29"/>
  <c r="CX24" i="29"/>
  <c r="DD24" i="29"/>
  <c r="DB24" i="29"/>
  <c r="DE24" i="29"/>
  <c r="BR24" i="29"/>
  <c r="V24" i="29" l="1"/>
  <c r="Z24" i="29"/>
  <c r="BN24" i="29"/>
  <c r="AD24" i="29"/>
  <c r="BM24" i="29"/>
  <c r="DF24" i="29"/>
  <c r="AB24" i="29"/>
  <c r="Y24" i="29"/>
  <c r="BL24" i="29"/>
  <c r="CW24" i="29"/>
  <c r="BO24" i="29"/>
  <c r="BP24" i="29"/>
  <c r="DA24" i="29"/>
  <c r="BK24" i="29"/>
  <c r="BI24" i="29"/>
  <c r="AC24" i="29"/>
  <c r="X24" i="29"/>
  <c r="BQ24" i="29"/>
  <c r="AA24" i="29"/>
  <c r="U24" i="29"/>
  <c r="W24" i="29"/>
  <c r="DC24" i="29"/>
  <c r="BJ25" i="29"/>
  <c r="BR25" i="29"/>
  <c r="DB25" i="29"/>
  <c r="CX25" i="29"/>
  <c r="CZ25" i="29"/>
  <c r="DE25" i="29"/>
  <c r="CY25" i="29"/>
  <c r="DD25" i="29"/>
  <c r="V25" i="29" l="1"/>
  <c r="Z25" i="29"/>
  <c r="AD25" i="29"/>
  <c r="BN25" i="29"/>
  <c r="BM25" i="29"/>
  <c r="Y25" i="29"/>
  <c r="DF25" i="29"/>
  <c r="AB25" i="29"/>
  <c r="BL25" i="29"/>
  <c r="CW25" i="29"/>
  <c r="BO25" i="29"/>
  <c r="AC25" i="29"/>
  <c r="BI25" i="29"/>
  <c r="DA25" i="29"/>
  <c r="BP25" i="29"/>
  <c r="BK25" i="29"/>
  <c r="X25" i="29"/>
  <c r="W25" i="29"/>
  <c r="BQ25" i="29"/>
  <c r="AA25" i="29"/>
  <c r="U25" i="29"/>
  <c r="DC25" i="29"/>
  <c r="DE26" i="29"/>
  <c r="CY26" i="29"/>
  <c r="CX26" i="29"/>
  <c r="BR26" i="29"/>
  <c r="BJ26" i="29"/>
  <c r="DD26" i="29"/>
  <c r="CZ26" i="29"/>
  <c r="DB26" i="29"/>
  <c r="V26" i="29" l="1"/>
  <c r="Z26" i="29"/>
  <c r="BN26" i="29"/>
  <c r="AD26" i="29"/>
  <c r="Y26" i="29"/>
  <c r="BM26" i="29"/>
  <c r="DF26" i="29"/>
  <c r="BL26" i="29"/>
  <c r="AB26" i="29"/>
  <c r="W26" i="29"/>
  <c r="DA26" i="29"/>
  <c r="CW26" i="29"/>
  <c r="BK26" i="29"/>
  <c r="AC26" i="29"/>
  <c r="BO26" i="29"/>
  <c r="X26" i="29"/>
  <c r="BI26" i="29"/>
  <c r="BP26" i="29"/>
  <c r="U26" i="29"/>
  <c r="BQ26" i="29"/>
  <c r="AA26" i="29"/>
  <c r="DC26" i="29"/>
  <c r="CZ27" i="29"/>
  <c r="DD27" i="29"/>
  <c r="BJ27" i="29"/>
  <c r="BR27" i="29"/>
  <c r="CY27" i="29"/>
  <c r="DB27" i="29"/>
  <c r="CX27" i="29"/>
  <c r="DE27" i="29"/>
  <c r="V27" i="29" l="1"/>
  <c r="Z27" i="29"/>
  <c r="BN27" i="29"/>
  <c r="Y27" i="29"/>
  <c r="AD27" i="29"/>
  <c r="BM27" i="29"/>
  <c r="DF27" i="29"/>
  <c r="BL27" i="29"/>
  <c r="AB27" i="29"/>
  <c r="DA27" i="29"/>
  <c r="CW27" i="29"/>
  <c r="BK27" i="29"/>
  <c r="BO27" i="29"/>
  <c r="W27" i="29"/>
  <c r="X27" i="29"/>
  <c r="AC27" i="29"/>
  <c r="BQ27" i="29"/>
  <c r="BI27" i="29"/>
  <c r="BP27" i="29"/>
  <c r="AA27" i="29"/>
  <c r="U27" i="29"/>
  <c r="DC27" i="29"/>
  <c r="CX28" i="29"/>
  <c r="CY28" i="29"/>
  <c r="BJ28" i="29"/>
  <c r="DE28" i="29"/>
  <c r="BN28" i="29"/>
  <c r="DB28" i="29"/>
  <c r="BR28" i="29"/>
  <c r="CZ28" i="29"/>
  <c r="DD28" i="29"/>
  <c r="V28" i="29" l="1"/>
  <c r="Z28" i="29"/>
  <c r="AD28" i="29"/>
  <c r="Y28" i="29"/>
  <c r="CW28" i="29"/>
  <c r="BM28" i="29"/>
  <c r="DA28" i="29"/>
  <c r="BO28" i="29"/>
  <c r="BK28" i="29"/>
  <c r="DF28" i="29"/>
  <c r="BQ28" i="29"/>
  <c r="BL28" i="29"/>
  <c r="AB28" i="29"/>
  <c r="W28" i="29"/>
  <c r="AC28" i="29"/>
  <c r="X28" i="29"/>
  <c r="BI28" i="29"/>
  <c r="BP28" i="29"/>
  <c r="AA28" i="29"/>
  <c r="U28" i="29"/>
  <c r="DC28" i="29"/>
  <c r="BJ29" i="29"/>
  <c r="CY29" i="29"/>
  <c r="DE29" i="29"/>
  <c r="BK29" i="29"/>
  <c r="CX29" i="29"/>
  <c r="DD29" i="29"/>
  <c r="CZ29" i="29"/>
  <c r="BR29" i="29"/>
  <c r="DB29" i="29"/>
  <c r="BN29" i="29"/>
  <c r="V29" i="29"/>
  <c r="Z29" i="29" l="1"/>
  <c r="AD29" i="29"/>
  <c r="Y29" i="29"/>
  <c r="CW29" i="29"/>
  <c r="DA29" i="29"/>
  <c r="BO29" i="29"/>
  <c r="BM29" i="29"/>
  <c r="AB29" i="29"/>
  <c r="DF29" i="29"/>
  <c r="BQ29" i="29"/>
  <c r="BP29" i="29"/>
  <c r="BL29" i="29"/>
  <c r="X29" i="29"/>
  <c r="W29" i="29"/>
  <c r="AC29" i="29"/>
  <c r="DC29" i="29"/>
  <c r="BI29" i="29"/>
  <c r="AA29" i="29"/>
  <c r="U29" i="29"/>
  <c r="BR30" i="29"/>
  <c r="BN30" i="29"/>
  <c r="DD30" i="29"/>
  <c r="DE30" i="29"/>
  <c r="BJ30" i="29"/>
  <c r="DB30" i="29"/>
  <c r="CZ30" i="29"/>
  <c r="CX30" i="29"/>
  <c r="BK30" i="29"/>
  <c r="CY30" i="29"/>
  <c r="V30" i="29"/>
  <c r="Z30" i="29"/>
  <c r="Y30" i="29" l="1"/>
  <c r="AD30" i="29"/>
  <c r="CW30" i="29"/>
  <c r="BM30" i="29"/>
  <c r="DA30" i="29"/>
  <c r="BO30" i="29"/>
  <c r="AB30" i="29"/>
  <c r="DF30" i="29"/>
  <c r="BQ30" i="29"/>
  <c r="X30" i="29"/>
  <c r="W30" i="29"/>
  <c r="BL30" i="29"/>
  <c r="BP30" i="29"/>
  <c r="AC30" i="29"/>
  <c r="BI30" i="29"/>
  <c r="AA30" i="29"/>
  <c r="DC30" i="29"/>
  <c r="U30" i="29"/>
  <c r="CY31" i="29"/>
  <c r="CZ31" i="29"/>
  <c r="DE31" i="29"/>
  <c r="BO31" i="29"/>
  <c r="BK31" i="29"/>
  <c r="BN31" i="29"/>
  <c r="CX31" i="29"/>
  <c r="DB31" i="29"/>
  <c r="BJ31" i="29"/>
  <c r="DD31" i="29"/>
  <c r="BR31" i="29"/>
  <c r="V31" i="29"/>
  <c r="Z31" i="29"/>
  <c r="Y31" i="29" l="1"/>
  <c r="AD31" i="29"/>
  <c r="DF31" i="29"/>
  <c r="CW31" i="29"/>
  <c r="BM31" i="29"/>
  <c r="DA31" i="29"/>
  <c r="AB31" i="29"/>
  <c r="BP31" i="29"/>
  <c r="BQ31" i="29"/>
  <c r="X31" i="29"/>
  <c r="W31" i="29"/>
  <c r="BL31" i="29"/>
  <c r="AC31" i="29"/>
  <c r="BI31" i="29"/>
  <c r="AA31" i="29"/>
  <c r="U31" i="29"/>
  <c r="DC31" i="29"/>
  <c r="BJ32" i="29"/>
  <c r="DE32" i="29"/>
  <c r="CX32" i="29"/>
  <c r="BO32" i="29"/>
  <c r="BR32" i="29"/>
  <c r="DD32" i="29"/>
  <c r="DB32" i="29"/>
  <c r="BN32" i="29"/>
  <c r="BK32" i="29"/>
  <c r="CZ32" i="29"/>
  <c r="CY32" i="29"/>
  <c r="Z32" i="29"/>
  <c r="V32" i="29"/>
  <c r="Y32" i="29" l="1"/>
  <c r="AB32" i="29"/>
  <c r="AD32" i="29"/>
  <c r="BM32" i="29"/>
  <c r="DF32" i="29"/>
  <c r="CW32" i="29"/>
  <c r="DA32" i="29"/>
  <c r="BQ32" i="29"/>
  <c r="BP32" i="29"/>
  <c r="W32" i="29"/>
  <c r="DC32" i="29"/>
  <c r="X32" i="29"/>
  <c r="BL32" i="29"/>
  <c r="AC32" i="29"/>
  <c r="BI32" i="29"/>
  <c r="AA32" i="29"/>
  <c r="U32" i="29"/>
  <c r="CY33" i="29"/>
  <c r="CZ33" i="29"/>
  <c r="BN33" i="29"/>
  <c r="DD33" i="29"/>
  <c r="BO33" i="29"/>
  <c r="CX33" i="29"/>
  <c r="DE33" i="29"/>
  <c r="BK33" i="29"/>
  <c r="DB33" i="29"/>
  <c r="BR33" i="29"/>
  <c r="BJ33" i="29"/>
  <c r="V33" i="29"/>
  <c r="Z33" i="29"/>
  <c r="Y33" i="29" l="1"/>
  <c r="CW33" i="29"/>
  <c r="BQ33" i="29"/>
  <c r="BP33" i="29"/>
  <c r="AB33" i="29"/>
  <c r="AD33" i="29"/>
  <c r="DF33" i="29"/>
  <c r="BM33" i="29"/>
  <c r="DA33" i="29"/>
  <c r="W33" i="29"/>
  <c r="AC33" i="29"/>
  <c r="DC33" i="29"/>
  <c r="BL33" i="29"/>
  <c r="X33" i="29"/>
  <c r="AA33" i="29"/>
  <c r="BI33" i="29"/>
  <c r="U33" i="29"/>
  <c r="BO34" i="29"/>
  <c r="DB34" i="29"/>
  <c r="BJ34" i="29"/>
  <c r="BR34" i="29"/>
  <c r="CX34" i="29"/>
  <c r="DD34" i="29"/>
  <c r="BN34" i="29"/>
  <c r="CZ34" i="29"/>
  <c r="BK34" i="29"/>
  <c r="DE34" i="29"/>
  <c r="CY34" i="29"/>
  <c r="Z34" i="29"/>
  <c r="V34" i="29"/>
  <c r="Y34" i="29" l="1"/>
  <c r="CW34" i="29"/>
  <c r="BP34" i="29"/>
  <c r="BQ34" i="29"/>
  <c r="AD34" i="29"/>
  <c r="DA34" i="29"/>
  <c r="AB34" i="29"/>
  <c r="DF34" i="29"/>
  <c r="DC34" i="29"/>
  <c r="W34" i="29"/>
  <c r="BM34" i="29"/>
  <c r="AC34" i="29"/>
  <c r="BL34" i="29"/>
  <c r="X34" i="29"/>
  <c r="AA34" i="29"/>
  <c r="BI34" i="29"/>
  <c r="U34" i="29"/>
  <c r="CY35" i="29"/>
  <c r="DE35" i="29"/>
  <c r="BN35" i="29"/>
  <c r="CX35" i="29"/>
  <c r="BR35" i="29"/>
  <c r="BJ35" i="29"/>
  <c r="BK35" i="29"/>
  <c r="CZ35" i="29"/>
  <c r="DD35" i="29"/>
  <c r="DB35" i="29"/>
  <c r="BO35" i="29"/>
  <c r="V35" i="29"/>
  <c r="Z35" i="29"/>
  <c r="CW35" i="29" l="1"/>
  <c r="Y35" i="29"/>
  <c r="BP35" i="29"/>
  <c r="BQ35" i="29"/>
  <c r="DC35" i="29"/>
  <c r="AC35" i="29"/>
  <c r="AD35" i="29"/>
  <c r="DF35" i="29"/>
  <c r="AB35" i="29"/>
  <c r="BM35" i="29"/>
  <c r="DA35" i="29"/>
  <c r="W35" i="29"/>
  <c r="BL35" i="29"/>
  <c r="X35" i="29"/>
  <c r="AA35" i="29"/>
  <c r="BI35" i="29"/>
  <c r="U35" i="29"/>
  <c r="DB36" i="29"/>
  <c r="BK36" i="29"/>
  <c r="DE36" i="29"/>
  <c r="BR36" i="29"/>
  <c r="CX36" i="29"/>
  <c r="BO36" i="29"/>
  <c r="CZ36" i="29"/>
  <c r="BJ36" i="29"/>
  <c r="BN36" i="29"/>
  <c r="CY36" i="29"/>
  <c r="DD36" i="29"/>
  <c r="V36" i="29"/>
  <c r="Z36" i="29"/>
  <c r="CW36" i="29" l="1"/>
  <c r="Y36" i="29"/>
  <c r="BP36" i="29"/>
  <c r="BQ36" i="29"/>
  <c r="DC36" i="29"/>
  <c r="AC36" i="29"/>
  <c r="AD36" i="29"/>
  <c r="DF36" i="29"/>
  <c r="AB36" i="29"/>
  <c r="DA36" i="29"/>
  <c r="W36" i="29"/>
  <c r="BM36" i="29"/>
  <c r="AA36" i="29"/>
  <c r="BL36" i="29"/>
  <c r="X36" i="29"/>
  <c r="U36" i="29"/>
  <c r="BI36" i="29"/>
  <c r="BN37" i="29"/>
  <c r="BP37" i="29"/>
  <c r="BR37" i="29"/>
  <c r="DB37" i="29"/>
  <c r="DD37" i="29"/>
  <c r="BJ37" i="29"/>
  <c r="BO37" i="29"/>
  <c r="CY37" i="29"/>
  <c r="CZ37" i="29"/>
  <c r="CX37" i="29"/>
  <c r="DE37" i="29"/>
  <c r="BK37" i="29"/>
  <c r="V37" i="29"/>
  <c r="Z37" i="29"/>
  <c r="CW37" i="29" l="1"/>
  <c r="BQ37" i="29"/>
  <c r="DA37" i="29"/>
  <c r="Y37" i="29"/>
  <c r="DC37" i="29"/>
  <c r="AC37" i="29"/>
  <c r="AD37" i="29"/>
  <c r="BM37" i="29"/>
  <c r="DF37" i="29"/>
  <c r="W37" i="29"/>
  <c r="AB37" i="29"/>
  <c r="AA37" i="29"/>
  <c r="X37" i="29"/>
  <c r="BL37" i="29"/>
  <c r="U37" i="29"/>
  <c r="BI37" i="29"/>
  <c r="DE38" i="29"/>
  <c r="CX38" i="29"/>
  <c r="CZ38" i="29"/>
  <c r="DD38" i="29"/>
  <c r="DB38" i="29"/>
  <c r="BP38" i="29"/>
  <c r="BK38" i="29"/>
  <c r="CY38" i="29"/>
  <c r="BO38" i="29"/>
  <c r="BJ38" i="29"/>
  <c r="BR38" i="29"/>
  <c r="BN38" i="29"/>
  <c r="Z38" i="29"/>
  <c r="V38" i="29"/>
  <c r="CW38" i="29" l="1"/>
  <c r="BQ38" i="29"/>
  <c r="Y38" i="29"/>
  <c r="DA38" i="29"/>
  <c r="DC38" i="29"/>
  <c r="AC38" i="29"/>
  <c r="AD38" i="29"/>
  <c r="BM38" i="29"/>
  <c r="AB38" i="29"/>
  <c r="DF38" i="29"/>
  <c r="W38" i="29"/>
  <c r="AA38" i="29"/>
  <c r="X38" i="29"/>
  <c r="BL38" i="29"/>
  <c r="U38" i="29"/>
  <c r="BI38" i="29"/>
  <c r="BN39" i="29"/>
  <c r="BO39" i="29"/>
  <c r="BP39" i="29"/>
  <c r="DD39" i="29"/>
  <c r="CZ39" i="29"/>
  <c r="DE39" i="29"/>
  <c r="BR39" i="29"/>
  <c r="BJ39" i="29"/>
  <c r="CY39" i="29"/>
  <c r="BK39" i="29"/>
  <c r="DB39" i="29"/>
  <c r="CX39" i="29"/>
  <c r="V39" i="29"/>
  <c r="Z39" i="29"/>
  <c r="BQ39" i="29" l="1"/>
  <c r="CW39" i="29"/>
  <c r="Y39" i="29"/>
  <c r="DA39" i="29"/>
  <c r="AD39" i="29"/>
  <c r="DC39" i="29"/>
  <c r="AC39" i="29"/>
  <c r="BM39" i="29"/>
  <c r="AB39" i="29"/>
  <c r="DF39" i="29"/>
  <c r="W39" i="29"/>
  <c r="AA39" i="29"/>
  <c r="X39" i="29"/>
  <c r="BL39" i="29"/>
  <c r="BI39" i="29"/>
  <c r="U39" i="29"/>
  <c r="CX40" i="29"/>
  <c r="CY40" i="29"/>
  <c r="CZ40" i="29"/>
  <c r="BK40" i="29"/>
  <c r="BR40" i="29"/>
  <c r="BP40" i="29"/>
  <c r="DB40" i="29"/>
  <c r="BJ40" i="29"/>
  <c r="DE40" i="29"/>
  <c r="DD40" i="29"/>
  <c r="BO40" i="29"/>
  <c r="BN40" i="29"/>
  <c r="Z40" i="29"/>
  <c r="V40" i="29"/>
  <c r="BQ40" i="29" l="1"/>
  <c r="CW40" i="29"/>
  <c r="Y40" i="29"/>
  <c r="DA40" i="29"/>
  <c r="AD40" i="29"/>
  <c r="DC40" i="29"/>
  <c r="AC40" i="29"/>
  <c r="AB40" i="29"/>
  <c r="BM40" i="29"/>
  <c r="W40" i="29"/>
  <c r="X40" i="29"/>
  <c r="DF40" i="29"/>
  <c r="AA40" i="29"/>
  <c r="BL40" i="29"/>
  <c r="BI40" i="29"/>
  <c r="U40" i="29"/>
  <c r="BO41" i="29"/>
  <c r="BJ41" i="29"/>
  <c r="BP41" i="29"/>
  <c r="CZ41" i="29"/>
  <c r="DD41" i="29"/>
  <c r="BK41" i="29"/>
  <c r="BN41" i="29"/>
  <c r="DE41" i="29"/>
  <c r="BR41" i="29"/>
  <c r="CY41" i="29"/>
  <c r="DB41" i="29"/>
  <c r="CX41" i="29"/>
  <c r="V41" i="29"/>
  <c r="Z41" i="29"/>
  <c r="BQ41" i="29" l="1"/>
  <c r="CW41" i="29"/>
  <c r="Y41" i="29"/>
  <c r="DC41" i="29"/>
  <c r="DA41" i="29"/>
  <c r="AD41" i="29"/>
  <c r="AC41" i="29"/>
  <c r="AB41" i="29"/>
  <c r="X41" i="29"/>
  <c r="BI41" i="29"/>
  <c r="DF41" i="29"/>
  <c r="BL41" i="29"/>
  <c r="W41" i="29"/>
  <c r="BM41" i="29"/>
  <c r="AA41" i="29"/>
  <c r="U41" i="29"/>
  <c r="DB42" i="29"/>
  <c r="BR42" i="29"/>
  <c r="DE42" i="29"/>
  <c r="DD42" i="29"/>
  <c r="BO42" i="29"/>
  <c r="BN42" i="29"/>
  <c r="BP42" i="29"/>
  <c r="CX42" i="29"/>
  <c r="CY42" i="29"/>
  <c r="BK42" i="29"/>
  <c r="CZ42" i="29"/>
  <c r="BJ42" i="29"/>
  <c r="Z42" i="29"/>
  <c r="V42" i="29"/>
  <c r="BQ42" i="29" l="1"/>
  <c r="CW42" i="29"/>
  <c r="Y42" i="29"/>
  <c r="DA42" i="29"/>
  <c r="DC42" i="29"/>
  <c r="AD42" i="29"/>
  <c r="AC42" i="29"/>
  <c r="AB42" i="29"/>
  <c r="X42" i="29"/>
  <c r="DF42" i="29"/>
  <c r="W42" i="29"/>
  <c r="BL42" i="29"/>
  <c r="BI42" i="29"/>
  <c r="AA42" i="29"/>
  <c r="BM42" i="29"/>
  <c r="U42" i="29"/>
  <c r="CX43" i="29"/>
  <c r="DE43" i="29"/>
  <c r="CZ43" i="29"/>
  <c r="CY43" i="29"/>
  <c r="BN43" i="29"/>
  <c r="BO43" i="29"/>
  <c r="BJ43" i="29"/>
  <c r="BK43" i="29"/>
  <c r="BP43" i="29"/>
  <c r="CW43" i="29"/>
  <c r="DD43" i="29"/>
  <c r="BR43" i="29"/>
  <c r="DB43" i="29"/>
  <c r="V43" i="29"/>
  <c r="Z43" i="29"/>
  <c r="BQ43" i="29" l="1"/>
  <c r="DA43" i="29"/>
  <c r="DC43" i="29"/>
  <c r="Y43" i="29"/>
  <c r="AB43" i="29"/>
  <c r="DF43" i="29"/>
  <c r="AD43" i="29"/>
  <c r="X43" i="29"/>
  <c r="AC43" i="29"/>
  <c r="AA43" i="29"/>
  <c r="BL43" i="29"/>
  <c r="W43" i="29"/>
  <c r="BM43" i="29"/>
  <c r="BI43" i="29"/>
  <c r="U43" i="29"/>
  <c r="DD44" i="29"/>
  <c r="BJ44" i="29"/>
  <c r="CZ44" i="29"/>
  <c r="DE44" i="29"/>
  <c r="CW44" i="29"/>
  <c r="BN44" i="29"/>
  <c r="DB44" i="29"/>
  <c r="BR44" i="29"/>
  <c r="BP44" i="29"/>
  <c r="BK44" i="29"/>
  <c r="BO44" i="29"/>
  <c r="CY44" i="29"/>
  <c r="CX44" i="29"/>
  <c r="Z44" i="29"/>
  <c r="V44" i="29"/>
  <c r="BQ44" i="29" l="1"/>
  <c r="Y44" i="29"/>
  <c r="DA44" i="29"/>
  <c r="AB44" i="29"/>
  <c r="DC44" i="29"/>
  <c r="DF44" i="29"/>
  <c r="AD44" i="29"/>
  <c r="AC44" i="29"/>
  <c r="X44" i="29"/>
  <c r="BL44" i="29"/>
  <c r="AA44" i="29"/>
  <c r="W44" i="29"/>
  <c r="BM44" i="29"/>
  <c r="BI44" i="29"/>
  <c r="U44" i="29"/>
  <c r="CX45" i="29"/>
  <c r="BO45" i="29"/>
  <c r="BR45" i="29"/>
  <c r="BN45" i="29"/>
  <c r="CW45" i="29"/>
  <c r="DE45" i="29"/>
  <c r="CZ45" i="29"/>
  <c r="CY45" i="29"/>
  <c r="BK45" i="29"/>
  <c r="BP45" i="29"/>
  <c r="DB45" i="29"/>
  <c r="BJ45" i="29"/>
  <c r="DD45" i="29"/>
  <c r="V45" i="29"/>
  <c r="Z45" i="29"/>
  <c r="BQ45" i="29" l="1"/>
  <c r="DA45" i="29"/>
  <c r="Y45" i="29"/>
  <c r="AB45" i="29"/>
  <c r="DC45" i="29"/>
  <c r="DF45" i="29"/>
  <c r="AD45" i="29"/>
  <c r="BL45" i="29"/>
  <c r="AC45" i="29"/>
  <c r="X45" i="29"/>
  <c r="W45" i="29"/>
  <c r="AA45" i="29"/>
  <c r="BI45" i="29"/>
  <c r="BM45" i="29"/>
  <c r="U45" i="29"/>
  <c r="DD46" i="29"/>
  <c r="DB46" i="29"/>
  <c r="BK46" i="29"/>
  <c r="CW46" i="29"/>
  <c r="BR46" i="29"/>
  <c r="BO46" i="29"/>
  <c r="BJ46" i="29"/>
  <c r="BP46" i="29"/>
  <c r="CY46" i="29"/>
  <c r="CZ46" i="29"/>
  <c r="DE46" i="29"/>
  <c r="BN46" i="29"/>
  <c r="CX46" i="29"/>
  <c r="Z46" i="29"/>
  <c r="V46" i="29"/>
  <c r="BQ46" i="29" l="1"/>
  <c r="DA46" i="29"/>
  <c r="AB46" i="29"/>
  <c r="Y46" i="29"/>
  <c r="BL46" i="29"/>
  <c r="DF46" i="29"/>
  <c r="DC46" i="29"/>
  <c r="AD46" i="29"/>
  <c r="AC46" i="29"/>
  <c r="X46" i="29"/>
  <c r="W46" i="29"/>
  <c r="AA46" i="29"/>
  <c r="BM46" i="29"/>
  <c r="BI46" i="29"/>
  <c r="U46" i="29"/>
  <c r="DE47" i="29"/>
  <c r="BJ47" i="29"/>
  <c r="CX47" i="29"/>
  <c r="CZ47" i="29"/>
  <c r="BP47" i="29"/>
  <c r="BO47" i="29"/>
  <c r="CW47" i="29"/>
  <c r="DB47" i="29"/>
  <c r="BN47" i="29"/>
  <c r="BQ47" i="29"/>
  <c r="CY47" i="29"/>
  <c r="BR47" i="29"/>
  <c r="BK47" i="29"/>
  <c r="DD47" i="29"/>
  <c r="V47" i="29"/>
  <c r="Z47" i="29"/>
  <c r="AB47" i="29" l="1"/>
  <c r="DC47" i="29"/>
  <c r="DA47" i="29"/>
  <c r="BL47" i="29"/>
  <c r="Y47" i="29"/>
  <c r="BM47" i="29"/>
  <c r="DF47" i="29"/>
  <c r="AD47" i="29"/>
  <c r="W47" i="29"/>
  <c r="AC47" i="29"/>
  <c r="X47" i="29"/>
  <c r="AA47" i="29"/>
  <c r="U47" i="29"/>
  <c r="BI47" i="29"/>
  <c r="DD48" i="29"/>
  <c r="BK48" i="29"/>
  <c r="BR48" i="29"/>
  <c r="CY48" i="29"/>
  <c r="BQ48" i="29"/>
  <c r="BO48" i="29"/>
  <c r="CZ48" i="29"/>
  <c r="BJ48" i="29"/>
  <c r="BN48" i="29"/>
  <c r="DB48" i="29"/>
  <c r="CW48" i="29"/>
  <c r="BP48" i="29"/>
  <c r="CX48" i="29"/>
  <c r="DE48" i="29"/>
  <c r="Z48" i="29"/>
  <c r="V48" i="29"/>
  <c r="AB48" i="29" l="1"/>
  <c r="DC48" i="29"/>
  <c r="DA48" i="29"/>
  <c r="Y48" i="29"/>
  <c r="BL48" i="29"/>
  <c r="AD48" i="29"/>
  <c r="BM48" i="29"/>
  <c r="DF48" i="29"/>
  <c r="AC48" i="29"/>
  <c r="W48" i="29"/>
  <c r="X48" i="29"/>
  <c r="BI48" i="29"/>
  <c r="AA48" i="29"/>
  <c r="U48" i="29"/>
  <c r="DE49" i="29"/>
  <c r="BP49" i="29"/>
  <c r="DB49" i="29"/>
  <c r="BJ49" i="29"/>
  <c r="BO49" i="29"/>
  <c r="CY49" i="29"/>
  <c r="BK49" i="29"/>
  <c r="CX49" i="29"/>
  <c r="CW49" i="29"/>
  <c r="BN49" i="29"/>
  <c r="CZ49" i="29"/>
  <c r="BQ49" i="29"/>
  <c r="BR49" i="29"/>
  <c r="DD49" i="29"/>
  <c r="Z49" i="29"/>
  <c r="V49" i="29"/>
  <c r="AB49" i="29" l="1"/>
  <c r="Y49" i="29"/>
  <c r="DA49" i="29"/>
  <c r="DC49" i="29"/>
  <c r="BM49" i="29"/>
  <c r="BL49" i="29"/>
  <c r="X49" i="29"/>
  <c r="AD49" i="29"/>
  <c r="DF49" i="29"/>
  <c r="W49" i="29"/>
  <c r="AC49" i="29"/>
  <c r="U49" i="29"/>
  <c r="BI49" i="29"/>
  <c r="AA49" i="29"/>
  <c r="DD50" i="29"/>
  <c r="BQ50" i="29"/>
  <c r="CZ50" i="29"/>
  <c r="CW50" i="29"/>
  <c r="BK50" i="29"/>
  <c r="BJ50" i="29"/>
  <c r="BP50" i="29"/>
  <c r="BR50" i="29"/>
  <c r="BN50" i="29"/>
  <c r="CX50" i="29"/>
  <c r="CY50" i="29"/>
  <c r="BO50" i="29"/>
  <c r="DA50" i="29"/>
  <c r="DB50" i="29"/>
  <c r="DE50" i="29"/>
  <c r="Z50" i="29"/>
  <c r="V50" i="29"/>
  <c r="AB50" i="29" l="1"/>
  <c r="X50" i="29"/>
  <c r="Y50" i="29"/>
  <c r="DC50" i="29"/>
  <c r="BM50" i="29"/>
  <c r="BL50" i="29"/>
  <c r="AD50" i="29"/>
  <c r="DF50" i="29"/>
  <c r="W50" i="29"/>
  <c r="BI50" i="29"/>
  <c r="AC50" i="29"/>
  <c r="U50" i="29"/>
  <c r="AA50" i="29"/>
  <c r="CY51" i="29"/>
  <c r="DE51" i="29"/>
  <c r="DC51" i="29"/>
  <c r="DA51" i="29"/>
  <c r="BN51" i="29"/>
  <c r="BP51" i="29"/>
  <c r="BK51" i="29"/>
  <c r="BQ51" i="29"/>
  <c r="BJ51" i="29"/>
  <c r="DB51" i="29"/>
  <c r="BO51" i="29"/>
  <c r="CX51" i="29"/>
  <c r="BR51" i="29"/>
  <c r="CW51" i="29"/>
  <c r="CZ51" i="29"/>
  <c r="DD51" i="29"/>
  <c r="Z51" i="29"/>
  <c r="V51" i="29"/>
  <c r="Y51" i="29" l="1"/>
  <c r="AB51" i="29"/>
  <c r="X51" i="29"/>
  <c r="BM51" i="29"/>
  <c r="AD51" i="29"/>
  <c r="BL51" i="29"/>
  <c r="DF51" i="29"/>
  <c r="W51" i="29"/>
  <c r="AA51" i="29"/>
  <c r="AC51" i="29"/>
  <c r="BI51" i="29"/>
  <c r="U51" i="29"/>
  <c r="DD52" i="29"/>
  <c r="CW52" i="29"/>
  <c r="BO52" i="29"/>
  <c r="BJ52" i="29"/>
  <c r="BK52" i="29"/>
  <c r="BN52" i="29"/>
  <c r="DE52" i="29"/>
  <c r="CZ52" i="29"/>
  <c r="BR52" i="29"/>
  <c r="CX52" i="29"/>
  <c r="DB52" i="29"/>
  <c r="BQ52" i="29"/>
  <c r="BP52" i="29"/>
  <c r="DA52" i="29"/>
  <c r="DC52" i="29"/>
  <c r="CY52" i="29"/>
  <c r="V52" i="29"/>
  <c r="Z52" i="29"/>
  <c r="X52" i="29" l="1"/>
  <c r="Y52" i="29"/>
  <c r="AB52" i="29"/>
  <c r="BM52" i="29"/>
  <c r="AD52" i="29"/>
  <c r="BL52" i="29"/>
  <c r="W52" i="29"/>
  <c r="DF52" i="29"/>
  <c r="AA52" i="29"/>
  <c r="AC52" i="29"/>
  <c r="BI52" i="29"/>
  <c r="U52" i="29"/>
  <c r="CY53" i="29"/>
  <c r="DA53" i="29"/>
  <c r="BQ53" i="29"/>
  <c r="CX53" i="29"/>
  <c r="DE53" i="29"/>
  <c r="BN53" i="29"/>
  <c r="BJ53" i="29"/>
  <c r="BM53" i="29"/>
  <c r="CW53" i="29"/>
  <c r="DC53" i="29"/>
  <c r="BP53" i="29"/>
  <c r="DB53" i="29"/>
  <c r="BR53" i="29"/>
  <c r="CZ53" i="29"/>
  <c r="BK53" i="29"/>
  <c r="BO53" i="29"/>
  <c r="DD53" i="29"/>
  <c r="Y53" i="29"/>
  <c r="V53" i="29"/>
  <c r="Z53" i="29"/>
  <c r="X53" i="29"/>
  <c r="AB53" i="29" l="1"/>
  <c r="AD53" i="29"/>
  <c r="BL53" i="29"/>
  <c r="W53" i="29"/>
  <c r="DF53" i="29"/>
  <c r="AC53" i="29"/>
  <c r="AA53" i="29"/>
  <c r="BI53" i="29"/>
  <c r="U53" i="29"/>
  <c r="DD54" i="29"/>
  <c r="BO54" i="29"/>
  <c r="BR54" i="29"/>
  <c r="BP54" i="29"/>
  <c r="CW54" i="29"/>
  <c r="BJ54" i="29"/>
  <c r="DE54" i="29"/>
  <c r="CX54" i="29"/>
  <c r="DA54" i="29"/>
  <c r="BK54" i="29"/>
  <c r="CZ54" i="29"/>
  <c r="DB54" i="29"/>
  <c r="DC54" i="29"/>
  <c r="BM54" i="29"/>
  <c r="BN54" i="29"/>
  <c r="BQ54" i="29"/>
  <c r="CY54" i="29"/>
  <c r="Z54" i="29"/>
  <c r="V54" i="29"/>
  <c r="X54" i="29"/>
  <c r="Y54" i="29"/>
  <c r="AB54" i="29" l="1"/>
  <c r="AD54" i="29"/>
  <c r="BL54" i="29"/>
  <c r="W54" i="29"/>
  <c r="DF54" i="29"/>
  <c r="AA54" i="29"/>
  <c r="AC54" i="29"/>
  <c r="BI54" i="29"/>
  <c r="U54" i="29"/>
  <c r="BM55" i="29"/>
  <c r="DB55" i="29"/>
  <c r="BK55" i="29"/>
  <c r="DA55" i="29"/>
  <c r="DE55" i="29"/>
  <c r="CW55" i="29"/>
  <c r="BR55" i="29"/>
  <c r="BO55" i="29"/>
  <c r="CY55" i="29"/>
  <c r="BQ55" i="29"/>
  <c r="BN55" i="29"/>
  <c r="DC55" i="29"/>
  <c r="CZ55" i="29"/>
  <c r="BL55" i="29"/>
  <c r="CX55" i="29"/>
  <c r="BJ55" i="29"/>
  <c r="BP55" i="29"/>
  <c r="DD55" i="29"/>
  <c r="V55" i="29"/>
  <c r="Y55" i="29"/>
  <c r="X55" i="29"/>
  <c r="Z55" i="29"/>
  <c r="AA55" i="29" l="1"/>
  <c r="AC55" i="29"/>
  <c r="AD55" i="29"/>
  <c r="AB55" i="29"/>
  <c r="W55" i="29"/>
  <c r="DF55" i="29"/>
  <c r="BI55" i="29"/>
  <c r="U55" i="29"/>
  <c r="BP56" i="29"/>
  <c r="CX56" i="29"/>
  <c r="CZ56" i="29"/>
  <c r="BN56" i="29"/>
  <c r="CY56" i="29"/>
  <c r="BR56" i="29"/>
  <c r="DE56" i="29"/>
  <c r="BK56" i="29"/>
  <c r="BM56" i="29"/>
  <c r="DD56" i="29"/>
  <c r="BJ56" i="29"/>
  <c r="BL56" i="29"/>
  <c r="DC56" i="29"/>
  <c r="BQ56" i="29"/>
  <c r="BO56" i="29"/>
  <c r="CW56" i="29"/>
  <c r="DA56" i="29"/>
  <c r="DB56" i="29"/>
  <c r="Y56" i="29"/>
  <c r="V56" i="29"/>
  <c r="AA56" i="29"/>
  <c r="Z56" i="29"/>
  <c r="X56" i="29"/>
  <c r="AC56" i="29" l="1"/>
  <c r="AB56" i="29"/>
  <c r="DF56" i="29"/>
  <c r="AD56" i="29"/>
  <c r="W56" i="29"/>
  <c r="BI56" i="29"/>
  <c r="U56" i="29"/>
  <c r="DA57" i="29"/>
  <c r="BO57" i="29"/>
  <c r="BJ57" i="29"/>
  <c r="DD57" i="29"/>
  <c r="BK57" i="29"/>
  <c r="BR57" i="29"/>
  <c r="BN57" i="29"/>
  <c r="CX57" i="29"/>
  <c r="DC57" i="29"/>
  <c r="DB57" i="29"/>
  <c r="CW57" i="29"/>
  <c r="BQ57" i="29"/>
  <c r="BL57" i="29"/>
  <c r="BM57" i="29"/>
  <c r="DE57" i="29"/>
  <c r="CY57" i="29"/>
  <c r="CZ57" i="29"/>
  <c r="BP57" i="29"/>
  <c r="V57" i="29"/>
  <c r="Z57" i="29"/>
  <c r="X57" i="29"/>
  <c r="AA57" i="29"/>
  <c r="Y57" i="29"/>
  <c r="AC57" i="29" l="1"/>
  <c r="DF57" i="29"/>
  <c r="AB57" i="29"/>
  <c r="W57" i="29"/>
  <c r="AD57" i="29"/>
  <c r="BI57" i="29"/>
  <c r="U57" i="29"/>
  <c r="BP58" i="29"/>
  <c r="CY58" i="29"/>
  <c r="BM58" i="29"/>
  <c r="BL58" i="29"/>
  <c r="CW58" i="29"/>
  <c r="DC58" i="29"/>
  <c r="BN58" i="29"/>
  <c r="BK58" i="29"/>
  <c r="BJ58" i="29"/>
  <c r="DA58" i="29"/>
  <c r="CZ58" i="29"/>
  <c r="DE58" i="29"/>
  <c r="BQ58" i="29"/>
  <c r="DB58" i="29"/>
  <c r="CX58" i="29"/>
  <c r="BR58" i="29"/>
  <c r="DD58" i="29"/>
  <c r="BO58" i="29"/>
  <c r="Z58" i="29"/>
  <c r="AA58" i="29"/>
  <c r="V58" i="29"/>
  <c r="Y58" i="29"/>
  <c r="X58" i="29"/>
  <c r="AC58" i="29" l="1"/>
  <c r="AD58" i="29"/>
  <c r="DF58" i="29"/>
  <c r="AB58" i="29"/>
  <c r="W58" i="29"/>
  <c r="BI58" i="29"/>
  <c r="U58" i="29"/>
  <c r="DD59" i="29"/>
  <c r="BQ59" i="29"/>
  <c r="DE59" i="29"/>
  <c r="BK59" i="29"/>
  <c r="DC59" i="29"/>
  <c r="BL59" i="29"/>
  <c r="CY59" i="29"/>
  <c r="CX59" i="29"/>
  <c r="DA59" i="29"/>
  <c r="BO59" i="29"/>
  <c r="BR59" i="29"/>
  <c r="DB59" i="29"/>
  <c r="CZ59" i="29"/>
  <c r="BJ59" i="29"/>
  <c r="BN59" i="29"/>
  <c r="CW59" i="29"/>
  <c r="BM59" i="29"/>
  <c r="BP59" i="29"/>
  <c r="AA59" i="29"/>
  <c r="Y59" i="29"/>
  <c r="X59" i="29"/>
  <c r="V59" i="29"/>
  <c r="Z59" i="29"/>
  <c r="AC59" i="29" l="1"/>
  <c r="AD59" i="29"/>
  <c r="DF59" i="29"/>
  <c r="AB59" i="29"/>
  <c r="W59" i="29"/>
  <c r="BI59" i="29"/>
  <c r="U59" i="29"/>
  <c r="BP60" i="29"/>
  <c r="BJ60" i="29"/>
  <c r="BR60" i="29"/>
  <c r="DA60" i="29"/>
  <c r="BL60" i="29"/>
  <c r="BK60" i="29"/>
  <c r="BQ60" i="29"/>
  <c r="CX60" i="29"/>
  <c r="CW60" i="29"/>
  <c r="BM60" i="29"/>
  <c r="BN60" i="29"/>
  <c r="CZ60" i="29"/>
  <c r="DB60" i="29"/>
  <c r="BO60" i="29"/>
  <c r="CY60" i="29"/>
  <c r="DC60" i="29"/>
  <c r="DE60" i="29"/>
  <c r="DD60" i="29"/>
  <c r="V60" i="29"/>
  <c r="Z60" i="29"/>
  <c r="X60" i="29"/>
  <c r="Y60" i="29"/>
  <c r="AA60" i="29"/>
  <c r="AD60" i="29" l="1"/>
  <c r="AC60" i="29"/>
  <c r="AB60" i="29"/>
  <c r="DF60" i="29"/>
  <c r="W60" i="29"/>
  <c r="BI60" i="29"/>
  <c r="U60" i="29"/>
  <c r="DD61" i="29"/>
  <c r="DC61" i="29"/>
  <c r="BO61" i="29"/>
  <c r="CZ61" i="29"/>
  <c r="BM61" i="29"/>
  <c r="CX61" i="29"/>
  <c r="BK61" i="29"/>
  <c r="BR61" i="29"/>
  <c r="BJ61" i="29"/>
  <c r="DE61" i="29"/>
  <c r="CY61" i="29"/>
  <c r="DB61" i="29"/>
  <c r="BN61" i="29"/>
  <c r="CW61" i="29"/>
  <c r="BQ61" i="29"/>
  <c r="BL61" i="29"/>
  <c r="DA61" i="29"/>
  <c r="BP61" i="29"/>
  <c r="AC61" i="29"/>
  <c r="AB61" i="29"/>
  <c r="Y61" i="29"/>
  <c r="Z61" i="29"/>
  <c r="AA61" i="29"/>
  <c r="X61" i="29"/>
  <c r="V61" i="29"/>
  <c r="AD61" i="29" l="1"/>
  <c r="DF61" i="29"/>
  <c r="W61" i="29"/>
  <c r="U61" i="29"/>
  <c r="BI61" i="29"/>
  <c r="BP62" i="29"/>
  <c r="DA62" i="29"/>
  <c r="BQ62" i="29"/>
  <c r="BN62" i="29"/>
  <c r="CY62" i="29"/>
  <c r="BJ62" i="29"/>
  <c r="BK62" i="29"/>
  <c r="BM62" i="29"/>
  <c r="BO62" i="29"/>
  <c r="DD62" i="29"/>
  <c r="BL62" i="29"/>
  <c r="CW62" i="29"/>
  <c r="DB62" i="29"/>
  <c r="DE62" i="29"/>
  <c r="BR62" i="29"/>
  <c r="CX62" i="29"/>
  <c r="CZ62" i="29"/>
  <c r="DC62" i="29"/>
  <c r="V62" i="29"/>
  <c r="AA62" i="29"/>
  <c r="AB62" i="29"/>
  <c r="X62" i="29"/>
  <c r="Z62" i="29"/>
  <c r="Y62" i="29"/>
  <c r="AC62" i="29"/>
  <c r="AD62" i="29" l="1"/>
  <c r="AD63" i="29" s="1"/>
  <c r="W62" i="29"/>
  <c r="BI62" i="29"/>
  <c r="DF62" i="29"/>
  <c r="U62" i="29"/>
  <c r="DA63" i="29"/>
  <c r="CZ63" i="29"/>
  <c r="BR63" i="29"/>
  <c r="BL63" i="29"/>
  <c r="DD63" i="29"/>
  <c r="BM63" i="29"/>
  <c r="BJ63" i="29"/>
  <c r="BN63" i="29"/>
  <c r="DB63" i="29"/>
  <c r="DC63" i="29"/>
  <c r="CX63" i="29"/>
  <c r="DE63" i="29"/>
  <c r="CW63" i="29"/>
  <c r="BO63" i="29"/>
  <c r="BK63" i="29"/>
  <c r="CY63" i="29"/>
  <c r="BQ63" i="29"/>
  <c r="BP63" i="29"/>
  <c r="AC63" i="29"/>
  <c r="AB63" i="29"/>
  <c r="W63" i="29"/>
  <c r="Z63" i="29"/>
  <c r="Y63" i="29"/>
  <c r="X63" i="29"/>
  <c r="AA63" i="29"/>
  <c r="V63" i="29"/>
  <c r="DF63" i="29" l="1"/>
  <c r="BI63" i="29"/>
  <c r="U63" i="29"/>
  <c r="CX64" i="29"/>
  <c r="BM64" i="29"/>
  <c r="BL64" i="29"/>
  <c r="CZ64" i="29"/>
  <c r="BP64" i="29"/>
  <c r="CW64" i="29"/>
  <c r="BN64" i="29"/>
  <c r="CY64" i="29"/>
  <c r="BO64" i="29"/>
  <c r="DB64" i="29"/>
  <c r="BQ64" i="29"/>
  <c r="BK64" i="29"/>
  <c r="DE64" i="29"/>
  <c r="DC64" i="29"/>
  <c r="BJ64" i="29"/>
  <c r="DD64" i="29"/>
  <c r="BR64" i="29"/>
  <c r="DA64" i="29"/>
  <c r="V64" i="29"/>
  <c r="AD64" i="29"/>
  <c r="X64" i="29"/>
  <c r="AB64" i="29"/>
  <c r="Z64" i="29"/>
  <c r="AA64" i="29"/>
  <c r="Y64" i="29"/>
  <c r="W64" i="29"/>
  <c r="AC64" i="29"/>
  <c r="U64" i="29" l="1"/>
  <c r="DF64" i="29"/>
  <c r="BI64" i="29"/>
  <c r="CW65" i="29"/>
  <c r="DA65" i="29"/>
  <c r="DD65" i="29"/>
  <c r="DE65" i="29"/>
  <c r="BK65" i="29"/>
  <c r="DB65" i="29"/>
  <c r="CY65" i="29"/>
  <c r="CZ65" i="29"/>
  <c r="BM65" i="29"/>
  <c r="BR65" i="29"/>
  <c r="BJ65" i="29"/>
  <c r="DC65" i="29"/>
  <c r="BQ65" i="29"/>
  <c r="BO65" i="29"/>
  <c r="BN65" i="29"/>
  <c r="BP65" i="29"/>
  <c r="BL65" i="29"/>
  <c r="CX65" i="29"/>
  <c r="AC65" i="29"/>
  <c r="AA65" i="29"/>
  <c r="AB65" i="29"/>
  <c r="AD65" i="29"/>
  <c r="W65" i="29"/>
  <c r="Y65" i="29"/>
  <c r="Z65" i="29"/>
  <c r="X65" i="29"/>
  <c r="V65" i="29"/>
  <c r="U65" i="29" l="1"/>
  <c r="BI65" i="29"/>
  <c r="DF65" i="29"/>
  <c r="CX66" i="29"/>
  <c r="BP66" i="29"/>
  <c r="BO66" i="29"/>
  <c r="BJ66" i="29"/>
  <c r="BM66" i="29"/>
  <c r="CY66" i="29"/>
  <c r="BK66" i="29"/>
  <c r="DA66" i="29"/>
  <c r="BL66" i="29"/>
  <c r="BN66" i="29"/>
  <c r="BQ66" i="29"/>
  <c r="DC66" i="29"/>
  <c r="BR66" i="29"/>
  <c r="CZ66" i="29"/>
  <c r="DB66" i="29"/>
  <c r="DE66" i="29"/>
  <c r="DD66" i="29"/>
  <c r="CW66" i="29"/>
  <c r="V66" i="29"/>
  <c r="AB66" i="29"/>
  <c r="Z66" i="29"/>
  <c r="W66" i="29"/>
  <c r="X66" i="29"/>
  <c r="Y66" i="29"/>
  <c r="AD66" i="29"/>
  <c r="AA66" i="29"/>
  <c r="AC66" i="29"/>
  <c r="U66" i="29" l="1"/>
  <c r="U67" i="29" s="1"/>
  <c r="DF66" i="29"/>
  <c r="BI66" i="29"/>
  <c r="DE67" i="29"/>
  <c r="CZ67" i="29"/>
  <c r="DC67" i="29"/>
  <c r="BN67" i="29"/>
  <c r="DA67" i="29"/>
  <c r="BK67" i="29"/>
  <c r="BM67" i="29"/>
  <c r="BP67" i="29"/>
  <c r="CW67" i="29"/>
  <c r="DD67" i="29"/>
  <c r="DB67" i="29"/>
  <c r="BR67" i="29"/>
  <c r="BQ67" i="29"/>
  <c r="BL67" i="29"/>
  <c r="CY67" i="29"/>
  <c r="BJ67" i="29"/>
  <c r="BO67" i="29"/>
  <c r="CX67" i="29"/>
  <c r="AD67" i="29"/>
  <c r="X67" i="29"/>
  <c r="Z67" i="29"/>
  <c r="AB67" i="29"/>
  <c r="AC67" i="29"/>
  <c r="AA67" i="29"/>
  <c r="Y67" i="29"/>
  <c r="W67" i="29"/>
  <c r="V67" i="29"/>
  <c r="BI67" i="29" l="1"/>
  <c r="DF67" i="29"/>
  <c r="BJ68" i="29"/>
  <c r="BQ68" i="29"/>
  <c r="DB68" i="29"/>
  <c r="CW68" i="29"/>
  <c r="BK68" i="29"/>
  <c r="BN68" i="29"/>
  <c r="CZ68" i="29"/>
  <c r="CX68" i="29"/>
  <c r="BO68" i="29"/>
  <c r="CY68" i="29"/>
  <c r="BL68" i="29"/>
  <c r="BR68" i="29"/>
  <c r="DD68" i="29"/>
  <c r="BP68" i="29"/>
  <c r="BM68" i="29"/>
  <c r="DA68" i="29"/>
  <c r="DC68" i="29"/>
  <c r="DE68" i="29"/>
  <c r="V68" i="29"/>
  <c r="W68" i="29"/>
  <c r="AA68" i="29"/>
  <c r="AB68" i="29"/>
  <c r="X68" i="29"/>
  <c r="U68" i="29"/>
  <c r="Y68" i="29"/>
  <c r="AC68" i="29"/>
  <c r="Z68" i="29"/>
  <c r="AD68" i="29"/>
  <c r="BI68" i="29" l="1"/>
  <c r="DF68" i="29"/>
  <c r="DA69" i="29"/>
  <c r="BP69" i="29"/>
  <c r="CY69" i="29"/>
  <c r="CX69" i="29"/>
  <c r="BN69" i="29"/>
  <c r="DB69" i="29"/>
  <c r="BI69" i="29"/>
  <c r="DE69" i="29"/>
  <c r="BR69" i="29"/>
  <c r="DC69" i="29"/>
  <c r="BM69" i="29"/>
  <c r="DD69" i="29"/>
  <c r="BL69" i="29"/>
  <c r="BO69" i="29"/>
  <c r="CZ69" i="29"/>
  <c r="BK69" i="29"/>
  <c r="CW69" i="29"/>
  <c r="BQ69" i="29"/>
  <c r="BJ69" i="29"/>
  <c r="AD69" i="29"/>
  <c r="AC69" i="29"/>
  <c r="U69" i="29"/>
  <c r="AB69" i="29"/>
  <c r="W69" i="29"/>
  <c r="Y69" i="29"/>
  <c r="Z69" i="29"/>
  <c r="X69" i="29"/>
  <c r="AA69" i="29"/>
  <c r="V69" i="29"/>
  <c r="DF69" i="29" l="1"/>
  <c r="BJ70" i="29"/>
  <c r="CW70" i="29"/>
  <c r="CZ70" i="29"/>
  <c r="BL70" i="29"/>
  <c r="BM70" i="29"/>
  <c r="BR70" i="29"/>
  <c r="BI70" i="29"/>
  <c r="DF70" i="29"/>
  <c r="CX70" i="29"/>
  <c r="BP70" i="29"/>
  <c r="BQ70" i="29"/>
  <c r="BK70" i="29"/>
  <c r="BO70" i="29"/>
  <c r="DD70" i="29"/>
  <c r="DC70" i="29"/>
  <c r="DE70" i="29"/>
  <c r="DB70" i="29"/>
  <c r="BN70" i="29"/>
  <c r="CY70" i="29"/>
  <c r="DA70" i="29"/>
  <c r="X70" i="29"/>
  <c r="Y70" i="29"/>
  <c r="AB70" i="29"/>
  <c r="AC70" i="29"/>
  <c r="V70" i="29"/>
  <c r="AA70" i="29"/>
  <c r="Z70" i="29"/>
  <c r="W70" i="29"/>
  <c r="U70" i="29"/>
  <c r="AD70" i="29"/>
  <c r="BN71" i="29" l="1"/>
  <c r="DE71" i="29"/>
  <c r="DD71" i="29"/>
  <c r="BK71" i="29"/>
  <c r="BP71" i="29"/>
  <c r="DF71" i="29"/>
  <c r="BR71" i="29"/>
  <c r="BL71" i="29"/>
  <c r="CW71" i="29"/>
  <c r="DA71" i="29"/>
  <c r="CY71" i="29"/>
  <c r="DB71" i="29"/>
  <c r="DC71" i="29"/>
  <c r="BO71" i="29"/>
  <c r="BQ71" i="29"/>
  <c r="CX71" i="29"/>
  <c r="BI71" i="29"/>
  <c r="BM71" i="29"/>
  <c r="CZ71" i="29"/>
  <c r="BJ71" i="29"/>
  <c r="W71" i="29"/>
  <c r="AA71" i="29"/>
  <c r="AC71" i="29"/>
  <c r="Y71" i="29"/>
  <c r="AD71" i="29"/>
  <c r="U71" i="29"/>
  <c r="Z71" i="29"/>
  <c r="V71" i="29"/>
  <c r="AB71" i="29"/>
  <c r="X71" i="29"/>
  <c r="BJ72" i="29" l="1"/>
  <c r="BM72" i="29"/>
  <c r="CX72" i="29"/>
  <c r="BO72" i="29"/>
  <c r="DB72" i="29"/>
  <c r="DA72" i="29"/>
  <c r="BL72" i="29"/>
  <c r="DF72" i="29"/>
  <c r="BK72" i="29"/>
  <c r="DE72" i="29"/>
  <c r="CZ72" i="29"/>
  <c r="BI72" i="29"/>
  <c r="BQ72" i="29"/>
  <c r="DC72" i="29"/>
  <c r="CY72" i="29"/>
  <c r="CW72" i="29"/>
  <c r="BR72" i="29"/>
  <c r="BP72" i="29"/>
  <c r="DD72" i="29"/>
  <c r="BN72" i="29"/>
  <c r="U72" i="29"/>
  <c r="Y72" i="29"/>
  <c r="AA72" i="29"/>
  <c r="V72" i="29"/>
  <c r="X72" i="29"/>
  <c r="AB72" i="29"/>
  <c r="Z72" i="29"/>
  <c r="AD72" i="29"/>
  <c r="AC72" i="29"/>
  <c r="W72" i="29"/>
  <c r="BN73" i="29" l="1"/>
  <c r="CW73" i="29"/>
  <c r="DC73" i="29"/>
  <c r="BI73" i="29"/>
  <c r="DE73" i="29"/>
  <c r="DF73" i="29"/>
  <c r="DA73" i="29"/>
  <c r="BO73" i="29"/>
  <c r="BM73" i="29"/>
  <c r="BP73" i="29"/>
  <c r="DD73" i="29"/>
  <c r="BR73" i="29"/>
  <c r="CY73" i="29"/>
  <c r="BQ73" i="29"/>
  <c r="CZ73" i="29"/>
  <c r="BK73" i="29"/>
  <c r="BL73" i="29"/>
  <c r="DB73" i="29"/>
  <c r="CX73" i="29"/>
  <c r="BJ73" i="29"/>
  <c r="W73" i="29"/>
  <c r="AD73" i="29"/>
  <c r="AB73" i="29"/>
  <c r="V73" i="29"/>
  <c r="Y73" i="29"/>
  <c r="Z73" i="29"/>
  <c r="AC73" i="29"/>
  <c r="X73" i="29"/>
  <c r="AA73" i="29"/>
  <c r="U73" i="29"/>
  <c r="BK74" i="29" l="1"/>
  <c r="BJ74" i="29"/>
  <c r="BQ74" i="29"/>
  <c r="BR74" i="29"/>
  <c r="BP74" i="29"/>
  <c r="BO74" i="29"/>
  <c r="DF74" i="29"/>
  <c r="BI74" i="29"/>
  <c r="CW74" i="29"/>
  <c r="DB74" i="29"/>
  <c r="CX74" i="29"/>
  <c r="BL74" i="29"/>
  <c r="CZ74" i="29"/>
  <c r="CY74" i="29"/>
  <c r="DD74" i="29"/>
  <c r="BM74" i="29"/>
  <c r="DA74" i="29"/>
  <c r="DE74" i="29"/>
  <c r="DC74" i="29"/>
  <c r="BN74" i="29"/>
  <c r="Z74" i="29"/>
  <c r="V74" i="29"/>
  <c r="AD74" i="29"/>
  <c r="U74" i="29"/>
  <c r="X74" i="29"/>
  <c r="AA74" i="29"/>
  <c r="AC74" i="29"/>
  <c r="Y74" i="29"/>
  <c r="AB74" i="29"/>
  <c r="W74" i="29"/>
  <c r="BN75" i="29" l="1"/>
  <c r="DE75" i="29"/>
  <c r="BM75" i="29"/>
  <c r="CY75" i="29"/>
  <c r="BL75" i="29"/>
  <c r="DB75" i="29"/>
  <c r="BI75" i="29"/>
  <c r="BO75" i="29"/>
  <c r="BR75" i="29"/>
  <c r="BJ75" i="29"/>
  <c r="DC75" i="29"/>
  <c r="DA75" i="29"/>
  <c r="DD75" i="29"/>
  <c r="CZ75" i="29"/>
  <c r="CX75" i="29"/>
  <c r="CW75" i="29"/>
  <c r="DF75" i="29"/>
  <c r="BP75" i="29"/>
  <c r="BQ75" i="29"/>
  <c r="BK75" i="29"/>
  <c r="W75" i="29"/>
  <c r="Y75" i="29"/>
  <c r="AA75" i="29"/>
  <c r="U75" i="29"/>
  <c r="V75" i="29"/>
  <c r="AC75" i="29"/>
  <c r="AB75" i="29"/>
  <c r="X75" i="29"/>
  <c r="AD75" i="29"/>
  <c r="Z75" i="29"/>
  <c r="BK76" i="29" l="1"/>
  <c r="BP76" i="29"/>
  <c r="CW76" i="29"/>
  <c r="CZ76" i="29"/>
  <c r="DA76" i="29"/>
  <c r="BJ76" i="29"/>
  <c r="BO76" i="29"/>
  <c r="DB76" i="29"/>
  <c r="CY76" i="29"/>
  <c r="DE76" i="29"/>
  <c r="BQ76" i="29"/>
  <c r="DF76" i="29"/>
  <c r="CX76" i="29"/>
  <c r="DD76" i="29"/>
  <c r="DC76" i="29"/>
  <c r="BR76" i="29"/>
  <c r="BI76" i="29"/>
  <c r="BL76" i="29"/>
  <c r="BM76" i="29"/>
  <c r="BN76" i="29"/>
  <c r="X76" i="29"/>
  <c r="AC76" i="29"/>
  <c r="U76" i="29"/>
  <c r="Y76" i="29"/>
  <c r="Z76" i="29"/>
  <c r="AD76" i="29"/>
  <c r="AB76" i="29"/>
  <c r="V76" i="29"/>
  <c r="AA76" i="29"/>
  <c r="W76" i="29"/>
  <c r="BL77" i="29" l="1"/>
  <c r="DD77" i="29"/>
  <c r="DF77" i="29"/>
  <c r="DB77" i="29"/>
  <c r="BJ77" i="29"/>
  <c r="CZ77" i="29"/>
  <c r="BP77" i="29"/>
  <c r="DE77" i="29"/>
  <c r="BR77" i="29"/>
  <c r="BN77" i="29"/>
  <c r="BM77" i="29"/>
  <c r="BI77" i="29"/>
  <c r="DC77" i="29"/>
  <c r="CX77" i="29"/>
  <c r="BQ77" i="29"/>
  <c r="CY77" i="29"/>
  <c r="BO77" i="29"/>
  <c r="DA77" i="29"/>
  <c r="CW77" i="29"/>
  <c r="BK77" i="29"/>
  <c r="AD77" i="29"/>
  <c r="W77" i="29"/>
  <c r="V77" i="29"/>
  <c r="Y77" i="29"/>
  <c r="AC77" i="29"/>
  <c r="AA77" i="29"/>
  <c r="AB77" i="29"/>
  <c r="Z77" i="29"/>
  <c r="U77" i="29"/>
  <c r="X77" i="29"/>
  <c r="DA78" i="29" l="1"/>
  <c r="CY78" i="29"/>
  <c r="CX78" i="29"/>
  <c r="BI78" i="29"/>
  <c r="BN78" i="29"/>
  <c r="DE78" i="29"/>
  <c r="CZ78" i="29"/>
  <c r="DB78" i="29"/>
  <c r="DD78" i="29"/>
  <c r="BK78" i="29"/>
  <c r="CW78" i="29"/>
  <c r="BO78" i="29"/>
  <c r="BQ78" i="29"/>
  <c r="DC78" i="29"/>
  <c r="BM78" i="29"/>
  <c r="BR78" i="29"/>
  <c r="BP78" i="29"/>
  <c r="BJ78" i="29"/>
  <c r="DF78" i="29"/>
  <c r="BL78" i="29"/>
  <c r="X78" i="29"/>
  <c r="Z78" i="29"/>
  <c r="AA78" i="29"/>
  <c r="Y78" i="29"/>
  <c r="W78" i="29"/>
  <c r="U78" i="29"/>
  <c r="AB78" i="29"/>
  <c r="AC78" i="29"/>
  <c r="V78" i="29"/>
  <c r="AD78" i="29"/>
  <c r="BL79" i="29" l="1"/>
  <c r="BJ79" i="29"/>
  <c r="BR79" i="29"/>
  <c r="DC79" i="29"/>
  <c r="BO79" i="29"/>
  <c r="BK79" i="29"/>
  <c r="DB79" i="29"/>
  <c r="DE79" i="29"/>
  <c r="BI79" i="29"/>
  <c r="CY79" i="29"/>
  <c r="BQ79" i="29"/>
  <c r="DF79" i="29"/>
  <c r="BP79" i="29"/>
  <c r="BM79" i="29"/>
  <c r="CW79" i="29"/>
  <c r="DD79" i="29"/>
  <c r="CZ79" i="29"/>
  <c r="BN79" i="29"/>
  <c r="CX79" i="29"/>
  <c r="DA79" i="29"/>
  <c r="AD79" i="29"/>
  <c r="AC79" i="29"/>
  <c r="U79" i="29"/>
  <c r="Y79" i="29"/>
  <c r="Z79" i="29"/>
  <c r="V79" i="29"/>
  <c r="AB79" i="29"/>
  <c r="W79" i="29"/>
  <c r="AA79" i="29"/>
  <c r="X79" i="29"/>
  <c r="DA80" i="29" l="1"/>
  <c r="BN80" i="29"/>
  <c r="DD80" i="29"/>
  <c r="BM80" i="29"/>
  <c r="DF80" i="29"/>
  <c r="CY80" i="29"/>
  <c r="DE80" i="29"/>
  <c r="BK80" i="29"/>
  <c r="DC80" i="29"/>
  <c r="BJ80" i="29"/>
  <c r="CX80" i="29"/>
  <c r="CZ80" i="29"/>
  <c r="CW80" i="29"/>
  <c r="BP80" i="29"/>
  <c r="BQ80" i="29"/>
  <c r="BI80" i="29"/>
  <c r="DB80" i="29"/>
  <c r="BO80" i="29"/>
  <c r="BR80" i="29"/>
  <c r="BL80" i="29"/>
  <c r="W80" i="29"/>
  <c r="AC80" i="29"/>
  <c r="Y80" i="29"/>
  <c r="X80" i="29"/>
  <c r="V80" i="29"/>
  <c r="AA80" i="29"/>
  <c r="AB80" i="29"/>
  <c r="Z80" i="29"/>
  <c r="U80" i="29"/>
  <c r="AD80" i="29"/>
  <c r="BL81" i="29" l="1"/>
  <c r="BO81" i="29"/>
  <c r="BI81" i="29"/>
  <c r="BP81" i="29"/>
  <c r="CZ81" i="29"/>
  <c r="BJ81" i="29"/>
  <c r="BK81" i="29"/>
  <c r="CY81" i="29"/>
  <c r="BM81" i="29"/>
  <c r="BN81" i="29"/>
  <c r="BR81" i="29"/>
  <c r="DB81" i="29"/>
  <c r="BQ81" i="29"/>
  <c r="CW81" i="29"/>
  <c r="CX81" i="29"/>
  <c r="DC81" i="29"/>
  <c r="DE81" i="29"/>
  <c r="DF81" i="29"/>
  <c r="DD81" i="29"/>
  <c r="DA81" i="29"/>
  <c r="AD81" i="29"/>
  <c r="X81" i="29"/>
  <c r="Z81" i="29"/>
  <c r="AC81" i="29"/>
  <c r="AA81" i="29"/>
  <c r="U81" i="29"/>
  <c r="AB81" i="29"/>
  <c r="V81" i="29"/>
  <c r="Y81" i="29"/>
  <c r="W81" i="29"/>
  <c r="DA82" i="29" l="1"/>
  <c r="DF82" i="29"/>
  <c r="DC82" i="29"/>
  <c r="CW82" i="29"/>
  <c r="DB82" i="29"/>
  <c r="BN82" i="29"/>
  <c r="CY82" i="29"/>
  <c r="BJ82" i="29"/>
  <c r="BP82" i="29"/>
  <c r="BO82" i="29"/>
  <c r="DD82" i="29"/>
  <c r="DE82" i="29"/>
  <c r="CX82" i="29"/>
  <c r="BQ82" i="29"/>
  <c r="BR82" i="29"/>
  <c r="BM82" i="29"/>
  <c r="BK82" i="29"/>
  <c r="CZ82" i="29"/>
  <c r="BI82" i="29"/>
  <c r="BL82" i="29"/>
  <c r="V82" i="29"/>
  <c r="X82" i="29"/>
  <c r="U82" i="29"/>
  <c r="AC82" i="29"/>
  <c r="W82" i="29"/>
  <c r="Y82" i="29"/>
  <c r="AB82" i="29"/>
  <c r="AA82" i="29"/>
  <c r="Z82" i="29"/>
  <c r="AD82" i="29"/>
  <c r="CZ83" i="29" l="1"/>
  <c r="BM83" i="29"/>
  <c r="BQ83" i="29"/>
  <c r="DE83" i="29"/>
  <c r="BO83" i="29"/>
  <c r="BJ83" i="29"/>
  <c r="BN83" i="29"/>
  <c r="CW83" i="29"/>
  <c r="DF83" i="29"/>
  <c r="BL83" i="29"/>
  <c r="BI83" i="29"/>
  <c r="BK83" i="29"/>
  <c r="BR83" i="29"/>
  <c r="CX83" i="29"/>
  <c r="DD83" i="29"/>
  <c r="BP83" i="29"/>
  <c r="CY83" i="29"/>
  <c r="DB83" i="29"/>
  <c r="DC83" i="29"/>
  <c r="DA83" i="29"/>
  <c r="AD83" i="29"/>
  <c r="AC83" i="29"/>
  <c r="Y83" i="29"/>
  <c r="X83" i="29"/>
  <c r="AA83" i="29"/>
  <c r="Z83" i="29"/>
  <c r="AB83" i="29"/>
  <c r="W83" i="29"/>
  <c r="U83" i="29"/>
  <c r="V83" i="29"/>
  <c r="DA84" i="29" l="1"/>
  <c r="DB84" i="29"/>
  <c r="BP84" i="29"/>
  <c r="CX84" i="29"/>
  <c r="BK84" i="29"/>
  <c r="BL84" i="29"/>
  <c r="CW84" i="29"/>
  <c r="BJ84" i="29"/>
  <c r="DE84" i="29"/>
  <c r="BM84" i="29"/>
  <c r="DC84" i="29"/>
  <c r="CY84" i="29"/>
  <c r="DD84" i="29"/>
  <c r="BR84" i="29"/>
  <c r="BI84" i="29"/>
  <c r="DF84" i="29"/>
  <c r="BN84" i="29"/>
  <c r="BO84" i="29"/>
  <c r="BQ84" i="29"/>
  <c r="CZ84" i="29"/>
  <c r="V84" i="29"/>
  <c r="X84" i="29"/>
  <c r="W84" i="29"/>
  <c r="Z84" i="29"/>
  <c r="AC84" i="29"/>
  <c r="U84" i="29"/>
  <c r="AB84" i="29"/>
  <c r="AA84" i="29"/>
  <c r="Y84" i="29"/>
  <c r="AD84" i="29"/>
  <c r="CZ85" i="29" l="1"/>
  <c r="BO85" i="29"/>
  <c r="DF85" i="29"/>
  <c r="BR85" i="29"/>
  <c r="CY85" i="29"/>
  <c r="BM85" i="29"/>
  <c r="BJ85" i="29"/>
  <c r="BL85" i="29"/>
  <c r="CX85" i="29"/>
  <c r="DB85" i="29"/>
  <c r="BQ85" i="29"/>
  <c r="BN85" i="29"/>
  <c r="BI85" i="29"/>
  <c r="DD85" i="29"/>
  <c r="DC85" i="29"/>
  <c r="DE85" i="29"/>
  <c r="CW85" i="29"/>
  <c r="BK85" i="29"/>
  <c r="BP85" i="29"/>
  <c r="DA85" i="29"/>
  <c r="AD85" i="29"/>
  <c r="U85" i="29"/>
  <c r="X85" i="29"/>
  <c r="AA85" i="29"/>
  <c r="Z85" i="29"/>
  <c r="Y85" i="29"/>
  <c r="AB85" i="29"/>
  <c r="AC85" i="29"/>
  <c r="W85" i="29"/>
  <c r="V85" i="29"/>
  <c r="BK86" i="29" l="1"/>
  <c r="DE86" i="29"/>
  <c r="DD86" i="29"/>
  <c r="BN86" i="29"/>
  <c r="DB86" i="29"/>
  <c r="BL86" i="29"/>
  <c r="BM86" i="29"/>
  <c r="BR86" i="29"/>
  <c r="BO86" i="29"/>
  <c r="DA86" i="29"/>
  <c r="BP86" i="29"/>
  <c r="CW86" i="29"/>
  <c r="DC86" i="29"/>
  <c r="BI86" i="29"/>
  <c r="BQ86" i="29"/>
  <c r="CX86" i="29"/>
  <c r="BJ86" i="29"/>
  <c r="CY86" i="29"/>
  <c r="DF86" i="29"/>
  <c r="CZ86" i="29"/>
  <c r="AC86" i="29"/>
  <c r="U86" i="29"/>
  <c r="Y86" i="29"/>
  <c r="AA86" i="29"/>
  <c r="V86" i="29"/>
  <c r="W86" i="29"/>
  <c r="AB86" i="29"/>
  <c r="Z86" i="29"/>
  <c r="X86" i="29"/>
  <c r="AD86" i="29"/>
  <c r="CZ87" i="29" l="1"/>
  <c r="CY87" i="29"/>
  <c r="CX87" i="29"/>
  <c r="BI87" i="29"/>
  <c r="CW87" i="29"/>
  <c r="DA87" i="29"/>
  <c r="BR87" i="29"/>
  <c r="BL87" i="29"/>
  <c r="BN87" i="29"/>
  <c r="DE87" i="29"/>
  <c r="DF87" i="29"/>
  <c r="BJ87" i="29"/>
  <c r="BQ87" i="29"/>
  <c r="DC87" i="29"/>
  <c r="BP87" i="29"/>
  <c r="BO87" i="29"/>
  <c r="BM87" i="29"/>
  <c r="DB87" i="29"/>
  <c r="DD87" i="29"/>
  <c r="BK87" i="29"/>
  <c r="AD87" i="29"/>
  <c r="Z87" i="29"/>
  <c r="W87" i="29"/>
  <c r="AA87" i="29"/>
  <c r="U87" i="29"/>
  <c r="X87" i="29"/>
  <c r="AB87" i="29"/>
  <c r="V87" i="29"/>
  <c r="Y87" i="29"/>
  <c r="AC87" i="29"/>
  <c r="BK88" i="29" l="1"/>
  <c r="DB88" i="29"/>
  <c r="BO88" i="29"/>
  <c r="DC88" i="29"/>
  <c r="BJ88" i="29"/>
  <c r="DE88" i="29"/>
  <c r="BL88" i="29"/>
  <c r="DA88" i="29"/>
  <c r="BI88" i="29"/>
  <c r="CY88" i="29"/>
  <c r="DD88" i="29"/>
  <c r="BM88" i="29"/>
  <c r="BP88" i="29"/>
  <c r="BQ88" i="29"/>
  <c r="DF88" i="29"/>
  <c r="BN88" i="29"/>
  <c r="BR88" i="29"/>
  <c r="CW88" i="29"/>
  <c r="CX88" i="29"/>
  <c r="CZ88" i="29"/>
  <c r="V88" i="29"/>
  <c r="X88" i="29"/>
  <c r="AA88" i="29"/>
  <c r="Z88" i="29"/>
  <c r="AC88" i="29"/>
  <c r="Y88" i="29"/>
  <c r="AB88" i="29"/>
  <c r="U88" i="29"/>
  <c r="W88" i="29"/>
  <c r="AD88" i="29"/>
  <c r="BR89" i="29" l="1"/>
  <c r="BP89" i="29"/>
  <c r="BI89" i="29"/>
  <c r="BJ89" i="29"/>
  <c r="CX89" i="29"/>
  <c r="DF89" i="29"/>
  <c r="DD89" i="29"/>
  <c r="BL89" i="29"/>
  <c r="BO89" i="29"/>
  <c r="BK89" i="29"/>
  <c r="CZ89" i="29"/>
  <c r="CW89" i="29"/>
  <c r="BN89" i="29"/>
  <c r="BQ89" i="29"/>
  <c r="BM89" i="29"/>
  <c r="CY89" i="29"/>
  <c r="DA89" i="29"/>
  <c r="DE89" i="29"/>
  <c r="DC89" i="29"/>
  <c r="DB89" i="29"/>
  <c r="AD89" i="29"/>
  <c r="U89" i="29"/>
  <c r="Y89" i="29"/>
  <c r="Z89" i="29"/>
  <c r="X89" i="29"/>
  <c r="W89" i="29"/>
  <c r="AB89" i="29"/>
  <c r="AC89" i="29"/>
  <c r="AA89" i="29"/>
  <c r="V89" i="29"/>
  <c r="DB90" i="29" l="1"/>
  <c r="DE90" i="29"/>
  <c r="CY90" i="29"/>
  <c r="BQ90" i="29"/>
  <c r="CW90" i="29"/>
  <c r="BK90" i="29"/>
  <c r="BL90" i="29"/>
  <c r="DF90" i="29"/>
  <c r="BJ90" i="29"/>
  <c r="BP90" i="29"/>
  <c r="DC90" i="29"/>
  <c r="DA90" i="29"/>
  <c r="BM90" i="29"/>
  <c r="BN90" i="29"/>
  <c r="CZ90" i="29"/>
  <c r="BO90" i="29"/>
  <c r="DD90" i="29"/>
  <c r="CX90" i="29"/>
  <c r="BI90" i="29"/>
  <c r="BR90" i="29"/>
  <c r="AC90" i="29"/>
  <c r="U90" i="29"/>
  <c r="V90" i="29"/>
  <c r="W90" i="29"/>
  <c r="Z90" i="29"/>
  <c r="AA90" i="29"/>
  <c r="AB90" i="29"/>
  <c r="X90" i="29"/>
  <c r="Y90" i="29"/>
  <c r="AD90" i="29"/>
  <c r="BR91" i="29" l="1"/>
  <c r="CX91" i="29"/>
  <c r="BO91" i="29"/>
  <c r="BN91" i="29"/>
  <c r="DA91" i="29"/>
  <c r="BP91" i="29"/>
  <c r="DF91" i="29"/>
  <c r="BK91" i="29"/>
  <c r="BQ91" i="29"/>
  <c r="DE91" i="29"/>
  <c r="BI91" i="29"/>
  <c r="DD91" i="29"/>
  <c r="CZ91" i="29"/>
  <c r="BM91" i="29"/>
  <c r="DC91" i="29"/>
  <c r="BJ91" i="29"/>
  <c r="BL91" i="29"/>
  <c r="CW91" i="29"/>
  <c r="CY91" i="29"/>
  <c r="DB91" i="29"/>
  <c r="AD91" i="29"/>
  <c r="W91" i="29"/>
  <c r="X91" i="29"/>
  <c r="AA91" i="29"/>
  <c r="U91" i="29"/>
  <c r="Y91" i="29"/>
  <c r="AB91" i="29"/>
  <c r="Z91" i="29"/>
  <c r="V91" i="29"/>
  <c r="AC91" i="29"/>
  <c r="DB92" i="29" l="1"/>
  <c r="CW92" i="29"/>
  <c r="BJ92" i="29"/>
  <c r="BM92" i="29"/>
  <c r="DD92" i="29"/>
  <c r="DE92" i="29"/>
  <c r="BK92" i="29"/>
  <c r="BP92" i="29"/>
  <c r="BN92" i="29"/>
  <c r="CX92" i="29"/>
  <c r="CY92" i="29"/>
  <c r="BL92" i="29"/>
  <c r="DC92" i="29"/>
  <c r="CZ92" i="29"/>
  <c r="BI92" i="29"/>
  <c r="BQ92" i="29"/>
  <c r="DF92" i="29"/>
  <c r="DA92" i="29"/>
  <c r="BO92" i="29"/>
  <c r="BR92" i="29"/>
  <c r="AC92" i="29"/>
  <c r="Z92" i="29"/>
  <c r="Y92" i="29"/>
  <c r="AA92" i="29"/>
  <c r="W92" i="29"/>
  <c r="V92" i="29"/>
  <c r="AB92" i="29"/>
  <c r="U92" i="29"/>
  <c r="X92" i="29"/>
  <c r="AD92" i="29"/>
  <c r="BR93" i="29" l="1"/>
  <c r="DA93" i="29"/>
  <c r="BQ93" i="29"/>
  <c r="CZ93" i="29"/>
  <c r="BL93" i="29"/>
  <c r="CX93" i="29"/>
  <c r="BP93" i="29"/>
  <c r="DE93" i="29"/>
  <c r="BM93" i="29"/>
  <c r="CW93" i="29"/>
  <c r="BO93" i="29"/>
  <c r="DF93" i="29"/>
  <c r="BI93" i="29"/>
  <c r="DC93" i="29"/>
  <c r="CY93" i="29"/>
  <c r="BN93" i="29"/>
  <c r="BK93" i="29"/>
  <c r="DD93" i="29"/>
  <c r="BJ93" i="29"/>
  <c r="DB93" i="29"/>
  <c r="U93" i="29"/>
  <c r="AA93" i="29"/>
  <c r="AD93" i="29"/>
  <c r="V93" i="29"/>
  <c r="Z93" i="29"/>
  <c r="X93" i="29"/>
  <c r="AB93" i="29"/>
  <c r="W93" i="29"/>
  <c r="Y93" i="29"/>
  <c r="AC93" i="29"/>
  <c r="DB94" i="29" l="1"/>
  <c r="DD94" i="29"/>
  <c r="BN94" i="29"/>
  <c r="DC94" i="29"/>
  <c r="DF94" i="29"/>
  <c r="CW94" i="29"/>
  <c r="DE94" i="29"/>
  <c r="CX94" i="29"/>
  <c r="CZ94" i="29"/>
  <c r="DA94" i="29"/>
  <c r="BJ94" i="29"/>
  <c r="BK94" i="29"/>
  <c r="CY94" i="29"/>
  <c r="BI94" i="29"/>
  <c r="BO94" i="29"/>
  <c r="BM94" i="29"/>
  <c r="BP94" i="29"/>
  <c r="BL94" i="29"/>
  <c r="BQ94" i="29"/>
  <c r="BR94" i="29"/>
  <c r="AC94" i="29"/>
  <c r="X94" i="29"/>
  <c r="AA94" i="29"/>
  <c r="W94" i="29"/>
  <c r="V94" i="29"/>
  <c r="Y94" i="29"/>
  <c r="AB94" i="29"/>
  <c r="Z94" i="29"/>
  <c r="AD94" i="29"/>
  <c r="U94" i="29"/>
  <c r="BR95" i="29" l="1"/>
  <c r="BL95" i="29"/>
  <c r="BM95" i="29"/>
  <c r="BI95" i="29"/>
  <c r="BK95" i="29"/>
  <c r="DA95" i="29"/>
  <c r="CX95" i="29"/>
  <c r="CW95" i="29"/>
  <c r="DC95" i="29"/>
  <c r="DD95" i="29"/>
  <c r="BQ95" i="29"/>
  <c r="BP95" i="29"/>
  <c r="BO95" i="29"/>
  <c r="CY95" i="29"/>
  <c r="BJ95" i="29"/>
  <c r="CZ95" i="29"/>
  <c r="DE95" i="29"/>
  <c r="DF95" i="29"/>
  <c r="BN95" i="29"/>
  <c r="DB95" i="29"/>
  <c r="U95" i="29"/>
  <c r="Z95" i="29"/>
  <c r="Y95" i="29"/>
  <c r="W95" i="29"/>
  <c r="X95" i="29"/>
  <c r="AD95" i="29"/>
  <c r="AB95" i="29"/>
  <c r="V95" i="29"/>
  <c r="AA95" i="29"/>
  <c r="AC95" i="29"/>
  <c r="BJ96" i="29" l="1"/>
  <c r="CX96" i="29"/>
  <c r="DE96" i="29"/>
  <c r="DC96" i="29"/>
  <c r="DB96" i="29"/>
  <c r="DF96" i="29"/>
  <c r="CZ96" i="29"/>
  <c r="CY96" i="29"/>
  <c r="BP96" i="29"/>
  <c r="DD96" i="29"/>
  <c r="CW96" i="29"/>
  <c r="DA96" i="29"/>
  <c r="BI96" i="29"/>
  <c r="BL96" i="29"/>
  <c r="BO96" i="29"/>
  <c r="BN96" i="29"/>
  <c r="BQ96" i="29"/>
  <c r="BK96" i="29"/>
  <c r="BM96" i="29"/>
  <c r="BR96" i="29"/>
  <c r="AC96" i="29"/>
  <c r="V96" i="29"/>
  <c r="AD96" i="29"/>
  <c r="W96" i="29"/>
  <c r="Z96" i="29"/>
  <c r="AA96" i="29"/>
  <c r="AB96" i="29"/>
  <c r="X96" i="29"/>
  <c r="Y96" i="29"/>
  <c r="U96" i="29"/>
  <c r="BR97" i="29" l="1"/>
  <c r="BK97" i="29"/>
  <c r="BN97" i="29"/>
  <c r="BL97" i="29"/>
  <c r="DA97" i="29"/>
  <c r="DD97" i="29"/>
  <c r="CY97" i="29"/>
  <c r="DF97" i="29"/>
  <c r="DC97" i="29"/>
  <c r="CX97" i="29"/>
  <c r="BM97" i="29"/>
  <c r="BQ97" i="29"/>
  <c r="BO97" i="29"/>
  <c r="BI97" i="29"/>
  <c r="CW97" i="29"/>
  <c r="BP97" i="29"/>
  <c r="CZ97" i="29"/>
  <c r="DB97" i="29"/>
  <c r="DE97" i="29"/>
  <c r="BJ97" i="29"/>
  <c r="Y97" i="29"/>
  <c r="AB97" i="29"/>
  <c r="Z97" i="29"/>
  <c r="AD97" i="29"/>
  <c r="AC97" i="29"/>
  <c r="U97" i="29"/>
  <c r="X97" i="29"/>
  <c r="AA97" i="29"/>
  <c r="W97" i="29"/>
  <c r="V97" i="29"/>
  <c r="BP98" i="29" l="1"/>
  <c r="BJ98" i="29"/>
  <c r="DB98" i="29"/>
  <c r="BI98" i="29"/>
  <c r="BQ98" i="29"/>
  <c r="CX98" i="29"/>
  <c r="DF98" i="29"/>
  <c r="DD98" i="29"/>
  <c r="BL98" i="29"/>
  <c r="BK98" i="29"/>
  <c r="DE98" i="29"/>
  <c r="CZ98" i="29"/>
  <c r="CW98" i="29"/>
  <c r="BO98" i="29"/>
  <c r="BM98" i="29"/>
  <c r="DC98" i="29"/>
  <c r="CY98" i="29"/>
  <c r="DA98" i="29"/>
  <c r="BN98" i="29"/>
  <c r="BR98" i="29"/>
  <c r="U98" i="29"/>
  <c r="AB98" i="29"/>
  <c r="V98" i="29"/>
  <c r="AA98" i="29"/>
  <c r="AD98" i="29"/>
  <c r="W98" i="29"/>
  <c r="X98" i="29"/>
  <c r="AC98" i="29"/>
  <c r="Z98" i="29"/>
  <c r="Y98" i="29"/>
  <c r="BR99" i="29" l="1"/>
  <c r="DA99" i="29"/>
  <c r="DC99" i="29"/>
  <c r="BO99" i="29"/>
  <c r="CZ99" i="29"/>
  <c r="BK99" i="29"/>
  <c r="DD99" i="29"/>
  <c r="CX99" i="29"/>
  <c r="BI99" i="29"/>
  <c r="BJ99" i="29"/>
  <c r="BN99" i="29"/>
  <c r="CY99" i="29"/>
  <c r="BM99" i="29"/>
  <c r="CW99" i="29"/>
  <c r="DE99" i="29"/>
  <c r="BL99" i="29"/>
  <c r="DF99" i="29"/>
  <c r="BQ99" i="29"/>
  <c r="DB99" i="29"/>
  <c r="BP99" i="29"/>
  <c r="AC99" i="29"/>
  <c r="AB99" i="29"/>
  <c r="Y99" i="29"/>
  <c r="W99" i="29"/>
  <c r="AA99" i="29"/>
  <c r="Z99" i="29"/>
  <c r="X99" i="29"/>
  <c r="AD99" i="29"/>
  <c r="V99" i="29"/>
  <c r="U99" i="29"/>
  <c r="BP100" i="29" l="1"/>
  <c r="BQ100" i="29"/>
  <c r="BL100" i="29"/>
  <c r="CW100" i="29"/>
  <c r="CY100" i="29"/>
  <c r="BJ100" i="29"/>
  <c r="CX100" i="29"/>
  <c r="BK100" i="29"/>
  <c r="BO100" i="29"/>
  <c r="DA100" i="29"/>
  <c r="DB100" i="29"/>
  <c r="DF100" i="29"/>
  <c r="DE100" i="29"/>
  <c r="BM100" i="29"/>
  <c r="BN100" i="29"/>
  <c r="BI100" i="29"/>
  <c r="DD100" i="29"/>
  <c r="CZ100" i="29"/>
  <c r="DC100" i="29"/>
  <c r="BR100" i="29"/>
  <c r="Z100" i="29"/>
  <c r="AB100" i="29"/>
  <c r="W100" i="29"/>
  <c r="U100" i="29"/>
  <c r="AD100" i="29"/>
  <c r="V100" i="29"/>
  <c r="X100" i="29"/>
  <c r="AA100" i="29"/>
  <c r="Y100" i="29"/>
  <c r="AC100" i="29"/>
  <c r="DC101" i="29" l="1"/>
  <c r="BN101" i="29"/>
  <c r="DB101" i="29"/>
  <c r="CX101" i="29"/>
  <c r="BL101" i="29"/>
  <c r="BP101" i="29"/>
  <c r="DD101" i="29"/>
  <c r="DE101" i="29"/>
  <c r="BO101" i="29"/>
  <c r="CY101" i="29"/>
  <c r="BR101" i="29"/>
  <c r="CZ101" i="29"/>
  <c r="BI101" i="29"/>
  <c r="BM101" i="29"/>
  <c r="DF101" i="29"/>
  <c r="DA101" i="29"/>
  <c r="BK101" i="29"/>
  <c r="BJ101" i="29"/>
  <c r="CW101" i="29"/>
  <c r="BQ101" i="29"/>
  <c r="V101" i="29"/>
  <c r="U101" i="29"/>
  <c r="AB101" i="29"/>
  <c r="AC101" i="29"/>
  <c r="AA101" i="29"/>
  <c r="Y101" i="29"/>
  <c r="X101" i="29"/>
  <c r="AD101" i="29"/>
  <c r="W101" i="29"/>
  <c r="Z101" i="29"/>
  <c r="BK102" i="29" l="1"/>
  <c r="BR102" i="29"/>
  <c r="BL102" i="29"/>
  <c r="DF102" i="29"/>
  <c r="BO102" i="29"/>
  <c r="BQ102" i="29"/>
  <c r="BJ102" i="29"/>
  <c r="DA102" i="29"/>
  <c r="BM102" i="29"/>
  <c r="CZ102" i="29"/>
  <c r="CY102" i="29"/>
  <c r="DE102" i="29"/>
  <c r="BP102" i="29"/>
  <c r="CX102" i="29"/>
  <c r="BN102" i="29"/>
  <c r="CW102" i="29"/>
  <c r="BI102" i="29"/>
  <c r="DD102" i="29"/>
  <c r="DB102" i="29"/>
  <c r="DC102" i="29"/>
  <c r="W102" i="29"/>
  <c r="AA102" i="29"/>
  <c r="AB102" i="29"/>
  <c r="V102" i="29"/>
  <c r="Z102" i="29"/>
  <c r="AD102" i="29"/>
  <c r="Y102" i="29"/>
  <c r="AC102" i="29"/>
  <c r="U102" i="29"/>
  <c r="X102" i="29"/>
  <c r="DB103" i="29" l="1"/>
  <c r="BN103" i="29"/>
  <c r="CY103" i="29"/>
  <c r="BJ103" i="29"/>
  <c r="BK103" i="29"/>
  <c r="BI103" i="29"/>
  <c r="BP103" i="29"/>
  <c r="BM103" i="29"/>
  <c r="BO103" i="29"/>
  <c r="BL103" i="29"/>
  <c r="DC103" i="29"/>
  <c r="DD103" i="29"/>
  <c r="CW103" i="29"/>
  <c r="CX103" i="29"/>
  <c r="DE103" i="29"/>
  <c r="CZ103" i="29"/>
  <c r="DA103" i="29"/>
  <c r="BQ103" i="29"/>
  <c r="DF103" i="29"/>
  <c r="BR103" i="29"/>
  <c r="AC103" i="29"/>
  <c r="V103" i="29"/>
  <c r="AA103" i="29"/>
  <c r="X103" i="29"/>
  <c r="AD103" i="29"/>
  <c r="Z103" i="29"/>
  <c r="U103" i="29"/>
  <c r="Y103" i="29"/>
  <c r="AB103" i="29"/>
  <c r="W103" i="29"/>
  <c r="DA104" i="29" l="1"/>
  <c r="DC104" i="29"/>
  <c r="BK104" i="29"/>
  <c r="DF104" i="29"/>
  <c r="DE104" i="29"/>
  <c r="BO104" i="29"/>
  <c r="BR104" i="29"/>
  <c r="BQ104" i="29"/>
  <c r="CZ104" i="29"/>
  <c r="CX104" i="29"/>
  <c r="DD104" i="29"/>
  <c r="BL104" i="29"/>
  <c r="BM104" i="29"/>
  <c r="BI104" i="29"/>
  <c r="BJ104" i="29"/>
  <c r="BN104" i="29"/>
  <c r="CW104" i="29"/>
  <c r="BP104" i="29"/>
  <c r="CY104" i="29"/>
  <c r="DB104" i="29"/>
  <c r="Y104" i="29"/>
  <c r="Z104" i="29"/>
  <c r="X104" i="29"/>
  <c r="V104" i="29"/>
  <c r="W104" i="29"/>
  <c r="AB104" i="29"/>
  <c r="U104" i="29"/>
  <c r="AD104" i="29"/>
  <c r="AA104" i="29"/>
  <c r="AC104" i="29"/>
  <c r="CY105" i="29" l="1"/>
  <c r="BJ105" i="29"/>
  <c r="DD105" i="29"/>
  <c r="BR105" i="29"/>
  <c r="BK105" i="29"/>
  <c r="DA105" i="29"/>
  <c r="CW105" i="29"/>
  <c r="BM105" i="29"/>
  <c r="CZ105" i="29"/>
  <c r="DE105" i="29"/>
  <c r="DB105" i="29"/>
  <c r="BP105" i="29"/>
  <c r="BN105" i="29"/>
  <c r="BI105" i="29"/>
  <c r="BL105" i="29"/>
  <c r="CX105" i="29"/>
  <c r="BQ105" i="29"/>
  <c r="BO105" i="29"/>
  <c r="DF105" i="29"/>
  <c r="DC105" i="29"/>
  <c r="AD105" i="29"/>
  <c r="Z105" i="29"/>
  <c r="AC105" i="29"/>
  <c r="V105" i="29"/>
  <c r="AB105" i="29"/>
  <c r="AA105" i="29"/>
  <c r="U105" i="29"/>
  <c r="W105" i="29"/>
  <c r="X105" i="29"/>
  <c r="Y105" i="29"/>
  <c r="BL106" i="29" l="1"/>
  <c r="CW106" i="29"/>
  <c r="BQ106" i="29"/>
  <c r="BN106" i="29"/>
  <c r="CZ106" i="29"/>
  <c r="DC106" i="29"/>
  <c r="BO106" i="29"/>
  <c r="CX106" i="29"/>
  <c r="BI106" i="29"/>
  <c r="BP106" i="29"/>
  <c r="DE106" i="29"/>
  <c r="BM106" i="29"/>
  <c r="DA106" i="29"/>
  <c r="BR106" i="29"/>
  <c r="BJ106" i="29"/>
  <c r="DF106" i="29"/>
  <c r="DB106" i="29"/>
  <c r="BK106" i="29"/>
  <c r="DD106" i="29"/>
  <c r="CY106" i="29"/>
  <c r="Z106" i="29"/>
  <c r="Y106" i="29"/>
  <c r="AA106" i="29"/>
  <c r="W106" i="29"/>
  <c r="V106" i="29"/>
  <c r="X106" i="29"/>
  <c r="U106" i="29"/>
  <c r="AB106" i="29"/>
  <c r="AC106" i="29"/>
  <c r="AD106" i="29"/>
  <c r="DB107" i="29" l="1"/>
  <c r="DE107" i="29"/>
  <c r="BI107" i="29"/>
  <c r="CZ107" i="29"/>
  <c r="BL107" i="29"/>
  <c r="DD107" i="29"/>
  <c r="BJ107" i="29"/>
  <c r="DA107" i="29"/>
  <c r="BO107" i="29"/>
  <c r="BQ107" i="29"/>
  <c r="CY107" i="29"/>
  <c r="BK107" i="29"/>
  <c r="DF107" i="29"/>
  <c r="BR107" i="29"/>
  <c r="BM107" i="29"/>
  <c r="BP107" i="29"/>
  <c r="CX107" i="29"/>
  <c r="DC107" i="29"/>
  <c r="BN107" i="29"/>
  <c r="CW107" i="29"/>
  <c r="X107" i="29"/>
  <c r="Y107" i="29"/>
  <c r="AB107" i="29"/>
  <c r="W107" i="29"/>
  <c r="AC107" i="29"/>
  <c r="AD107" i="29"/>
  <c r="U107" i="29"/>
  <c r="V107" i="29"/>
  <c r="AA107" i="29"/>
  <c r="Z107" i="29"/>
  <c r="BN108" i="29" l="1"/>
  <c r="BM108" i="29"/>
  <c r="BJ108" i="29"/>
  <c r="CX108" i="29"/>
  <c r="CY108" i="29"/>
  <c r="CW108" i="29"/>
  <c r="DC108" i="29"/>
  <c r="BP108" i="29"/>
  <c r="BR108" i="29"/>
  <c r="BK108" i="29"/>
  <c r="BQ108" i="29"/>
  <c r="DA108" i="29"/>
  <c r="DD108" i="29"/>
  <c r="CZ108" i="29"/>
  <c r="DE108" i="29"/>
  <c r="DF108" i="29"/>
  <c r="BO108" i="29"/>
  <c r="BL108" i="29"/>
  <c r="BI108" i="29"/>
  <c r="DB108" i="29"/>
  <c r="V108" i="29"/>
  <c r="W108" i="29"/>
  <c r="Z108" i="29"/>
  <c r="AD108" i="29"/>
  <c r="Y108" i="29"/>
  <c r="AA108" i="29"/>
  <c r="U108" i="29"/>
  <c r="AC108" i="29"/>
  <c r="AB108" i="29"/>
  <c r="X108" i="29"/>
  <c r="BO109" i="29" l="1"/>
  <c r="DD109" i="29"/>
  <c r="BR109" i="29"/>
  <c r="DC109" i="29"/>
  <c r="BJ109" i="29"/>
  <c r="BI109" i="29"/>
  <c r="DB109" i="29"/>
  <c r="BL109" i="29"/>
  <c r="DF109" i="29"/>
  <c r="CZ109" i="29"/>
  <c r="DA109" i="29"/>
  <c r="BK109" i="29"/>
  <c r="BP109" i="29"/>
  <c r="CW109" i="29"/>
  <c r="CX109" i="29"/>
  <c r="BM109" i="29"/>
  <c r="DE109" i="29"/>
  <c r="BQ109" i="29"/>
  <c r="CY109" i="29"/>
  <c r="BN109" i="29"/>
  <c r="X109" i="29"/>
  <c r="AC109" i="29"/>
  <c r="AA109" i="29"/>
  <c r="AD109" i="29"/>
  <c r="W109" i="29"/>
  <c r="AB109" i="29"/>
  <c r="U109" i="29"/>
  <c r="Y109" i="29"/>
  <c r="Z109" i="29"/>
  <c r="V109" i="29"/>
  <c r="CX110" i="29" l="1"/>
  <c r="DF110" i="29"/>
  <c r="BJ110" i="29"/>
  <c r="DE110" i="29"/>
  <c r="DA110" i="29"/>
  <c r="BN110" i="29"/>
  <c r="BQ110" i="29"/>
  <c r="BM110" i="29"/>
  <c r="CW110" i="29"/>
  <c r="BK110" i="29"/>
  <c r="CZ110" i="29"/>
  <c r="BL110" i="29"/>
  <c r="BI110" i="29"/>
  <c r="DC110" i="29"/>
  <c r="DD110" i="29"/>
  <c r="CY110" i="29"/>
  <c r="BP110" i="29"/>
  <c r="DB110" i="29"/>
  <c r="BR110" i="29"/>
  <c r="BO110" i="29"/>
  <c r="AB110" i="29"/>
  <c r="AD110" i="29"/>
  <c r="AC110" i="29"/>
  <c r="Y110" i="29"/>
  <c r="V110" i="29"/>
  <c r="Z110" i="29"/>
  <c r="U110" i="29"/>
  <c r="W110" i="29"/>
  <c r="AA110" i="29"/>
  <c r="X110" i="29"/>
  <c r="BR111" i="29" l="1"/>
  <c r="DD111" i="29"/>
  <c r="CZ111" i="29"/>
  <c r="CW111" i="29"/>
  <c r="DA111" i="29"/>
  <c r="CX111" i="29"/>
  <c r="BN111" i="29"/>
  <c r="BP111" i="29"/>
  <c r="BI111" i="29"/>
  <c r="BQ111" i="29"/>
  <c r="BJ111" i="29"/>
  <c r="BO111" i="29"/>
  <c r="DB111" i="29"/>
  <c r="CY111" i="29"/>
  <c r="DC111" i="29"/>
  <c r="BL111" i="29"/>
  <c r="BK111" i="29"/>
  <c r="BM111" i="29"/>
  <c r="DE111" i="29"/>
  <c r="DF111" i="29"/>
  <c r="W111" i="29"/>
  <c r="AD111" i="29"/>
  <c r="Y111" i="29"/>
  <c r="X111" i="29"/>
  <c r="Z111" i="29"/>
  <c r="AA111" i="29"/>
  <c r="U111" i="29"/>
  <c r="V111" i="29"/>
  <c r="AC111" i="29"/>
  <c r="AB111" i="29"/>
  <c r="BK112" i="29" l="1"/>
  <c r="DB112" i="29"/>
  <c r="BN112" i="29"/>
  <c r="DE112" i="29"/>
  <c r="BJ112" i="29"/>
  <c r="DF112" i="29"/>
  <c r="BM112" i="29"/>
  <c r="BL112" i="29"/>
  <c r="CY112" i="29"/>
  <c r="BO112" i="29"/>
  <c r="BQ112" i="29"/>
  <c r="BP112" i="29"/>
  <c r="CX112" i="29"/>
  <c r="CW112" i="29"/>
  <c r="DD112" i="29"/>
  <c r="DC112" i="29"/>
  <c r="BI112" i="29"/>
  <c r="DA112" i="29"/>
  <c r="CZ112" i="29"/>
  <c r="BR112" i="29"/>
  <c r="V112" i="29"/>
  <c r="AA112" i="29"/>
  <c r="AD112" i="29"/>
  <c r="AB112" i="29"/>
  <c r="X112" i="29"/>
  <c r="AC112" i="29"/>
  <c r="U112" i="29"/>
  <c r="Z112" i="29"/>
  <c r="Y112" i="29"/>
  <c r="W112" i="29"/>
  <c r="CZ113" i="29" l="1"/>
  <c r="CX113" i="29"/>
  <c r="BN113" i="29"/>
  <c r="BI113" i="29"/>
  <c r="BQ113" i="29"/>
  <c r="BM113" i="29"/>
  <c r="BR113" i="29"/>
  <c r="DA113" i="29"/>
  <c r="DC113" i="29"/>
  <c r="CW113" i="29"/>
  <c r="BP113" i="29"/>
  <c r="BO113" i="29"/>
  <c r="BL113" i="29"/>
  <c r="DF113" i="29"/>
  <c r="DE113" i="29"/>
  <c r="DB113" i="29"/>
  <c r="DD113" i="29"/>
  <c r="CY113" i="29"/>
  <c r="BJ113" i="29"/>
  <c r="BK113" i="29"/>
  <c r="AC113" i="29"/>
  <c r="AA113" i="29"/>
  <c r="W113" i="29"/>
  <c r="AB113" i="29"/>
  <c r="Z113" i="29"/>
  <c r="Y113" i="29"/>
  <c r="U113" i="29"/>
  <c r="X113" i="29"/>
  <c r="AD113" i="29"/>
  <c r="V113" i="29"/>
  <c r="BJ114" i="29" l="1"/>
  <c r="DE114" i="29"/>
  <c r="BP114" i="29"/>
  <c r="BR114" i="29"/>
  <c r="BQ114" i="29"/>
  <c r="BN114" i="29"/>
  <c r="CZ114" i="29"/>
  <c r="DD114" i="29"/>
  <c r="BL114" i="29"/>
  <c r="DC114" i="29"/>
  <c r="BK114" i="29"/>
  <c r="CY114" i="29"/>
  <c r="DB114" i="29"/>
  <c r="DF114" i="29"/>
  <c r="BO114" i="29"/>
  <c r="CW114" i="29"/>
  <c r="DA114" i="29"/>
  <c r="BM114" i="29"/>
  <c r="BI114" i="29"/>
  <c r="CX114" i="29"/>
  <c r="U114" i="29"/>
  <c r="W114" i="29"/>
  <c r="V114" i="29"/>
  <c r="X114" i="29"/>
  <c r="AB114" i="29"/>
  <c r="AA114" i="29"/>
  <c r="AD114" i="29"/>
  <c r="Z114" i="29"/>
  <c r="Y114" i="29"/>
  <c r="AC114" i="29"/>
  <c r="BI115" i="29" l="1"/>
  <c r="BO115" i="29"/>
  <c r="BK115" i="29"/>
  <c r="CZ115" i="29"/>
  <c r="BJ115" i="29"/>
  <c r="BN115" i="29"/>
  <c r="DA115" i="29"/>
  <c r="DB115" i="29"/>
  <c r="BL115" i="29"/>
  <c r="BQ115" i="29"/>
  <c r="BP115" i="29"/>
  <c r="CX115" i="29"/>
  <c r="BM115" i="29"/>
  <c r="CW115" i="29"/>
  <c r="DF115" i="29"/>
  <c r="CY115" i="29"/>
  <c r="DC115" i="29"/>
  <c r="DD115" i="29"/>
  <c r="BR115" i="29"/>
  <c r="DE115" i="29"/>
  <c r="AC115" i="29"/>
  <c r="Z115" i="29"/>
  <c r="AA115" i="29"/>
  <c r="X115" i="29"/>
  <c r="W115" i="29"/>
  <c r="Y115" i="29"/>
  <c r="AD115" i="29"/>
  <c r="AB115" i="29"/>
  <c r="V115" i="29"/>
  <c r="U115" i="29"/>
  <c r="BR116" i="29" l="1"/>
  <c r="DF116" i="29"/>
  <c r="BP116" i="29"/>
  <c r="DA116" i="29"/>
  <c r="BK116" i="29"/>
  <c r="DC116" i="29"/>
  <c r="BM116" i="29"/>
  <c r="BL116" i="29"/>
  <c r="BJ116" i="29"/>
  <c r="BI116" i="29"/>
  <c r="DE116" i="29"/>
  <c r="DD116" i="29"/>
  <c r="CY116" i="29"/>
  <c r="CW116" i="29"/>
  <c r="CX116" i="29"/>
  <c r="BQ116" i="29"/>
  <c r="DB116" i="29"/>
  <c r="BN116" i="29"/>
  <c r="CZ116" i="29"/>
  <c r="BO116" i="29"/>
  <c r="Y116" i="29"/>
  <c r="X116" i="29"/>
  <c r="Z116" i="29"/>
  <c r="AB116" i="29"/>
  <c r="U116" i="29"/>
  <c r="V116" i="29"/>
  <c r="AD116" i="29"/>
  <c r="W116" i="29"/>
  <c r="AA116" i="29"/>
  <c r="AC116" i="29"/>
  <c r="CZ117" i="29" l="1"/>
  <c r="CX117" i="29"/>
  <c r="DE117" i="29"/>
  <c r="BM117" i="29"/>
  <c r="BP117" i="29"/>
  <c r="BR117" i="29"/>
  <c r="DB117" i="29"/>
  <c r="CY117" i="29"/>
  <c r="BJ117" i="29"/>
  <c r="BK117" i="29"/>
  <c r="BO117" i="29"/>
  <c r="BN117" i="29"/>
  <c r="BQ117" i="29"/>
  <c r="CW117" i="29"/>
  <c r="DD117" i="29"/>
  <c r="BI117" i="29"/>
  <c r="BL117" i="29"/>
  <c r="DC117" i="29"/>
  <c r="DA117" i="29"/>
  <c r="DF117" i="29"/>
  <c r="AC117" i="29"/>
  <c r="AB117" i="29"/>
  <c r="X117" i="29"/>
  <c r="V117" i="29"/>
  <c r="W117" i="29"/>
  <c r="AA117" i="29"/>
  <c r="AD117" i="29"/>
  <c r="U117" i="29"/>
  <c r="Z117" i="29"/>
  <c r="Y117" i="29"/>
  <c r="BL118" i="29" l="1"/>
  <c r="BQ118" i="29"/>
  <c r="BJ118" i="29"/>
  <c r="BP118" i="29"/>
  <c r="CZ118" i="29"/>
  <c r="DA118" i="29"/>
  <c r="DD118" i="29"/>
  <c r="BO118" i="29"/>
  <c r="DB118" i="29"/>
  <c r="DE118" i="29"/>
  <c r="DF118" i="29"/>
  <c r="DC118" i="29"/>
  <c r="BI118" i="29"/>
  <c r="CW118" i="29"/>
  <c r="BN118" i="29"/>
  <c r="BK118" i="29"/>
  <c r="CY118" i="29"/>
  <c r="BR118" i="29"/>
  <c r="BM118" i="29"/>
  <c r="CX118" i="29"/>
  <c r="Y118" i="29"/>
  <c r="U118" i="29"/>
  <c r="V118" i="29"/>
  <c r="AB118" i="29"/>
  <c r="AA118" i="29"/>
  <c r="Z118" i="29"/>
  <c r="AD118" i="29"/>
  <c r="W118" i="29"/>
  <c r="X118" i="29"/>
  <c r="AC118" i="29"/>
  <c r="CX119" i="29" l="1"/>
  <c r="BR119" i="29"/>
  <c r="BK119" i="29"/>
  <c r="CW119" i="29"/>
  <c r="DC119" i="29"/>
  <c r="DE119" i="29"/>
  <c r="BO119" i="29"/>
  <c r="DA119" i="29"/>
  <c r="BP119" i="29"/>
  <c r="BQ119" i="29"/>
  <c r="BM119" i="29"/>
  <c r="CY119" i="29"/>
  <c r="BN119" i="29"/>
  <c r="BI119" i="29"/>
  <c r="DF119" i="29"/>
  <c r="DB119" i="29"/>
  <c r="DD119" i="29"/>
  <c r="CZ119" i="29"/>
  <c r="BJ119" i="29"/>
  <c r="BL119" i="29"/>
  <c r="W119" i="29"/>
  <c r="AB119" i="29"/>
  <c r="U119" i="29"/>
  <c r="AC119" i="29"/>
  <c r="Z119" i="29"/>
  <c r="X119" i="29"/>
  <c r="AD119" i="29"/>
  <c r="AA119" i="29"/>
  <c r="V119" i="29"/>
  <c r="Y119" i="29"/>
  <c r="BL120" i="29" l="1"/>
  <c r="CZ120" i="29"/>
  <c r="DB120" i="29"/>
  <c r="BI120" i="29"/>
  <c r="CY120" i="29"/>
  <c r="BQ120" i="29"/>
  <c r="DA120" i="29"/>
  <c r="DE120" i="29"/>
  <c r="CW120" i="29"/>
  <c r="BR120" i="29"/>
  <c r="BJ120" i="29"/>
  <c r="DD120" i="29"/>
  <c r="DF120" i="29"/>
  <c r="BN120" i="29"/>
  <c r="BM120" i="29"/>
  <c r="BP120" i="29"/>
  <c r="BO120" i="29"/>
  <c r="DC120" i="29"/>
  <c r="BK120" i="29"/>
  <c r="CX120" i="29"/>
  <c r="Y120" i="29"/>
  <c r="AB120" i="29"/>
  <c r="X120" i="29"/>
  <c r="AA120" i="29"/>
  <c r="AC120" i="29"/>
  <c r="V120" i="29"/>
  <c r="AD120" i="29"/>
  <c r="Z120" i="29"/>
  <c r="U120" i="29"/>
  <c r="W120" i="29"/>
  <c r="CX121" i="29" l="1"/>
  <c r="DC121" i="29"/>
  <c r="BP121" i="29"/>
  <c r="BN121" i="29"/>
  <c r="DD121" i="29"/>
  <c r="BR121" i="29"/>
  <c r="DE121" i="29"/>
  <c r="BQ121" i="29"/>
  <c r="BI121" i="29"/>
  <c r="CZ121" i="29"/>
  <c r="BK121" i="29"/>
  <c r="BO121" i="29"/>
  <c r="BM121" i="29"/>
  <c r="DF121" i="29"/>
  <c r="BJ121" i="29"/>
  <c r="CW121" i="29"/>
  <c r="DA121" i="29"/>
  <c r="CY121" i="29"/>
  <c r="DB121" i="29"/>
  <c r="BL121" i="29"/>
  <c r="W121" i="29"/>
  <c r="Z121" i="29"/>
  <c r="V121" i="29"/>
  <c r="AA121" i="29"/>
  <c r="AB121" i="29"/>
  <c r="U121" i="29"/>
  <c r="AD121" i="29"/>
  <c r="AC121" i="29"/>
  <c r="X121" i="29"/>
  <c r="Y121" i="29"/>
  <c r="BJ122" i="29" l="1"/>
  <c r="DE122" i="29"/>
  <c r="DB122" i="29"/>
  <c r="BM122" i="29"/>
  <c r="BI122" i="29"/>
  <c r="BL122" i="29"/>
  <c r="CY122" i="29"/>
  <c r="CW122" i="29"/>
  <c r="DF122" i="29"/>
  <c r="BO122" i="29"/>
  <c r="CZ122" i="29"/>
  <c r="BQ122" i="29"/>
  <c r="BR122" i="29"/>
  <c r="BN122" i="29"/>
  <c r="DC122" i="29"/>
  <c r="DA122" i="29"/>
  <c r="BK122" i="29"/>
  <c r="DD122" i="29"/>
  <c r="BP122" i="29"/>
  <c r="CX122" i="29"/>
  <c r="Y122" i="29"/>
  <c r="AC122" i="29"/>
  <c r="U122" i="29"/>
  <c r="AA122" i="29"/>
  <c r="Z122" i="29"/>
  <c r="X122" i="29"/>
  <c r="AD122" i="29"/>
  <c r="AB122" i="29"/>
  <c r="V122" i="29"/>
  <c r="W122" i="29"/>
  <c r="CX123" i="29" l="1"/>
  <c r="DD123" i="29"/>
  <c r="DA123" i="29"/>
  <c r="BN123" i="29"/>
  <c r="BQ123" i="29"/>
  <c r="BO123" i="29"/>
  <c r="CW123" i="29"/>
  <c r="BL123" i="29"/>
  <c r="BM123" i="29"/>
  <c r="DE123" i="29"/>
  <c r="BP123" i="29"/>
  <c r="BK123" i="29"/>
  <c r="DC123" i="29"/>
  <c r="BR123" i="29"/>
  <c r="CZ123" i="29"/>
  <c r="DF123" i="29"/>
  <c r="CY123" i="29"/>
  <c r="BI123" i="29"/>
  <c r="DB123" i="29"/>
  <c r="BJ123" i="29"/>
  <c r="W123" i="29"/>
  <c r="AB123" i="29"/>
  <c r="X123" i="29"/>
  <c r="AA123" i="29"/>
  <c r="AC123" i="29"/>
  <c r="V123" i="29"/>
  <c r="AD123" i="29"/>
  <c r="Z123" i="29"/>
  <c r="U123" i="29"/>
  <c r="Y123" i="29"/>
  <c r="BJ124" i="29" l="1"/>
  <c r="BI124" i="29"/>
  <c r="DF124" i="29"/>
  <c r="BR124" i="29"/>
  <c r="BK124" i="29"/>
  <c r="DE124" i="29"/>
  <c r="BL124" i="29"/>
  <c r="BO124" i="29"/>
  <c r="BN124" i="29"/>
  <c r="DD124" i="29"/>
  <c r="DB124" i="29"/>
  <c r="CY124" i="29"/>
  <c r="CZ124" i="29"/>
  <c r="DC124" i="29"/>
  <c r="BP124" i="29"/>
  <c r="BM124" i="29"/>
  <c r="CW124" i="29"/>
  <c r="BQ124" i="29"/>
  <c r="DA124" i="29"/>
  <c r="CX124" i="29"/>
  <c r="Y124" i="29"/>
  <c r="AA124" i="29"/>
  <c r="AB124" i="29"/>
  <c r="V124" i="29"/>
  <c r="Z124" i="29"/>
  <c r="U124" i="29"/>
  <c r="AD124" i="29"/>
  <c r="AC124" i="29"/>
  <c r="X124" i="29"/>
  <c r="W124" i="29"/>
  <c r="CX125" i="29" l="1"/>
  <c r="BQ125" i="29"/>
  <c r="BM125" i="29"/>
  <c r="DC125" i="29"/>
  <c r="CY125" i="29"/>
  <c r="DD125" i="29"/>
  <c r="BO125" i="29"/>
  <c r="DE125" i="29"/>
  <c r="BR125" i="29"/>
  <c r="BI125" i="29"/>
  <c r="DA125" i="29"/>
  <c r="CW125" i="29"/>
  <c r="BP125" i="29"/>
  <c r="CZ125" i="29"/>
  <c r="DB125" i="29"/>
  <c r="BN125" i="29"/>
  <c r="BL125" i="29"/>
  <c r="BK125" i="29"/>
  <c r="DF125" i="29"/>
  <c r="BJ125" i="29"/>
  <c r="AC125" i="29"/>
  <c r="U125" i="29"/>
  <c r="V125" i="29"/>
  <c r="AA125" i="29"/>
  <c r="W125" i="29"/>
  <c r="X125" i="29"/>
  <c r="AD125" i="29"/>
  <c r="Z125" i="29"/>
  <c r="AB125" i="29"/>
  <c r="Y125" i="29"/>
  <c r="BJ126" i="29" l="1"/>
  <c r="BK126" i="29"/>
  <c r="BN126" i="29"/>
  <c r="CZ126" i="29"/>
  <c r="CW126" i="29"/>
  <c r="BI126" i="29"/>
  <c r="DE126" i="29"/>
  <c r="DD126" i="29"/>
  <c r="DC126" i="29"/>
  <c r="BQ126" i="29"/>
  <c r="DF126" i="29"/>
  <c r="BL126" i="29"/>
  <c r="DB126" i="29"/>
  <c r="BP126" i="29"/>
  <c r="DA126" i="29"/>
  <c r="BR126" i="29"/>
  <c r="BO126" i="29"/>
  <c r="CY126" i="29"/>
  <c r="BM126" i="29"/>
  <c r="CX126" i="29"/>
  <c r="Y126" i="29"/>
  <c r="Z126" i="29"/>
  <c r="X126" i="29"/>
  <c r="AA126" i="29"/>
  <c r="U126" i="29"/>
  <c r="AB126" i="29"/>
  <c r="AD126" i="29"/>
  <c r="W126" i="29"/>
  <c r="V126" i="29"/>
  <c r="AC126" i="29"/>
  <c r="CX127" i="29" l="1"/>
  <c r="CY127" i="29"/>
  <c r="BR127" i="29"/>
  <c r="BP127" i="29"/>
  <c r="BL127" i="29"/>
  <c r="BQ127" i="29"/>
  <c r="DD127" i="29"/>
  <c r="BI127" i="29"/>
  <c r="CZ127" i="29"/>
  <c r="BK127" i="29"/>
  <c r="BM127" i="29"/>
  <c r="BO127" i="29"/>
  <c r="DA127" i="29"/>
  <c r="DB127" i="29"/>
  <c r="DF127" i="29"/>
  <c r="DC127" i="29"/>
  <c r="DE127" i="29"/>
  <c r="CW127" i="29"/>
  <c r="BN127" i="29"/>
  <c r="BJ127" i="29"/>
  <c r="AC127" i="29"/>
  <c r="W127" i="29"/>
  <c r="AB127" i="29"/>
  <c r="AA127" i="29"/>
  <c r="Z127" i="29"/>
  <c r="V127" i="29"/>
  <c r="AD127" i="29"/>
  <c r="U127" i="29"/>
  <c r="X127" i="29"/>
  <c r="Y127" i="29"/>
  <c r="BJ128" i="29" l="1"/>
  <c r="CW128" i="29"/>
  <c r="DC128" i="29"/>
  <c r="DB128" i="29"/>
  <c r="BO128" i="29"/>
  <c r="BK128" i="29"/>
  <c r="BI128" i="29"/>
  <c r="BQ128" i="29"/>
  <c r="BP128" i="29"/>
  <c r="CY128" i="29"/>
  <c r="BN128" i="29"/>
  <c r="DE128" i="29"/>
  <c r="DF128" i="29"/>
  <c r="DA128" i="29"/>
  <c r="BM128" i="29"/>
  <c r="CZ128" i="29"/>
  <c r="DD128" i="29"/>
  <c r="BL128" i="29"/>
  <c r="BR128" i="29"/>
  <c r="CX128" i="29"/>
  <c r="V128" i="29"/>
  <c r="AA128" i="29"/>
  <c r="W128" i="29"/>
  <c r="Y128" i="29"/>
  <c r="U128" i="29"/>
  <c r="X128" i="29"/>
  <c r="AD128" i="29"/>
  <c r="Z128" i="29"/>
  <c r="AB128" i="29"/>
  <c r="AC128" i="29"/>
  <c r="CX129" i="29" l="1"/>
  <c r="BL129" i="29"/>
  <c r="CZ129" i="29"/>
  <c r="DA129" i="29"/>
  <c r="DE129" i="29"/>
  <c r="CY129" i="29"/>
  <c r="BQ129" i="29"/>
  <c r="BK129" i="29"/>
  <c r="DB129" i="29"/>
  <c r="CW129" i="29"/>
  <c r="BR129" i="29"/>
  <c r="DD129" i="29"/>
  <c r="BM129" i="29"/>
  <c r="DF129" i="29"/>
  <c r="BN129" i="29"/>
  <c r="BP129" i="29"/>
  <c r="BI129" i="29"/>
  <c r="BO129" i="29"/>
  <c r="DC129" i="29"/>
  <c r="BJ129" i="29"/>
  <c r="AC129" i="29"/>
  <c r="Z129" i="29"/>
  <c r="X129" i="29"/>
  <c r="Y129" i="29"/>
  <c r="AA129" i="29"/>
  <c r="AB129" i="29"/>
  <c r="AD129" i="29"/>
  <c r="U129" i="29"/>
  <c r="W129" i="29"/>
  <c r="V129" i="29"/>
  <c r="BJ130" i="29" l="1"/>
  <c r="BO130" i="29"/>
  <c r="BP130" i="29"/>
  <c r="DF130" i="29"/>
  <c r="DD130" i="29"/>
  <c r="CW130" i="29"/>
  <c r="BK130" i="29"/>
  <c r="CY130" i="29"/>
  <c r="DA130" i="29"/>
  <c r="BL130" i="29"/>
  <c r="DC130" i="29"/>
  <c r="BI130" i="29"/>
  <c r="BN130" i="29"/>
  <c r="BM130" i="29"/>
  <c r="BR130" i="29"/>
  <c r="DB130" i="29"/>
  <c r="BQ130" i="29"/>
  <c r="DE130" i="29"/>
  <c r="CZ130" i="29"/>
  <c r="CX130" i="29"/>
  <c r="V130" i="29"/>
  <c r="AB130" i="29"/>
  <c r="Z130" i="29"/>
  <c r="U130" i="29"/>
  <c r="Y130" i="29"/>
  <c r="W130" i="29"/>
  <c r="AD130" i="29"/>
  <c r="AA130" i="29"/>
  <c r="X130" i="29"/>
  <c r="AC130" i="29"/>
  <c r="CX131" i="29" l="1"/>
  <c r="DE131" i="29"/>
  <c r="DB131" i="29"/>
  <c r="BM131" i="29"/>
  <c r="BI131" i="29"/>
  <c r="BL131" i="29"/>
  <c r="CY131" i="29"/>
  <c r="CW131" i="29"/>
  <c r="DF131" i="29"/>
  <c r="BO131" i="29"/>
  <c r="CZ131" i="29"/>
  <c r="BQ131" i="29"/>
  <c r="BR131" i="29"/>
  <c r="BN131" i="29"/>
  <c r="DC131" i="29"/>
  <c r="DA131" i="29"/>
  <c r="BK131" i="29"/>
  <c r="DD131" i="29"/>
  <c r="BP131" i="29"/>
  <c r="BJ131" i="29"/>
  <c r="AC131" i="29"/>
  <c r="AA131" i="29"/>
  <c r="W131" i="29"/>
  <c r="U131" i="29"/>
  <c r="AB131" i="29"/>
  <c r="X131" i="29"/>
  <c r="AD131" i="29"/>
  <c r="Y131" i="29"/>
  <c r="Z131" i="29"/>
  <c r="V131" i="29"/>
  <c r="BJ132" i="29" l="1"/>
  <c r="DD132" i="29"/>
  <c r="DA132" i="29"/>
  <c r="BN132" i="29"/>
  <c r="BQ132" i="29"/>
  <c r="BO132" i="29"/>
  <c r="CW132" i="29"/>
  <c r="BL132" i="29"/>
  <c r="BM132" i="29"/>
  <c r="DE132" i="29"/>
  <c r="BP132" i="29"/>
  <c r="BK132" i="29"/>
  <c r="DC132" i="29"/>
  <c r="BR132" i="29"/>
  <c r="CZ132" i="29"/>
  <c r="DF132" i="29"/>
  <c r="CY132" i="29"/>
  <c r="BI132" i="29"/>
  <c r="DB132" i="29"/>
  <c r="CX132" i="29"/>
  <c r="Y132" i="29"/>
  <c r="X132" i="29"/>
  <c r="U132" i="29"/>
  <c r="AA132" i="29"/>
  <c r="V132" i="29"/>
  <c r="Z132" i="29"/>
  <c r="AD132" i="29"/>
  <c r="AB132" i="29"/>
  <c r="W132" i="29"/>
  <c r="AC132" i="29"/>
  <c r="CX133" i="29" l="1"/>
  <c r="BI133" i="29"/>
  <c r="DF133" i="29"/>
  <c r="BR133" i="29"/>
  <c r="BK133" i="29"/>
  <c r="DE133" i="29"/>
  <c r="BL133" i="29"/>
  <c r="BO133" i="29"/>
  <c r="BN133" i="29"/>
  <c r="DD133" i="29"/>
  <c r="DB133" i="29"/>
  <c r="CY133" i="29"/>
  <c r="CZ133" i="29"/>
  <c r="DC133" i="29"/>
  <c r="BP133" i="29"/>
  <c r="BM133" i="29"/>
  <c r="CW133" i="29"/>
  <c r="BQ133" i="29"/>
  <c r="DA133" i="29"/>
  <c r="BJ133" i="29"/>
  <c r="AC133" i="29"/>
  <c r="AB133" i="29"/>
  <c r="X133" i="29"/>
  <c r="AA133" i="29"/>
  <c r="Z133" i="29"/>
  <c r="W133" i="29"/>
  <c r="AD133" i="29"/>
  <c r="V133" i="29"/>
  <c r="U133" i="29"/>
  <c r="Y133" i="29"/>
  <c r="BJ134" i="29" l="1"/>
  <c r="BQ134" i="29"/>
  <c r="BM134" i="29"/>
  <c r="DC134" i="29"/>
  <c r="CY134" i="29"/>
  <c r="DD134" i="29"/>
  <c r="BO134" i="29"/>
  <c r="DE134" i="29"/>
  <c r="BR134" i="29"/>
  <c r="BI134" i="29"/>
  <c r="DA134" i="29"/>
  <c r="CW134" i="29"/>
  <c r="BP134" i="29"/>
  <c r="CZ134" i="29"/>
  <c r="DB134" i="29"/>
  <c r="BN134" i="29"/>
  <c r="BL134" i="29"/>
  <c r="BK134" i="29"/>
  <c r="DF134" i="29"/>
  <c r="CX134" i="29"/>
  <c r="V134" i="29"/>
  <c r="AA134" i="29"/>
  <c r="AB134" i="29"/>
  <c r="W134" i="29"/>
  <c r="Y134" i="29"/>
  <c r="U134" i="29"/>
  <c r="AD134" i="29"/>
  <c r="Z134" i="29"/>
  <c r="X134" i="29"/>
  <c r="AC134" i="29"/>
  <c r="DF135" i="29" l="1"/>
  <c r="BR135" i="29"/>
  <c r="BK135" i="29"/>
  <c r="BL135" i="29"/>
  <c r="DA135" i="29"/>
  <c r="CX135" i="29"/>
  <c r="BN135" i="29"/>
  <c r="CZ135" i="29"/>
  <c r="CW135" i="29"/>
  <c r="BI135" i="29"/>
  <c r="DE135" i="29"/>
  <c r="DD135" i="29"/>
  <c r="DC135" i="29"/>
  <c r="BQ135" i="29"/>
  <c r="DB135" i="29"/>
  <c r="BP135" i="29"/>
  <c r="BO135" i="29"/>
  <c r="CY135" i="29"/>
  <c r="BM135" i="29"/>
  <c r="BJ135" i="29"/>
  <c r="Z135" i="29"/>
  <c r="AA135" i="29"/>
  <c r="AC135" i="29"/>
  <c r="W135" i="29"/>
  <c r="U135" i="29"/>
  <c r="X135" i="29"/>
  <c r="AD135" i="29"/>
  <c r="Y135" i="29"/>
  <c r="AB135" i="29"/>
  <c r="V135" i="29"/>
  <c r="BJ136" i="29" l="1"/>
  <c r="CY136" i="29"/>
  <c r="BP136" i="29"/>
  <c r="BQ136" i="29"/>
  <c r="DD136" i="29"/>
  <c r="BI136" i="29"/>
  <c r="CZ136" i="29"/>
  <c r="CX136" i="29"/>
  <c r="BL136" i="29"/>
  <c r="BR136" i="29"/>
  <c r="BM136" i="29"/>
  <c r="BO136" i="29"/>
  <c r="DB136" i="29"/>
  <c r="DC136" i="29"/>
  <c r="DE136" i="29"/>
  <c r="CW136" i="29"/>
  <c r="BN136" i="29"/>
  <c r="DA136" i="29"/>
  <c r="BK136" i="29"/>
  <c r="DF136" i="29"/>
  <c r="V136" i="29"/>
  <c r="W136" i="29"/>
  <c r="AA136" i="29"/>
  <c r="Y136" i="29"/>
  <c r="X136" i="29"/>
  <c r="AB136" i="29"/>
  <c r="AD136" i="29"/>
  <c r="U136" i="29"/>
  <c r="AC136" i="29"/>
  <c r="Z136" i="29"/>
  <c r="DF137" i="29" l="1"/>
  <c r="DA137" i="29"/>
  <c r="CW137" i="29"/>
  <c r="DC137" i="29"/>
  <c r="BO137" i="29"/>
  <c r="BR137" i="29"/>
  <c r="CX137" i="29"/>
  <c r="BI137" i="29"/>
  <c r="BQ137" i="29"/>
  <c r="CY137" i="29"/>
  <c r="BK137" i="29"/>
  <c r="BN137" i="29"/>
  <c r="DE137" i="29"/>
  <c r="DB137" i="29"/>
  <c r="BM137" i="29"/>
  <c r="BL137" i="29"/>
  <c r="CZ137" i="29"/>
  <c r="DD137" i="29"/>
  <c r="BP137" i="29"/>
  <c r="BJ137" i="29"/>
  <c r="Z137" i="29"/>
  <c r="W137" i="29"/>
  <c r="AB137" i="29"/>
  <c r="U137" i="29"/>
  <c r="Y137" i="29"/>
  <c r="AC137" i="29"/>
  <c r="AD137" i="29"/>
  <c r="X137" i="29"/>
  <c r="AA137" i="29"/>
  <c r="V137" i="29"/>
  <c r="CZ138" i="29" l="1"/>
  <c r="DE138" i="29"/>
  <c r="BQ138" i="29"/>
  <c r="BO138" i="29"/>
  <c r="DD138" i="29"/>
  <c r="BN138" i="29"/>
  <c r="BI138" i="29"/>
  <c r="DC138" i="29"/>
  <c r="DA138" i="29"/>
  <c r="BJ138" i="29"/>
  <c r="BL138" i="29"/>
  <c r="DB138" i="29"/>
  <c r="CY138" i="29"/>
  <c r="BR138" i="29"/>
  <c r="BP138" i="29"/>
  <c r="BM138" i="29"/>
  <c r="BK138" i="29"/>
  <c r="CX138" i="29"/>
  <c r="CW138" i="29"/>
  <c r="DF138" i="29"/>
  <c r="V138" i="29"/>
  <c r="X138" i="29"/>
  <c r="AC138" i="29"/>
  <c r="U138" i="29"/>
  <c r="W138" i="29"/>
  <c r="AA138" i="29"/>
  <c r="AD138" i="29"/>
  <c r="Y138" i="29"/>
  <c r="AB138" i="29"/>
  <c r="Z138" i="29"/>
  <c r="DF139" i="29" l="1"/>
  <c r="CX139" i="29"/>
  <c r="BM139" i="29"/>
  <c r="BR139" i="29"/>
  <c r="DB139" i="29"/>
  <c r="BJ139" i="29"/>
  <c r="DC139" i="29"/>
  <c r="BN139" i="29"/>
  <c r="BO139" i="29"/>
  <c r="DE139" i="29"/>
  <c r="CW139" i="29"/>
  <c r="BK139" i="29"/>
  <c r="BP139" i="29"/>
  <c r="CY139" i="29"/>
  <c r="BL139" i="29"/>
  <c r="DA139" i="29"/>
  <c r="BI139" i="29"/>
  <c r="DD139" i="29"/>
  <c r="BQ139" i="29"/>
  <c r="CZ139" i="29"/>
  <c r="AD139" i="29"/>
  <c r="AC139" i="29"/>
  <c r="AB139" i="29"/>
  <c r="W139" i="29"/>
  <c r="V139" i="29"/>
  <c r="Y139" i="29"/>
  <c r="AA139" i="29"/>
  <c r="U139" i="29"/>
  <c r="X139" i="29"/>
  <c r="Z139" i="29"/>
  <c r="CZ140" i="29" l="1"/>
  <c r="DD140" i="29"/>
  <c r="DA140" i="29"/>
  <c r="CY140" i="29"/>
  <c r="BK140" i="29"/>
  <c r="DE140" i="29"/>
  <c r="BN140" i="29"/>
  <c r="BJ140" i="29"/>
  <c r="BR140" i="29"/>
  <c r="CX140" i="29"/>
  <c r="BQ140" i="29"/>
  <c r="BI140" i="29"/>
  <c r="BL140" i="29"/>
  <c r="BP140" i="29"/>
  <c r="CW140" i="29"/>
  <c r="BO140" i="29"/>
  <c r="DC140" i="29"/>
  <c r="DB140" i="29"/>
  <c r="BM140" i="29"/>
  <c r="DF140" i="29"/>
  <c r="U140" i="29"/>
  <c r="W140" i="29"/>
  <c r="Z140" i="29"/>
  <c r="Y140" i="29"/>
  <c r="AC140" i="29"/>
  <c r="X140" i="29"/>
  <c r="AA140" i="29"/>
  <c r="V140" i="29"/>
  <c r="AB140" i="29"/>
  <c r="AD140" i="29"/>
  <c r="DC141" i="29" l="1"/>
  <c r="BL141" i="29"/>
  <c r="BR141" i="29"/>
  <c r="BN141" i="29"/>
  <c r="CZ141" i="29"/>
  <c r="BM141" i="29"/>
  <c r="CW141" i="29"/>
  <c r="BQ141" i="29"/>
  <c r="BK141" i="29"/>
  <c r="DF141" i="29"/>
  <c r="DB141" i="29"/>
  <c r="BO141" i="29"/>
  <c r="BP141" i="29"/>
  <c r="BI141" i="29"/>
  <c r="CX141" i="29"/>
  <c r="BJ141" i="29"/>
  <c r="DE141" i="29"/>
  <c r="CY141" i="29"/>
  <c r="DD141" i="29"/>
  <c r="DA141" i="29"/>
  <c r="V141" i="29"/>
  <c r="Y141" i="29"/>
  <c r="AD141" i="29"/>
  <c r="X141" i="29"/>
  <c r="W141" i="29"/>
  <c r="AB141" i="29"/>
  <c r="AA141" i="29"/>
  <c r="AC141" i="29"/>
  <c r="Z141" i="29"/>
  <c r="U141" i="29"/>
  <c r="DA142" i="29" l="1"/>
  <c r="CY142" i="29"/>
  <c r="BJ142" i="29"/>
  <c r="BI142" i="29"/>
  <c r="BO142" i="29"/>
  <c r="DF142" i="29"/>
  <c r="BQ142" i="29"/>
  <c r="BM142" i="29"/>
  <c r="BN142" i="29"/>
  <c r="BL142" i="29"/>
  <c r="DD142" i="29"/>
  <c r="DE142" i="29"/>
  <c r="CX142" i="29"/>
  <c r="BP142" i="29"/>
  <c r="DB142" i="29"/>
  <c r="BK142" i="29"/>
  <c r="CW142" i="29"/>
  <c r="CZ142" i="29"/>
  <c r="BR142" i="29"/>
  <c r="DC142" i="29"/>
  <c r="AC142" i="29"/>
  <c r="Y142" i="29"/>
  <c r="U142" i="29"/>
  <c r="AB142" i="29"/>
  <c r="X142" i="29"/>
  <c r="Z142" i="29"/>
  <c r="AA142" i="29"/>
  <c r="W142" i="29"/>
  <c r="AD142" i="29"/>
  <c r="V142" i="29"/>
  <c r="DC143" i="29" l="1"/>
  <c r="CZ143" i="29"/>
  <c r="BK143" i="29"/>
  <c r="BP143" i="29"/>
  <c r="DE143" i="29"/>
  <c r="BL143" i="29"/>
  <c r="BM143" i="29"/>
  <c r="DF143" i="29"/>
  <c r="BI143" i="29"/>
  <c r="CY143" i="29"/>
  <c r="BR143" i="29"/>
  <c r="CW143" i="29"/>
  <c r="DB143" i="29"/>
  <c r="CX143" i="29"/>
  <c r="DD143" i="29"/>
  <c r="BN143" i="29"/>
  <c r="BQ143" i="29"/>
  <c r="BO143" i="29"/>
  <c r="BJ143" i="29"/>
  <c r="DA143" i="29"/>
  <c r="V143" i="29"/>
  <c r="W143" i="29"/>
  <c r="Z143" i="29"/>
  <c r="AB143" i="29"/>
  <c r="Y143" i="29"/>
  <c r="AD143" i="29"/>
  <c r="AA143" i="29"/>
  <c r="X143" i="29"/>
  <c r="U143" i="29"/>
  <c r="AC143" i="29"/>
  <c r="DA144" i="29" l="1"/>
  <c r="BO144" i="29"/>
  <c r="BN144" i="29"/>
  <c r="CX144" i="29"/>
  <c r="CW144" i="29"/>
  <c r="CY144" i="29"/>
  <c r="DF144" i="29"/>
  <c r="BL144" i="29"/>
  <c r="BP144" i="29"/>
  <c r="CZ144" i="29"/>
  <c r="BJ144" i="29"/>
  <c r="BQ144" i="29"/>
  <c r="DD144" i="29"/>
  <c r="DB144" i="29"/>
  <c r="BR144" i="29"/>
  <c r="BI144" i="29"/>
  <c r="BM144" i="29"/>
  <c r="DE144" i="29"/>
  <c r="BK144" i="29"/>
  <c r="DC144" i="29"/>
  <c r="AC144" i="29"/>
  <c r="X144" i="29"/>
  <c r="AD144" i="29"/>
  <c r="AB144" i="29"/>
  <c r="W144" i="29"/>
  <c r="U144" i="29"/>
  <c r="AA144" i="29"/>
  <c r="Y144" i="29"/>
  <c r="Z144" i="29"/>
  <c r="V144" i="29"/>
  <c r="BM145" i="29" l="1"/>
  <c r="DD145" i="29"/>
  <c r="BP145" i="29"/>
  <c r="DF145" i="29"/>
  <c r="BN145" i="29"/>
  <c r="DE145" i="29"/>
  <c r="DB145" i="29"/>
  <c r="BL145" i="29"/>
  <c r="CY145" i="29"/>
  <c r="BO145" i="29"/>
  <c r="DC145" i="29"/>
  <c r="BI145" i="29"/>
  <c r="BQ145" i="29"/>
  <c r="CZ145" i="29"/>
  <c r="CX145" i="29"/>
  <c r="BK145" i="29"/>
  <c r="BR145" i="29"/>
  <c r="BJ145" i="29"/>
  <c r="CW145" i="29"/>
  <c r="DA145" i="29"/>
  <c r="V145" i="29"/>
  <c r="Y145" i="29"/>
  <c r="U145" i="29"/>
  <c r="AB145" i="29"/>
  <c r="X145" i="29"/>
  <c r="Z145" i="29"/>
  <c r="AA145" i="29"/>
  <c r="W145" i="29"/>
  <c r="AD145" i="29"/>
  <c r="AC145" i="29"/>
  <c r="DA146" i="29" l="1"/>
  <c r="BJ146" i="29"/>
  <c r="BK146" i="29"/>
  <c r="CZ146" i="29"/>
  <c r="BI146" i="29"/>
  <c r="BO146" i="29"/>
  <c r="BL146" i="29"/>
  <c r="DE146" i="29"/>
  <c r="DF146" i="29"/>
  <c r="DD146" i="29"/>
  <c r="CW146" i="29"/>
  <c r="BR146" i="29"/>
  <c r="CX146" i="29"/>
  <c r="BQ146" i="29"/>
  <c r="DC146" i="29"/>
  <c r="CY146" i="29"/>
  <c r="DB146" i="29"/>
  <c r="BN146" i="29"/>
  <c r="BP146" i="29"/>
  <c r="BM146" i="29"/>
  <c r="AC146" i="29"/>
  <c r="W146" i="29"/>
  <c r="Z146" i="29"/>
  <c r="AB146" i="29"/>
  <c r="Y146" i="29"/>
  <c r="AD146" i="29"/>
  <c r="AA146" i="29"/>
  <c r="X146" i="29"/>
  <c r="U146" i="29"/>
  <c r="V146" i="29"/>
  <c r="BM147" i="29" l="1"/>
  <c r="BN147" i="29"/>
  <c r="CY147" i="29"/>
  <c r="BQ147" i="29"/>
  <c r="BR147" i="29"/>
  <c r="DD147" i="29"/>
  <c r="DE147" i="29"/>
  <c r="BO147" i="29"/>
  <c r="CZ147" i="29"/>
  <c r="BJ147" i="29"/>
  <c r="BP147" i="29"/>
  <c r="DB147" i="29"/>
  <c r="DC147" i="29"/>
  <c r="CX147" i="29"/>
  <c r="CW147" i="29"/>
  <c r="DF147" i="29"/>
  <c r="BL147" i="29"/>
  <c r="BI147" i="29"/>
  <c r="BK147" i="29"/>
  <c r="DA147" i="29"/>
  <c r="V147" i="29"/>
  <c r="X147" i="29"/>
  <c r="AB147" i="29"/>
  <c r="W147" i="29"/>
  <c r="AD147" i="29"/>
  <c r="U147" i="29"/>
  <c r="AA147" i="29"/>
  <c r="Y147" i="29"/>
  <c r="Z147" i="29"/>
  <c r="AC147" i="29"/>
  <c r="DA148" i="29" l="1"/>
  <c r="BI148" i="29"/>
  <c r="DF148" i="29"/>
  <c r="CX148" i="29"/>
  <c r="DB148" i="29"/>
  <c r="BJ148" i="29"/>
  <c r="BO148" i="29"/>
  <c r="DD148" i="29"/>
  <c r="BQ148" i="29"/>
  <c r="BN148" i="29"/>
  <c r="BK148" i="29"/>
  <c r="BL148" i="29"/>
  <c r="CW148" i="29"/>
  <c r="DC148" i="29"/>
  <c r="BP148" i="29"/>
  <c r="CZ148" i="29"/>
  <c r="DE148" i="29"/>
  <c r="BR148" i="29"/>
  <c r="CY148" i="29"/>
  <c r="BM148" i="29"/>
  <c r="Y148" i="29"/>
  <c r="U148" i="29"/>
  <c r="W148" i="29"/>
  <c r="X148" i="29"/>
  <c r="AC148" i="29"/>
  <c r="Z148" i="29"/>
  <c r="AA148" i="29"/>
  <c r="AD148" i="29"/>
  <c r="AB148" i="29"/>
  <c r="V148" i="29"/>
  <c r="BM149" i="29" l="1"/>
  <c r="BR149" i="29"/>
  <c r="CZ149" i="29"/>
  <c r="DC149" i="29"/>
  <c r="BL149" i="29"/>
  <c r="BN149" i="29"/>
  <c r="DD149" i="29"/>
  <c r="BJ149" i="29"/>
  <c r="CX149" i="29"/>
  <c r="BI149" i="29"/>
  <c r="CY149" i="29"/>
  <c r="DE149" i="29"/>
  <c r="BP149" i="29"/>
  <c r="CW149" i="29"/>
  <c r="BK149" i="29"/>
  <c r="BQ149" i="29"/>
  <c r="BO149" i="29"/>
  <c r="DB149" i="29"/>
  <c r="DF149" i="29"/>
  <c r="DA149" i="29"/>
  <c r="V149" i="29"/>
  <c r="AD149" i="29"/>
  <c r="Z149" i="29"/>
  <c r="X149" i="29"/>
  <c r="U149" i="29"/>
  <c r="AB149" i="29"/>
  <c r="AA149" i="29"/>
  <c r="AC149" i="29"/>
  <c r="W149" i="29"/>
  <c r="Y149" i="29"/>
  <c r="DA150" i="29" l="1"/>
  <c r="DB150" i="29"/>
  <c r="BQ150" i="29"/>
  <c r="CW150" i="29"/>
  <c r="DE150" i="29"/>
  <c r="BI150" i="29"/>
  <c r="BJ150" i="29"/>
  <c r="BN150" i="29"/>
  <c r="DC150" i="29"/>
  <c r="BR150" i="29"/>
  <c r="DF150" i="29"/>
  <c r="BO150" i="29"/>
  <c r="BK150" i="29"/>
  <c r="BP150" i="29"/>
  <c r="CY150" i="29"/>
  <c r="CX150" i="29"/>
  <c r="DD150" i="29"/>
  <c r="BL150" i="29"/>
  <c r="CZ150" i="29"/>
  <c r="BM150" i="29"/>
  <c r="AB150" i="29"/>
  <c r="X150" i="29"/>
  <c r="AD150" i="29"/>
  <c r="Y150" i="29"/>
  <c r="AC150" i="29"/>
  <c r="W150" i="29"/>
  <c r="AA150" i="29"/>
  <c r="U150" i="29"/>
  <c r="Z150" i="29"/>
  <c r="V150" i="29"/>
  <c r="BM151" i="29" l="1"/>
  <c r="BL151" i="29"/>
  <c r="CX151" i="29"/>
  <c r="BP151" i="29"/>
  <c r="BO151" i="29"/>
  <c r="BR151" i="29"/>
  <c r="BN151" i="29"/>
  <c r="BI151" i="29"/>
  <c r="CW151" i="29"/>
  <c r="DB151" i="29"/>
  <c r="CZ151" i="29"/>
  <c r="DD151" i="29"/>
  <c r="CY151" i="29"/>
  <c r="BK151" i="29"/>
  <c r="DF151" i="29"/>
  <c r="DC151" i="29"/>
  <c r="BJ151" i="29"/>
  <c r="DE151" i="29"/>
  <c r="BQ151" i="29"/>
  <c r="DA151" i="29"/>
  <c r="V151" i="29"/>
  <c r="U151" i="29"/>
  <c r="W151" i="29"/>
  <c r="Y151" i="29"/>
  <c r="X151" i="29"/>
  <c r="Z151" i="29"/>
  <c r="AA151" i="29"/>
  <c r="AC151" i="29"/>
  <c r="AD151" i="29"/>
  <c r="AB151" i="29"/>
  <c r="DA152" i="29" l="1"/>
  <c r="DE152" i="29"/>
  <c r="DC152" i="29"/>
  <c r="BK152" i="29"/>
  <c r="DD152" i="29"/>
  <c r="DB152" i="29"/>
  <c r="BI152" i="29"/>
  <c r="BR152" i="29"/>
  <c r="BP152" i="29"/>
  <c r="BL152" i="29"/>
  <c r="BQ152" i="29"/>
  <c r="BJ152" i="29"/>
  <c r="DF152" i="29"/>
  <c r="CY152" i="29"/>
  <c r="CZ152" i="29"/>
  <c r="CW152" i="29"/>
  <c r="BN152" i="29"/>
  <c r="BO152" i="29"/>
  <c r="CX152" i="29"/>
  <c r="BM152" i="29"/>
  <c r="AC152" i="29"/>
  <c r="Y152" i="29"/>
  <c r="U152" i="29"/>
  <c r="AB152" i="29"/>
  <c r="Z152" i="29"/>
  <c r="AD152" i="29"/>
  <c r="AA152" i="29"/>
  <c r="X152" i="29"/>
  <c r="W152" i="29"/>
  <c r="V152" i="29"/>
  <c r="BM153" i="29" l="1"/>
  <c r="BO153" i="29"/>
  <c r="CW153" i="29"/>
  <c r="CY153" i="29"/>
  <c r="BJ153" i="29"/>
  <c r="BL153" i="29"/>
  <c r="BR153" i="29"/>
  <c r="DB153" i="29"/>
  <c r="BK153" i="29"/>
  <c r="DE153" i="29"/>
  <c r="CX153" i="29"/>
  <c r="BN153" i="29"/>
  <c r="CZ153" i="29"/>
  <c r="DF153" i="29"/>
  <c r="BQ153" i="29"/>
  <c r="BP153" i="29"/>
  <c r="BI153" i="29"/>
  <c r="DD153" i="29"/>
  <c r="DC153" i="29"/>
  <c r="DA153" i="29"/>
  <c r="V153" i="29"/>
  <c r="X153" i="29"/>
  <c r="AD153" i="29"/>
  <c r="AB153" i="29"/>
  <c r="Y153" i="29"/>
  <c r="W153" i="29"/>
  <c r="AA153" i="29"/>
  <c r="Z153" i="29"/>
  <c r="U153" i="29"/>
  <c r="AC153" i="29"/>
  <c r="DC154" i="29" l="1"/>
  <c r="BQ154" i="29"/>
  <c r="CX154" i="29"/>
  <c r="BR154" i="29"/>
  <c r="BM154" i="29"/>
  <c r="BI154" i="29"/>
  <c r="CZ154" i="29"/>
  <c r="BK154" i="29"/>
  <c r="CW154" i="29"/>
  <c r="DA154" i="29"/>
  <c r="DD154" i="29"/>
  <c r="BP154" i="29"/>
  <c r="DF154" i="29"/>
  <c r="BN154" i="29"/>
  <c r="DE154" i="29"/>
  <c r="DB154" i="29"/>
  <c r="BL154" i="29"/>
  <c r="CY154" i="29"/>
  <c r="BO154" i="29"/>
  <c r="BJ154" i="29"/>
  <c r="AC154" i="29"/>
  <c r="W154" i="29"/>
  <c r="AB154" i="29"/>
  <c r="X154" i="29"/>
  <c r="Z154" i="29"/>
  <c r="U154" i="29"/>
  <c r="AA154" i="29"/>
  <c r="Y154" i="29"/>
  <c r="AD154" i="29"/>
  <c r="V154" i="29"/>
  <c r="DE155" i="29" l="1"/>
  <c r="CW155" i="29"/>
  <c r="CX155" i="29"/>
  <c r="BO155" i="29"/>
  <c r="DF155" i="29"/>
  <c r="CZ155" i="29"/>
  <c r="BJ155" i="29"/>
  <c r="CY155" i="29"/>
  <c r="DB155" i="29"/>
  <c r="BN155" i="29"/>
  <c r="BP155" i="29"/>
  <c r="DA155" i="29"/>
  <c r="BK155" i="29"/>
  <c r="BI155" i="29"/>
  <c r="BR155" i="29"/>
  <c r="BQ155" i="29"/>
  <c r="BL155" i="29"/>
  <c r="DD155" i="29"/>
  <c r="BM155" i="29"/>
  <c r="DC155" i="29"/>
  <c r="V155" i="29"/>
  <c r="W155" i="29"/>
  <c r="X155" i="29"/>
  <c r="Y155" i="29"/>
  <c r="U155" i="29"/>
  <c r="AD155" i="29"/>
  <c r="AA155" i="29"/>
  <c r="Z155" i="29"/>
  <c r="AB155" i="29"/>
  <c r="AC155" i="29"/>
  <c r="DC156" i="29" l="1"/>
  <c r="DD156" i="29"/>
  <c r="BQ156" i="29"/>
  <c r="BI156" i="29"/>
  <c r="DA156" i="29"/>
  <c r="BN156" i="29"/>
  <c r="CY156" i="29"/>
  <c r="CZ156" i="29"/>
  <c r="BO156" i="29"/>
  <c r="CW156" i="29"/>
  <c r="BM156" i="29"/>
  <c r="BL156" i="29"/>
  <c r="BR156" i="29"/>
  <c r="BK156" i="29"/>
  <c r="BP156" i="29"/>
  <c r="DB156" i="29"/>
  <c r="BJ156" i="29"/>
  <c r="DF156" i="29"/>
  <c r="CX156" i="29"/>
  <c r="DE156" i="29"/>
  <c r="AC156" i="29"/>
  <c r="Z156" i="29"/>
  <c r="AD156" i="29"/>
  <c r="Y156" i="29"/>
  <c r="W156" i="29"/>
  <c r="AB156" i="29"/>
  <c r="AA156" i="29"/>
  <c r="U156" i="29"/>
  <c r="X156" i="29"/>
  <c r="V156" i="29"/>
  <c r="DE157" i="29" l="1"/>
  <c r="DF157" i="29"/>
  <c r="DB157" i="29"/>
  <c r="BK157" i="29"/>
  <c r="BL157" i="29"/>
  <c r="CW157" i="29"/>
  <c r="CZ157" i="29"/>
  <c r="BN157" i="29"/>
  <c r="BI157" i="29"/>
  <c r="DD157" i="29"/>
  <c r="CX157" i="29"/>
  <c r="BJ157" i="29"/>
  <c r="BP157" i="29"/>
  <c r="BR157" i="29"/>
  <c r="BM157" i="29"/>
  <c r="BO157" i="29"/>
  <c r="CY157" i="29"/>
  <c r="DA157" i="29"/>
  <c r="BQ157" i="29"/>
  <c r="DC157" i="29"/>
  <c r="V157" i="29"/>
  <c r="U157" i="29"/>
  <c r="AB157" i="29"/>
  <c r="Y157" i="29"/>
  <c r="Z157" i="29"/>
  <c r="X157" i="29"/>
  <c r="AA157" i="29"/>
  <c r="W157" i="29"/>
  <c r="AD157" i="29"/>
  <c r="AC157" i="29"/>
  <c r="DC158" i="29" l="1"/>
  <c r="DA158" i="29"/>
  <c r="BO158" i="29"/>
  <c r="BR158" i="29"/>
  <c r="BJ158" i="29"/>
  <c r="DD158" i="29"/>
  <c r="BN158" i="29"/>
  <c r="CW158" i="29"/>
  <c r="BK158" i="29"/>
  <c r="DF158" i="29"/>
  <c r="BQ158" i="29"/>
  <c r="CY158" i="29"/>
  <c r="BM158" i="29"/>
  <c r="BP158" i="29"/>
  <c r="CX158" i="29"/>
  <c r="BI158" i="29"/>
  <c r="CZ158" i="29"/>
  <c r="BL158" i="29"/>
  <c r="DB158" i="29"/>
  <c r="DE158" i="29"/>
  <c r="AC158" i="29"/>
  <c r="W158" i="29"/>
  <c r="X158" i="29"/>
  <c r="Y158" i="29"/>
  <c r="U158" i="29"/>
  <c r="AD158" i="29"/>
  <c r="AA158" i="29"/>
  <c r="Z158" i="29"/>
  <c r="AB158" i="29"/>
  <c r="V158" i="29"/>
  <c r="DB159" i="29" l="1"/>
  <c r="CX159" i="29"/>
  <c r="BM159" i="29"/>
  <c r="BK159" i="29"/>
  <c r="BN159" i="29"/>
  <c r="BO159" i="29"/>
  <c r="DE159" i="29"/>
  <c r="BI159" i="29"/>
  <c r="CY159" i="29"/>
  <c r="CW159" i="29"/>
  <c r="BR159" i="29"/>
  <c r="DA159" i="29"/>
  <c r="BL159" i="29"/>
  <c r="BP159" i="29"/>
  <c r="DF159" i="29"/>
  <c r="DD159" i="29"/>
  <c r="CZ159" i="29"/>
  <c r="BQ159" i="29"/>
  <c r="BJ159" i="29"/>
  <c r="DC159" i="29"/>
  <c r="V159" i="29"/>
  <c r="Z159" i="29"/>
  <c r="Y159" i="29"/>
  <c r="W159" i="29"/>
  <c r="AD159" i="29"/>
  <c r="AB159" i="29"/>
  <c r="AA159" i="29"/>
  <c r="U159" i="29"/>
  <c r="X159" i="29"/>
  <c r="AC159" i="29"/>
  <c r="DC160" i="29" l="1"/>
  <c r="BQ160" i="29"/>
  <c r="DD160" i="29"/>
  <c r="BP160" i="29"/>
  <c r="DA160" i="29"/>
  <c r="CW160" i="29"/>
  <c r="BI160" i="29"/>
  <c r="BO160" i="29"/>
  <c r="BK160" i="29"/>
  <c r="CX160" i="29"/>
  <c r="BJ160" i="29"/>
  <c r="CZ160" i="29"/>
  <c r="DF160" i="29"/>
  <c r="BL160" i="29"/>
  <c r="BR160" i="29"/>
  <c r="CY160" i="29"/>
  <c r="DE160" i="29"/>
  <c r="BN160" i="29"/>
  <c r="BM160" i="29"/>
  <c r="DB160" i="29"/>
  <c r="AC160" i="29"/>
  <c r="U160" i="29"/>
  <c r="AB160" i="29"/>
  <c r="W160" i="29"/>
  <c r="Z160" i="29"/>
  <c r="X160" i="29"/>
  <c r="AA160" i="29"/>
  <c r="AD160" i="29"/>
  <c r="Y160" i="29"/>
  <c r="V160" i="29"/>
  <c r="DB161" i="29" l="1"/>
  <c r="BN161" i="29"/>
  <c r="CY161" i="29"/>
  <c r="BL161" i="29"/>
  <c r="CZ161" i="29"/>
  <c r="CX161" i="29"/>
  <c r="BO161" i="29"/>
  <c r="CW161" i="29"/>
  <c r="BP161" i="29"/>
  <c r="BQ161" i="29"/>
  <c r="BM161" i="29"/>
  <c r="DE161" i="29"/>
  <c r="BR161" i="29"/>
  <c r="DF161" i="29"/>
  <c r="BJ161" i="29"/>
  <c r="BK161" i="29"/>
  <c r="BI161" i="29"/>
  <c r="DA161" i="29"/>
  <c r="DD161" i="29"/>
  <c r="DC161" i="29"/>
  <c r="V161" i="29"/>
  <c r="AD161" i="29"/>
  <c r="X161" i="29"/>
  <c r="W161" i="29"/>
  <c r="U161" i="29"/>
  <c r="Y161" i="29"/>
  <c r="AA161" i="29"/>
  <c r="Z161" i="29"/>
  <c r="AB161" i="29"/>
  <c r="AC161" i="29"/>
  <c r="DC162" i="29" l="1"/>
  <c r="DA162" i="29"/>
  <c r="BK162" i="29"/>
  <c r="DF162" i="29"/>
  <c r="DE162" i="29"/>
  <c r="BQ162" i="29"/>
  <c r="CW162" i="29"/>
  <c r="CX162" i="29"/>
  <c r="BL162" i="29"/>
  <c r="BN162" i="29"/>
  <c r="DD162" i="29"/>
  <c r="BI162" i="29"/>
  <c r="BJ162" i="29"/>
  <c r="BR162" i="29"/>
  <c r="BM162" i="29"/>
  <c r="BP162" i="29"/>
  <c r="BO162" i="29"/>
  <c r="CZ162" i="29"/>
  <c r="CY162" i="29"/>
  <c r="DB162" i="29"/>
  <c r="Z162" i="29"/>
  <c r="Y162" i="29"/>
  <c r="W162" i="29"/>
  <c r="AD162" i="29"/>
  <c r="AC162" i="29"/>
  <c r="AB162" i="29"/>
  <c r="AA162" i="29"/>
  <c r="U162" i="29"/>
  <c r="X162" i="29"/>
  <c r="V162" i="29"/>
  <c r="DB163" i="29" l="1"/>
  <c r="CZ163" i="29"/>
  <c r="BP163" i="29"/>
  <c r="BR163" i="29"/>
  <c r="BI163" i="29"/>
  <c r="BN163" i="29"/>
  <c r="CX163" i="29"/>
  <c r="BQ163" i="29"/>
  <c r="DF163" i="29"/>
  <c r="DA163" i="29"/>
  <c r="CY163" i="29"/>
  <c r="BO163" i="29"/>
  <c r="BM163" i="29"/>
  <c r="BJ163" i="29"/>
  <c r="DD163" i="29"/>
  <c r="BL163" i="29"/>
  <c r="CW163" i="29"/>
  <c r="DE163" i="29"/>
  <c r="BK163" i="29"/>
  <c r="DC163" i="29"/>
  <c r="V163" i="29"/>
  <c r="U163" i="29"/>
  <c r="AB163" i="29"/>
  <c r="AD163" i="29"/>
  <c r="Y163" i="29"/>
  <c r="X163" i="29"/>
  <c r="AA163" i="29"/>
  <c r="AC163" i="29"/>
  <c r="W163" i="29"/>
  <c r="Z163" i="29"/>
  <c r="DC164" i="29" l="1"/>
  <c r="DE164" i="29"/>
  <c r="BL164" i="29"/>
  <c r="BJ164" i="29"/>
  <c r="BO164" i="29"/>
  <c r="DA164" i="29"/>
  <c r="BQ164" i="29"/>
  <c r="BN164" i="29"/>
  <c r="BR164" i="29"/>
  <c r="CZ164" i="29"/>
  <c r="BK164" i="29"/>
  <c r="CW164" i="29"/>
  <c r="DD164" i="29"/>
  <c r="BM164" i="29"/>
  <c r="CY164" i="29"/>
  <c r="DF164" i="29"/>
  <c r="CX164" i="29"/>
  <c r="BI164" i="29"/>
  <c r="BP164" i="29"/>
  <c r="DB164" i="29"/>
  <c r="Z164" i="29"/>
  <c r="X164" i="29"/>
  <c r="U164" i="29"/>
  <c r="AC164" i="29"/>
  <c r="AD164" i="29"/>
  <c r="W164" i="29"/>
  <c r="AA164" i="29"/>
  <c r="Y164" i="29"/>
  <c r="AB164" i="29"/>
  <c r="V164" i="29"/>
  <c r="DB165" i="29" l="1"/>
  <c r="BI165" i="29"/>
  <c r="DF165" i="29"/>
  <c r="BM165" i="29"/>
  <c r="CW165" i="29"/>
  <c r="CZ165" i="29"/>
  <c r="BN165" i="29"/>
  <c r="DA165" i="29"/>
  <c r="BJ165" i="29"/>
  <c r="DE165" i="29"/>
  <c r="BP165" i="29"/>
  <c r="CX165" i="29"/>
  <c r="CY165" i="29"/>
  <c r="DD165" i="29"/>
  <c r="BK165" i="29"/>
  <c r="BR165" i="29"/>
  <c r="BQ165" i="29"/>
  <c r="BO165" i="29"/>
  <c r="BL165" i="29"/>
  <c r="DC165" i="29"/>
  <c r="V165" i="29"/>
  <c r="Y165" i="29"/>
  <c r="W165" i="29"/>
  <c r="AC165" i="29"/>
  <c r="X165" i="29"/>
  <c r="AB165" i="29"/>
  <c r="AA165" i="29"/>
  <c r="AD165" i="29"/>
  <c r="U165" i="29"/>
  <c r="Z165" i="29"/>
  <c r="DC166" i="29" l="1"/>
  <c r="BO166" i="29"/>
  <c r="BR166" i="29"/>
  <c r="DD166" i="29"/>
  <c r="CX166" i="29"/>
  <c r="DE166" i="29"/>
  <c r="DA166" i="29"/>
  <c r="CZ166" i="29"/>
  <c r="BM166" i="29"/>
  <c r="BI166" i="29"/>
  <c r="BL166" i="29"/>
  <c r="BQ166" i="29"/>
  <c r="BK166" i="29"/>
  <c r="CY166" i="29"/>
  <c r="BP166" i="29"/>
  <c r="BJ166" i="29"/>
  <c r="BN166" i="29"/>
  <c r="CW166" i="29"/>
  <c r="DF166" i="29"/>
  <c r="DB166" i="29"/>
  <c r="Z166" i="29"/>
  <c r="AC166" i="29"/>
  <c r="Y166" i="29"/>
  <c r="AD166" i="29"/>
  <c r="AB166" i="29"/>
  <c r="U166" i="29"/>
  <c r="AA166" i="29"/>
  <c r="X166" i="29"/>
  <c r="W166" i="29"/>
  <c r="V166" i="29"/>
  <c r="DB167" i="29" l="1"/>
  <c r="CW167" i="29"/>
  <c r="BJ167" i="29"/>
  <c r="CY167" i="29"/>
  <c r="BQ167" i="29"/>
  <c r="BI167" i="29"/>
  <c r="CZ167" i="29"/>
  <c r="DE167" i="29"/>
  <c r="DD167" i="29"/>
  <c r="BO167" i="29"/>
  <c r="DF167" i="29"/>
  <c r="BN167" i="29"/>
  <c r="BP167" i="29"/>
  <c r="BK167" i="29"/>
  <c r="BL167" i="29"/>
  <c r="BM167" i="29"/>
  <c r="DA167" i="29"/>
  <c r="CX167" i="29"/>
  <c r="BR167" i="29"/>
  <c r="DC167" i="29"/>
  <c r="W167" i="29"/>
  <c r="AA167" i="29"/>
  <c r="AB167" i="29"/>
  <c r="Y167" i="29"/>
  <c r="Z167" i="29"/>
  <c r="V167" i="29"/>
  <c r="X167" i="29"/>
  <c r="U167" i="29"/>
  <c r="AD167" i="29"/>
  <c r="AC167" i="29"/>
  <c r="DC168" i="29" l="1"/>
  <c r="CX168" i="29"/>
  <c r="BM168" i="29"/>
  <c r="BK168" i="29"/>
  <c r="BN168" i="29"/>
  <c r="BO168" i="29"/>
  <c r="DE168" i="29"/>
  <c r="BI168" i="29"/>
  <c r="CY168" i="29"/>
  <c r="CW168" i="29"/>
  <c r="BR168" i="29"/>
  <c r="DA168" i="29"/>
  <c r="BL168" i="29"/>
  <c r="BP168" i="29"/>
  <c r="DF168" i="29"/>
  <c r="DD168" i="29"/>
  <c r="CZ168" i="29"/>
  <c r="BQ168" i="29"/>
  <c r="BJ168" i="29"/>
  <c r="DB168" i="29"/>
  <c r="AD168" i="29"/>
  <c r="X168" i="29"/>
  <c r="Z168" i="29"/>
  <c r="AB168" i="29"/>
  <c r="W168" i="29"/>
  <c r="AC168" i="29"/>
  <c r="U168" i="29"/>
  <c r="V168" i="29"/>
  <c r="Y168" i="29"/>
  <c r="AA168" i="29"/>
  <c r="DB169" i="29" l="1"/>
  <c r="BQ169" i="29"/>
  <c r="DD169" i="29"/>
  <c r="BP169" i="29"/>
  <c r="DA169" i="29"/>
  <c r="CW169" i="29"/>
  <c r="BI169" i="29"/>
  <c r="BO169" i="29"/>
  <c r="BK169" i="29"/>
  <c r="CX169" i="29"/>
  <c r="BJ169" i="29"/>
  <c r="CZ169" i="29"/>
  <c r="DF169" i="29"/>
  <c r="BL169" i="29"/>
  <c r="BR169" i="29"/>
  <c r="CY169" i="29"/>
  <c r="DE169" i="29"/>
  <c r="BN169" i="29"/>
  <c r="BM169" i="29"/>
  <c r="DC169" i="29"/>
  <c r="Y169" i="29"/>
  <c r="U169" i="29"/>
  <c r="W169" i="29"/>
  <c r="Z169" i="29"/>
  <c r="AD169" i="29"/>
  <c r="AA169" i="29"/>
  <c r="V169" i="29"/>
  <c r="AC169" i="29"/>
  <c r="AB169" i="29"/>
  <c r="X169" i="29"/>
  <c r="DC170" i="29" l="1"/>
  <c r="BN170" i="29"/>
  <c r="CY170" i="29"/>
  <c r="BL170" i="29"/>
  <c r="CZ170" i="29"/>
  <c r="CX170" i="29"/>
  <c r="BO170" i="29"/>
  <c r="CW170" i="29"/>
  <c r="BP170" i="29"/>
  <c r="BQ170" i="29"/>
  <c r="BM170" i="29"/>
  <c r="DE170" i="29"/>
  <c r="BR170" i="29"/>
  <c r="DF170" i="29"/>
  <c r="BJ170" i="29"/>
  <c r="BK170" i="29"/>
  <c r="BI170" i="29"/>
  <c r="DA170" i="29"/>
  <c r="DD170" i="29"/>
  <c r="DB170" i="29"/>
  <c r="AB170" i="29"/>
  <c r="V170" i="29"/>
  <c r="AD170" i="29"/>
  <c r="W170" i="29"/>
  <c r="Y170" i="29"/>
  <c r="X170" i="29"/>
  <c r="AC170" i="29"/>
  <c r="AA170" i="29"/>
  <c r="Z170" i="29"/>
  <c r="U170" i="29"/>
  <c r="DA171" i="29" l="1"/>
  <c r="BK171" i="29"/>
  <c r="DF171" i="29"/>
  <c r="DE171" i="29"/>
  <c r="BQ171" i="29"/>
  <c r="CW171" i="29"/>
  <c r="CX171" i="29"/>
  <c r="BL171" i="29"/>
  <c r="BN171" i="29"/>
  <c r="DB171" i="29"/>
  <c r="DD171" i="29"/>
  <c r="BI171" i="29"/>
  <c r="BJ171" i="29"/>
  <c r="BR171" i="29"/>
  <c r="BM171" i="29"/>
  <c r="BP171" i="29"/>
  <c r="BO171" i="29"/>
  <c r="CZ171" i="29"/>
  <c r="CY171" i="29"/>
  <c r="DC171" i="29"/>
  <c r="Z171" i="29"/>
  <c r="AC171" i="29"/>
  <c r="Y171" i="29"/>
  <c r="AD171" i="29"/>
  <c r="AB171" i="29"/>
  <c r="U171" i="29"/>
  <c r="AA171" i="29"/>
  <c r="X171" i="29"/>
  <c r="W171" i="29"/>
  <c r="V171" i="29"/>
  <c r="DC172" i="29" l="1"/>
  <c r="CZ172" i="29"/>
  <c r="BP172" i="29"/>
  <c r="BR172" i="29"/>
  <c r="BI172" i="29"/>
  <c r="DB172" i="29"/>
  <c r="BL172" i="29"/>
  <c r="CW172" i="29"/>
  <c r="DE172" i="29"/>
  <c r="BK172" i="29"/>
  <c r="CY172" i="29"/>
  <c r="BO172" i="29"/>
  <c r="BM172" i="29"/>
  <c r="BJ172" i="29"/>
  <c r="DD172" i="29"/>
  <c r="BN172" i="29"/>
  <c r="CX172" i="29"/>
  <c r="BQ172" i="29"/>
  <c r="DF172" i="29"/>
  <c r="DA172" i="29"/>
  <c r="W172" i="29"/>
  <c r="AA172" i="29"/>
  <c r="AB172" i="29"/>
  <c r="Y172" i="29"/>
  <c r="Z172" i="29"/>
  <c r="V172" i="29"/>
  <c r="X172" i="29"/>
  <c r="U172" i="29"/>
  <c r="AD172" i="29"/>
  <c r="AC172" i="29"/>
  <c r="DA173" i="29" l="1"/>
  <c r="BN173" i="29"/>
  <c r="BJ173" i="29"/>
  <c r="BO173" i="29"/>
  <c r="BK173" i="29"/>
  <c r="CW173" i="29"/>
  <c r="DB173" i="29"/>
  <c r="BR173" i="29"/>
  <c r="CZ173" i="29"/>
  <c r="BQ173" i="29"/>
  <c r="DF173" i="29"/>
  <c r="CX173" i="29"/>
  <c r="DD173" i="29"/>
  <c r="BM173" i="29"/>
  <c r="CY173" i="29"/>
  <c r="DE173" i="29"/>
  <c r="BL173" i="29"/>
  <c r="BI173" i="29"/>
  <c r="BP173" i="29"/>
  <c r="DC173" i="29"/>
  <c r="AD173" i="29"/>
  <c r="X173" i="29"/>
  <c r="Z173" i="29"/>
  <c r="AB173" i="29"/>
  <c r="W173" i="29"/>
  <c r="AC173" i="29"/>
  <c r="U173" i="29"/>
  <c r="V173" i="29"/>
  <c r="Y173" i="29"/>
  <c r="AA173" i="29"/>
  <c r="DC174" i="29" l="1"/>
  <c r="BI174" i="29"/>
  <c r="DE174" i="29"/>
  <c r="BM174" i="29"/>
  <c r="CX174" i="29"/>
  <c r="BQ174" i="29"/>
  <c r="BR174" i="29"/>
  <c r="CW174" i="29"/>
  <c r="BO174" i="29"/>
  <c r="BN174" i="29"/>
  <c r="BP174" i="29"/>
  <c r="BL174" i="29"/>
  <c r="CY174" i="29"/>
  <c r="DD174" i="29"/>
  <c r="DF174" i="29"/>
  <c r="CZ174" i="29"/>
  <c r="DB174" i="29"/>
  <c r="BK174" i="29"/>
  <c r="BJ174" i="29"/>
  <c r="DA174" i="29"/>
  <c r="AA174" i="29"/>
  <c r="V174" i="29"/>
  <c r="AC174" i="29"/>
  <c r="AB174" i="29"/>
  <c r="X174" i="29"/>
  <c r="Y174" i="29"/>
  <c r="U174" i="29"/>
  <c r="W174" i="29"/>
  <c r="Z174" i="29"/>
  <c r="AD174" i="29"/>
  <c r="DA175" i="29" l="1"/>
  <c r="BK175" i="29"/>
  <c r="CZ175" i="29"/>
  <c r="DD175" i="29"/>
  <c r="BL175" i="29"/>
  <c r="BN175" i="29"/>
  <c r="CW175" i="29"/>
  <c r="BQ175" i="29"/>
  <c r="BM175" i="29"/>
  <c r="BI175" i="29"/>
  <c r="BJ175" i="29"/>
  <c r="DB175" i="29"/>
  <c r="DF175" i="29"/>
  <c r="CY175" i="29"/>
  <c r="BP175" i="29"/>
  <c r="BO175" i="29"/>
  <c r="BR175" i="29"/>
  <c r="CX175" i="29"/>
  <c r="DE175" i="29"/>
  <c r="DC175" i="29"/>
  <c r="AD175" i="29"/>
  <c r="W175" i="29"/>
  <c r="Y175" i="29"/>
  <c r="AB175" i="29"/>
  <c r="V175" i="29"/>
  <c r="Z175" i="29"/>
  <c r="U175" i="29"/>
  <c r="X175" i="29"/>
  <c r="AC175" i="29"/>
  <c r="AA175" i="29"/>
  <c r="DC176" i="29" l="1"/>
  <c r="CX176" i="29"/>
  <c r="BO176" i="29"/>
  <c r="CY176" i="29"/>
  <c r="DB176" i="29"/>
  <c r="BI176" i="29"/>
  <c r="BQ176" i="29"/>
  <c r="BN176" i="29"/>
  <c r="DD176" i="29"/>
  <c r="BK176" i="29"/>
  <c r="DE176" i="29"/>
  <c r="BR176" i="29"/>
  <c r="BP176" i="29"/>
  <c r="DF176" i="29"/>
  <c r="BJ176" i="29"/>
  <c r="BM176" i="29"/>
  <c r="CW176" i="29"/>
  <c r="BL176" i="29"/>
  <c r="CZ176" i="29"/>
  <c r="DA176" i="29"/>
  <c r="AA176" i="29"/>
  <c r="X176" i="29"/>
  <c r="Z176" i="29"/>
  <c r="AB176" i="29"/>
  <c r="W176" i="29"/>
  <c r="AC176" i="29"/>
  <c r="U176" i="29"/>
  <c r="V176" i="29"/>
  <c r="Y176" i="29"/>
  <c r="AD176" i="29"/>
  <c r="DA177" i="29" l="1"/>
  <c r="BL177" i="29"/>
  <c r="BM177" i="29"/>
  <c r="DF177" i="29"/>
  <c r="BR177" i="29"/>
  <c r="BK177" i="29"/>
  <c r="BN177" i="29"/>
  <c r="BI177" i="29"/>
  <c r="CY177" i="29"/>
  <c r="CX177" i="29"/>
  <c r="CZ177" i="29"/>
  <c r="CW177" i="29"/>
  <c r="BJ177" i="29"/>
  <c r="BP177" i="29"/>
  <c r="DE177" i="29"/>
  <c r="DD177" i="29"/>
  <c r="BQ177" i="29"/>
  <c r="DB177" i="29"/>
  <c r="BO177" i="29"/>
  <c r="DC177" i="29"/>
  <c r="AD177" i="29"/>
  <c r="V177" i="29"/>
  <c r="AC177" i="29"/>
  <c r="AB177" i="29"/>
  <c r="X177" i="29"/>
  <c r="Y177" i="29"/>
  <c r="U177" i="29"/>
  <c r="W177" i="29"/>
  <c r="Z177" i="29"/>
  <c r="AA177" i="29"/>
  <c r="DC178" i="29" l="1"/>
  <c r="DB178" i="29"/>
  <c r="DD178" i="29"/>
  <c r="BP178" i="29"/>
  <c r="CW178" i="29"/>
  <c r="CX178" i="29"/>
  <c r="BI178" i="29"/>
  <c r="BK178" i="29"/>
  <c r="DF178" i="29"/>
  <c r="BL178" i="29"/>
  <c r="BO178" i="29"/>
  <c r="BQ178" i="29"/>
  <c r="DE178" i="29"/>
  <c r="BJ178" i="29"/>
  <c r="CZ178" i="29"/>
  <c r="CY178" i="29"/>
  <c r="BN178" i="29"/>
  <c r="BR178" i="29"/>
  <c r="BM178" i="29"/>
  <c r="DA178" i="29"/>
  <c r="W178" i="29"/>
  <c r="Y178" i="29"/>
  <c r="AB178" i="29"/>
  <c r="V178" i="29"/>
  <c r="AA178" i="29"/>
  <c r="Z178" i="29"/>
  <c r="U178" i="29"/>
  <c r="X178" i="29"/>
  <c r="AC178" i="29"/>
  <c r="AD178" i="29"/>
  <c r="DA179" i="29" l="1"/>
  <c r="BR179" i="29"/>
  <c r="CY179" i="29"/>
  <c r="BJ179" i="29"/>
  <c r="BQ179" i="29"/>
  <c r="BL179" i="29"/>
  <c r="BK179" i="29"/>
  <c r="CX179" i="29"/>
  <c r="BP179" i="29"/>
  <c r="DB179" i="29"/>
  <c r="BM179" i="29"/>
  <c r="BN179" i="29"/>
  <c r="CZ179" i="29"/>
  <c r="DE179" i="29"/>
  <c r="BO179" i="29"/>
  <c r="DF179" i="29"/>
  <c r="BI179" i="29"/>
  <c r="CW179" i="29"/>
  <c r="DD179" i="29"/>
  <c r="DC179" i="29"/>
  <c r="X179" i="29"/>
  <c r="Z179" i="29"/>
  <c r="V179" i="29"/>
  <c r="Y179" i="29"/>
  <c r="AD179" i="29"/>
  <c r="AC179" i="29"/>
  <c r="U179" i="29"/>
  <c r="AA179" i="29"/>
  <c r="AB179" i="29"/>
  <c r="W179" i="29"/>
  <c r="DC180" i="29" l="1"/>
  <c r="CW180" i="29"/>
  <c r="DF180" i="29"/>
  <c r="DE180" i="29"/>
  <c r="BN180" i="29"/>
  <c r="DB180" i="29"/>
  <c r="CX180" i="29"/>
  <c r="BL180" i="29"/>
  <c r="BJ180" i="29"/>
  <c r="BR180" i="29"/>
  <c r="DD180" i="29"/>
  <c r="BI180" i="29"/>
  <c r="BO180" i="29"/>
  <c r="CZ180" i="29"/>
  <c r="BM180" i="29"/>
  <c r="BP180" i="29"/>
  <c r="BK180" i="29"/>
  <c r="BQ180" i="29"/>
  <c r="CY180" i="29"/>
  <c r="DA180" i="29"/>
  <c r="W180" i="29"/>
  <c r="AA180" i="29"/>
  <c r="AC180" i="29"/>
  <c r="Y180" i="29"/>
  <c r="Z180" i="29"/>
  <c r="AB180" i="29"/>
  <c r="U180" i="29"/>
  <c r="AD180" i="29"/>
  <c r="V180" i="29"/>
  <c r="X180" i="29"/>
  <c r="DA181" i="29" l="1"/>
  <c r="BQ181" i="29"/>
  <c r="BP181" i="29"/>
  <c r="CZ181" i="29"/>
  <c r="BI181" i="29"/>
  <c r="BR181" i="29"/>
  <c r="BL181" i="29"/>
  <c r="DB181" i="29"/>
  <c r="DE181" i="29"/>
  <c r="CW181" i="29"/>
  <c r="CY181" i="29"/>
  <c r="BK181" i="29"/>
  <c r="BM181" i="29"/>
  <c r="BO181" i="29"/>
  <c r="DD181" i="29"/>
  <c r="BJ181" i="29"/>
  <c r="CX181" i="29"/>
  <c r="BN181" i="29"/>
  <c r="DF181" i="29"/>
  <c r="DC181" i="29"/>
  <c r="AD181" i="29"/>
  <c r="AB181" i="29"/>
  <c r="Y181" i="29"/>
  <c r="AA181" i="29"/>
  <c r="X181" i="29"/>
  <c r="V181" i="29"/>
  <c r="U181" i="29"/>
  <c r="Z181" i="29"/>
  <c r="AC181" i="29"/>
  <c r="W181" i="29"/>
  <c r="DC182" i="29" l="1"/>
  <c r="BN182" i="29"/>
  <c r="BJ182" i="29"/>
  <c r="BO182" i="29"/>
  <c r="BK182" i="29"/>
  <c r="CW182" i="29"/>
  <c r="DB182" i="29"/>
  <c r="BR182" i="29"/>
  <c r="CZ182" i="29"/>
  <c r="BQ182" i="29"/>
  <c r="DF182" i="29"/>
  <c r="CX182" i="29"/>
  <c r="DD182" i="29"/>
  <c r="BM182" i="29"/>
  <c r="CY182" i="29"/>
  <c r="DE182" i="29"/>
  <c r="BL182" i="29"/>
  <c r="BI182" i="29"/>
  <c r="BP182" i="29"/>
  <c r="DA182" i="29"/>
  <c r="W182" i="29"/>
  <c r="Z182" i="29"/>
  <c r="V182" i="29"/>
  <c r="AA182" i="29"/>
  <c r="AB182" i="29"/>
  <c r="AC182" i="29"/>
  <c r="U182" i="29"/>
  <c r="X182" i="29"/>
  <c r="Y182" i="29"/>
  <c r="AD182" i="29"/>
  <c r="DA183" i="29" l="1"/>
  <c r="BI183" i="29"/>
  <c r="DE183" i="29"/>
  <c r="BM183" i="29"/>
  <c r="CX183" i="29"/>
  <c r="BQ183" i="29"/>
  <c r="BR183" i="29"/>
  <c r="CW183" i="29"/>
  <c r="BO183" i="29"/>
  <c r="BN183" i="29"/>
  <c r="BP183" i="29"/>
  <c r="BL183" i="29"/>
  <c r="CY183" i="29"/>
  <c r="DD183" i="29"/>
  <c r="DF183" i="29"/>
  <c r="CZ183" i="29"/>
  <c r="DB183" i="29"/>
  <c r="BK183" i="29"/>
  <c r="BJ183" i="29"/>
  <c r="DC183" i="29"/>
  <c r="AD183" i="29"/>
  <c r="X183" i="29"/>
  <c r="AC183" i="29"/>
  <c r="AA183" i="29"/>
  <c r="Z183" i="29"/>
  <c r="Y183" i="29"/>
  <c r="U183" i="29"/>
  <c r="AB183" i="29"/>
  <c r="V183" i="29"/>
  <c r="W183" i="29"/>
  <c r="DC184" i="29" l="1"/>
  <c r="BK184" i="29"/>
  <c r="CZ184" i="29"/>
  <c r="DD184" i="29"/>
  <c r="BL184" i="29"/>
  <c r="BN184" i="29"/>
  <c r="CW184" i="29"/>
  <c r="BQ184" i="29"/>
  <c r="BM184" i="29"/>
  <c r="BI184" i="29"/>
  <c r="BJ184" i="29"/>
  <c r="DB184" i="29"/>
  <c r="DF184" i="29"/>
  <c r="CY184" i="29"/>
  <c r="BP184" i="29"/>
  <c r="BO184" i="29"/>
  <c r="BR184" i="29"/>
  <c r="CX184" i="29"/>
  <c r="DE184" i="29"/>
  <c r="DA184" i="29"/>
  <c r="AB184" i="29"/>
  <c r="Y184" i="29"/>
  <c r="AA184" i="29"/>
  <c r="X184" i="29"/>
  <c r="W184" i="29"/>
  <c r="V184" i="29"/>
  <c r="U184" i="29"/>
  <c r="Z184" i="29"/>
  <c r="AC184" i="29"/>
  <c r="AD184" i="29"/>
  <c r="DA185" i="29" l="1"/>
  <c r="CX185" i="29"/>
  <c r="BO185" i="29"/>
  <c r="CY185" i="29"/>
  <c r="DB185" i="29"/>
  <c r="BI185" i="29"/>
  <c r="BQ185" i="29"/>
  <c r="BN185" i="29"/>
  <c r="DD185" i="29"/>
  <c r="BK185" i="29"/>
  <c r="DE185" i="29"/>
  <c r="BR185" i="29"/>
  <c r="BP185" i="29"/>
  <c r="DF185" i="29"/>
  <c r="BJ185" i="29"/>
  <c r="BM185" i="29"/>
  <c r="CW185" i="29"/>
  <c r="BL185" i="29"/>
  <c r="CZ185" i="29"/>
  <c r="DC185" i="29"/>
  <c r="AD185" i="29"/>
  <c r="Y185" i="29"/>
  <c r="Z185" i="29"/>
  <c r="V185" i="29"/>
  <c r="X185" i="29"/>
  <c r="AC185" i="29"/>
  <c r="U185" i="29"/>
  <c r="W185" i="29"/>
  <c r="AA185" i="29"/>
  <c r="AB185" i="29"/>
  <c r="DC186" i="29" l="1"/>
  <c r="BL186" i="29"/>
  <c r="BM186" i="29"/>
  <c r="DF186" i="29"/>
  <c r="BR186" i="29"/>
  <c r="BK186" i="29"/>
  <c r="BN186" i="29"/>
  <c r="BI186" i="29"/>
  <c r="CY186" i="29"/>
  <c r="CX186" i="29"/>
  <c r="CZ186" i="29"/>
  <c r="CW186" i="29"/>
  <c r="BJ186" i="29"/>
  <c r="BP186" i="29"/>
  <c r="DE186" i="29"/>
  <c r="DD186" i="29"/>
  <c r="BQ186" i="29"/>
  <c r="DB186" i="29"/>
  <c r="BO186" i="29"/>
  <c r="DA186" i="29"/>
  <c r="AB186" i="29"/>
  <c r="V186" i="29"/>
  <c r="Y186" i="29"/>
  <c r="W186" i="29"/>
  <c r="AC186" i="29"/>
  <c r="AA186" i="29"/>
  <c r="U186" i="29"/>
  <c r="X186" i="29"/>
  <c r="Z186" i="29"/>
  <c r="AD186" i="29"/>
  <c r="DA187" i="29" l="1"/>
  <c r="DB187" i="29"/>
  <c r="DD187" i="29"/>
  <c r="BP187" i="29"/>
  <c r="CW187" i="29"/>
  <c r="CX187" i="29"/>
  <c r="BI187" i="29"/>
  <c r="BK187" i="29"/>
  <c r="DF187" i="29"/>
  <c r="BL187" i="29"/>
  <c r="BO187" i="29"/>
  <c r="BQ187" i="29"/>
  <c r="DE187" i="29"/>
  <c r="BJ187" i="29"/>
  <c r="CZ187" i="29"/>
  <c r="CY187" i="29"/>
  <c r="BN187" i="29"/>
  <c r="BR187" i="29"/>
  <c r="BM187" i="29"/>
  <c r="DC187" i="29"/>
  <c r="X187" i="29"/>
  <c r="V187" i="29"/>
  <c r="W187" i="29"/>
  <c r="AD187" i="29"/>
  <c r="AA187" i="29"/>
  <c r="Z187" i="29"/>
  <c r="U187" i="29"/>
  <c r="AC187" i="29"/>
  <c r="Y187" i="29"/>
  <c r="AB187" i="29"/>
  <c r="DC188" i="29" l="1"/>
  <c r="BR188" i="29"/>
  <c r="CY188" i="29"/>
  <c r="BJ188" i="29"/>
  <c r="BQ188" i="29"/>
  <c r="BL188" i="29"/>
  <c r="BK188" i="29"/>
  <c r="CX188" i="29"/>
  <c r="BP188" i="29"/>
  <c r="DB188" i="29"/>
  <c r="BM188" i="29"/>
  <c r="BN188" i="29"/>
  <c r="CZ188" i="29"/>
  <c r="DE188" i="29"/>
  <c r="BO188" i="29"/>
  <c r="DF188" i="29"/>
  <c r="BI188" i="29"/>
  <c r="CW188" i="29"/>
  <c r="DD188" i="29"/>
  <c r="DA188" i="29"/>
  <c r="AC188" i="29"/>
  <c r="V188" i="29"/>
  <c r="AB188" i="29"/>
  <c r="AD188" i="29"/>
  <c r="Z188" i="29"/>
  <c r="Y188" i="29"/>
  <c r="U188" i="29"/>
  <c r="AA188" i="29"/>
  <c r="W188" i="29"/>
  <c r="X188" i="29"/>
  <c r="BI189" i="29" l="1"/>
  <c r="CZ189" i="29"/>
  <c r="BM189" i="29"/>
  <c r="BK189" i="29"/>
  <c r="DC189" i="29"/>
  <c r="DD189" i="29"/>
  <c r="BO189" i="29"/>
  <c r="BP189" i="29"/>
  <c r="CY189" i="29"/>
  <c r="DA189" i="29"/>
  <c r="CW189" i="29"/>
  <c r="DF189" i="29"/>
  <c r="DE189" i="29"/>
  <c r="BN189" i="29"/>
  <c r="DB189" i="29"/>
  <c r="CX189" i="29"/>
  <c r="BL189" i="29"/>
  <c r="BJ189" i="29"/>
  <c r="BR189" i="29"/>
  <c r="BQ189" i="29"/>
  <c r="AA189" i="29"/>
  <c r="AD189" i="29"/>
  <c r="V189" i="29"/>
  <c r="Y189" i="29"/>
  <c r="X189" i="29"/>
  <c r="W189" i="29"/>
  <c r="U189" i="29"/>
  <c r="Z189" i="29"/>
  <c r="AB189" i="29"/>
  <c r="AC189" i="29"/>
  <c r="BQ190" i="29" l="1"/>
  <c r="BJ190" i="29"/>
  <c r="CX190" i="29"/>
  <c r="BN190" i="29"/>
  <c r="DF190" i="29"/>
  <c r="DA190" i="29"/>
  <c r="BP190" i="29"/>
  <c r="DD190" i="29"/>
  <c r="BK190" i="29"/>
  <c r="CZ190" i="29"/>
  <c r="BR190" i="29"/>
  <c r="BL190" i="29"/>
  <c r="DB190" i="29"/>
  <c r="DE190" i="29"/>
  <c r="CW190" i="29"/>
  <c r="CY190" i="29"/>
  <c r="BO190" i="29"/>
  <c r="DC190" i="29"/>
  <c r="BM190" i="29"/>
  <c r="BI190" i="29"/>
  <c r="Z190" i="29"/>
  <c r="AD190" i="29"/>
  <c r="AC190" i="29"/>
  <c r="W190" i="29"/>
  <c r="Y190" i="29"/>
  <c r="AB190" i="29"/>
  <c r="U190" i="29"/>
  <c r="X190" i="29"/>
  <c r="V190" i="29"/>
  <c r="AA190" i="29"/>
  <c r="BI191" i="29" l="1"/>
  <c r="DC191" i="29"/>
  <c r="CY191" i="29"/>
  <c r="DE191" i="29"/>
  <c r="BL191" i="29"/>
  <c r="CZ191" i="29"/>
  <c r="DD191" i="29"/>
  <c r="DA191" i="29"/>
  <c r="BN191" i="29"/>
  <c r="BJ191" i="29"/>
  <c r="BM191" i="29"/>
  <c r="BO191" i="29"/>
  <c r="CW191" i="29"/>
  <c r="DB191" i="29"/>
  <c r="BR191" i="29"/>
  <c r="BK191" i="29"/>
  <c r="BP191" i="29"/>
  <c r="DF191" i="29"/>
  <c r="CX191" i="29"/>
  <c r="BQ191" i="29"/>
  <c r="AB191" i="29"/>
  <c r="W191" i="29"/>
  <c r="AD191" i="29"/>
  <c r="X191" i="29"/>
  <c r="AA191" i="29"/>
  <c r="V191" i="29"/>
  <c r="U191" i="29"/>
  <c r="Y191" i="29"/>
  <c r="AC191" i="29"/>
  <c r="Z191" i="29"/>
  <c r="BQ192" i="29" l="1"/>
  <c r="DF192" i="29"/>
  <c r="BK192" i="29"/>
  <c r="DB192" i="29"/>
  <c r="BO192" i="29"/>
  <c r="BJ192" i="29"/>
  <c r="DA192" i="29"/>
  <c r="CZ192" i="29"/>
  <c r="DE192" i="29"/>
  <c r="DC192" i="29"/>
  <c r="CX192" i="29"/>
  <c r="BP192" i="29"/>
  <c r="BR192" i="29"/>
  <c r="CW192" i="29"/>
  <c r="BM192" i="29"/>
  <c r="BN192" i="29"/>
  <c r="DD192" i="29"/>
  <c r="BL192" i="29"/>
  <c r="CY192" i="29"/>
  <c r="BI192" i="29"/>
  <c r="Z192" i="29"/>
  <c r="X192" i="29"/>
  <c r="W192" i="29"/>
  <c r="V192" i="29"/>
  <c r="Y192" i="29"/>
  <c r="AC192" i="29"/>
  <c r="U192" i="29"/>
  <c r="AA192" i="29"/>
  <c r="AD192" i="29"/>
  <c r="AB192" i="29"/>
  <c r="BI193" i="29" l="1"/>
  <c r="BL193" i="29"/>
  <c r="BN193" i="29"/>
  <c r="CW193" i="29"/>
  <c r="BP193" i="29"/>
  <c r="DC193" i="29"/>
  <c r="CZ193" i="29"/>
  <c r="BJ193" i="29"/>
  <c r="DB193" i="29"/>
  <c r="DF193" i="29"/>
  <c r="CY193" i="29"/>
  <c r="DD193" i="29"/>
  <c r="BM193" i="29"/>
  <c r="BR193" i="29"/>
  <c r="CX193" i="29"/>
  <c r="DE193" i="29"/>
  <c r="DA193" i="29"/>
  <c r="BO193" i="29"/>
  <c r="BK193" i="29"/>
  <c r="BQ193" i="29"/>
  <c r="AC193" i="29"/>
  <c r="X193" i="29"/>
  <c r="AA193" i="29"/>
  <c r="AB193" i="29"/>
  <c r="V193" i="29"/>
  <c r="AD193" i="29"/>
  <c r="U193" i="29"/>
  <c r="Y193" i="29"/>
  <c r="W193" i="29"/>
  <c r="Z193" i="29"/>
  <c r="BQ194" i="29" l="1"/>
  <c r="BO194" i="29"/>
  <c r="DE194" i="29"/>
  <c r="BR194" i="29"/>
  <c r="DD194" i="29"/>
  <c r="DF194" i="29"/>
  <c r="BJ194" i="29"/>
  <c r="DC194" i="29"/>
  <c r="CW194" i="29"/>
  <c r="BL194" i="29"/>
  <c r="BK194" i="29"/>
  <c r="DA194" i="29"/>
  <c r="CX194" i="29"/>
  <c r="BM194" i="29"/>
  <c r="CY194" i="29"/>
  <c r="DB194" i="29"/>
  <c r="CZ194" i="29"/>
  <c r="BP194" i="29"/>
  <c r="BN194" i="29"/>
  <c r="BI194" i="29"/>
  <c r="Y194" i="29"/>
  <c r="AB194" i="29"/>
  <c r="X194" i="29"/>
  <c r="AD194" i="29"/>
  <c r="Z194" i="29"/>
  <c r="W194" i="29"/>
  <c r="U194" i="29"/>
  <c r="V194" i="29"/>
  <c r="AA194" i="29"/>
  <c r="AC194" i="29"/>
  <c r="BI195" i="29" l="1"/>
  <c r="BP195" i="29"/>
  <c r="DB195" i="29"/>
  <c r="BM195" i="29"/>
  <c r="DA195" i="29"/>
  <c r="BL195" i="29"/>
  <c r="DC195" i="29"/>
  <c r="DF195" i="29"/>
  <c r="BR195" i="29"/>
  <c r="BO195" i="29"/>
  <c r="BN195" i="29"/>
  <c r="CZ195" i="29"/>
  <c r="CY195" i="29"/>
  <c r="CX195" i="29"/>
  <c r="BK195" i="29"/>
  <c r="CW195" i="29"/>
  <c r="BJ195" i="29"/>
  <c r="DD195" i="29"/>
  <c r="DE195" i="29"/>
  <c r="BQ195" i="29"/>
  <c r="V195" i="29"/>
  <c r="AB195" i="29"/>
  <c r="AC195" i="29"/>
  <c r="W195" i="29"/>
  <c r="AD195" i="29"/>
  <c r="AA195" i="29"/>
  <c r="U195" i="29"/>
  <c r="Z195" i="29"/>
  <c r="X195" i="29"/>
  <c r="Y195" i="29"/>
  <c r="BQ196" i="29" l="1"/>
  <c r="DD196" i="29"/>
  <c r="CW196" i="29"/>
  <c r="CX196" i="29"/>
  <c r="CZ196" i="29"/>
  <c r="BO196" i="29"/>
  <c r="DF196" i="29"/>
  <c r="BL196" i="29"/>
  <c r="BM196" i="29"/>
  <c r="BP196" i="29"/>
  <c r="DE196" i="29"/>
  <c r="BJ196" i="29"/>
  <c r="BK196" i="29"/>
  <c r="CY196" i="29"/>
  <c r="BN196" i="29"/>
  <c r="BR196" i="29"/>
  <c r="DC196" i="29"/>
  <c r="DA196" i="29"/>
  <c r="DB196" i="29"/>
  <c r="BI196" i="29"/>
  <c r="Y196" i="29"/>
  <c r="Z196" i="29"/>
  <c r="AA196" i="29"/>
  <c r="W196" i="29"/>
  <c r="AB196" i="29"/>
  <c r="X196" i="29"/>
  <c r="U196" i="29"/>
  <c r="AD196" i="29"/>
  <c r="AC196" i="29"/>
  <c r="V196" i="29"/>
  <c r="BI197" i="29" l="1"/>
  <c r="DA197" i="29"/>
  <c r="BR197" i="29"/>
  <c r="CY197" i="29"/>
  <c r="BJ197" i="29"/>
  <c r="BP197" i="29"/>
  <c r="BL197" i="29"/>
  <c r="BO197" i="29"/>
  <c r="CX197" i="29"/>
  <c r="DD197" i="29"/>
  <c r="DB197" i="29"/>
  <c r="DC197" i="29"/>
  <c r="BN197" i="29"/>
  <c r="BK197" i="29"/>
  <c r="DE197" i="29"/>
  <c r="BM197" i="29"/>
  <c r="DF197" i="29"/>
  <c r="CZ197" i="29"/>
  <c r="CW197" i="29"/>
  <c r="BQ197" i="29"/>
  <c r="V197" i="29"/>
  <c r="X197" i="29"/>
  <c r="Z197" i="29"/>
  <c r="AD197" i="29"/>
  <c r="W197" i="29"/>
  <c r="AC197" i="29"/>
  <c r="U197" i="29"/>
  <c r="AB197" i="29"/>
  <c r="AA197" i="29"/>
  <c r="Y197" i="29"/>
  <c r="BQ198" i="29" l="1"/>
  <c r="CZ198" i="29"/>
  <c r="BM198" i="29"/>
  <c r="BK198" i="29"/>
  <c r="DC198" i="29"/>
  <c r="DD198" i="29"/>
  <c r="BO198" i="29"/>
  <c r="BP198" i="29"/>
  <c r="CY198" i="29"/>
  <c r="DA198" i="29"/>
  <c r="CW198" i="29"/>
  <c r="DF198" i="29"/>
  <c r="DE198" i="29"/>
  <c r="BN198" i="29"/>
  <c r="DB198" i="29"/>
  <c r="CX198" i="29"/>
  <c r="BL198" i="29"/>
  <c r="BJ198" i="29"/>
  <c r="BR198" i="29"/>
  <c r="BI198" i="29"/>
  <c r="Y198" i="29"/>
  <c r="AB198" i="29"/>
  <c r="AC198" i="29"/>
  <c r="AD198" i="29"/>
  <c r="X198" i="29"/>
  <c r="AA198" i="29"/>
  <c r="U198" i="29"/>
  <c r="W198" i="29"/>
  <c r="Z198" i="29"/>
  <c r="V198" i="29"/>
  <c r="BI199" i="29" l="1"/>
  <c r="BJ199" i="29"/>
  <c r="CX199" i="29"/>
  <c r="BN199" i="29"/>
  <c r="DF199" i="29"/>
  <c r="DA199" i="29"/>
  <c r="BP199" i="29"/>
  <c r="DD199" i="29"/>
  <c r="BK199" i="29"/>
  <c r="CZ199" i="29"/>
  <c r="BR199" i="29"/>
  <c r="BL199" i="29"/>
  <c r="DB199" i="29"/>
  <c r="DE199" i="29"/>
  <c r="CW199" i="29"/>
  <c r="CY199" i="29"/>
  <c r="BO199" i="29"/>
  <c r="DC199" i="29"/>
  <c r="BM199" i="29"/>
  <c r="BQ199" i="29"/>
  <c r="W199" i="29"/>
  <c r="AA199" i="29"/>
  <c r="AD199" i="29"/>
  <c r="AB199" i="29"/>
  <c r="V199" i="29"/>
  <c r="Z199" i="29"/>
  <c r="U199" i="29"/>
  <c r="X199" i="29"/>
  <c r="AC199" i="29"/>
  <c r="Y199" i="29"/>
  <c r="BQ200" i="29" l="1"/>
  <c r="DC200" i="29"/>
  <c r="CY200" i="29"/>
  <c r="DE200" i="29"/>
  <c r="BL200" i="29"/>
  <c r="CZ200" i="29"/>
  <c r="DD200" i="29"/>
  <c r="DA200" i="29"/>
  <c r="BN200" i="29"/>
  <c r="BJ200" i="29"/>
  <c r="BM200" i="29"/>
  <c r="BO200" i="29"/>
  <c r="CW200" i="29"/>
  <c r="DB200" i="29"/>
  <c r="BR200" i="29"/>
  <c r="BK200" i="29"/>
  <c r="BP200" i="29"/>
  <c r="DF200" i="29"/>
  <c r="CX200" i="29"/>
  <c r="BI200" i="29"/>
  <c r="Y200" i="29"/>
  <c r="X200" i="29"/>
  <c r="Z200" i="29"/>
  <c r="AB200" i="29"/>
  <c r="AA200" i="29"/>
  <c r="AC200" i="29"/>
  <c r="U200" i="29"/>
  <c r="V200" i="29"/>
  <c r="AD200" i="29"/>
  <c r="W200" i="29"/>
  <c r="CX201" i="29" l="1"/>
  <c r="BR201" i="29"/>
  <c r="BM201" i="29"/>
  <c r="DD201" i="29"/>
  <c r="BQ201" i="29"/>
  <c r="BP201" i="29"/>
  <c r="CW201" i="29"/>
  <c r="BN201" i="29"/>
  <c r="CY201" i="29"/>
  <c r="BI201" i="29"/>
  <c r="DF201" i="29"/>
  <c r="BK201" i="29"/>
  <c r="DB201" i="29"/>
  <c r="BO201" i="29"/>
  <c r="BJ201" i="29"/>
  <c r="DA201" i="29"/>
  <c r="CZ201" i="29"/>
  <c r="DE201" i="29"/>
  <c r="DC201" i="29"/>
  <c r="BL201" i="29"/>
  <c r="W201" i="29"/>
  <c r="V201" i="29"/>
  <c r="AC201" i="29"/>
  <c r="AB201" i="29"/>
  <c r="X201" i="29"/>
  <c r="AD201" i="29"/>
  <c r="U201" i="29"/>
  <c r="AA201" i="29"/>
  <c r="Z201" i="29"/>
  <c r="Y201" i="29"/>
  <c r="BL202" i="29" l="1"/>
  <c r="DE202" i="29"/>
  <c r="DA202" i="29"/>
  <c r="BO202" i="29"/>
  <c r="BK202" i="29"/>
  <c r="BI202" i="29"/>
  <c r="BN202" i="29"/>
  <c r="BP202" i="29"/>
  <c r="DD202" i="29"/>
  <c r="BR202" i="29"/>
  <c r="DC202" i="29"/>
  <c r="CZ202" i="29"/>
  <c r="BJ202" i="29"/>
  <c r="DB202" i="29"/>
  <c r="DF202" i="29"/>
  <c r="CY202" i="29"/>
  <c r="CW202" i="29"/>
  <c r="BQ202" i="29"/>
  <c r="BM202" i="29"/>
  <c r="CX202" i="29"/>
  <c r="AA202" i="29"/>
  <c r="AD202" i="29"/>
  <c r="AB202" i="29"/>
  <c r="V202" i="29"/>
  <c r="Y202" i="29"/>
  <c r="Z202" i="29"/>
  <c r="U202" i="29"/>
  <c r="X202" i="29"/>
  <c r="AC202" i="29"/>
  <c r="W202" i="29"/>
  <c r="CX203" i="29" l="1"/>
  <c r="BQ203" i="29"/>
  <c r="CY203" i="29"/>
  <c r="DB203" i="29"/>
  <c r="CZ203" i="29"/>
  <c r="BR203" i="29"/>
  <c r="BP203" i="29"/>
  <c r="BI203" i="29"/>
  <c r="BO203" i="29"/>
  <c r="DE203" i="29"/>
  <c r="BM203" i="29"/>
  <c r="CW203" i="29"/>
  <c r="DF203" i="29"/>
  <c r="BJ203" i="29"/>
  <c r="DC203" i="29"/>
  <c r="DD203" i="29"/>
  <c r="BN203" i="29"/>
  <c r="BK203" i="29"/>
  <c r="DA203" i="29"/>
  <c r="BL203" i="29"/>
  <c r="W203" i="29"/>
  <c r="X203" i="29"/>
  <c r="Z203" i="29"/>
  <c r="V203" i="29"/>
  <c r="AD203" i="29"/>
  <c r="AC203" i="29"/>
  <c r="U203" i="29"/>
  <c r="Y203" i="29"/>
  <c r="AB203" i="29"/>
  <c r="AA203" i="29"/>
  <c r="BL204" i="29" l="1"/>
  <c r="BK204" i="29"/>
  <c r="DD204" i="29"/>
  <c r="BJ204" i="29"/>
  <c r="CW204" i="29"/>
  <c r="DE204" i="29"/>
  <c r="BI204" i="29"/>
  <c r="BR204" i="29"/>
  <c r="DB204" i="29"/>
  <c r="BQ204" i="29"/>
  <c r="DA204" i="29"/>
  <c r="BN204" i="29"/>
  <c r="DC204" i="29"/>
  <c r="DF204" i="29"/>
  <c r="BM204" i="29"/>
  <c r="BO204" i="29"/>
  <c r="BP204" i="29"/>
  <c r="CZ204" i="29"/>
  <c r="CY204" i="29"/>
  <c r="CX204" i="29"/>
  <c r="AA204" i="29"/>
  <c r="Y204" i="29"/>
  <c r="AC204" i="29"/>
  <c r="V204" i="29"/>
  <c r="X204" i="29"/>
  <c r="AB204" i="29"/>
  <c r="U204" i="29"/>
  <c r="AD204" i="29"/>
  <c r="Z204" i="29"/>
  <c r="W204" i="29"/>
  <c r="CX205" i="29" l="1"/>
  <c r="CZ205" i="29"/>
  <c r="BO205" i="29"/>
  <c r="DF205" i="29"/>
  <c r="BN205" i="29"/>
  <c r="BQ205" i="29"/>
  <c r="BR205" i="29"/>
  <c r="DE205" i="29"/>
  <c r="BJ205" i="29"/>
  <c r="BK205" i="29"/>
  <c r="CY205" i="29"/>
  <c r="BP205" i="29"/>
  <c r="BM205" i="29"/>
  <c r="DC205" i="29"/>
  <c r="DA205" i="29"/>
  <c r="DB205" i="29"/>
  <c r="BI205" i="29"/>
  <c r="CW205" i="29"/>
  <c r="DD205" i="29"/>
  <c r="BL205" i="29"/>
  <c r="AD205" i="29"/>
  <c r="V205" i="29"/>
  <c r="W205" i="29"/>
  <c r="AB205" i="29"/>
  <c r="Y205" i="29"/>
  <c r="Z205" i="29"/>
  <c r="U205" i="29"/>
  <c r="X205" i="29"/>
  <c r="AC205" i="29"/>
  <c r="AA205" i="29"/>
  <c r="BL206" i="29" l="1"/>
  <c r="CW206" i="29"/>
  <c r="DB206" i="29"/>
  <c r="DC206" i="29"/>
  <c r="BP206" i="29"/>
  <c r="BK206" i="29"/>
  <c r="DE206" i="29"/>
  <c r="BQ206" i="29"/>
  <c r="DF206" i="29"/>
  <c r="CZ206" i="29"/>
  <c r="DD206" i="29"/>
  <c r="BI206" i="29"/>
  <c r="DA206" i="29"/>
  <c r="BM206" i="29"/>
  <c r="CY206" i="29"/>
  <c r="BJ206" i="29"/>
  <c r="BR206" i="29"/>
  <c r="BN206" i="29"/>
  <c r="BO206" i="29"/>
  <c r="CX206" i="29"/>
  <c r="X206" i="29"/>
  <c r="AB206" i="29"/>
  <c r="V206" i="29"/>
  <c r="AA206" i="29"/>
  <c r="Z206" i="29"/>
  <c r="AC206" i="29"/>
  <c r="U206" i="29"/>
  <c r="Y206" i="29"/>
  <c r="W206" i="29"/>
  <c r="AD206" i="29"/>
  <c r="CX207" i="29" l="1"/>
  <c r="BN207" i="29"/>
  <c r="BJ207" i="29"/>
  <c r="BM207" i="29"/>
  <c r="BI207" i="29"/>
  <c r="CZ207" i="29"/>
  <c r="BQ207" i="29"/>
  <c r="BK207" i="29"/>
  <c r="DC207" i="29"/>
  <c r="CW207" i="29"/>
  <c r="BO207" i="29"/>
  <c r="BR207" i="29"/>
  <c r="CY207" i="29"/>
  <c r="DA207" i="29"/>
  <c r="DD207" i="29"/>
  <c r="DF207" i="29"/>
  <c r="DE207" i="29"/>
  <c r="BP207" i="29"/>
  <c r="DB207" i="29"/>
  <c r="BL207" i="29"/>
  <c r="AC207" i="29"/>
  <c r="AD207" i="29"/>
  <c r="AA207" i="29"/>
  <c r="Y207" i="29"/>
  <c r="AB207" i="29"/>
  <c r="W207" i="29"/>
  <c r="U207" i="29"/>
  <c r="Z207" i="29"/>
  <c r="V207" i="29"/>
  <c r="X207" i="29"/>
  <c r="BL208" i="29" l="1"/>
  <c r="BP208" i="29"/>
  <c r="DF208" i="29"/>
  <c r="DA208" i="29"/>
  <c r="BR208" i="29"/>
  <c r="CW208" i="29"/>
  <c r="BK208" i="29"/>
  <c r="CZ208" i="29"/>
  <c r="BM208" i="29"/>
  <c r="BN208" i="29"/>
  <c r="DB208" i="29"/>
  <c r="DE208" i="29"/>
  <c r="DD208" i="29"/>
  <c r="CY208" i="29"/>
  <c r="BO208" i="29"/>
  <c r="DC208" i="29"/>
  <c r="BQ208" i="29"/>
  <c r="BI208" i="29"/>
  <c r="BJ208" i="29"/>
  <c r="CX208" i="29"/>
  <c r="X208" i="29"/>
  <c r="Y208" i="29"/>
  <c r="AD208" i="29"/>
  <c r="W208" i="29"/>
  <c r="Z208" i="29"/>
  <c r="V208" i="29"/>
  <c r="U208" i="29"/>
  <c r="AB208" i="29"/>
  <c r="AA208" i="29"/>
  <c r="AC208" i="29"/>
  <c r="CX209" i="29" l="1"/>
  <c r="BI209" i="29"/>
  <c r="DC209" i="29"/>
  <c r="CY209" i="29"/>
  <c r="DE209" i="29"/>
  <c r="BN209" i="29"/>
  <c r="CZ209" i="29"/>
  <c r="CW209" i="29"/>
  <c r="DA209" i="29"/>
  <c r="BP209" i="29"/>
  <c r="BJ209" i="29"/>
  <c r="BQ209" i="29"/>
  <c r="BO209" i="29"/>
  <c r="DD209" i="29"/>
  <c r="DB209" i="29"/>
  <c r="BM209" i="29"/>
  <c r="BK209" i="29"/>
  <c r="BR209" i="29"/>
  <c r="DF209" i="29"/>
  <c r="BL209" i="29"/>
  <c r="AC209" i="29"/>
  <c r="AB209" i="29"/>
  <c r="V209" i="29"/>
  <c r="W209" i="29"/>
  <c r="Y209" i="29"/>
  <c r="AA209" i="29"/>
  <c r="U209" i="29"/>
  <c r="Z209" i="29"/>
  <c r="AD209" i="29"/>
  <c r="X209" i="29"/>
  <c r="BL210" i="29" l="1"/>
  <c r="BR210" i="29"/>
  <c r="BM210" i="29"/>
  <c r="DD210" i="29"/>
  <c r="BQ210" i="29"/>
  <c r="BP210" i="29"/>
  <c r="CW210" i="29"/>
  <c r="BN210" i="29"/>
  <c r="CY210" i="29"/>
  <c r="BI210" i="29"/>
  <c r="DF210" i="29"/>
  <c r="BK210" i="29"/>
  <c r="DB210" i="29"/>
  <c r="BO210" i="29"/>
  <c r="BJ210" i="29"/>
  <c r="DA210" i="29"/>
  <c r="CZ210" i="29"/>
  <c r="DE210" i="29"/>
  <c r="DC210" i="29"/>
  <c r="CX210" i="29"/>
  <c r="Z210" i="29"/>
  <c r="AA210" i="29"/>
  <c r="W210" i="29"/>
  <c r="AB210" i="29"/>
  <c r="X210" i="29"/>
  <c r="AD210" i="29"/>
  <c r="U210" i="29"/>
  <c r="Y210" i="29"/>
  <c r="V210" i="29"/>
  <c r="AC210" i="29"/>
  <c r="CX211" i="29" l="1"/>
  <c r="DE211" i="29"/>
  <c r="DA211" i="29"/>
  <c r="BO211" i="29"/>
  <c r="BK211" i="29"/>
  <c r="BI211" i="29"/>
  <c r="BN211" i="29"/>
  <c r="BP211" i="29"/>
  <c r="DD211" i="29"/>
  <c r="BR211" i="29"/>
  <c r="DC211" i="29"/>
  <c r="CZ211" i="29"/>
  <c r="BJ211" i="29"/>
  <c r="DB211" i="29"/>
  <c r="DF211" i="29"/>
  <c r="CY211" i="29"/>
  <c r="CW211" i="29"/>
  <c r="BQ211" i="29"/>
  <c r="BM211" i="29"/>
  <c r="BL211" i="29"/>
  <c r="Y211" i="29"/>
  <c r="AD211" i="29"/>
  <c r="AB211" i="29"/>
  <c r="AA211" i="29"/>
  <c r="AC211" i="29"/>
  <c r="V211" i="29"/>
  <c r="U211" i="29"/>
  <c r="X211" i="29"/>
  <c r="W211" i="29"/>
  <c r="Z211" i="29"/>
  <c r="BL212" i="29" l="1"/>
  <c r="BQ212" i="29"/>
  <c r="CY212" i="29"/>
  <c r="DB212" i="29"/>
  <c r="CZ212" i="29"/>
  <c r="BR212" i="29"/>
  <c r="BP212" i="29"/>
  <c r="BI212" i="29"/>
  <c r="BO212" i="29"/>
  <c r="DE212" i="29"/>
  <c r="BM212" i="29"/>
  <c r="CW212" i="29"/>
  <c r="DF212" i="29"/>
  <c r="BJ212" i="29"/>
  <c r="DC212" i="29"/>
  <c r="DD212" i="29"/>
  <c r="BN212" i="29"/>
  <c r="BK212" i="29"/>
  <c r="DA212" i="29"/>
  <c r="CX212" i="29"/>
  <c r="X212" i="29"/>
  <c r="V212" i="29"/>
  <c r="AA212" i="29"/>
  <c r="AD212" i="29"/>
  <c r="Z212" i="29"/>
  <c r="W212" i="29"/>
  <c r="U212" i="29"/>
  <c r="AC212" i="29"/>
  <c r="AB212" i="29"/>
  <c r="Y212" i="29"/>
  <c r="CX213" i="29" l="1"/>
  <c r="BK213" i="29"/>
  <c r="DD213" i="29"/>
  <c r="BJ213" i="29"/>
  <c r="CW213" i="29"/>
  <c r="DE213" i="29"/>
  <c r="BI213" i="29"/>
  <c r="BR213" i="29"/>
  <c r="DB213" i="29"/>
  <c r="BQ213" i="29"/>
  <c r="DA213" i="29"/>
  <c r="BN213" i="29"/>
  <c r="DC213" i="29"/>
  <c r="DF213" i="29"/>
  <c r="BM213" i="29"/>
  <c r="BO213" i="29"/>
  <c r="BP213" i="29"/>
  <c r="CZ213" i="29"/>
  <c r="CY213" i="29"/>
  <c r="BL213" i="29"/>
  <c r="Y213" i="29"/>
  <c r="AC213" i="29"/>
  <c r="W213" i="29"/>
  <c r="AD213" i="29"/>
  <c r="V213" i="29"/>
  <c r="AB213" i="29"/>
  <c r="U213" i="29"/>
  <c r="Z213" i="29"/>
  <c r="AA213" i="29"/>
  <c r="X213" i="29"/>
  <c r="BL214" i="29" l="1"/>
  <c r="CZ214" i="29"/>
  <c r="BO214" i="29"/>
  <c r="DF214" i="29"/>
  <c r="BN214" i="29"/>
  <c r="BQ214" i="29"/>
  <c r="BR214" i="29"/>
  <c r="DE214" i="29"/>
  <c r="BJ214" i="29"/>
  <c r="BK214" i="29"/>
  <c r="CY214" i="29"/>
  <c r="BP214" i="29"/>
  <c r="BM214" i="29"/>
  <c r="DC214" i="29"/>
  <c r="DA214" i="29"/>
  <c r="DB214" i="29"/>
  <c r="BI214" i="29"/>
  <c r="CW214" i="29"/>
  <c r="DD214" i="29"/>
  <c r="CX214" i="29"/>
  <c r="Z214" i="29"/>
  <c r="AB214" i="29"/>
  <c r="AD214" i="29"/>
  <c r="AC214" i="29"/>
  <c r="X214" i="29"/>
  <c r="AA214" i="29"/>
  <c r="U214" i="29"/>
  <c r="V214" i="29"/>
  <c r="W214" i="29"/>
  <c r="Y214" i="29"/>
  <c r="CX215" i="29" l="1"/>
  <c r="CW215" i="29"/>
  <c r="DB215" i="29"/>
  <c r="DC215" i="29"/>
  <c r="BP215" i="29"/>
  <c r="BK215" i="29"/>
  <c r="DE215" i="29"/>
  <c r="BQ215" i="29"/>
  <c r="DF215" i="29"/>
  <c r="CZ215" i="29"/>
  <c r="DD215" i="29"/>
  <c r="BI215" i="29"/>
  <c r="DA215" i="29"/>
  <c r="BM215" i="29"/>
  <c r="CY215" i="29"/>
  <c r="BJ215" i="29"/>
  <c r="BR215" i="29"/>
  <c r="BN215" i="29"/>
  <c r="BO215" i="29"/>
  <c r="BL215" i="29"/>
  <c r="Y215" i="29"/>
  <c r="V215" i="29"/>
  <c r="AA215" i="29"/>
  <c r="AC215" i="29"/>
  <c r="AB215" i="29"/>
  <c r="W215" i="29"/>
  <c r="U215" i="29"/>
  <c r="X215" i="29"/>
  <c r="AD215" i="29"/>
  <c r="Z215" i="29"/>
  <c r="BL216" i="29" l="1"/>
  <c r="BN216" i="29"/>
  <c r="BJ216" i="29"/>
  <c r="BM216" i="29"/>
  <c r="BI216" i="29"/>
  <c r="CZ216" i="29"/>
  <c r="BQ216" i="29"/>
  <c r="BK216" i="29"/>
  <c r="DC216" i="29"/>
  <c r="CW216" i="29"/>
  <c r="BO216" i="29"/>
  <c r="BR216" i="29"/>
  <c r="CY216" i="29"/>
  <c r="DA216" i="29"/>
  <c r="DD216" i="29"/>
  <c r="DF216" i="29"/>
  <c r="DE216" i="29"/>
  <c r="BP216" i="29"/>
  <c r="DB216" i="29"/>
  <c r="CX216" i="29"/>
  <c r="X216" i="29"/>
  <c r="W216" i="29"/>
  <c r="V216" i="29"/>
  <c r="Z216" i="29"/>
  <c r="AC216" i="29"/>
  <c r="AD216" i="29"/>
  <c r="U216" i="29"/>
  <c r="AB216" i="29"/>
  <c r="AA216" i="29"/>
  <c r="Y216" i="29"/>
  <c r="CX217" i="29" l="1"/>
  <c r="BP217" i="29"/>
  <c r="DF217" i="29"/>
  <c r="DA217" i="29"/>
  <c r="BR217" i="29"/>
  <c r="CW217" i="29"/>
  <c r="BK217" i="29"/>
  <c r="CZ217" i="29"/>
  <c r="BM217" i="29"/>
  <c r="BN217" i="29"/>
  <c r="DB217" i="29"/>
  <c r="DE217" i="29"/>
  <c r="DD217" i="29"/>
  <c r="CY217" i="29"/>
  <c r="BO217" i="29"/>
  <c r="DC217" i="29"/>
  <c r="BQ217" i="29"/>
  <c r="BI217" i="29"/>
  <c r="BJ217" i="29"/>
  <c r="BL217" i="29"/>
  <c r="Y217" i="29"/>
  <c r="AB217" i="29"/>
  <c r="AD217" i="29"/>
  <c r="Z217" i="29"/>
  <c r="W217" i="29"/>
  <c r="AA217" i="29"/>
  <c r="U217" i="29"/>
  <c r="AC217" i="29"/>
  <c r="V217" i="29"/>
  <c r="X217" i="29"/>
  <c r="BL218" i="29" l="1"/>
  <c r="BI218" i="29"/>
  <c r="DC218" i="29"/>
  <c r="CY218" i="29"/>
  <c r="DE218" i="29"/>
  <c r="BN218" i="29"/>
  <c r="CZ218" i="29"/>
  <c r="CW218" i="29"/>
  <c r="DA218" i="29"/>
  <c r="BP218" i="29"/>
  <c r="BJ218" i="29"/>
  <c r="BQ218" i="29"/>
  <c r="BO218" i="29"/>
  <c r="DD218" i="29"/>
  <c r="DB218" i="29"/>
  <c r="BM218" i="29"/>
  <c r="BK218" i="29"/>
  <c r="BR218" i="29"/>
  <c r="DF218" i="29"/>
  <c r="CX218" i="29"/>
  <c r="V218" i="29"/>
  <c r="W218" i="29"/>
  <c r="X218" i="29"/>
  <c r="AC218" i="29"/>
  <c r="AA218" i="29"/>
  <c r="Z218" i="29"/>
  <c r="AB218" i="29"/>
  <c r="U218" i="29"/>
  <c r="AD218" i="29"/>
  <c r="Y218" i="29"/>
  <c r="DF219" i="29" l="1"/>
  <c r="DB219" i="29"/>
  <c r="BJ219" i="29"/>
  <c r="CZ219" i="29"/>
  <c r="DC219" i="29"/>
  <c r="BK219" i="29"/>
  <c r="DA219" i="29"/>
  <c r="DE219" i="29"/>
  <c r="CX219" i="29"/>
  <c r="BR219" i="29"/>
  <c r="BM219" i="29"/>
  <c r="DD219" i="29"/>
  <c r="BQ219" i="29"/>
  <c r="BP219" i="29"/>
  <c r="CW219" i="29"/>
  <c r="BN219" i="29"/>
  <c r="CY219" i="29"/>
  <c r="BI219" i="29"/>
  <c r="BO219" i="29"/>
  <c r="BL219" i="29"/>
  <c r="Y219" i="29"/>
  <c r="U219" i="29"/>
  <c r="Z219" i="29"/>
  <c r="AC219" i="29"/>
  <c r="W219" i="29"/>
  <c r="AD219" i="29"/>
  <c r="AB219" i="29"/>
  <c r="AA219" i="29"/>
  <c r="X219" i="29"/>
  <c r="V219" i="29"/>
  <c r="BL220" i="29" l="1"/>
  <c r="BI220" i="29"/>
  <c r="BN220" i="29"/>
  <c r="BP220" i="29"/>
  <c r="DD220" i="29"/>
  <c r="BR220" i="29"/>
  <c r="DE220" i="29"/>
  <c r="BK220" i="29"/>
  <c r="CZ220" i="29"/>
  <c r="DB220" i="29"/>
  <c r="BO220" i="29"/>
  <c r="CY220" i="29"/>
  <c r="CW220" i="29"/>
  <c r="BQ220" i="29"/>
  <c r="BM220" i="29"/>
  <c r="CX220" i="29"/>
  <c r="DA220" i="29"/>
  <c r="DC220" i="29"/>
  <c r="BJ220" i="29"/>
  <c r="DF220" i="29"/>
  <c r="AA220" i="29"/>
  <c r="U220" i="29"/>
  <c r="AD220" i="29"/>
  <c r="V220" i="29"/>
  <c r="AC220" i="29"/>
  <c r="X220" i="29"/>
  <c r="AB220" i="29"/>
  <c r="W220" i="29"/>
  <c r="Z220" i="29"/>
  <c r="Y220" i="29"/>
  <c r="DF221" i="29" l="1"/>
  <c r="DC221" i="29"/>
  <c r="CX221" i="29"/>
  <c r="BQ221" i="29"/>
  <c r="CY221" i="29"/>
  <c r="DB221" i="29"/>
  <c r="BK221" i="29"/>
  <c r="BR221" i="29"/>
  <c r="BP221" i="29"/>
  <c r="BI221" i="29"/>
  <c r="BJ221" i="29"/>
  <c r="DA221" i="29"/>
  <c r="BM221" i="29"/>
  <c r="CW221" i="29"/>
  <c r="BO221" i="29"/>
  <c r="CZ221" i="29"/>
  <c r="DE221" i="29"/>
  <c r="DD221" i="29"/>
  <c r="BN221" i="29"/>
  <c r="BL221" i="29"/>
  <c r="Y221" i="29"/>
  <c r="W221" i="29"/>
  <c r="U221" i="29"/>
  <c r="X221" i="29"/>
  <c r="V221" i="29"/>
  <c r="Z221" i="29"/>
  <c r="AB221" i="29"/>
  <c r="AC221" i="29"/>
  <c r="AD221" i="29"/>
  <c r="AA221" i="29"/>
  <c r="BL222" i="29" l="1"/>
  <c r="DD222" i="29"/>
  <c r="CZ222" i="29"/>
  <c r="CW222" i="29"/>
  <c r="DA222" i="29"/>
  <c r="BI222" i="29"/>
  <c r="BR222" i="29"/>
  <c r="DB222" i="29"/>
  <c r="BQ222" i="29"/>
  <c r="DC222" i="29"/>
  <c r="BN222" i="29"/>
  <c r="DE222" i="29"/>
  <c r="BO222" i="29"/>
  <c r="BM222" i="29"/>
  <c r="BJ222" i="29"/>
  <c r="BP222" i="29"/>
  <c r="BK222" i="29"/>
  <c r="CY222" i="29"/>
  <c r="CX222" i="29"/>
  <c r="DF222" i="29"/>
  <c r="AA222" i="29"/>
  <c r="X222" i="29"/>
  <c r="W222" i="29"/>
  <c r="AC222" i="29"/>
  <c r="Z222" i="29"/>
  <c r="AD222" i="29"/>
  <c r="AB222" i="29"/>
  <c r="V222" i="29"/>
  <c r="U222" i="29"/>
  <c r="Y222" i="29"/>
  <c r="DF223" i="29" l="1"/>
  <c r="CY223" i="29"/>
  <c r="BP223" i="29"/>
  <c r="BM223" i="29"/>
  <c r="DE223" i="29"/>
  <c r="DC223" i="29"/>
  <c r="DB223" i="29"/>
  <c r="BI223" i="29"/>
  <c r="CW223" i="29"/>
  <c r="DD223" i="29"/>
  <c r="CX223" i="29"/>
  <c r="BK223" i="29"/>
  <c r="BJ223" i="29"/>
  <c r="BO223" i="29"/>
  <c r="BN223" i="29"/>
  <c r="BQ223" i="29"/>
  <c r="BR223" i="29"/>
  <c r="DA223" i="29"/>
  <c r="CZ223" i="29"/>
  <c r="BL223" i="29"/>
  <c r="V223" i="29"/>
  <c r="AC223" i="29"/>
  <c r="X223" i="29"/>
  <c r="Y223" i="29"/>
  <c r="AD223" i="29"/>
  <c r="U223" i="29"/>
  <c r="AB223" i="29"/>
  <c r="Z223" i="29"/>
  <c r="W223" i="29"/>
  <c r="AA223" i="29"/>
  <c r="BL224" i="29" l="1"/>
  <c r="DA224" i="29"/>
  <c r="BQ224" i="29"/>
  <c r="BO224" i="29"/>
  <c r="BK224" i="29"/>
  <c r="DD224" i="29"/>
  <c r="BI224" i="29"/>
  <c r="DC224" i="29"/>
  <c r="BM224" i="29"/>
  <c r="CY224" i="29"/>
  <c r="CZ224" i="29"/>
  <c r="BR224" i="29"/>
  <c r="BN224" i="29"/>
  <c r="BJ224" i="29"/>
  <c r="CX224" i="29"/>
  <c r="CW224" i="29"/>
  <c r="DB224" i="29"/>
  <c r="DE224" i="29"/>
  <c r="BP224" i="29"/>
  <c r="DF224" i="29"/>
  <c r="U224" i="29"/>
  <c r="AC224" i="29"/>
  <c r="Z224" i="29"/>
  <c r="AA224" i="29"/>
  <c r="Y224" i="29"/>
  <c r="W224" i="29"/>
  <c r="AB224" i="29"/>
  <c r="AD224" i="29"/>
  <c r="X224" i="29"/>
  <c r="V224" i="29"/>
  <c r="DF225" i="29" l="1"/>
  <c r="DE225" i="29"/>
  <c r="CW225" i="29"/>
  <c r="BJ225" i="29"/>
  <c r="BR225" i="29"/>
  <c r="CY225" i="29"/>
  <c r="DC225" i="29"/>
  <c r="DD225" i="29"/>
  <c r="BO225" i="29"/>
  <c r="DA225" i="29"/>
  <c r="BP225" i="29"/>
  <c r="DB225" i="29"/>
  <c r="CX225" i="29"/>
  <c r="BN225" i="29"/>
  <c r="CZ225" i="29"/>
  <c r="BM225" i="29"/>
  <c r="BI225" i="29"/>
  <c r="BK225" i="29"/>
  <c r="BQ225" i="29"/>
  <c r="BL225" i="29"/>
  <c r="V225" i="29"/>
  <c r="AA225" i="29"/>
  <c r="AC225" i="29"/>
  <c r="W225" i="29"/>
  <c r="AD225" i="29"/>
  <c r="X225" i="29"/>
  <c r="AB225" i="29"/>
  <c r="Y225" i="29"/>
  <c r="Z225" i="29"/>
  <c r="U225" i="29"/>
  <c r="BL226" i="29" l="1"/>
  <c r="BK226" i="29"/>
  <c r="BM226" i="29"/>
  <c r="BN226" i="29"/>
  <c r="DB226" i="29"/>
  <c r="DA226" i="29"/>
  <c r="DD226" i="29"/>
  <c r="CY226" i="29"/>
  <c r="BJ226" i="29"/>
  <c r="DE226" i="29"/>
  <c r="BQ226" i="29"/>
  <c r="BI226" i="29"/>
  <c r="CZ226" i="29"/>
  <c r="CX226" i="29"/>
  <c r="BP226" i="29"/>
  <c r="BO226" i="29"/>
  <c r="DC226" i="29"/>
  <c r="BR226" i="29"/>
  <c r="CW226" i="29"/>
  <c r="DF226" i="29"/>
  <c r="Y226" i="29"/>
  <c r="AA226" i="29"/>
  <c r="X226" i="29"/>
  <c r="U226" i="29"/>
  <c r="W226" i="29"/>
  <c r="Z226" i="29"/>
  <c r="AB226" i="29"/>
  <c r="AD226" i="29"/>
  <c r="AC226" i="29"/>
  <c r="V226" i="29"/>
  <c r="DF227" i="29" l="1"/>
  <c r="BR227" i="29"/>
  <c r="BO227" i="29"/>
  <c r="CX227" i="29"/>
  <c r="BI227" i="29"/>
  <c r="DE227" i="29"/>
  <c r="CY227" i="29"/>
  <c r="DA227" i="29"/>
  <c r="BN227" i="29"/>
  <c r="BK227" i="29"/>
  <c r="CW227" i="29"/>
  <c r="DC227" i="29"/>
  <c r="BP227" i="29"/>
  <c r="CZ227" i="29"/>
  <c r="BQ227" i="29"/>
  <c r="BJ227" i="29"/>
  <c r="DD227" i="29"/>
  <c r="DB227" i="29"/>
  <c r="BM227" i="29"/>
  <c r="BL227" i="29"/>
  <c r="V227" i="29"/>
  <c r="AD227" i="29"/>
  <c r="AA227" i="29"/>
  <c r="U227" i="29"/>
  <c r="Z227" i="29"/>
  <c r="AC227" i="29"/>
  <c r="AB227" i="29"/>
  <c r="W227" i="29"/>
  <c r="X227" i="29"/>
  <c r="Y227" i="29"/>
  <c r="BM228" i="29" l="1"/>
  <c r="BQ228" i="29"/>
  <c r="CW228" i="29"/>
  <c r="CY228" i="29"/>
  <c r="BO228" i="29"/>
  <c r="BL228" i="29"/>
  <c r="BJ228" i="29"/>
  <c r="DC228" i="29"/>
  <c r="DA228" i="29"/>
  <c r="CX228" i="29"/>
  <c r="BR228" i="29"/>
  <c r="DB228" i="29"/>
  <c r="CZ228" i="29"/>
  <c r="BK228" i="29"/>
  <c r="DE228" i="29"/>
  <c r="DD228" i="29"/>
  <c r="BP228" i="29"/>
  <c r="BN228" i="29"/>
  <c r="BI228" i="29"/>
  <c r="DF228" i="29"/>
  <c r="W228" i="29"/>
  <c r="AD228" i="29"/>
  <c r="AC228" i="29"/>
  <c r="Y228" i="29"/>
  <c r="U228" i="29"/>
  <c r="X228" i="29"/>
  <c r="AB228" i="29"/>
  <c r="Z228" i="29"/>
  <c r="AA228" i="29"/>
  <c r="V228" i="29"/>
  <c r="BI229" i="29" l="1"/>
  <c r="CZ229" i="29"/>
  <c r="BO229" i="29"/>
  <c r="BP229" i="29"/>
  <c r="BR229" i="29"/>
  <c r="BJ229" i="29"/>
  <c r="DF229" i="29"/>
  <c r="BN229" i="29"/>
  <c r="DD229" i="29"/>
  <c r="BK229" i="29"/>
  <c r="DB229" i="29"/>
  <c r="CX229" i="29"/>
  <c r="DC229" i="29"/>
  <c r="BL229" i="29"/>
  <c r="CY229" i="29"/>
  <c r="BQ229" i="29"/>
  <c r="DE229" i="29"/>
  <c r="DA229" i="29"/>
  <c r="CW229" i="29"/>
  <c r="BM229" i="29"/>
  <c r="Z229" i="29"/>
  <c r="AD229" i="29"/>
  <c r="V229" i="29"/>
  <c r="X229" i="29"/>
  <c r="Y229" i="29"/>
  <c r="AA229" i="29"/>
  <c r="AB229" i="29"/>
  <c r="U229" i="29"/>
  <c r="AC229" i="29"/>
  <c r="W229" i="29"/>
  <c r="BM230" i="29" l="1"/>
  <c r="DA230" i="29"/>
  <c r="BQ230" i="29"/>
  <c r="BL230" i="29"/>
  <c r="CX230" i="29"/>
  <c r="BK230" i="29"/>
  <c r="BN230" i="29"/>
  <c r="BJ230" i="29"/>
  <c r="BP230" i="29"/>
  <c r="CZ230" i="29"/>
  <c r="CW230" i="29"/>
  <c r="DE230" i="29"/>
  <c r="CY230" i="29"/>
  <c r="DC230" i="29"/>
  <c r="DB230" i="29"/>
  <c r="DD230" i="29"/>
  <c r="DF230" i="29"/>
  <c r="BR230" i="29"/>
  <c r="BO230" i="29"/>
  <c r="BI230" i="29"/>
  <c r="AA230" i="29"/>
  <c r="W230" i="29"/>
  <c r="U230" i="29"/>
  <c r="X230" i="29"/>
  <c r="AD230" i="29"/>
  <c r="AC230" i="29"/>
  <c r="AB230" i="29"/>
  <c r="Y230" i="29"/>
  <c r="V230" i="29"/>
  <c r="Z230" i="29"/>
  <c r="BI231" i="29" l="1"/>
  <c r="BR231" i="29"/>
  <c r="DD231" i="29"/>
  <c r="DC231" i="29"/>
  <c r="DE231" i="29"/>
  <c r="CZ231" i="29"/>
  <c r="BJ231" i="29"/>
  <c r="BK231" i="29"/>
  <c r="BL231" i="29"/>
  <c r="DA231" i="29"/>
  <c r="BO231" i="29"/>
  <c r="DF231" i="29"/>
  <c r="DB231" i="29"/>
  <c r="CY231" i="29"/>
  <c r="CW231" i="29"/>
  <c r="BP231" i="29"/>
  <c r="BN231" i="29"/>
  <c r="CX231" i="29"/>
  <c r="BQ231" i="29"/>
  <c r="BM231" i="29"/>
  <c r="AC231" i="29"/>
  <c r="Y231" i="29"/>
  <c r="W231" i="29"/>
  <c r="Z231" i="29"/>
  <c r="X231" i="29"/>
  <c r="V231" i="29"/>
  <c r="AB231" i="29"/>
  <c r="AD231" i="29"/>
  <c r="U231" i="29"/>
  <c r="AA231" i="29"/>
  <c r="BM232" i="29" l="1"/>
  <c r="CX232" i="29"/>
  <c r="BP232" i="29"/>
  <c r="CY232" i="29"/>
  <c r="DF232" i="29"/>
  <c r="DA232" i="29"/>
  <c r="BK232" i="29"/>
  <c r="CZ232" i="29"/>
  <c r="DC232" i="29"/>
  <c r="BR232" i="29"/>
  <c r="BQ232" i="29"/>
  <c r="BN232" i="29"/>
  <c r="CW232" i="29"/>
  <c r="DB232" i="29"/>
  <c r="BO232" i="29"/>
  <c r="BL232" i="29"/>
  <c r="BJ232" i="29"/>
  <c r="DE232" i="29"/>
  <c r="DD232" i="29"/>
  <c r="BI232" i="29"/>
  <c r="Z232" i="29"/>
  <c r="AA232" i="29"/>
  <c r="Y232" i="29"/>
  <c r="AD232" i="29"/>
  <c r="V232" i="29"/>
  <c r="U232" i="29"/>
  <c r="AB232" i="29"/>
  <c r="X232" i="29"/>
  <c r="W232" i="29"/>
  <c r="AC232" i="29"/>
  <c r="DD233" i="29" l="1"/>
  <c r="BJ233" i="29"/>
  <c r="CW233" i="29"/>
  <c r="BK233" i="29"/>
  <c r="BP233" i="29"/>
  <c r="BM233" i="29"/>
  <c r="BO233" i="29"/>
  <c r="BQ233" i="29"/>
  <c r="DF233" i="29"/>
  <c r="BI233" i="29"/>
  <c r="DE233" i="29"/>
  <c r="BL233" i="29"/>
  <c r="DB233" i="29"/>
  <c r="BN233" i="29"/>
  <c r="BR233" i="29"/>
  <c r="CZ233" i="29"/>
  <c r="DA233" i="29"/>
  <c r="CY233" i="29"/>
  <c r="CX233" i="29"/>
  <c r="DC233" i="29"/>
  <c r="U233" i="29"/>
  <c r="AD233" i="29"/>
  <c r="AA233" i="29"/>
  <c r="X233" i="29"/>
  <c r="AC233" i="29"/>
  <c r="W233" i="29"/>
  <c r="AB233" i="29"/>
  <c r="V233" i="29"/>
  <c r="Y233" i="29"/>
  <c r="Z233" i="29"/>
  <c r="DC234" i="29" l="1"/>
  <c r="CY234" i="29"/>
  <c r="CZ234" i="29"/>
  <c r="BN234" i="29"/>
  <c r="BL234" i="29"/>
  <c r="BI234" i="29"/>
  <c r="BQ234" i="29"/>
  <c r="BM234" i="29"/>
  <c r="BK234" i="29"/>
  <c r="BJ234" i="29"/>
  <c r="CX234" i="29"/>
  <c r="DA234" i="29"/>
  <c r="BR234" i="29"/>
  <c r="DB234" i="29"/>
  <c r="DE234" i="29"/>
  <c r="DF234" i="29"/>
  <c r="BO234" i="29"/>
  <c r="BP234" i="29"/>
  <c r="CW234" i="29"/>
  <c r="DD234" i="29"/>
  <c r="Z234" i="29"/>
  <c r="V234" i="29"/>
  <c r="W234" i="29"/>
  <c r="X234" i="29"/>
  <c r="AD234" i="29"/>
  <c r="Y234" i="29"/>
  <c r="AB234" i="29"/>
  <c r="AC234" i="29"/>
  <c r="AA234" i="29"/>
  <c r="U234" i="29"/>
  <c r="DD235" i="29" l="1"/>
  <c r="BP235" i="29"/>
  <c r="DF235" i="29"/>
  <c r="DB235" i="29"/>
  <c r="DA235" i="29"/>
  <c r="BJ235" i="29"/>
  <c r="BM235" i="29"/>
  <c r="BI235" i="29"/>
  <c r="BN235" i="29"/>
  <c r="CY235" i="29"/>
  <c r="CW235" i="29"/>
  <c r="BO235" i="29"/>
  <c r="DE235" i="29"/>
  <c r="BR235" i="29"/>
  <c r="CX235" i="29"/>
  <c r="BK235" i="29"/>
  <c r="BQ235" i="29"/>
  <c r="BL235" i="29"/>
  <c r="CZ235" i="29"/>
  <c r="DC235" i="29"/>
  <c r="U235" i="29"/>
  <c r="AC235" i="29"/>
  <c r="Y235" i="29"/>
  <c r="X235" i="29"/>
  <c r="V235" i="29"/>
  <c r="AA235" i="29"/>
  <c r="AB235" i="29"/>
  <c r="AD235" i="29"/>
  <c r="W235" i="29"/>
  <c r="Z235" i="29"/>
  <c r="DC236" i="29" l="1"/>
  <c r="BL236" i="29"/>
  <c r="BK236" i="29"/>
  <c r="BR236" i="29"/>
  <c r="BO236" i="29"/>
  <c r="CY236" i="29"/>
  <c r="BI236" i="29"/>
  <c r="BJ236" i="29"/>
  <c r="DB236" i="29"/>
  <c r="BP236" i="29"/>
  <c r="CZ236" i="29"/>
  <c r="BQ236" i="29"/>
  <c r="CX236" i="29"/>
  <c r="DE236" i="29"/>
  <c r="CW236" i="29"/>
  <c r="BN236" i="29"/>
  <c r="BM236" i="29"/>
  <c r="DA236" i="29"/>
  <c r="DF236" i="29"/>
  <c r="DD236" i="29"/>
  <c r="Z236" i="29"/>
  <c r="AD236" i="29"/>
  <c r="AA236" i="29"/>
  <c r="X236" i="29"/>
  <c r="AC236" i="29"/>
  <c r="W236" i="29"/>
  <c r="AB236" i="29"/>
  <c r="V236" i="29"/>
  <c r="Y236" i="29"/>
  <c r="U236" i="29"/>
  <c r="DD237" i="29" l="1"/>
  <c r="DA237" i="29"/>
  <c r="BN237" i="29"/>
  <c r="DE237" i="29"/>
  <c r="BQ237" i="29"/>
  <c r="BP237" i="29"/>
  <c r="BJ237" i="29"/>
  <c r="CY237" i="29"/>
  <c r="BR237" i="29"/>
  <c r="BL237" i="29"/>
  <c r="DF237" i="29"/>
  <c r="BM237" i="29"/>
  <c r="CW237" i="29"/>
  <c r="CX237" i="29"/>
  <c r="CZ237" i="29"/>
  <c r="DB237" i="29"/>
  <c r="BI237" i="29"/>
  <c r="BO237" i="29"/>
  <c r="BK237" i="29"/>
  <c r="DC237" i="29"/>
  <c r="U237" i="29"/>
  <c r="W237" i="29"/>
  <c r="X237" i="29"/>
  <c r="AD237" i="29"/>
  <c r="V237" i="29"/>
  <c r="Y237" i="29"/>
  <c r="AB237" i="29"/>
  <c r="AC237" i="29"/>
  <c r="AA237" i="29"/>
  <c r="Z237" i="29"/>
  <c r="DC238" i="29" l="1"/>
  <c r="BO238" i="29"/>
  <c r="DB238" i="29"/>
  <c r="CX238" i="29"/>
  <c r="BM238" i="29"/>
  <c r="BL238" i="29"/>
  <c r="CY238" i="29"/>
  <c r="BP238" i="29"/>
  <c r="DE238" i="29"/>
  <c r="DA238" i="29"/>
  <c r="BK238" i="29"/>
  <c r="BI238" i="29"/>
  <c r="CZ238" i="29"/>
  <c r="CW238" i="29"/>
  <c r="DF238" i="29"/>
  <c r="BR238" i="29"/>
  <c r="BJ238" i="29"/>
  <c r="BQ238" i="29"/>
  <c r="BN238" i="29"/>
  <c r="DD238" i="29"/>
  <c r="Y238" i="29"/>
  <c r="AD238" i="29"/>
  <c r="W238" i="29"/>
  <c r="Z238" i="29"/>
  <c r="AC238" i="29"/>
  <c r="AA238" i="29"/>
  <c r="AB238" i="29"/>
  <c r="V238" i="29"/>
  <c r="X238" i="29"/>
  <c r="U238" i="29"/>
  <c r="DD239" i="29" l="1"/>
  <c r="BQ239" i="29"/>
  <c r="BR239" i="29"/>
  <c r="CW239" i="29"/>
  <c r="BI239" i="29"/>
  <c r="DA239" i="29"/>
  <c r="BP239" i="29"/>
  <c r="BL239" i="29"/>
  <c r="CX239" i="29"/>
  <c r="BO239" i="29"/>
  <c r="BN239" i="29"/>
  <c r="BJ239" i="29"/>
  <c r="DF239" i="29"/>
  <c r="CZ239" i="29"/>
  <c r="BK239" i="29"/>
  <c r="DE239" i="29"/>
  <c r="CY239" i="29"/>
  <c r="BM239" i="29"/>
  <c r="DB239" i="29"/>
  <c r="DC239" i="29"/>
  <c r="V239" i="29"/>
  <c r="AA239" i="29"/>
  <c r="Z239" i="29"/>
  <c r="AD239" i="29"/>
  <c r="U239" i="29"/>
  <c r="X239" i="29"/>
  <c r="AB239" i="29"/>
  <c r="AC239" i="29"/>
  <c r="W239" i="29"/>
  <c r="Y239" i="29"/>
  <c r="DC240" i="29" l="1"/>
  <c r="BM240" i="29"/>
  <c r="DE240" i="29"/>
  <c r="CZ240" i="29"/>
  <c r="BJ240" i="29"/>
  <c r="BO240" i="29"/>
  <c r="BL240" i="29"/>
  <c r="DA240" i="29"/>
  <c r="CW240" i="29"/>
  <c r="BQ240" i="29"/>
  <c r="DB240" i="29"/>
  <c r="CY240" i="29"/>
  <c r="BK240" i="29"/>
  <c r="DF240" i="29"/>
  <c r="BN240" i="29"/>
  <c r="CX240" i="29"/>
  <c r="BP240" i="29"/>
  <c r="BI240" i="29"/>
  <c r="BR240" i="29"/>
  <c r="DD240" i="29"/>
  <c r="Y240" i="29"/>
  <c r="AC240" i="29"/>
  <c r="X240" i="29"/>
  <c r="AD240" i="29"/>
  <c r="AA240" i="29"/>
  <c r="W240" i="29"/>
  <c r="AB240" i="29"/>
  <c r="U240" i="29"/>
  <c r="Z240" i="29"/>
  <c r="V240" i="29"/>
  <c r="DD241" i="29" l="1"/>
  <c r="BI241" i="29"/>
  <c r="CX241" i="29"/>
  <c r="DF241" i="29"/>
  <c r="CY241" i="29"/>
  <c r="BQ241" i="29"/>
  <c r="DA241" i="29"/>
  <c r="BO241" i="29"/>
  <c r="CZ241" i="29"/>
  <c r="BM241" i="29"/>
  <c r="BR241" i="29"/>
  <c r="BP241" i="29"/>
  <c r="BN241" i="29"/>
  <c r="BK241" i="29"/>
  <c r="DB241" i="29"/>
  <c r="CW241" i="29"/>
  <c r="BL241" i="29"/>
  <c r="BJ241" i="29"/>
  <c r="DE241" i="29"/>
  <c r="DC241" i="29"/>
  <c r="U241" i="29"/>
  <c r="AC241" i="29"/>
  <c r="V241" i="29"/>
  <c r="W241" i="29"/>
  <c r="AD241" i="29"/>
  <c r="Z241" i="29"/>
  <c r="AB241" i="29"/>
  <c r="AA241" i="29"/>
  <c r="X241" i="29"/>
  <c r="Y241" i="29"/>
  <c r="DC242" i="29" l="1"/>
  <c r="BJ242" i="29"/>
  <c r="CW242" i="29"/>
  <c r="BK242" i="29"/>
  <c r="BP242" i="29"/>
  <c r="BM242" i="29"/>
  <c r="BO242" i="29"/>
  <c r="BQ242" i="29"/>
  <c r="DF242" i="29"/>
  <c r="BI242" i="29"/>
  <c r="DE242" i="29"/>
  <c r="BL242" i="29"/>
  <c r="DB242" i="29"/>
  <c r="BN242" i="29"/>
  <c r="BR242" i="29"/>
  <c r="CZ242" i="29"/>
  <c r="DA242" i="29"/>
  <c r="CY242" i="29"/>
  <c r="CX242" i="29"/>
  <c r="DD242" i="29"/>
  <c r="AA242" i="29"/>
  <c r="Z242" i="29"/>
  <c r="AC242" i="29"/>
  <c r="Y242" i="29"/>
  <c r="W242" i="29"/>
  <c r="X242" i="29"/>
  <c r="AB242" i="29"/>
  <c r="AD242" i="29"/>
  <c r="V242" i="29"/>
  <c r="U242" i="29"/>
  <c r="DD243" i="29" l="1"/>
  <c r="CY243" i="29"/>
  <c r="CZ243" i="29"/>
  <c r="BN243" i="29"/>
  <c r="BL243" i="29"/>
  <c r="BI243" i="29"/>
  <c r="BQ243" i="29"/>
  <c r="BM243" i="29"/>
  <c r="BK243" i="29"/>
  <c r="BJ243" i="29"/>
  <c r="CX243" i="29"/>
  <c r="DA243" i="29"/>
  <c r="BR243" i="29"/>
  <c r="DB243" i="29"/>
  <c r="DE243" i="29"/>
  <c r="DF243" i="29"/>
  <c r="BO243" i="29"/>
  <c r="BP243" i="29"/>
  <c r="CW243" i="29"/>
  <c r="DC243" i="29"/>
  <c r="V243" i="29"/>
  <c r="W243" i="29"/>
  <c r="AC243" i="29"/>
  <c r="AA243" i="29"/>
  <c r="AD243" i="29"/>
  <c r="U243" i="29"/>
  <c r="X243" i="29"/>
  <c r="Y243" i="29"/>
  <c r="Z243" i="29"/>
  <c r="AB243" i="29"/>
  <c r="DC244" i="29" l="1"/>
  <c r="BP244" i="29"/>
  <c r="DF244" i="29"/>
  <c r="DB244" i="29"/>
  <c r="DA244" i="29"/>
  <c r="BJ244" i="29"/>
  <c r="BM244" i="29"/>
  <c r="BI244" i="29"/>
  <c r="BN244" i="29"/>
  <c r="CY244" i="29"/>
  <c r="CW244" i="29"/>
  <c r="BO244" i="29"/>
  <c r="DE244" i="29"/>
  <c r="BR244" i="29"/>
  <c r="CX244" i="29"/>
  <c r="BK244" i="29"/>
  <c r="BQ244" i="29"/>
  <c r="BL244" i="29"/>
  <c r="CZ244" i="29"/>
  <c r="DD244" i="29"/>
  <c r="Z244" i="29"/>
  <c r="AD244" i="29"/>
  <c r="AC244" i="29"/>
  <c r="V244" i="29"/>
  <c r="AB244" i="29"/>
  <c r="Y244" i="29"/>
  <c r="U244" i="29"/>
  <c r="AA244" i="29"/>
  <c r="W244" i="29"/>
  <c r="X244" i="29"/>
  <c r="DD245" i="29" l="1"/>
  <c r="BL245" i="29"/>
  <c r="BK245" i="29"/>
  <c r="BR245" i="29"/>
  <c r="BO245" i="29"/>
  <c r="CY245" i="29"/>
  <c r="BI245" i="29"/>
  <c r="BJ245" i="29"/>
  <c r="DB245" i="29"/>
  <c r="BP245" i="29"/>
  <c r="CZ245" i="29"/>
  <c r="BQ245" i="29"/>
  <c r="CX245" i="29"/>
  <c r="DE245" i="29"/>
  <c r="CW245" i="29"/>
  <c r="BN245" i="29"/>
  <c r="BM245" i="29"/>
  <c r="DA245" i="29"/>
  <c r="DF245" i="29"/>
  <c r="DC245" i="29"/>
  <c r="W245" i="29"/>
  <c r="U245" i="29"/>
  <c r="AB245" i="29"/>
  <c r="AC245" i="29"/>
  <c r="Z245" i="29"/>
  <c r="X245" i="29"/>
  <c r="AA245" i="29"/>
  <c r="Y245" i="29"/>
  <c r="V245" i="29"/>
  <c r="AD245" i="29"/>
  <c r="DC246" i="29" l="1"/>
  <c r="DA246" i="29"/>
  <c r="BN246" i="29"/>
  <c r="DE246" i="29"/>
  <c r="BQ246" i="29"/>
  <c r="BP246" i="29"/>
  <c r="BJ246" i="29"/>
  <c r="CY246" i="29"/>
  <c r="BR246" i="29"/>
  <c r="BL246" i="29"/>
  <c r="DF246" i="29"/>
  <c r="BM246" i="29"/>
  <c r="CW246" i="29"/>
  <c r="CX246" i="29"/>
  <c r="CZ246" i="29"/>
  <c r="DB246" i="29"/>
  <c r="BI246" i="29"/>
  <c r="BO246" i="29"/>
  <c r="BK246" i="29"/>
  <c r="DD246" i="29"/>
  <c r="V246" i="29"/>
  <c r="AA246" i="29"/>
  <c r="Z246" i="29"/>
  <c r="AB246" i="29"/>
  <c r="W246" i="29"/>
  <c r="AD246" i="29"/>
  <c r="Y246" i="29"/>
  <c r="X246" i="29"/>
  <c r="AC246" i="29"/>
  <c r="U246" i="29"/>
  <c r="DD247" i="29" l="1"/>
  <c r="BO247" i="29"/>
  <c r="DB247" i="29"/>
  <c r="CX247" i="29"/>
  <c r="BM247" i="29"/>
  <c r="BL247" i="29"/>
  <c r="CY247" i="29"/>
  <c r="BP247" i="29"/>
  <c r="DE247" i="29"/>
  <c r="DA247" i="29"/>
  <c r="BK247" i="29"/>
  <c r="BI247" i="29"/>
  <c r="CZ247" i="29"/>
  <c r="CW247" i="29"/>
  <c r="DF247" i="29"/>
  <c r="BR247" i="29"/>
  <c r="BJ247" i="29"/>
  <c r="BQ247" i="29"/>
  <c r="BN247" i="29"/>
  <c r="DC247" i="29"/>
  <c r="AC247" i="29"/>
  <c r="Y247" i="29"/>
  <c r="W247" i="29"/>
  <c r="Z247" i="29"/>
  <c r="V247" i="29"/>
  <c r="U247" i="29"/>
  <c r="X247" i="29"/>
  <c r="AD247" i="29"/>
  <c r="AB247" i="29"/>
  <c r="AA247" i="29"/>
  <c r="DC248" i="29" l="1"/>
  <c r="BQ248" i="29"/>
  <c r="BR248" i="29"/>
  <c r="CW248" i="29"/>
  <c r="BI248" i="29"/>
  <c r="DA248" i="29"/>
  <c r="BP248" i="29"/>
  <c r="BL248" i="29"/>
  <c r="CX248" i="29"/>
  <c r="BO248" i="29"/>
  <c r="BN248" i="29"/>
  <c r="BJ248" i="29"/>
  <c r="DF248" i="29"/>
  <c r="CZ248" i="29"/>
  <c r="BK248" i="29"/>
  <c r="DE248" i="29"/>
  <c r="CY248" i="29"/>
  <c r="BM248" i="29"/>
  <c r="DB248" i="29"/>
  <c r="DD248" i="29"/>
  <c r="AB248" i="29"/>
  <c r="X248" i="29"/>
  <c r="V248" i="29"/>
  <c r="W248" i="29"/>
  <c r="AC248" i="29"/>
  <c r="AA248" i="29"/>
  <c r="AD248" i="29"/>
  <c r="U248" i="29"/>
  <c r="Z248" i="29"/>
  <c r="Y248" i="29"/>
  <c r="DD249" i="29" l="1"/>
  <c r="BM249" i="29"/>
  <c r="DE249" i="29"/>
  <c r="CZ249" i="29"/>
  <c r="BJ249" i="29"/>
  <c r="BO249" i="29"/>
  <c r="BL249" i="29"/>
  <c r="DA249" i="29"/>
  <c r="CW249" i="29"/>
  <c r="BQ249" i="29"/>
  <c r="DB249" i="29"/>
  <c r="CY249" i="29"/>
  <c r="BK249" i="29"/>
  <c r="DF249" i="29"/>
  <c r="BN249" i="29"/>
  <c r="CX249" i="29"/>
  <c r="BP249" i="29"/>
  <c r="BI249" i="29"/>
  <c r="BR249" i="29"/>
  <c r="DC249" i="29"/>
  <c r="Z249" i="29"/>
  <c r="AD249" i="29"/>
  <c r="AC249" i="29"/>
  <c r="V249" i="29"/>
  <c r="AB249" i="29"/>
  <c r="Y249" i="29"/>
  <c r="U249" i="29"/>
  <c r="AA249" i="29"/>
  <c r="W249" i="29"/>
  <c r="X249" i="29"/>
  <c r="DC250" i="29" l="1"/>
  <c r="BI250" i="29"/>
  <c r="CX250" i="29"/>
  <c r="DF250" i="29"/>
  <c r="CY250" i="29"/>
  <c r="BQ250" i="29"/>
  <c r="DA250" i="29"/>
  <c r="BO250" i="29"/>
  <c r="CZ250" i="29"/>
  <c r="BM250" i="29"/>
  <c r="BR250" i="29"/>
  <c r="BP250" i="29"/>
  <c r="BN250" i="29"/>
  <c r="BK250" i="29"/>
  <c r="DB250" i="29"/>
  <c r="CW250" i="29"/>
  <c r="BL250" i="29"/>
  <c r="BJ250" i="29"/>
  <c r="DE250" i="29"/>
  <c r="DD250" i="29"/>
  <c r="X250" i="29"/>
  <c r="AA250" i="29"/>
  <c r="Y250" i="29"/>
  <c r="V250" i="29"/>
  <c r="AD250" i="29"/>
  <c r="W250" i="29"/>
  <c r="U250" i="29"/>
  <c r="AB250" i="29"/>
  <c r="AC250" i="29"/>
  <c r="Z250" i="29"/>
  <c r="DD251" i="29" l="1"/>
  <c r="BJ251" i="29"/>
  <c r="CW251" i="29"/>
  <c r="BK251" i="29"/>
  <c r="BP251" i="29"/>
  <c r="BM251" i="29"/>
  <c r="BO251" i="29"/>
  <c r="BQ251" i="29"/>
  <c r="DF251" i="29"/>
  <c r="BI251" i="29"/>
  <c r="DE251" i="29"/>
  <c r="BL251" i="29"/>
  <c r="DB251" i="29"/>
  <c r="BN251" i="29"/>
  <c r="BR251" i="29"/>
  <c r="CZ251" i="29"/>
  <c r="DA251" i="29"/>
  <c r="CY251" i="29"/>
  <c r="CX251" i="29"/>
  <c r="DC251" i="29"/>
  <c r="Z251" i="29"/>
  <c r="AB251" i="29"/>
  <c r="W251" i="29"/>
  <c r="V251" i="29"/>
  <c r="AA251" i="29"/>
  <c r="AC251" i="29"/>
  <c r="U251" i="29"/>
  <c r="AD251" i="29"/>
  <c r="Y251" i="29"/>
  <c r="X251" i="29"/>
  <c r="DC252" i="29" l="1"/>
  <c r="CY252" i="29"/>
  <c r="CZ252" i="29"/>
  <c r="BN252" i="29"/>
  <c r="BL252" i="29"/>
  <c r="BI252" i="29"/>
  <c r="BQ252" i="29"/>
  <c r="BM252" i="29"/>
  <c r="BK252" i="29"/>
  <c r="BJ252" i="29"/>
  <c r="CX252" i="29"/>
  <c r="DA252" i="29"/>
  <c r="BR252" i="29"/>
  <c r="DB252" i="29"/>
  <c r="DE252" i="29"/>
  <c r="DF252" i="29"/>
  <c r="BO252" i="29"/>
  <c r="BP252" i="29"/>
  <c r="CW252" i="29"/>
  <c r="DD252" i="29"/>
  <c r="AD252" i="29"/>
  <c r="AC252" i="29"/>
  <c r="V252" i="29"/>
  <c r="AB252" i="29"/>
  <c r="X252" i="29"/>
  <c r="Y252" i="29"/>
  <c r="U252" i="29"/>
  <c r="AA252" i="29"/>
  <c r="W252" i="29"/>
  <c r="Z252" i="29"/>
  <c r="DD253" i="29" l="1"/>
  <c r="BP253" i="29"/>
  <c r="DF253" i="29"/>
  <c r="DB253" i="29"/>
  <c r="DA253" i="29"/>
  <c r="BJ253" i="29"/>
  <c r="BM253" i="29"/>
  <c r="BI253" i="29"/>
  <c r="BN253" i="29"/>
  <c r="CY253" i="29"/>
  <c r="BO253" i="29"/>
  <c r="CW253" i="29"/>
  <c r="DE253" i="29"/>
  <c r="BR253" i="29"/>
  <c r="CX253" i="29"/>
  <c r="BK253" i="29"/>
  <c r="BQ253" i="29"/>
  <c r="BL253" i="29"/>
  <c r="CZ253" i="29"/>
  <c r="DC253" i="29"/>
  <c r="AA253" i="29"/>
  <c r="AB253" i="29"/>
  <c r="AC253" i="29"/>
  <c r="Z253" i="29"/>
  <c r="Y253" i="29"/>
  <c r="W253" i="29"/>
  <c r="U253" i="29"/>
  <c r="X253" i="29"/>
  <c r="V253" i="29"/>
  <c r="AD253" i="29"/>
  <c r="DC254" i="29" l="1"/>
  <c r="BL254" i="29"/>
  <c r="BK254" i="29"/>
  <c r="BR254" i="29"/>
  <c r="CW254" i="29"/>
  <c r="CY254" i="29"/>
  <c r="BI254" i="29"/>
  <c r="BJ254" i="29"/>
  <c r="DB254" i="29"/>
  <c r="BP254" i="29"/>
  <c r="CZ254" i="29"/>
  <c r="BQ254" i="29"/>
  <c r="CX254" i="29"/>
  <c r="DE254" i="29"/>
  <c r="BO254" i="29"/>
  <c r="BN254" i="29"/>
  <c r="BM254" i="29"/>
  <c r="DA254" i="29"/>
  <c r="DF254" i="29"/>
  <c r="DD254" i="29"/>
  <c r="AD254" i="29"/>
  <c r="X254" i="29"/>
  <c r="W254" i="29"/>
  <c r="Z254" i="29"/>
  <c r="AB254" i="29"/>
  <c r="V254" i="29"/>
  <c r="U254" i="29"/>
  <c r="Y254" i="29"/>
  <c r="AC254" i="29"/>
  <c r="AA254" i="29"/>
  <c r="DD255" i="29" l="1"/>
  <c r="DA255" i="29"/>
  <c r="BN255" i="29"/>
  <c r="DE255" i="29"/>
  <c r="BQ255" i="29"/>
  <c r="BP255" i="29"/>
  <c r="BJ255" i="29"/>
  <c r="CY255" i="29"/>
  <c r="BR255" i="29"/>
  <c r="BL255" i="29"/>
  <c r="DF255" i="29"/>
  <c r="BM255" i="29"/>
  <c r="BO255" i="29"/>
  <c r="CX255" i="29"/>
  <c r="CZ255" i="29"/>
  <c r="DB255" i="29"/>
  <c r="BI255" i="29"/>
  <c r="CW255" i="29"/>
  <c r="BK255" i="29"/>
  <c r="DC255" i="29"/>
  <c r="AA255" i="29"/>
  <c r="Y255" i="29"/>
  <c r="V255" i="29"/>
  <c r="Z255" i="29"/>
  <c r="X255" i="29"/>
  <c r="AC255" i="29"/>
  <c r="U255" i="29"/>
  <c r="AB255" i="29"/>
  <c r="W255" i="29"/>
  <c r="AD255" i="29"/>
  <c r="DC256" i="29" l="1"/>
  <c r="CW256" i="29"/>
  <c r="DB256" i="29"/>
  <c r="CX256" i="29"/>
  <c r="BM256" i="29"/>
  <c r="BL256" i="29"/>
  <c r="CY256" i="29"/>
  <c r="BP256" i="29"/>
  <c r="DE256" i="29"/>
  <c r="DA256" i="29"/>
  <c r="BK256" i="29"/>
  <c r="BI256" i="29"/>
  <c r="CZ256" i="29"/>
  <c r="BO256" i="29"/>
  <c r="DF256" i="29"/>
  <c r="BR256" i="29"/>
  <c r="BJ256" i="29"/>
  <c r="BQ256" i="29"/>
  <c r="BN256" i="29"/>
  <c r="DD256" i="29"/>
  <c r="AB256" i="29"/>
  <c r="AC256" i="29"/>
  <c r="Z256" i="29"/>
  <c r="Y256" i="29"/>
  <c r="AD256" i="29"/>
  <c r="W256" i="29"/>
  <c r="U256" i="29"/>
  <c r="X256" i="29"/>
  <c r="V256" i="29"/>
  <c r="AA256" i="29"/>
  <c r="DD257" i="29" l="1"/>
  <c r="BQ257" i="29"/>
  <c r="BR257" i="29"/>
  <c r="BO257" i="29"/>
  <c r="BI257" i="29"/>
  <c r="DA257" i="29"/>
  <c r="BP257" i="29"/>
  <c r="BL257" i="29"/>
  <c r="CX257" i="29"/>
  <c r="CW257" i="29"/>
  <c r="BN257" i="29"/>
  <c r="BJ257" i="29"/>
  <c r="DF257" i="29"/>
  <c r="CZ257" i="29"/>
  <c r="BK257" i="29"/>
  <c r="DE257" i="29"/>
  <c r="CY257" i="29"/>
  <c r="BM257" i="29"/>
  <c r="DB257" i="29"/>
  <c r="DC257" i="29"/>
  <c r="AA257" i="29"/>
  <c r="X257" i="29"/>
  <c r="W257" i="29"/>
  <c r="Y257" i="29"/>
  <c r="AC257" i="29"/>
  <c r="V257" i="29"/>
  <c r="U257" i="29"/>
  <c r="AD257" i="29"/>
  <c r="Z257" i="29"/>
  <c r="AB257" i="29"/>
  <c r="DC258" i="29" l="1"/>
  <c r="BM258" i="29"/>
  <c r="DE258" i="29"/>
  <c r="CZ258" i="29"/>
  <c r="BJ258" i="29"/>
  <c r="CW258" i="29"/>
  <c r="BL258" i="29"/>
  <c r="DA258" i="29"/>
  <c r="BO258" i="29"/>
  <c r="BQ258" i="29"/>
  <c r="DB258" i="29"/>
  <c r="CY258" i="29"/>
  <c r="BK258" i="29"/>
  <c r="DF258" i="29"/>
  <c r="BN258" i="29"/>
  <c r="CX258" i="29"/>
  <c r="BP258" i="29"/>
  <c r="BI258" i="29"/>
  <c r="BR258" i="29"/>
  <c r="DD258" i="29"/>
  <c r="AD258" i="29"/>
  <c r="V258" i="29"/>
  <c r="Y258" i="29"/>
  <c r="X258" i="29"/>
  <c r="AB258" i="29"/>
  <c r="Z258" i="29"/>
  <c r="U258" i="29"/>
  <c r="AC258" i="29"/>
  <c r="W258" i="29"/>
  <c r="AA258" i="29"/>
  <c r="DD259" i="29" l="1"/>
  <c r="BI259" i="29"/>
  <c r="CX259" i="29"/>
  <c r="DF259" i="29"/>
  <c r="CY259" i="29"/>
  <c r="BQ259" i="29"/>
  <c r="DA259" i="29"/>
  <c r="CW259" i="29"/>
  <c r="CZ259" i="29"/>
  <c r="BM259" i="29"/>
  <c r="BR259" i="29"/>
  <c r="BP259" i="29"/>
  <c r="BN259" i="29"/>
  <c r="BK259" i="29"/>
  <c r="DB259" i="29"/>
  <c r="BO259" i="29"/>
  <c r="BL259" i="29"/>
  <c r="BJ259" i="29"/>
  <c r="DE259" i="29"/>
  <c r="DC259" i="29"/>
  <c r="AA259" i="29"/>
  <c r="AC259" i="29"/>
  <c r="Z259" i="29"/>
  <c r="X259" i="29"/>
  <c r="V259" i="29"/>
  <c r="W259" i="29"/>
  <c r="U259" i="29"/>
  <c r="AB259" i="29"/>
  <c r="Y259" i="29"/>
  <c r="AD259" i="29"/>
  <c r="DC260" i="29" l="1"/>
  <c r="BJ260" i="29"/>
  <c r="BO260" i="29"/>
  <c r="BK260" i="29"/>
  <c r="BP260" i="29"/>
  <c r="BM260" i="29"/>
  <c r="CW260" i="29"/>
  <c r="BQ260" i="29"/>
  <c r="DF260" i="29"/>
  <c r="BI260" i="29"/>
  <c r="DE260" i="29"/>
  <c r="BL260" i="29"/>
  <c r="DB260" i="29"/>
  <c r="BN260" i="29"/>
  <c r="BR260" i="29"/>
  <c r="CZ260" i="29"/>
  <c r="DA260" i="29"/>
  <c r="CY260" i="29"/>
  <c r="CX260" i="29"/>
  <c r="DD260" i="29"/>
  <c r="W260" i="29"/>
  <c r="X260" i="29"/>
  <c r="AC260" i="29"/>
  <c r="AB260" i="29"/>
  <c r="AD260" i="29"/>
  <c r="Y260" i="29"/>
  <c r="U260" i="29"/>
  <c r="V260" i="29"/>
  <c r="Z260" i="29"/>
  <c r="AA260" i="29"/>
  <c r="BJ261" i="29" l="1"/>
  <c r="DD261" i="29"/>
  <c r="CY261" i="29"/>
  <c r="CZ261" i="29"/>
  <c r="BN261" i="29"/>
  <c r="BL261" i="29"/>
  <c r="BI261" i="29"/>
  <c r="BQ261" i="29"/>
  <c r="BM261" i="29"/>
  <c r="BK261" i="29"/>
  <c r="CX261" i="29"/>
  <c r="DA261" i="29"/>
  <c r="BR261" i="29"/>
  <c r="DB261" i="29"/>
  <c r="DE261" i="29"/>
  <c r="DF261" i="29"/>
  <c r="CW261" i="29"/>
  <c r="BP261" i="29"/>
  <c r="BO261" i="29"/>
  <c r="DC261" i="29"/>
  <c r="AA261" i="29"/>
  <c r="V261" i="29"/>
  <c r="Y261" i="29"/>
  <c r="AB261" i="29"/>
  <c r="X261" i="29"/>
  <c r="Z261" i="29"/>
  <c r="U261" i="29"/>
  <c r="AD261" i="29"/>
  <c r="AC261" i="29"/>
  <c r="W261" i="29"/>
  <c r="DC262" i="29" l="1"/>
  <c r="BP262" i="29"/>
  <c r="DF262" i="29"/>
  <c r="DB262" i="29"/>
  <c r="DA262" i="29"/>
  <c r="BK262" i="29"/>
  <c r="BQ262" i="29"/>
  <c r="BL262" i="29"/>
  <c r="CZ262" i="29"/>
  <c r="DD262" i="29"/>
  <c r="BO262" i="29"/>
  <c r="CW262" i="29"/>
  <c r="DE262" i="29"/>
  <c r="BR262" i="29"/>
  <c r="CX262" i="29"/>
  <c r="BM262" i="29"/>
  <c r="BI262" i="29"/>
  <c r="BN262" i="29"/>
  <c r="CY262" i="29"/>
  <c r="BJ262" i="29"/>
  <c r="AD262" i="29"/>
  <c r="Z262" i="29"/>
  <c r="AB262" i="29"/>
  <c r="V262" i="29"/>
  <c r="W262" i="29"/>
  <c r="AC262" i="29"/>
  <c r="U262" i="29"/>
  <c r="X262" i="29"/>
  <c r="Y262" i="29"/>
  <c r="AA262" i="29"/>
  <c r="BJ263" i="29" l="1"/>
  <c r="BN263" i="29"/>
  <c r="BM263" i="29"/>
  <c r="BR263" i="29"/>
  <c r="CW263" i="29"/>
  <c r="DD263" i="29"/>
  <c r="BL263" i="29"/>
  <c r="BK263" i="29"/>
  <c r="DB263" i="29"/>
  <c r="BP263" i="29"/>
  <c r="CY263" i="29"/>
  <c r="BI263" i="29"/>
  <c r="CX263" i="29"/>
  <c r="DE263" i="29"/>
  <c r="BO263" i="29"/>
  <c r="CZ263" i="29"/>
  <c r="BQ263" i="29"/>
  <c r="DA263" i="29"/>
  <c r="DF263" i="29"/>
  <c r="DC263" i="29"/>
  <c r="AA263" i="29"/>
  <c r="X263" i="29"/>
  <c r="AC263" i="29"/>
  <c r="V263" i="29"/>
  <c r="Z263" i="29"/>
  <c r="Y263" i="29"/>
  <c r="U263" i="29"/>
  <c r="W263" i="29"/>
  <c r="AB263" i="29"/>
  <c r="AD263" i="29"/>
  <c r="DC264" i="29" l="1"/>
  <c r="DA264" i="29"/>
  <c r="CZ264" i="29"/>
  <c r="DE264" i="29"/>
  <c r="BI264" i="29"/>
  <c r="BP264" i="29"/>
  <c r="BK264" i="29"/>
  <c r="DD264" i="29"/>
  <c r="BR264" i="29"/>
  <c r="BN264" i="29"/>
  <c r="DF264" i="29"/>
  <c r="BQ264" i="29"/>
  <c r="BO264" i="29"/>
  <c r="CX264" i="29"/>
  <c r="CY264" i="29"/>
  <c r="DB264" i="29"/>
  <c r="BL264" i="29"/>
  <c r="CW264" i="29"/>
  <c r="BM264" i="29"/>
  <c r="BJ264" i="29"/>
  <c r="AD264" i="29"/>
  <c r="W264" i="29"/>
  <c r="Y264" i="29"/>
  <c r="V264" i="29"/>
  <c r="X264" i="29"/>
  <c r="AB264" i="29"/>
  <c r="U264" i="29"/>
  <c r="Z264" i="29"/>
  <c r="AC264" i="29"/>
  <c r="AA264" i="29"/>
  <c r="BJ265" i="29" l="1"/>
  <c r="CW265" i="29"/>
  <c r="DB265" i="29"/>
  <c r="CX265" i="29"/>
  <c r="BQ265" i="29"/>
  <c r="BN265" i="29"/>
  <c r="DD265" i="29"/>
  <c r="BP265" i="29"/>
  <c r="DE265" i="29"/>
  <c r="DA265" i="29"/>
  <c r="BM265" i="29"/>
  <c r="BL265" i="29"/>
  <c r="CY265" i="29"/>
  <c r="BO265" i="29"/>
  <c r="DF265" i="29"/>
  <c r="BR265" i="29"/>
  <c r="BK265" i="29"/>
  <c r="BI265" i="29"/>
  <c r="CZ265" i="29"/>
  <c r="DC265" i="29"/>
  <c r="AA265" i="29"/>
  <c r="Z265" i="29"/>
  <c r="V265" i="29"/>
  <c r="W265" i="29"/>
  <c r="AB265" i="29"/>
  <c r="AC265" i="29"/>
  <c r="U265" i="29"/>
  <c r="X265" i="29"/>
  <c r="Y265" i="29"/>
  <c r="AD265" i="29"/>
  <c r="DC266" i="29" l="1"/>
  <c r="BI266" i="29"/>
  <c r="BR266" i="29"/>
  <c r="BO266" i="29"/>
  <c r="BL266" i="29"/>
  <c r="DA266" i="29"/>
  <c r="BP266" i="29"/>
  <c r="BN266" i="29"/>
  <c r="CX266" i="29"/>
  <c r="CW266" i="29"/>
  <c r="CZ266" i="29"/>
  <c r="BK266" i="29"/>
  <c r="DF266" i="29"/>
  <c r="CY266" i="29"/>
  <c r="BM266" i="29"/>
  <c r="DE266" i="29"/>
  <c r="DD266" i="29"/>
  <c r="BQ266" i="29"/>
  <c r="DB266" i="29"/>
  <c r="BJ266" i="29"/>
  <c r="AD266" i="29"/>
  <c r="X266" i="29"/>
  <c r="AC266" i="29"/>
  <c r="W266" i="29"/>
  <c r="Z266" i="29"/>
  <c r="Y266" i="29"/>
  <c r="U266" i="29"/>
  <c r="AB266" i="29"/>
  <c r="V266" i="29"/>
  <c r="AA266" i="29"/>
  <c r="BJ267" i="29" l="1"/>
  <c r="BQ267" i="29"/>
  <c r="DE267" i="29"/>
  <c r="CY267" i="29"/>
  <c r="BK267" i="29"/>
  <c r="CW267" i="29"/>
  <c r="BN267" i="29"/>
  <c r="DA267" i="29"/>
  <c r="BO267" i="29"/>
  <c r="BI267" i="29"/>
  <c r="DB267" i="29"/>
  <c r="DD267" i="29"/>
  <c r="BM267" i="29"/>
  <c r="DF267" i="29"/>
  <c r="CZ267" i="29"/>
  <c r="CX267" i="29"/>
  <c r="BP267" i="29"/>
  <c r="BL267" i="29"/>
  <c r="BR267" i="29"/>
  <c r="DC267" i="29"/>
  <c r="AA267" i="29"/>
  <c r="AB267" i="29"/>
  <c r="Y267" i="29"/>
  <c r="W267" i="29"/>
  <c r="X267" i="29"/>
  <c r="V267" i="29"/>
  <c r="U267" i="29"/>
  <c r="Z267" i="29"/>
  <c r="AC267" i="29"/>
  <c r="AD267" i="29"/>
  <c r="DC268" i="29" l="1"/>
  <c r="BL268" i="29"/>
  <c r="CX268" i="29"/>
  <c r="DF268" i="29"/>
  <c r="DD268" i="29"/>
  <c r="BI268" i="29"/>
  <c r="DA268" i="29"/>
  <c r="CW268" i="29"/>
  <c r="CY268" i="29"/>
  <c r="BQ268" i="29"/>
  <c r="BR268" i="29"/>
  <c r="BP268" i="29"/>
  <c r="CZ268" i="29"/>
  <c r="BM268" i="29"/>
  <c r="DB268" i="29"/>
  <c r="BO268" i="29"/>
  <c r="BN268" i="29"/>
  <c r="BK268" i="29"/>
  <c r="DE268" i="29"/>
  <c r="BJ268" i="29"/>
  <c r="AD268" i="29"/>
  <c r="Z268" i="29"/>
  <c r="V268" i="29"/>
  <c r="W268" i="29"/>
  <c r="AB268" i="29"/>
  <c r="AC268" i="29"/>
  <c r="U268" i="29"/>
  <c r="X268" i="29"/>
  <c r="Y268" i="29"/>
  <c r="AA268" i="29"/>
  <c r="BO269" i="29" l="1"/>
  <c r="BJ269" i="29"/>
  <c r="BK269" i="29"/>
  <c r="BM269" i="29"/>
  <c r="BP269" i="29"/>
  <c r="BQ269" i="29"/>
  <c r="CW269" i="29"/>
  <c r="BI269" i="29"/>
  <c r="DF269" i="29"/>
  <c r="BL269" i="29"/>
  <c r="DE269" i="29"/>
  <c r="BN269" i="29"/>
  <c r="DB269" i="29"/>
  <c r="CZ269" i="29"/>
  <c r="BR269" i="29"/>
  <c r="CY269" i="29"/>
  <c r="DA269" i="29"/>
  <c r="DD269" i="29"/>
  <c r="CX269" i="29"/>
  <c r="DC269" i="29"/>
  <c r="Z269" i="29"/>
  <c r="AA269" i="29"/>
  <c r="W269" i="29"/>
  <c r="X269" i="29"/>
  <c r="AC269" i="29"/>
  <c r="Y269" i="29"/>
  <c r="U269" i="29"/>
  <c r="AB269" i="29"/>
  <c r="V269" i="29"/>
  <c r="AD269" i="29"/>
  <c r="DC270" i="29" l="1"/>
  <c r="DD270" i="29"/>
  <c r="CY270" i="29"/>
  <c r="CZ270" i="29"/>
  <c r="BN270" i="29"/>
  <c r="BL270" i="29"/>
  <c r="BI270" i="29"/>
  <c r="BQ270" i="29"/>
  <c r="BM270" i="29"/>
  <c r="BJ270" i="29"/>
  <c r="BP270" i="29"/>
  <c r="CX270" i="29"/>
  <c r="DA270" i="29"/>
  <c r="BR270" i="29"/>
  <c r="DB270" i="29"/>
  <c r="DE270" i="29"/>
  <c r="DF270" i="29"/>
  <c r="CW270" i="29"/>
  <c r="BK270" i="29"/>
  <c r="BO270" i="29"/>
  <c r="AB270" i="29"/>
  <c r="X270" i="29"/>
  <c r="AA270" i="29"/>
  <c r="Y270" i="29"/>
  <c r="AD270" i="29"/>
  <c r="V270" i="29"/>
  <c r="U270" i="29"/>
  <c r="AC270" i="29"/>
  <c r="W270" i="29"/>
  <c r="Z270" i="29"/>
  <c r="BO271" i="29" l="1"/>
  <c r="CW271" i="29"/>
  <c r="DE271" i="29"/>
  <c r="BR271" i="29"/>
  <c r="CX271" i="29"/>
  <c r="BJ271" i="29"/>
  <c r="BQ271" i="29"/>
  <c r="BL271" i="29"/>
  <c r="CZ271" i="29"/>
  <c r="DD271" i="29"/>
  <c r="BK271" i="29"/>
  <c r="DF271" i="29"/>
  <c r="DB271" i="29"/>
  <c r="DA271" i="29"/>
  <c r="BP271" i="29"/>
  <c r="BM271" i="29"/>
  <c r="BI271" i="29"/>
  <c r="BN271" i="29"/>
  <c r="CY271" i="29"/>
  <c r="DC271" i="29"/>
  <c r="AC271" i="29"/>
  <c r="Z271" i="29"/>
  <c r="Y271" i="29"/>
  <c r="V271" i="29"/>
  <c r="X271" i="29"/>
  <c r="W271" i="29"/>
  <c r="U271" i="29"/>
  <c r="AD271" i="29"/>
  <c r="AA271" i="29"/>
  <c r="AB271" i="29"/>
  <c r="DC272" i="29" l="1"/>
  <c r="BN272" i="29"/>
  <c r="BM272" i="29"/>
  <c r="DA272" i="29"/>
  <c r="DF272" i="29"/>
  <c r="DD272" i="29"/>
  <c r="BL272" i="29"/>
  <c r="BJ272" i="29"/>
  <c r="BR272" i="29"/>
  <c r="CW272" i="29"/>
  <c r="BQ272" i="29"/>
  <c r="CY272" i="29"/>
  <c r="BI272" i="29"/>
  <c r="BP272" i="29"/>
  <c r="DB272" i="29"/>
  <c r="BK272" i="29"/>
  <c r="CZ272" i="29"/>
  <c r="CX272" i="29"/>
  <c r="DE272" i="29"/>
  <c r="BO272" i="29"/>
  <c r="AA272" i="29"/>
  <c r="U272" i="29"/>
  <c r="X272" i="29"/>
  <c r="Y272" i="29"/>
  <c r="AC272" i="29"/>
  <c r="AB272" i="29"/>
  <c r="AD272" i="29"/>
  <c r="W272" i="29"/>
  <c r="V272" i="29"/>
  <c r="Z272" i="29"/>
  <c r="BO273" i="29" l="1"/>
  <c r="CX273" i="29"/>
  <c r="BK273" i="29"/>
  <c r="BP273" i="29"/>
  <c r="CY273" i="29"/>
  <c r="CW273" i="29"/>
  <c r="BJ273" i="29"/>
  <c r="DD273" i="29"/>
  <c r="DA273" i="29"/>
  <c r="BN273" i="29"/>
  <c r="BR273" i="29"/>
  <c r="DE273" i="29"/>
  <c r="CZ273" i="29"/>
  <c r="DB273" i="29"/>
  <c r="BI273" i="29"/>
  <c r="BQ273" i="29"/>
  <c r="BL273" i="29"/>
  <c r="DF273" i="29"/>
  <c r="BM273" i="29"/>
  <c r="DC273" i="29"/>
  <c r="V273" i="29"/>
  <c r="AD273" i="29"/>
  <c r="AC273" i="29"/>
  <c r="X273" i="29"/>
  <c r="AA273" i="29"/>
  <c r="Z273" i="29"/>
  <c r="W273" i="29"/>
  <c r="AB273" i="29"/>
  <c r="Y273" i="29"/>
  <c r="U273" i="29"/>
  <c r="DC274" i="29" l="1"/>
  <c r="DF274" i="29"/>
  <c r="BQ274" i="29"/>
  <c r="DB274" i="29"/>
  <c r="DE274" i="29"/>
  <c r="BN274" i="29"/>
  <c r="DD274" i="29"/>
  <c r="CW274" i="29"/>
  <c r="BP274" i="29"/>
  <c r="CX274" i="29"/>
  <c r="BM274" i="29"/>
  <c r="BL274" i="29"/>
  <c r="BI274" i="29"/>
  <c r="CZ274" i="29"/>
  <c r="BR274" i="29"/>
  <c r="DA274" i="29"/>
  <c r="BJ274" i="29"/>
  <c r="CY274" i="29"/>
  <c r="BK274" i="29"/>
  <c r="BO274" i="29"/>
  <c r="Y274" i="29"/>
  <c r="W274" i="29"/>
  <c r="AA274" i="29"/>
  <c r="AC274" i="29"/>
  <c r="V274" i="29"/>
  <c r="U274" i="29"/>
  <c r="AB274" i="29"/>
  <c r="Z274" i="29"/>
  <c r="X274" i="29"/>
  <c r="AD274" i="29"/>
  <c r="BO275" i="29" l="1"/>
  <c r="CY275" i="29"/>
  <c r="DA275" i="29"/>
  <c r="CZ275" i="29"/>
  <c r="BL275" i="29"/>
  <c r="CX275" i="29"/>
  <c r="CW275" i="29"/>
  <c r="BN275" i="29"/>
  <c r="DB275" i="29"/>
  <c r="DF275" i="29"/>
  <c r="BK275" i="29"/>
  <c r="BJ275" i="29"/>
  <c r="BR275" i="29"/>
  <c r="BI275" i="29"/>
  <c r="BM275" i="29"/>
  <c r="BP275" i="29"/>
  <c r="DD275" i="29"/>
  <c r="DE275" i="29"/>
  <c r="BQ275" i="29"/>
  <c r="DC275" i="29"/>
  <c r="X275" i="29"/>
  <c r="AB275" i="29"/>
  <c r="V275" i="29"/>
  <c r="AA275" i="29"/>
  <c r="Y275" i="29"/>
  <c r="AD275" i="29"/>
  <c r="Z275" i="29"/>
  <c r="U275" i="29"/>
  <c r="AC275" i="29"/>
  <c r="W275" i="29"/>
  <c r="DC276" i="29" l="1"/>
  <c r="DE276" i="29"/>
  <c r="BP276" i="29"/>
  <c r="BI276" i="29"/>
  <c r="BJ276" i="29"/>
  <c r="DF276" i="29"/>
  <c r="BN276" i="29"/>
  <c r="CX276" i="29"/>
  <c r="CZ276" i="29"/>
  <c r="CY276" i="29"/>
  <c r="BQ276" i="29"/>
  <c r="DD276" i="29"/>
  <c r="BM276" i="29"/>
  <c r="BR276" i="29"/>
  <c r="BK276" i="29"/>
  <c r="DB276" i="29"/>
  <c r="CW276" i="29"/>
  <c r="BL276" i="29"/>
  <c r="DA276" i="29"/>
  <c r="BO276" i="29"/>
  <c r="AC276" i="29"/>
  <c r="Z276" i="29"/>
  <c r="Y276" i="29"/>
  <c r="V276" i="29"/>
  <c r="X276" i="29"/>
  <c r="W276" i="29"/>
  <c r="U276" i="29"/>
  <c r="AD276" i="29"/>
  <c r="AA276" i="29"/>
  <c r="AB276" i="29"/>
  <c r="BO277" i="29" l="1"/>
  <c r="BL277" i="29"/>
  <c r="DB277" i="29"/>
  <c r="BR277" i="29"/>
  <c r="DD277" i="29"/>
  <c r="CY277" i="29"/>
  <c r="CX277" i="29"/>
  <c r="DF277" i="29"/>
  <c r="BI277" i="29"/>
  <c r="DE277" i="29"/>
  <c r="DA277" i="29"/>
  <c r="CW277" i="29"/>
  <c r="BK277" i="29"/>
  <c r="BM277" i="29"/>
  <c r="BQ277" i="29"/>
  <c r="CZ277" i="29"/>
  <c r="BN277" i="29"/>
  <c r="BJ277" i="29"/>
  <c r="BP277" i="29"/>
  <c r="DC277" i="29"/>
  <c r="AA277" i="29"/>
  <c r="U277" i="29"/>
  <c r="X277" i="29"/>
  <c r="Y277" i="29"/>
  <c r="AC277" i="29"/>
  <c r="AB277" i="29"/>
  <c r="AD277" i="29"/>
  <c r="W277" i="29"/>
  <c r="V277" i="29"/>
  <c r="Z277" i="29"/>
  <c r="DC278" i="29" l="1"/>
  <c r="BJ278" i="29"/>
  <c r="CZ278" i="29"/>
  <c r="BM278" i="29"/>
  <c r="CW278" i="29"/>
  <c r="DE278" i="29"/>
  <c r="DF278" i="29"/>
  <c r="CY278" i="29"/>
  <c r="BR278" i="29"/>
  <c r="BL278" i="29"/>
  <c r="BP278" i="29"/>
  <c r="BN278" i="29"/>
  <c r="BQ278" i="29"/>
  <c r="BK278" i="29"/>
  <c r="DA278" i="29"/>
  <c r="BI278" i="29"/>
  <c r="CX278" i="29"/>
  <c r="DD278" i="29"/>
  <c r="DB278" i="29"/>
  <c r="BO278" i="29"/>
  <c r="W278" i="29"/>
  <c r="Y278" i="29"/>
  <c r="Z278" i="29"/>
  <c r="U278" i="29"/>
  <c r="AB278" i="29"/>
  <c r="V278" i="29"/>
  <c r="AD278" i="29"/>
  <c r="AC278" i="29"/>
  <c r="X278" i="29"/>
  <c r="AA278" i="29"/>
  <c r="BO279" i="29" l="1"/>
  <c r="DD279" i="29"/>
  <c r="BI279" i="29"/>
  <c r="BK279" i="29"/>
  <c r="BN279" i="29"/>
  <c r="BL279" i="29"/>
  <c r="CY279" i="29"/>
  <c r="DE279" i="29"/>
  <c r="BM279" i="29"/>
  <c r="BJ279" i="29"/>
  <c r="DB279" i="29"/>
  <c r="CX279" i="29"/>
  <c r="DA279" i="29"/>
  <c r="BQ279" i="29"/>
  <c r="BP279" i="29"/>
  <c r="BR279" i="29"/>
  <c r="DF279" i="29"/>
  <c r="CW279" i="29"/>
  <c r="CZ279" i="29"/>
  <c r="DC279" i="29"/>
  <c r="AA279" i="29"/>
  <c r="U279" i="29"/>
  <c r="Y279" i="29"/>
  <c r="AC279" i="29"/>
  <c r="V279" i="29"/>
  <c r="X279" i="29"/>
  <c r="AD279" i="29"/>
  <c r="AB279" i="29"/>
  <c r="Z279" i="29"/>
  <c r="W279" i="29"/>
  <c r="BQ280" i="29" l="1"/>
  <c r="DC280" i="29"/>
  <c r="CW280" i="29"/>
  <c r="BR280" i="29"/>
  <c r="CX280" i="29"/>
  <c r="BJ280" i="29"/>
  <c r="DE280" i="29"/>
  <c r="BL280" i="29"/>
  <c r="BK280" i="29"/>
  <c r="DD280" i="29"/>
  <c r="CZ280" i="29"/>
  <c r="DF280" i="29"/>
  <c r="BP280" i="29"/>
  <c r="DA280" i="29"/>
  <c r="DB280" i="29"/>
  <c r="BM280" i="29"/>
  <c r="CY280" i="29"/>
  <c r="BN280" i="29"/>
  <c r="BI280" i="29"/>
  <c r="BO280" i="29"/>
  <c r="AB280" i="29"/>
  <c r="X280" i="29"/>
  <c r="AC280" i="29"/>
  <c r="U280" i="29"/>
  <c r="W280" i="29"/>
  <c r="Z280" i="29"/>
  <c r="AD280" i="29"/>
  <c r="V280" i="29"/>
  <c r="Y280" i="29"/>
  <c r="AA280" i="29"/>
  <c r="BO281" i="29" l="1"/>
  <c r="BN281" i="29"/>
  <c r="BM281" i="29"/>
  <c r="DA281" i="29"/>
  <c r="DF281" i="29"/>
  <c r="DD281" i="29"/>
  <c r="BL281" i="29"/>
  <c r="BJ281" i="29"/>
  <c r="BR281" i="29"/>
  <c r="DC281" i="29"/>
  <c r="BI281" i="29"/>
  <c r="CY281" i="29"/>
  <c r="DB281" i="29"/>
  <c r="BP281" i="29"/>
  <c r="CZ281" i="29"/>
  <c r="BK281" i="29"/>
  <c r="DE281" i="29"/>
  <c r="CX281" i="29"/>
  <c r="CW281" i="29"/>
  <c r="BQ281" i="29"/>
  <c r="AA281" i="29"/>
  <c r="Z281" i="29"/>
  <c r="U281" i="29"/>
  <c r="X281" i="29"/>
  <c r="V281" i="29"/>
  <c r="Y281" i="29"/>
  <c r="AD281" i="29"/>
  <c r="W281" i="29"/>
  <c r="AC281" i="29"/>
  <c r="AB281" i="29"/>
  <c r="BQ282" i="29" l="1"/>
  <c r="CX282" i="29"/>
  <c r="BK282" i="29"/>
  <c r="BP282" i="29"/>
  <c r="CY282" i="29"/>
  <c r="DC282" i="29"/>
  <c r="BJ282" i="29"/>
  <c r="DD282" i="29"/>
  <c r="DA282" i="29"/>
  <c r="BN282" i="29"/>
  <c r="CW282" i="29"/>
  <c r="DE282" i="29"/>
  <c r="CZ282" i="29"/>
  <c r="DB282" i="29"/>
  <c r="BI282" i="29"/>
  <c r="BR282" i="29"/>
  <c r="BL282" i="29"/>
  <c r="DF282" i="29"/>
  <c r="BM282" i="29"/>
  <c r="BO282" i="29"/>
  <c r="Y282" i="29"/>
  <c r="AB282" i="29"/>
  <c r="X282" i="29"/>
  <c r="W282" i="29"/>
  <c r="Z282" i="29"/>
  <c r="AC282" i="29"/>
  <c r="AD282" i="29"/>
  <c r="V282" i="29"/>
  <c r="U282" i="29"/>
  <c r="AA282" i="29"/>
  <c r="BO283" i="29" l="1"/>
  <c r="DF283" i="29"/>
  <c r="BR283" i="29"/>
  <c r="DB283" i="29"/>
  <c r="DE283" i="29"/>
  <c r="BN283" i="29"/>
  <c r="DD283" i="29"/>
  <c r="DC283" i="29"/>
  <c r="BP283" i="29"/>
  <c r="CX283" i="29"/>
  <c r="BM283" i="29"/>
  <c r="BL283" i="29"/>
  <c r="BI283" i="29"/>
  <c r="CZ283" i="29"/>
  <c r="CW283" i="29"/>
  <c r="DA283" i="29"/>
  <c r="BJ283" i="29"/>
  <c r="CY283" i="29"/>
  <c r="BK283" i="29"/>
  <c r="BQ283" i="29"/>
  <c r="AA283" i="29"/>
  <c r="V283" i="29"/>
  <c r="AC283" i="29"/>
  <c r="W283" i="29"/>
  <c r="AB283" i="29"/>
  <c r="U283" i="29"/>
  <c r="AD283" i="29"/>
  <c r="Z283" i="29"/>
  <c r="X283" i="29"/>
  <c r="Y283" i="29"/>
  <c r="BQ284" i="29" l="1"/>
  <c r="CY284" i="29"/>
  <c r="DA284" i="29"/>
  <c r="CZ284" i="29"/>
  <c r="BL284" i="29"/>
  <c r="CX284" i="29"/>
  <c r="DC284" i="29"/>
  <c r="BN284" i="29"/>
  <c r="DB284" i="29"/>
  <c r="DF284" i="29"/>
  <c r="BK284" i="29"/>
  <c r="BJ284" i="29"/>
  <c r="CW284" i="29"/>
  <c r="BI284" i="29"/>
  <c r="BM284" i="29"/>
  <c r="BP284" i="29"/>
  <c r="DD284" i="29"/>
  <c r="DE284" i="29"/>
  <c r="BR284" i="29"/>
  <c r="BO284" i="29"/>
  <c r="Z284" i="29"/>
  <c r="U284" i="29"/>
  <c r="W284" i="29"/>
  <c r="V284" i="29"/>
  <c r="Y284" i="29"/>
  <c r="X284" i="29"/>
  <c r="AD284" i="29"/>
  <c r="AB284" i="29"/>
  <c r="AC284" i="29"/>
  <c r="AA284" i="29"/>
  <c r="BO285" i="29" l="1"/>
  <c r="DE285" i="29"/>
  <c r="BP285" i="29"/>
  <c r="BI285" i="29"/>
  <c r="BJ285" i="29"/>
  <c r="DF285" i="29"/>
  <c r="BN285" i="29"/>
  <c r="CX285" i="29"/>
  <c r="CZ285" i="29"/>
  <c r="CY285" i="29"/>
  <c r="BR285" i="29"/>
  <c r="DD285" i="29"/>
  <c r="BM285" i="29"/>
  <c r="CW285" i="29"/>
  <c r="BK285" i="29"/>
  <c r="DB285" i="29"/>
  <c r="DC285" i="29"/>
  <c r="BL285" i="29"/>
  <c r="DA285" i="29"/>
  <c r="BQ285" i="29"/>
  <c r="AB285" i="29"/>
  <c r="X285" i="29"/>
  <c r="V285" i="29"/>
  <c r="U285" i="29"/>
  <c r="AA285" i="29"/>
  <c r="AC285" i="29"/>
  <c r="AD285" i="29"/>
  <c r="Y285" i="29"/>
  <c r="W285" i="29"/>
  <c r="Z285" i="29"/>
  <c r="BQ286" i="29" l="1"/>
  <c r="BL286" i="29"/>
  <c r="DB286" i="29"/>
  <c r="CW286" i="29"/>
  <c r="DD286" i="29"/>
  <c r="CY286" i="29"/>
  <c r="CX286" i="29"/>
  <c r="DF286" i="29"/>
  <c r="BI286" i="29"/>
  <c r="DE286" i="29"/>
  <c r="DA286" i="29"/>
  <c r="DC286" i="29"/>
  <c r="BK286" i="29"/>
  <c r="BM286" i="29"/>
  <c r="BR286" i="29"/>
  <c r="CZ286" i="29"/>
  <c r="BN286" i="29"/>
  <c r="BJ286" i="29"/>
  <c r="BP286" i="29"/>
  <c r="BO286" i="29"/>
  <c r="Y286" i="29"/>
  <c r="AC286" i="29"/>
  <c r="U286" i="29"/>
  <c r="X286" i="29"/>
  <c r="Z286" i="29"/>
  <c r="W286" i="29"/>
  <c r="AD286" i="29"/>
  <c r="AA286" i="29"/>
  <c r="V286" i="29"/>
  <c r="AB286" i="29"/>
  <c r="BO287" i="29" l="1"/>
  <c r="BJ287" i="29"/>
  <c r="CZ287" i="29"/>
  <c r="BM287" i="29"/>
  <c r="DC287" i="29"/>
  <c r="DE287" i="29"/>
  <c r="DF287" i="29"/>
  <c r="CY287" i="29"/>
  <c r="CW287" i="29"/>
  <c r="BL287" i="29"/>
  <c r="BP287" i="29"/>
  <c r="BN287" i="29"/>
  <c r="BR287" i="29"/>
  <c r="BK287" i="29"/>
  <c r="DA287" i="29"/>
  <c r="BI287" i="29"/>
  <c r="CX287" i="29"/>
  <c r="DD287" i="29"/>
  <c r="DB287" i="29"/>
  <c r="BQ287" i="29"/>
  <c r="W287" i="29"/>
  <c r="X287" i="29"/>
  <c r="AC287" i="29"/>
  <c r="AB287" i="29"/>
  <c r="AA287" i="29"/>
  <c r="V287" i="29"/>
  <c r="AD287" i="29"/>
  <c r="Z287" i="29"/>
  <c r="U287" i="29"/>
  <c r="Y287" i="29"/>
  <c r="BQ288" i="29" l="1"/>
  <c r="DD288" i="29"/>
  <c r="BI288" i="29"/>
  <c r="BK288" i="29"/>
  <c r="BN288" i="29"/>
  <c r="BL288" i="29"/>
  <c r="CY288" i="29"/>
  <c r="DE288" i="29"/>
  <c r="BM288" i="29"/>
  <c r="BJ288" i="29"/>
  <c r="DB288" i="29"/>
  <c r="CX288" i="29"/>
  <c r="DA288" i="29"/>
  <c r="BR288" i="29"/>
  <c r="BP288" i="29"/>
  <c r="CW288" i="29"/>
  <c r="DF288" i="29"/>
  <c r="DC288" i="29"/>
  <c r="CZ288" i="29"/>
  <c r="BO288" i="29"/>
  <c r="Y288" i="29"/>
  <c r="Z288" i="29"/>
  <c r="V288" i="29"/>
  <c r="AB288" i="29"/>
  <c r="X288" i="29"/>
  <c r="U288" i="29"/>
  <c r="AD288" i="29"/>
  <c r="AA288" i="29"/>
  <c r="AC288" i="29"/>
  <c r="W288" i="29"/>
  <c r="BP289" i="29" l="1"/>
  <c r="DB289" i="29"/>
  <c r="CY289" i="29"/>
  <c r="BI289" i="29"/>
  <c r="BQ289" i="29"/>
  <c r="DF289" i="29"/>
  <c r="DA289" i="29"/>
  <c r="BM289" i="29"/>
  <c r="BO289" i="29"/>
  <c r="DC289" i="29"/>
  <c r="CW289" i="29"/>
  <c r="BR289" i="29"/>
  <c r="CX289" i="29"/>
  <c r="BJ289" i="29"/>
  <c r="DE289" i="29"/>
  <c r="BL289" i="29"/>
  <c r="BK289" i="29"/>
  <c r="DD289" i="29"/>
  <c r="CZ289" i="29"/>
  <c r="BN289" i="29"/>
  <c r="W289" i="29"/>
  <c r="AA289" i="29"/>
  <c r="U289" i="29"/>
  <c r="AB289" i="29"/>
  <c r="Z289" i="29"/>
  <c r="AC289" i="29"/>
  <c r="AD289" i="29"/>
  <c r="X289" i="29"/>
  <c r="V289" i="29"/>
  <c r="Y289" i="29"/>
  <c r="BN290" i="29" l="1"/>
  <c r="DD290" i="29"/>
  <c r="BL290" i="29"/>
  <c r="BJ290" i="29"/>
  <c r="BR290" i="29"/>
  <c r="DC290" i="29"/>
  <c r="BM290" i="29"/>
  <c r="DF290" i="29"/>
  <c r="BI290" i="29"/>
  <c r="DB290" i="29"/>
  <c r="CZ290" i="29"/>
  <c r="BK290" i="29"/>
  <c r="DE290" i="29"/>
  <c r="CX290" i="29"/>
  <c r="CW290" i="29"/>
  <c r="BO290" i="29"/>
  <c r="DA290" i="29"/>
  <c r="BQ290" i="29"/>
  <c r="CY290" i="29"/>
  <c r="BP290" i="29"/>
  <c r="Y290" i="29"/>
  <c r="X290" i="29"/>
  <c r="AC290" i="29"/>
  <c r="AB290" i="29"/>
  <c r="AA290" i="29"/>
  <c r="V290" i="29"/>
  <c r="AD290" i="29"/>
  <c r="Z290" i="29"/>
  <c r="U290" i="29"/>
  <c r="W290" i="29"/>
  <c r="BP291" i="29" l="1"/>
  <c r="BQ291" i="29"/>
  <c r="BO291" i="29"/>
  <c r="CX291" i="29"/>
  <c r="BK291" i="29"/>
  <c r="DB291" i="29"/>
  <c r="DF291" i="29"/>
  <c r="DC291" i="29"/>
  <c r="BJ291" i="29"/>
  <c r="DD291" i="29"/>
  <c r="CY291" i="29"/>
  <c r="DA291" i="29"/>
  <c r="CW291" i="29"/>
  <c r="DE291" i="29"/>
  <c r="CZ291" i="29"/>
  <c r="BI291" i="29"/>
  <c r="BM291" i="29"/>
  <c r="BR291" i="29"/>
  <c r="BL291" i="29"/>
  <c r="BN291" i="29"/>
  <c r="W291" i="29"/>
  <c r="Z291" i="29"/>
  <c r="V291" i="29"/>
  <c r="AB291" i="29"/>
  <c r="X291" i="29"/>
  <c r="U291" i="29"/>
  <c r="AD291" i="29"/>
  <c r="AA291" i="29"/>
  <c r="AC291" i="29"/>
  <c r="Y291" i="29"/>
  <c r="BN292" i="29" l="1"/>
  <c r="BR292" i="29"/>
  <c r="BI292" i="29"/>
  <c r="DE292" i="29"/>
  <c r="DA292" i="29"/>
  <c r="DD292" i="29"/>
  <c r="DC292" i="29"/>
  <c r="DB292" i="29"/>
  <c r="CX292" i="29"/>
  <c r="BQ292" i="29"/>
  <c r="BL292" i="29"/>
  <c r="BM292" i="29"/>
  <c r="CZ292" i="29"/>
  <c r="CW292" i="29"/>
  <c r="CY292" i="29"/>
  <c r="BJ292" i="29"/>
  <c r="DF292" i="29"/>
  <c r="BK292" i="29"/>
  <c r="BO292" i="29"/>
  <c r="BP292" i="29"/>
  <c r="Y292" i="29"/>
  <c r="AA292" i="29"/>
  <c r="U292" i="29"/>
  <c r="AB292" i="29"/>
  <c r="Z292" i="29"/>
  <c r="AC292" i="29"/>
  <c r="AD292" i="29"/>
  <c r="X292" i="29"/>
  <c r="V292" i="29"/>
  <c r="W292" i="29"/>
  <c r="BP293" i="29" l="1"/>
  <c r="BK293" i="29"/>
  <c r="BJ293" i="29"/>
  <c r="CW293" i="29"/>
  <c r="BM293" i="29"/>
  <c r="BQ293" i="29"/>
  <c r="DB293" i="29"/>
  <c r="DD293" i="29"/>
  <c r="DE293" i="29"/>
  <c r="BR293" i="29"/>
  <c r="BO293" i="29"/>
  <c r="DF293" i="29"/>
  <c r="CY293" i="29"/>
  <c r="CZ293" i="29"/>
  <c r="BL293" i="29"/>
  <c r="CX293" i="29"/>
  <c r="DC293" i="29"/>
  <c r="DA293" i="29"/>
  <c r="BI293" i="29"/>
  <c r="BN293" i="29"/>
  <c r="W293" i="29"/>
  <c r="X293" i="29"/>
  <c r="AC293" i="29"/>
  <c r="AB293" i="29"/>
  <c r="AA293" i="29"/>
  <c r="V293" i="29"/>
  <c r="AD293" i="29"/>
  <c r="Z293" i="29"/>
  <c r="U293" i="29"/>
  <c r="Y293" i="29"/>
  <c r="BN294" i="29" l="1"/>
  <c r="DA294" i="29"/>
  <c r="CX294" i="29"/>
  <c r="CZ294" i="29"/>
  <c r="DF294" i="29"/>
  <c r="BR294" i="29"/>
  <c r="DD294" i="29"/>
  <c r="BQ294" i="29"/>
  <c r="CW294" i="29"/>
  <c r="BK294" i="29"/>
  <c r="BI294" i="29"/>
  <c r="DC294" i="29"/>
  <c r="BL294" i="29"/>
  <c r="CY294" i="29"/>
  <c r="BO294" i="29"/>
  <c r="DE294" i="29"/>
  <c r="DB294" i="29"/>
  <c r="BM294" i="29"/>
  <c r="BJ294" i="29"/>
  <c r="BP294" i="29"/>
  <c r="V294" i="29"/>
  <c r="AB294" i="29"/>
  <c r="X294" i="29"/>
  <c r="Z294" i="29"/>
  <c r="Y294" i="29"/>
  <c r="U294" i="29"/>
  <c r="AD294" i="29"/>
  <c r="AA294" i="29"/>
  <c r="AC294" i="29"/>
  <c r="W294" i="29"/>
  <c r="BP295" i="29" l="1"/>
  <c r="BM295" i="29"/>
  <c r="DE295" i="29"/>
  <c r="CY295" i="29"/>
  <c r="DC295" i="29"/>
  <c r="BK295" i="29"/>
  <c r="BQ295" i="29"/>
  <c r="BR295" i="29"/>
  <c r="CZ295" i="29"/>
  <c r="DA295" i="29"/>
  <c r="BJ295" i="29"/>
  <c r="DB295" i="29"/>
  <c r="BO295" i="29"/>
  <c r="BL295" i="29"/>
  <c r="BI295" i="29"/>
  <c r="CW295" i="29"/>
  <c r="DD295" i="29"/>
  <c r="DF295" i="29"/>
  <c r="CX295" i="29"/>
  <c r="BN295" i="29"/>
  <c r="W295" i="29"/>
  <c r="AA295" i="29"/>
  <c r="U295" i="29"/>
  <c r="Z295" i="29"/>
  <c r="AB295" i="29"/>
  <c r="AC295" i="29"/>
  <c r="AD295" i="29"/>
  <c r="Y295" i="29"/>
  <c r="X295" i="29"/>
  <c r="V295" i="29"/>
  <c r="BN296" i="29" l="1"/>
  <c r="DF296" i="29"/>
  <c r="CW296" i="29"/>
  <c r="BL296" i="29"/>
  <c r="DB296" i="29"/>
  <c r="DA296" i="29"/>
  <c r="BR296" i="29"/>
  <c r="BK296" i="29"/>
  <c r="CY296" i="29"/>
  <c r="BM296" i="29"/>
  <c r="CX296" i="29"/>
  <c r="DD296" i="29"/>
  <c r="BI296" i="29"/>
  <c r="BO296" i="29"/>
  <c r="BJ296" i="29"/>
  <c r="CZ296" i="29"/>
  <c r="BQ296" i="29"/>
  <c r="DC296" i="29"/>
  <c r="DE296" i="29"/>
  <c r="BP296" i="29"/>
  <c r="Y296" i="29"/>
  <c r="Z296" i="29"/>
  <c r="V296" i="29"/>
  <c r="AC296" i="29"/>
  <c r="AA296" i="29"/>
  <c r="X296" i="29"/>
  <c r="AD296" i="29"/>
  <c r="AB296" i="29"/>
  <c r="U296" i="29"/>
  <c r="W296" i="29"/>
  <c r="BQ297" i="29" l="1"/>
  <c r="BI297" i="29"/>
  <c r="CW297" i="29"/>
  <c r="BN297" i="29"/>
  <c r="DE297" i="29"/>
  <c r="BJ297" i="29"/>
  <c r="CX297" i="29"/>
  <c r="CY297" i="29"/>
  <c r="DB297" i="29"/>
  <c r="BP297" i="29"/>
  <c r="DC297" i="29"/>
  <c r="CZ297" i="29"/>
  <c r="BO297" i="29"/>
  <c r="DD297" i="29"/>
  <c r="BM297" i="29"/>
  <c r="BK297" i="29"/>
  <c r="DA297" i="29"/>
  <c r="BL297" i="29"/>
  <c r="DF297" i="29"/>
  <c r="BR297" i="29"/>
  <c r="AB297" i="29"/>
  <c r="W297" i="29"/>
  <c r="X297" i="29"/>
  <c r="Z297" i="29"/>
  <c r="AC297" i="29"/>
  <c r="U297" i="29"/>
  <c r="AD297" i="29"/>
  <c r="AA297" i="29"/>
  <c r="V297" i="29"/>
  <c r="Y297" i="29"/>
  <c r="BR298" i="29" l="1"/>
  <c r="BL298" i="29"/>
  <c r="BK298" i="29"/>
  <c r="DD298" i="29"/>
  <c r="CZ298" i="29"/>
  <c r="BP298" i="29"/>
  <c r="CY298" i="29"/>
  <c r="BJ298" i="29"/>
  <c r="BN298" i="29"/>
  <c r="BI298" i="29"/>
  <c r="DF298" i="29"/>
  <c r="DA298" i="29"/>
  <c r="BM298" i="29"/>
  <c r="BO298" i="29"/>
  <c r="DC298" i="29"/>
  <c r="DB298" i="29"/>
  <c r="CX298" i="29"/>
  <c r="DE298" i="29"/>
  <c r="CW298" i="29"/>
  <c r="BQ298" i="29"/>
  <c r="V298" i="29"/>
  <c r="AD298" i="29"/>
  <c r="AC298" i="29"/>
  <c r="X298" i="29"/>
  <c r="AB298" i="29"/>
  <c r="Y298" i="29"/>
  <c r="AA298" i="29"/>
  <c r="U298" i="29"/>
  <c r="Z298" i="29"/>
  <c r="W298" i="29"/>
  <c r="BQ299" i="29" l="1"/>
  <c r="DE299" i="29"/>
  <c r="DB299" i="29"/>
  <c r="BO299" i="29"/>
  <c r="DA299" i="29"/>
  <c r="BI299" i="29"/>
  <c r="BJ299" i="29"/>
  <c r="BP299" i="29"/>
  <c r="DD299" i="29"/>
  <c r="BL299" i="29"/>
  <c r="CW299" i="29"/>
  <c r="CX299" i="29"/>
  <c r="DC299" i="29"/>
  <c r="BM299" i="29"/>
  <c r="DF299" i="29"/>
  <c r="BN299" i="29"/>
  <c r="CY299" i="29"/>
  <c r="CZ299" i="29"/>
  <c r="BK299" i="29"/>
  <c r="BR299" i="29"/>
  <c r="Z299" i="29"/>
  <c r="AA299" i="29"/>
  <c r="AB299" i="29"/>
  <c r="AC299" i="29"/>
  <c r="V299" i="29"/>
  <c r="W299" i="29"/>
  <c r="U299" i="29"/>
  <c r="Y299" i="29"/>
  <c r="X299" i="29"/>
  <c r="AD299" i="29"/>
  <c r="BR300" i="29" l="1"/>
  <c r="BN300" i="29"/>
  <c r="BM300" i="29"/>
  <c r="CX300" i="29"/>
  <c r="BL300" i="29"/>
  <c r="BP300" i="29"/>
  <c r="BI300" i="29"/>
  <c r="BO300" i="29"/>
  <c r="DE300" i="29"/>
  <c r="CZ300" i="29"/>
  <c r="BK300" i="29"/>
  <c r="CY300" i="29"/>
  <c r="DF300" i="29"/>
  <c r="DC300" i="29"/>
  <c r="CW300" i="29"/>
  <c r="DD300" i="29"/>
  <c r="BJ300" i="29"/>
  <c r="DA300" i="29"/>
  <c r="DB300" i="29"/>
  <c r="BQ300" i="29"/>
  <c r="X300" i="29"/>
  <c r="U300" i="29"/>
  <c r="V300" i="29"/>
  <c r="AB300" i="29"/>
  <c r="Z300" i="29"/>
  <c r="AD300" i="29"/>
  <c r="Y300" i="29"/>
  <c r="W300" i="29"/>
  <c r="AC300" i="29"/>
  <c r="AA300" i="29"/>
  <c r="BQ301" i="29" l="1"/>
  <c r="DA301" i="29"/>
  <c r="DD301" i="29"/>
  <c r="DC301" i="29"/>
  <c r="CY301" i="29"/>
  <c r="CZ301" i="29"/>
  <c r="BO301" i="29"/>
  <c r="BP301" i="29"/>
  <c r="CX301" i="29"/>
  <c r="BN301" i="29"/>
  <c r="DB301" i="29"/>
  <c r="BJ301" i="29"/>
  <c r="CW301" i="29"/>
  <c r="DF301" i="29"/>
  <c r="BK301" i="29"/>
  <c r="DE301" i="29"/>
  <c r="BI301" i="29"/>
  <c r="BL301" i="29"/>
  <c r="BM301" i="29"/>
  <c r="BR301" i="29"/>
  <c r="AC301" i="29"/>
  <c r="Y301" i="29"/>
  <c r="Z301" i="29"/>
  <c r="V301" i="29"/>
  <c r="X301" i="29"/>
  <c r="AA301" i="29"/>
  <c r="W301" i="29"/>
  <c r="AD301" i="29"/>
  <c r="AB301" i="29"/>
  <c r="U301" i="29"/>
  <c r="BR302" i="29" l="1"/>
  <c r="BL302" i="29"/>
  <c r="DE302" i="29"/>
  <c r="DF302" i="29"/>
  <c r="BJ302" i="29"/>
  <c r="BN302" i="29"/>
  <c r="BP302" i="29"/>
  <c r="CZ302" i="29"/>
  <c r="DC302" i="29"/>
  <c r="DA302" i="29"/>
  <c r="BM302" i="29"/>
  <c r="BI302" i="29"/>
  <c r="BK302" i="29"/>
  <c r="CW302" i="29"/>
  <c r="DB302" i="29"/>
  <c r="CX302" i="29"/>
  <c r="BO302" i="29"/>
  <c r="CY302" i="29"/>
  <c r="DD302" i="29"/>
  <c r="BQ302" i="29"/>
  <c r="AB302" i="29"/>
  <c r="W302" i="29"/>
  <c r="X302" i="29"/>
  <c r="Z302" i="29"/>
  <c r="AC302" i="29"/>
  <c r="U302" i="29"/>
  <c r="AD302" i="29"/>
  <c r="AA302" i="29"/>
  <c r="V302" i="29"/>
  <c r="Y302" i="29"/>
  <c r="BQ303" i="29" l="1"/>
  <c r="CY303" i="29"/>
  <c r="CX303" i="29"/>
  <c r="CW303" i="29"/>
  <c r="BI303" i="29"/>
  <c r="DA303" i="29"/>
  <c r="CZ303" i="29"/>
  <c r="BN303" i="29"/>
  <c r="DF303" i="29"/>
  <c r="BL303" i="29"/>
  <c r="DD303" i="29"/>
  <c r="BO303" i="29"/>
  <c r="DB303" i="29"/>
  <c r="BK303" i="29"/>
  <c r="BM303" i="29"/>
  <c r="DC303" i="29"/>
  <c r="BP303" i="29"/>
  <c r="BJ303" i="29"/>
  <c r="DE303" i="29"/>
  <c r="BR303" i="29"/>
  <c r="V303" i="29"/>
  <c r="AD303" i="29"/>
  <c r="AC303" i="29"/>
  <c r="X303" i="29"/>
  <c r="AB303" i="29"/>
  <c r="Y303" i="29"/>
  <c r="AA303" i="29"/>
  <c r="U303" i="29"/>
  <c r="Z303" i="29"/>
  <c r="W303" i="29"/>
  <c r="BP304" i="29" l="1"/>
  <c r="DB304" i="29"/>
  <c r="DF304" i="29"/>
  <c r="BI304" i="29"/>
  <c r="BR304" i="29"/>
  <c r="BK304" i="29"/>
  <c r="BL304" i="29"/>
  <c r="DA304" i="29"/>
  <c r="CW304" i="29"/>
  <c r="CY304" i="29"/>
  <c r="BJ304" i="29"/>
  <c r="DC304" i="29"/>
  <c r="BO304" i="29"/>
  <c r="BN304" i="29"/>
  <c r="DE304" i="29"/>
  <c r="BM304" i="29"/>
  <c r="DD304" i="29"/>
  <c r="CZ304" i="29"/>
  <c r="CX304" i="29"/>
  <c r="BQ304" i="29"/>
  <c r="Z304" i="29"/>
  <c r="AA304" i="29"/>
  <c r="AB304" i="29"/>
  <c r="AC304" i="29"/>
  <c r="V304" i="29"/>
  <c r="W304" i="29"/>
  <c r="U304" i="29"/>
  <c r="Y304" i="29"/>
  <c r="X304" i="29"/>
  <c r="AD304" i="29"/>
  <c r="BQ305" i="29" l="1"/>
  <c r="CZ305" i="29"/>
  <c r="BM305" i="29"/>
  <c r="BN305" i="29"/>
  <c r="DC305" i="29"/>
  <c r="CY305" i="29"/>
  <c r="DA305" i="29"/>
  <c r="BK305" i="29"/>
  <c r="BI305" i="29"/>
  <c r="DB305" i="29"/>
  <c r="CX305" i="29"/>
  <c r="DD305" i="29"/>
  <c r="DE305" i="29"/>
  <c r="BO305" i="29"/>
  <c r="BJ305" i="29"/>
  <c r="CW305" i="29"/>
  <c r="BL305" i="29"/>
  <c r="BR305" i="29"/>
  <c r="DF305" i="29"/>
  <c r="BP305" i="29"/>
  <c r="X305" i="29"/>
  <c r="U305" i="29"/>
  <c r="V305" i="29"/>
  <c r="AB305" i="29"/>
  <c r="Z305" i="29"/>
  <c r="AD305" i="29"/>
  <c r="Y305" i="29"/>
  <c r="W305" i="29"/>
  <c r="AC305" i="29"/>
  <c r="AA305" i="29"/>
  <c r="BP306" i="29" l="1"/>
  <c r="BR306" i="29"/>
  <c r="CW306" i="29"/>
  <c r="BO306" i="29"/>
  <c r="DD306" i="29"/>
  <c r="DB306" i="29"/>
  <c r="BK306" i="29"/>
  <c r="CY306" i="29"/>
  <c r="BN306" i="29"/>
  <c r="CZ306" i="29"/>
  <c r="DF306" i="29"/>
  <c r="BL306" i="29"/>
  <c r="BJ306" i="29"/>
  <c r="DE306" i="29"/>
  <c r="CX306" i="29"/>
  <c r="BI306" i="29"/>
  <c r="DA306" i="29"/>
  <c r="DC306" i="29"/>
  <c r="BM306" i="29"/>
  <c r="BQ306" i="29"/>
  <c r="AC306" i="29"/>
  <c r="Y306" i="29"/>
  <c r="Z306" i="29"/>
  <c r="V306" i="29"/>
  <c r="X306" i="29"/>
  <c r="AA306" i="29"/>
  <c r="W306" i="29"/>
  <c r="AD306" i="29"/>
  <c r="AB306" i="29"/>
  <c r="U306" i="29"/>
  <c r="BQ307" i="29" l="1"/>
  <c r="DC307" i="29"/>
  <c r="BI307" i="29"/>
  <c r="DE307" i="29"/>
  <c r="BL307" i="29"/>
  <c r="CZ307" i="29"/>
  <c r="CY307" i="29"/>
  <c r="DB307" i="29"/>
  <c r="BO307" i="29"/>
  <c r="BR307" i="29"/>
  <c r="BM307" i="29"/>
  <c r="DA307" i="29"/>
  <c r="CX307" i="29"/>
  <c r="BJ307" i="29"/>
  <c r="DF307" i="29"/>
  <c r="BN307" i="29"/>
  <c r="BK307" i="29"/>
  <c r="DD307" i="29"/>
  <c r="CW307" i="29"/>
  <c r="BP307" i="29"/>
  <c r="AB307" i="29"/>
  <c r="W307" i="29"/>
  <c r="X307" i="29"/>
  <c r="Z307" i="29"/>
  <c r="AC307" i="29"/>
  <c r="U307" i="29"/>
  <c r="AD307" i="29"/>
  <c r="AA307" i="29"/>
  <c r="V307" i="29"/>
  <c r="Y307" i="29"/>
  <c r="BP308" i="29" l="1"/>
  <c r="DD308" i="29"/>
  <c r="BN308" i="29"/>
  <c r="BJ308" i="29"/>
  <c r="DA308" i="29"/>
  <c r="BR308" i="29"/>
  <c r="DB308" i="29"/>
  <c r="CZ308" i="29"/>
  <c r="DE308" i="29"/>
  <c r="DC308" i="29"/>
  <c r="CW308" i="29"/>
  <c r="BK308" i="29"/>
  <c r="DF308" i="29"/>
  <c r="CX308" i="29"/>
  <c r="BM308" i="29"/>
  <c r="BO308" i="29"/>
  <c r="CY308" i="29"/>
  <c r="BL308" i="29"/>
  <c r="BI308" i="29"/>
  <c r="BQ308" i="29"/>
  <c r="V308" i="29"/>
  <c r="AD308" i="29"/>
  <c r="AC308" i="29"/>
  <c r="X308" i="29"/>
  <c r="AB308" i="29"/>
  <c r="Y308" i="29"/>
  <c r="AA308" i="29"/>
  <c r="U308" i="29"/>
  <c r="Z308" i="29"/>
  <c r="W308" i="29"/>
  <c r="BQ309" i="29" l="1"/>
  <c r="BL309" i="29"/>
  <c r="BO309" i="29"/>
  <c r="CX309" i="29"/>
  <c r="BK309" i="29"/>
  <c r="DC309" i="29"/>
  <c r="CZ309" i="29"/>
  <c r="BR309" i="29"/>
  <c r="BJ309" i="29"/>
  <c r="DD309" i="29"/>
  <c r="BI309" i="29"/>
  <c r="CY309" i="29"/>
  <c r="BM309" i="29"/>
  <c r="DF309" i="29"/>
  <c r="CW309" i="29"/>
  <c r="DE309" i="29"/>
  <c r="DB309" i="29"/>
  <c r="DA309" i="29"/>
  <c r="BN309" i="29"/>
  <c r="BP309" i="29"/>
  <c r="W309" i="29"/>
  <c r="Z309" i="29"/>
  <c r="AA309" i="29"/>
  <c r="AB309" i="29"/>
  <c r="AC309" i="29"/>
  <c r="V309" i="29"/>
  <c r="U309" i="29"/>
  <c r="Y309" i="29"/>
  <c r="X309" i="29"/>
  <c r="AD309" i="29"/>
  <c r="BP310" i="29" l="1"/>
  <c r="DA310" i="29"/>
  <c r="DE310" i="29"/>
  <c r="DF310" i="29"/>
  <c r="CY310" i="29"/>
  <c r="DD310" i="29"/>
  <c r="BR310" i="29"/>
  <c r="DC310" i="29"/>
  <c r="CX310" i="29"/>
  <c r="BL310" i="29"/>
  <c r="BN310" i="29"/>
  <c r="DB310" i="29"/>
  <c r="CW310" i="29"/>
  <c r="BM310" i="29"/>
  <c r="BI310" i="29"/>
  <c r="BJ310" i="29"/>
  <c r="CZ310" i="29"/>
  <c r="BK310" i="29"/>
  <c r="BO310" i="29"/>
  <c r="BQ310" i="29"/>
  <c r="V310" i="29"/>
  <c r="AB310" i="29"/>
  <c r="Z310" i="29"/>
  <c r="Y310" i="29"/>
  <c r="AD310" i="29"/>
  <c r="X310" i="29"/>
  <c r="U310" i="29"/>
  <c r="AC310" i="29"/>
  <c r="AA310" i="29"/>
  <c r="W310" i="29"/>
  <c r="BQ311" i="29" l="1"/>
  <c r="BK311" i="29"/>
  <c r="BJ311" i="29"/>
  <c r="BM311" i="29"/>
  <c r="DB311" i="29"/>
  <c r="BL311" i="29"/>
  <c r="DC311" i="29"/>
  <c r="DD311" i="29"/>
  <c r="DF311" i="29"/>
  <c r="DA311" i="29"/>
  <c r="BO311" i="29"/>
  <c r="CZ311" i="29"/>
  <c r="BI311" i="29"/>
  <c r="CW311" i="29"/>
  <c r="BN311" i="29"/>
  <c r="CX311" i="29"/>
  <c r="BR311" i="29"/>
  <c r="CY311" i="29"/>
  <c r="DE311" i="29"/>
  <c r="BP311" i="29"/>
  <c r="W311" i="29"/>
  <c r="AC311" i="29"/>
  <c r="X311" i="29"/>
  <c r="Y311" i="29"/>
  <c r="AB311" i="29"/>
  <c r="AA311" i="29"/>
  <c r="U311" i="29"/>
  <c r="AD311" i="29"/>
  <c r="Z311" i="29"/>
  <c r="V311" i="29"/>
  <c r="BP312" i="29" l="1"/>
  <c r="CY312" i="29"/>
  <c r="CX312" i="29"/>
  <c r="CW312" i="29"/>
  <c r="CZ312" i="29"/>
  <c r="DA312" i="29"/>
  <c r="DD312" i="29"/>
  <c r="BL312" i="29"/>
  <c r="BM312" i="29"/>
  <c r="BK312" i="29"/>
  <c r="DE312" i="29"/>
  <c r="BR312" i="29"/>
  <c r="BN312" i="29"/>
  <c r="BI312" i="29"/>
  <c r="BO312" i="29"/>
  <c r="DF312" i="29"/>
  <c r="DC312" i="29"/>
  <c r="DB312" i="29"/>
  <c r="BJ312" i="29"/>
  <c r="BQ312" i="29"/>
  <c r="AD312" i="29"/>
  <c r="AA312" i="29"/>
  <c r="Y312" i="29"/>
  <c r="AC312" i="29"/>
  <c r="V312" i="29"/>
  <c r="Z312" i="29"/>
  <c r="U312" i="29"/>
  <c r="AB312" i="29"/>
  <c r="X312" i="29"/>
  <c r="W312" i="29"/>
  <c r="BQ313" i="29" l="1"/>
  <c r="DB313" i="29"/>
  <c r="DF313" i="29"/>
  <c r="BI313" i="29"/>
  <c r="BR313" i="29"/>
  <c r="BK313" i="29"/>
  <c r="BL313" i="29"/>
  <c r="DA313" i="29"/>
  <c r="CW313" i="29"/>
  <c r="CY313" i="29"/>
  <c r="BJ313" i="29"/>
  <c r="DC313" i="29"/>
  <c r="BO313" i="29"/>
  <c r="BN313" i="29"/>
  <c r="DE313" i="29"/>
  <c r="BM313" i="29"/>
  <c r="DD313" i="29"/>
  <c r="CZ313" i="29"/>
  <c r="CX313" i="29"/>
  <c r="BP313" i="29"/>
  <c r="W313" i="29"/>
  <c r="AB313" i="29"/>
  <c r="Z313" i="29"/>
  <c r="AC313" i="29"/>
  <c r="AA313" i="29"/>
  <c r="X313" i="29"/>
  <c r="U313" i="29"/>
  <c r="V313" i="29"/>
  <c r="Y313" i="29"/>
  <c r="AD313" i="29"/>
  <c r="BP314" i="29" l="1"/>
  <c r="CZ314" i="29"/>
  <c r="BM314" i="29"/>
  <c r="BN314" i="29"/>
  <c r="DC314" i="29"/>
  <c r="CY314" i="29"/>
  <c r="DA314" i="29"/>
  <c r="BK314" i="29"/>
  <c r="BI314" i="29"/>
  <c r="DB314" i="29"/>
  <c r="CX314" i="29"/>
  <c r="DD314" i="29"/>
  <c r="DE314" i="29"/>
  <c r="BO314" i="29"/>
  <c r="BJ314" i="29"/>
  <c r="CW314" i="29"/>
  <c r="BL314" i="29"/>
  <c r="BR314" i="29"/>
  <c r="DF314" i="29"/>
  <c r="BQ314" i="29"/>
  <c r="V314" i="29"/>
  <c r="X314" i="29"/>
  <c r="AC314" i="29"/>
  <c r="AB314" i="29"/>
  <c r="AD314" i="29"/>
  <c r="Y314" i="29"/>
  <c r="U314" i="29"/>
  <c r="AA314" i="29"/>
  <c r="Z314" i="29"/>
  <c r="W314" i="29"/>
  <c r="BQ315" i="29" l="1"/>
  <c r="BR315" i="29"/>
  <c r="CW315" i="29"/>
  <c r="BO315" i="29"/>
  <c r="DD315" i="29"/>
  <c r="DB315" i="29"/>
  <c r="BK315" i="29"/>
  <c r="CY315" i="29"/>
  <c r="BN315" i="29"/>
  <c r="CZ315" i="29"/>
  <c r="DF315" i="29"/>
  <c r="BL315" i="29"/>
  <c r="BJ315" i="29"/>
  <c r="DE315" i="29"/>
  <c r="CX315" i="29"/>
  <c r="BI315" i="29"/>
  <c r="DA315" i="29"/>
  <c r="DC315" i="29"/>
  <c r="BM315" i="29"/>
  <c r="BP315" i="29"/>
  <c r="AA315" i="29"/>
  <c r="Y315" i="29"/>
  <c r="AB315" i="29"/>
  <c r="X315" i="29"/>
  <c r="W315" i="29"/>
  <c r="Z315" i="29"/>
  <c r="U315" i="29"/>
  <c r="AD315" i="29"/>
  <c r="AC315" i="29"/>
  <c r="V315" i="29"/>
  <c r="BP316" i="29" l="1"/>
  <c r="DC316" i="29"/>
  <c r="BI316" i="29"/>
  <c r="DE316" i="29"/>
  <c r="BL316" i="29"/>
  <c r="CZ316" i="29"/>
  <c r="CY316" i="29"/>
  <c r="DB316" i="29"/>
  <c r="BO316" i="29"/>
  <c r="BR316" i="29"/>
  <c r="BM316" i="29"/>
  <c r="DA316" i="29"/>
  <c r="CX316" i="29"/>
  <c r="BJ316" i="29"/>
  <c r="DF316" i="29"/>
  <c r="BN316" i="29"/>
  <c r="BK316" i="29"/>
  <c r="DD316" i="29"/>
  <c r="CW316" i="29"/>
  <c r="BQ316" i="29"/>
  <c r="V316" i="29"/>
  <c r="AD316" i="29"/>
  <c r="Z316" i="29"/>
  <c r="X316" i="29"/>
  <c r="Y316" i="29"/>
  <c r="AC316" i="29"/>
  <c r="U316" i="29"/>
  <c r="W316" i="29"/>
  <c r="AB316" i="29"/>
  <c r="AA316" i="29"/>
  <c r="BQ317" i="29" l="1"/>
  <c r="DD317" i="29"/>
  <c r="BN317" i="29"/>
  <c r="BJ317" i="29"/>
  <c r="DA317" i="29"/>
  <c r="BR317" i="29"/>
  <c r="DB317" i="29"/>
  <c r="CZ317" i="29"/>
  <c r="DE317" i="29"/>
  <c r="DC317" i="29"/>
  <c r="CW317" i="29"/>
  <c r="BK317" i="29"/>
  <c r="DF317" i="29"/>
  <c r="CX317" i="29"/>
  <c r="BM317" i="29"/>
  <c r="BO317" i="29"/>
  <c r="CY317" i="29"/>
  <c r="BL317" i="29"/>
  <c r="BI317" i="29"/>
  <c r="BP317" i="29"/>
  <c r="W317" i="29"/>
  <c r="AC317" i="29"/>
  <c r="X317" i="29"/>
  <c r="AD317" i="29"/>
  <c r="AA317" i="29"/>
  <c r="AB317" i="29"/>
  <c r="U317" i="29"/>
  <c r="Y317" i="29"/>
  <c r="Z317" i="29"/>
  <c r="V317" i="29"/>
  <c r="BP318" i="29" l="1"/>
  <c r="BL318" i="29"/>
  <c r="BO318" i="29"/>
  <c r="CX318" i="29"/>
  <c r="BK318" i="29"/>
  <c r="DC318" i="29"/>
  <c r="CZ318" i="29"/>
  <c r="BR318" i="29"/>
  <c r="BJ318" i="29"/>
  <c r="DD318" i="29"/>
  <c r="BI318" i="29"/>
  <c r="CY318" i="29"/>
  <c r="BM318" i="29"/>
  <c r="DF318" i="29"/>
  <c r="CW318" i="29"/>
  <c r="DE318" i="29"/>
  <c r="DB318" i="29"/>
  <c r="DA318" i="29"/>
  <c r="BN318" i="29"/>
  <c r="BQ318" i="29"/>
  <c r="V318" i="29"/>
  <c r="Y318" i="29"/>
  <c r="AB318" i="29"/>
  <c r="AD318" i="29"/>
  <c r="AC318" i="29"/>
  <c r="Z318" i="29"/>
  <c r="U318" i="29"/>
  <c r="AA318" i="29"/>
  <c r="X318" i="29"/>
  <c r="W318" i="29"/>
  <c r="BQ319" i="29" l="1"/>
  <c r="DA319" i="29"/>
  <c r="DE319" i="29"/>
  <c r="DF319" i="29"/>
  <c r="CY319" i="29"/>
  <c r="DD319" i="29"/>
  <c r="BR319" i="29"/>
  <c r="DC319" i="29"/>
  <c r="CX319" i="29"/>
  <c r="BL319" i="29"/>
  <c r="BN319" i="29"/>
  <c r="DB319" i="29"/>
  <c r="CW319" i="29"/>
  <c r="BM319" i="29"/>
  <c r="BI319" i="29"/>
  <c r="BJ319" i="29"/>
  <c r="CZ319" i="29"/>
  <c r="BK319" i="29"/>
  <c r="BO319" i="29"/>
  <c r="BP319" i="29"/>
  <c r="Z319" i="29"/>
  <c r="AD319" i="29"/>
  <c r="Y319" i="29"/>
  <c r="AA319" i="29"/>
  <c r="W319" i="29"/>
  <c r="X319" i="29"/>
  <c r="U319" i="29"/>
  <c r="AC319" i="29"/>
  <c r="AB319" i="29"/>
  <c r="V319" i="29"/>
  <c r="BP320" i="29" l="1"/>
  <c r="BK320" i="29"/>
  <c r="BJ320" i="29"/>
  <c r="BM320" i="29"/>
  <c r="DB320" i="29"/>
  <c r="BL320" i="29"/>
  <c r="DC320" i="29"/>
  <c r="DD320" i="29"/>
  <c r="DF320" i="29"/>
  <c r="DA320" i="29"/>
  <c r="BO320" i="29"/>
  <c r="CZ320" i="29"/>
  <c r="BI320" i="29"/>
  <c r="CW320" i="29"/>
  <c r="BN320" i="29"/>
  <c r="CX320" i="29"/>
  <c r="BR320" i="29"/>
  <c r="CY320" i="29"/>
  <c r="DE320" i="29"/>
  <c r="BQ320" i="29"/>
  <c r="AC320" i="29"/>
  <c r="AD320" i="29"/>
  <c r="AA320" i="29"/>
  <c r="V320" i="29"/>
  <c r="X320" i="29"/>
  <c r="AB320" i="29"/>
  <c r="U320" i="29"/>
  <c r="W320" i="29"/>
  <c r="Y320" i="29"/>
  <c r="Z320" i="29"/>
  <c r="BQ321" i="29" l="1"/>
  <c r="CY321" i="29"/>
  <c r="CX321" i="29"/>
  <c r="CW321" i="29"/>
  <c r="CZ321" i="29"/>
  <c r="DA321" i="29"/>
  <c r="DD321" i="29"/>
  <c r="BL321" i="29"/>
  <c r="BM321" i="29"/>
  <c r="BK321" i="29"/>
  <c r="DE321" i="29"/>
  <c r="BR321" i="29"/>
  <c r="BN321" i="29"/>
  <c r="BI321" i="29"/>
  <c r="BO321" i="29"/>
  <c r="DF321" i="29"/>
  <c r="DC321" i="29"/>
  <c r="DB321" i="29"/>
  <c r="BJ321" i="29"/>
  <c r="BP321" i="29"/>
  <c r="Z321" i="29"/>
  <c r="W321" i="29"/>
  <c r="AB321" i="29"/>
  <c r="V321" i="29"/>
  <c r="AD321" i="29"/>
  <c r="Y321" i="29"/>
  <c r="U321" i="29"/>
  <c r="X321" i="29"/>
  <c r="AA321" i="29"/>
  <c r="AC321" i="29"/>
  <c r="BP322" i="29" l="1"/>
  <c r="DB322" i="29"/>
  <c r="DF322" i="29"/>
  <c r="BI322" i="29"/>
  <c r="BR322" i="29"/>
  <c r="BK322" i="29"/>
  <c r="BL322" i="29"/>
  <c r="DA322" i="29"/>
  <c r="CW322" i="29"/>
  <c r="CY322" i="29"/>
  <c r="BJ322" i="29"/>
  <c r="DC322" i="29"/>
  <c r="BO322" i="29"/>
  <c r="BN322" i="29"/>
  <c r="DE322" i="29"/>
  <c r="BM322" i="29"/>
  <c r="DD322" i="29"/>
  <c r="CZ322" i="29"/>
  <c r="CX322" i="29"/>
  <c r="BQ322" i="29"/>
  <c r="AC322" i="29"/>
  <c r="X322" i="29"/>
  <c r="Y322" i="29"/>
  <c r="V322" i="29"/>
  <c r="W322" i="29"/>
  <c r="AA322" i="29"/>
  <c r="U322" i="29"/>
  <c r="AD322" i="29"/>
  <c r="AB322" i="29"/>
  <c r="Z322" i="29"/>
  <c r="BQ323" i="29" l="1"/>
  <c r="CZ323" i="29"/>
  <c r="BM323" i="29"/>
  <c r="BN323" i="29"/>
  <c r="DC323" i="29"/>
  <c r="CY323" i="29"/>
  <c r="DA323" i="29"/>
  <c r="BK323" i="29"/>
  <c r="BI323" i="29"/>
  <c r="DB323" i="29"/>
  <c r="CX323" i="29"/>
  <c r="DD323" i="29"/>
  <c r="DE323" i="29"/>
  <c r="BO323" i="29"/>
  <c r="BJ323" i="29"/>
  <c r="CW323" i="29"/>
  <c r="BL323" i="29"/>
  <c r="BR323" i="29"/>
  <c r="DF323" i="29"/>
  <c r="BP323" i="29"/>
  <c r="Z323" i="29"/>
  <c r="AD323" i="29"/>
  <c r="AA323" i="29"/>
  <c r="V323" i="29"/>
  <c r="X323" i="29"/>
  <c r="AB323" i="29"/>
  <c r="U323" i="29"/>
  <c r="W323" i="29"/>
  <c r="Y323" i="29"/>
  <c r="AC323" i="29"/>
  <c r="BP324" i="29" l="1"/>
  <c r="BR324" i="29"/>
  <c r="CW324" i="29"/>
  <c r="BO324" i="29"/>
  <c r="DD324" i="29"/>
  <c r="DB324" i="29"/>
  <c r="BK324" i="29"/>
  <c r="CY324" i="29"/>
  <c r="BN324" i="29"/>
  <c r="CZ324" i="29"/>
  <c r="DF324" i="29"/>
  <c r="BL324" i="29"/>
  <c r="BJ324" i="29"/>
  <c r="DE324" i="29"/>
  <c r="CX324" i="29"/>
  <c r="BI324" i="29"/>
  <c r="DA324" i="29"/>
  <c r="DC324" i="29"/>
  <c r="BM324" i="29"/>
  <c r="BQ324" i="29"/>
  <c r="AC324" i="29"/>
  <c r="W324" i="29"/>
  <c r="AB324" i="29"/>
  <c r="V324" i="29"/>
  <c r="AD324" i="29"/>
  <c r="Y324" i="29"/>
  <c r="U324" i="29"/>
  <c r="X324" i="29"/>
  <c r="AA324" i="29"/>
  <c r="Z324" i="29"/>
  <c r="BQ325" i="29" l="1"/>
  <c r="DC325" i="29"/>
  <c r="BI325" i="29"/>
  <c r="DE325" i="29"/>
  <c r="BL325" i="29"/>
  <c r="CZ325" i="29"/>
  <c r="CY325" i="29"/>
  <c r="DB325" i="29"/>
  <c r="BO325" i="29"/>
  <c r="BR325" i="29"/>
  <c r="BM325" i="29"/>
  <c r="DA325" i="29"/>
  <c r="CX325" i="29"/>
  <c r="BJ325" i="29"/>
  <c r="DF325" i="29"/>
  <c r="BN325" i="29"/>
  <c r="BK325" i="29"/>
  <c r="DD325" i="29"/>
  <c r="CW325" i="29"/>
  <c r="BP325" i="29"/>
  <c r="Z325" i="29"/>
  <c r="X325" i="29"/>
  <c r="Y325" i="29"/>
  <c r="V325" i="29"/>
  <c r="W325" i="29"/>
  <c r="AA325" i="29"/>
  <c r="U325" i="29"/>
  <c r="AD325" i="29"/>
  <c r="AB325" i="29"/>
  <c r="AC325" i="29"/>
  <c r="BP326" i="29" l="1"/>
  <c r="DD326" i="29"/>
  <c r="BN326" i="29"/>
  <c r="BJ326" i="29"/>
  <c r="DA326" i="29"/>
  <c r="BR326" i="29"/>
  <c r="DB326" i="29"/>
  <c r="CZ326" i="29"/>
  <c r="DE326" i="29"/>
  <c r="DC326" i="29"/>
  <c r="CW326" i="29"/>
  <c r="BK326" i="29"/>
  <c r="DF326" i="29"/>
  <c r="CX326" i="29"/>
  <c r="BM326" i="29"/>
  <c r="BO326" i="29"/>
  <c r="CY326" i="29"/>
  <c r="BL326" i="29"/>
  <c r="BI326" i="29"/>
  <c r="BQ326" i="29"/>
  <c r="AC326" i="29"/>
  <c r="AD326" i="29"/>
  <c r="AA326" i="29"/>
  <c r="V326" i="29"/>
  <c r="X326" i="29"/>
  <c r="AB326" i="29"/>
  <c r="U326" i="29"/>
  <c r="W326" i="29"/>
  <c r="Y326" i="29"/>
  <c r="Z326" i="29"/>
  <c r="BQ327" i="29" l="1"/>
  <c r="BL327" i="29"/>
  <c r="BO327" i="29"/>
  <c r="CX327" i="29"/>
  <c r="BK327" i="29"/>
  <c r="DC327" i="29"/>
  <c r="CZ327" i="29"/>
  <c r="BR327" i="29"/>
  <c r="BJ327" i="29"/>
  <c r="DD327" i="29"/>
  <c r="BI327" i="29"/>
  <c r="CY327" i="29"/>
  <c r="BM327" i="29"/>
  <c r="DF327" i="29"/>
  <c r="CW327" i="29"/>
  <c r="DE327" i="29"/>
  <c r="DB327" i="29"/>
  <c r="DA327" i="29"/>
  <c r="BN327" i="29"/>
  <c r="BP327" i="29"/>
  <c r="Y327" i="29"/>
  <c r="X327" i="29"/>
  <c r="Z327" i="29"/>
  <c r="W327" i="29"/>
  <c r="AB327" i="29"/>
  <c r="V327" i="29"/>
  <c r="AD327" i="29"/>
  <c r="U327" i="29"/>
  <c r="AA327" i="29"/>
  <c r="AC327" i="29"/>
  <c r="BP328" i="29" l="1"/>
  <c r="DA328" i="29"/>
  <c r="DE328" i="29"/>
  <c r="DF328" i="29"/>
  <c r="CY328" i="29"/>
  <c r="DD328" i="29"/>
  <c r="BR328" i="29"/>
  <c r="DC328" i="29"/>
  <c r="CX328" i="29"/>
  <c r="BL328" i="29"/>
  <c r="BN328" i="29"/>
  <c r="DB328" i="29"/>
  <c r="CW328" i="29"/>
  <c r="BM328" i="29"/>
  <c r="BI328" i="29"/>
  <c r="BJ328" i="29"/>
  <c r="CZ328" i="29"/>
  <c r="BK328" i="29"/>
  <c r="BO328" i="29"/>
  <c r="BQ328" i="29"/>
  <c r="AC328" i="29"/>
  <c r="V328" i="29"/>
  <c r="W328" i="29"/>
  <c r="X328" i="29"/>
  <c r="U328" i="29"/>
  <c r="AA328" i="29"/>
  <c r="AD328" i="29"/>
  <c r="AB328" i="29"/>
  <c r="Z328" i="29"/>
  <c r="Y328" i="29"/>
  <c r="BQ329" i="29" l="1"/>
  <c r="BK329" i="29"/>
  <c r="BJ329" i="29"/>
  <c r="BM329" i="29"/>
  <c r="DB329" i="29"/>
  <c r="BL329" i="29"/>
  <c r="DC329" i="29"/>
  <c r="DD329" i="29"/>
  <c r="DF329" i="29"/>
  <c r="DA329" i="29"/>
  <c r="BO329" i="29"/>
  <c r="CZ329" i="29"/>
  <c r="BI329" i="29"/>
  <c r="CW329" i="29"/>
  <c r="BN329" i="29"/>
  <c r="CX329" i="29"/>
  <c r="BR329" i="29"/>
  <c r="CY329" i="29"/>
  <c r="DE329" i="29"/>
  <c r="BP329" i="29"/>
  <c r="AB329" i="29"/>
  <c r="V329" i="29"/>
  <c r="Y329" i="29"/>
  <c r="X329" i="29"/>
  <c r="AA329" i="29"/>
  <c r="Z329" i="29"/>
  <c r="AD329" i="29"/>
  <c r="U329" i="29"/>
  <c r="W329" i="29"/>
  <c r="AC329" i="29"/>
  <c r="BP330" i="29" l="1"/>
  <c r="CY330" i="29"/>
  <c r="CX330" i="29"/>
  <c r="CW330" i="29"/>
  <c r="CZ330" i="29"/>
  <c r="DA330" i="29"/>
  <c r="DD330" i="29"/>
  <c r="BL330" i="29"/>
  <c r="BM330" i="29"/>
  <c r="BK330" i="29"/>
  <c r="DE330" i="29"/>
  <c r="BR330" i="29"/>
  <c r="BN330" i="29"/>
  <c r="BI330" i="29"/>
  <c r="BO330" i="29"/>
  <c r="DF330" i="29"/>
  <c r="DC330" i="29"/>
  <c r="DB330" i="29"/>
  <c r="BJ330" i="29"/>
  <c r="BQ330" i="29"/>
  <c r="U330" i="29"/>
  <c r="V330" i="29"/>
  <c r="X330" i="29"/>
  <c r="AC330" i="29"/>
  <c r="Z330" i="29"/>
  <c r="W330" i="29"/>
  <c r="AD330" i="29"/>
  <c r="AA330" i="29"/>
  <c r="Y330" i="29"/>
  <c r="AB330" i="29"/>
  <c r="BQ331" i="29" l="1"/>
  <c r="DB331" i="29"/>
  <c r="DF331" i="29"/>
  <c r="BI331" i="29"/>
  <c r="BR331" i="29"/>
  <c r="BK331" i="29"/>
  <c r="BL331" i="29"/>
  <c r="DA331" i="29"/>
  <c r="CW331" i="29"/>
  <c r="CY331" i="29"/>
  <c r="BJ331" i="29"/>
  <c r="DC331" i="29"/>
  <c r="BO331" i="29"/>
  <c r="BN331" i="29"/>
  <c r="DE331" i="29"/>
  <c r="BM331" i="29"/>
  <c r="DD331" i="29"/>
  <c r="CZ331" i="29"/>
  <c r="CX331" i="29"/>
  <c r="BP331" i="29"/>
  <c r="AA331" i="29"/>
  <c r="V331" i="29"/>
  <c r="W331" i="29"/>
  <c r="AB331" i="29"/>
  <c r="AC331" i="29"/>
  <c r="Y331" i="29"/>
  <c r="AD331" i="29"/>
  <c r="Z331" i="29"/>
  <c r="X331" i="29"/>
  <c r="U331" i="29"/>
  <c r="CY332" i="29" l="1"/>
  <c r="BP332" i="29"/>
  <c r="CZ332" i="29"/>
  <c r="BM332" i="29"/>
  <c r="BN332" i="29"/>
  <c r="DA332" i="29"/>
  <c r="BK332" i="29"/>
  <c r="BI332" i="29"/>
  <c r="DB332" i="29"/>
  <c r="DC332" i="29"/>
  <c r="CX332" i="29"/>
  <c r="DD332" i="29"/>
  <c r="DE332" i="29"/>
  <c r="BO332" i="29"/>
  <c r="BJ332" i="29"/>
  <c r="CW332" i="29"/>
  <c r="BL332" i="29"/>
  <c r="BR332" i="29"/>
  <c r="DF332" i="29"/>
  <c r="BQ332" i="29"/>
  <c r="Z332" i="29"/>
  <c r="V332" i="29"/>
  <c r="Y332" i="29"/>
  <c r="U332" i="29"/>
  <c r="AB332" i="29"/>
  <c r="X332" i="29"/>
  <c r="AD332" i="29"/>
  <c r="AC332" i="29"/>
  <c r="W332" i="29"/>
  <c r="AA332" i="29"/>
  <c r="DA333" i="29" l="1"/>
  <c r="BQ333" i="29"/>
  <c r="BR333" i="29"/>
  <c r="CW333" i="29"/>
  <c r="BO333" i="29"/>
  <c r="DD333" i="29"/>
  <c r="DC333" i="29"/>
  <c r="BI333" i="29"/>
  <c r="BM333" i="29"/>
  <c r="BP333" i="29"/>
  <c r="DE333" i="29"/>
  <c r="DF333" i="29"/>
  <c r="BL333" i="29"/>
  <c r="BJ333" i="29"/>
  <c r="CX333" i="29"/>
  <c r="DB333" i="29"/>
  <c r="BK333" i="29"/>
  <c r="BN333" i="29"/>
  <c r="CZ333" i="29"/>
  <c r="CY333" i="29"/>
  <c r="W333" i="29"/>
  <c r="AD333" i="29"/>
  <c r="AB333" i="29"/>
  <c r="Y333" i="29"/>
  <c r="Z333" i="29"/>
  <c r="AA333" i="29"/>
  <c r="AC333" i="29"/>
  <c r="X333" i="29"/>
  <c r="U333" i="29"/>
  <c r="V333" i="29"/>
  <c r="CY334" i="29" l="1"/>
  <c r="BN334" i="29"/>
  <c r="DB334" i="29"/>
  <c r="BJ334" i="29"/>
  <c r="DF334" i="29"/>
  <c r="BP334" i="29"/>
  <c r="BI334" i="29"/>
  <c r="DD334" i="29"/>
  <c r="CW334" i="29"/>
  <c r="BQ334" i="29"/>
  <c r="CZ334" i="29"/>
  <c r="BK334" i="29"/>
  <c r="CX334" i="29"/>
  <c r="BL334" i="29"/>
  <c r="DE334" i="29"/>
  <c r="BM334" i="29"/>
  <c r="DC334" i="29"/>
  <c r="BO334" i="29"/>
  <c r="BR334" i="29"/>
  <c r="DA334" i="29"/>
  <c r="U334" i="29"/>
  <c r="AC334" i="29"/>
  <c r="Z334" i="29"/>
  <c r="AB334" i="29"/>
  <c r="W334" i="29"/>
  <c r="V334" i="29"/>
  <c r="X334" i="29"/>
  <c r="AA334" i="29"/>
  <c r="Y334" i="29"/>
  <c r="AD334" i="29"/>
  <c r="DA335" i="29" l="1"/>
  <c r="BO335" i="29"/>
  <c r="BM335" i="29"/>
  <c r="BL335" i="29"/>
  <c r="BK335" i="29"/>
  <c r="BQ335" i="29"/>
  <c r="DD335" i="29"/>
  <c r="BP335" i="29"/>
  <c r="BJ335" i="29"/>
  <c r="BN335" i="29"/>
  <c r="DE335" i="29"/>
  <c r="BR335" i="29"/>
  <c r="DC335" i="29"/>
  <c r="CX335" i="29"/>
  <c r="CZ335" i="29"/>
  <c r="CW335" i="29"/>
  <c r="BI335" i="29"/>
  <c r="DF335" i="29"/>
  <c r="DB335" i="29"/>
  <c r="CY335" i="29"/>
  <c r="Y335" i="29"/>
  <c r="X335" i="29"/>
  <c r="W335" i="29"/>
  <c r="Z335" i="29"/>
  <c r="U335" i="29"/>
  <c r="AD335" i="29"/>
  <c r="AA335" i="29"/>
  <c r="V335" i="29"/>
  <c r="AB335" i="29"/>
  <c r="AC335" i="29"/>
  <c r="CY336" i="29" l="1"/>
  <c r="DF336" i="29"/>
  <c r="CW336" i="29"/>
  <c r="CX336" i="29"/>
  <c r="BR336" i="29"/>
  <c r="BN336" i="29"/>
  <c r="BP336" i="29"/>
  <c r="BQ336" i="29"/>
  <c r="BL336" i="29"/>
  <c r="BO336" i="29"/>
  <c r="DB336" i="29"/>
  <c r="BI336" i="29"/>
  <c r="CZ336" i="29"/>
  <c r="DC336" i="29"/>
  <c r="DE336" i="29"/>
  <c r="BJ336" i="29"/>
  <c r="DD336" i="29"/>
  <c r="BK336" i="29"/>
  <c r="BM336" i="29"/>
  <c r="DA336" i="29"/>
  <c r="AB336" i="29"/>
  <c r="AA336" i="29"/>
  <c r="U336" i="29"/>
  <c r="W336" i="29"/>
  <c r="Y336" i="29"/>
  <c r="AC336" i="29"/>
  <c r="V336" i="29"/>
  <c r="AD336" i="29"/>
  <c r="Z336" i="29"/>
  <c r="X336" i="29"/>
  <c r="DA337" i="29" l="1"/>
  <c r="BK337" i="29"/>
  <c r="BJ337" i="29"/>
  <c r="DC337" i="29"/>
  <c r="BI337" i="29"/>
  <c r="BO337" i="29"/>
  <c r="BQ337" i="29"/>
  <c r="BN337" i="29"/>
  <c r="CX337" i="29"/>
  <c r="DF337" i="29"/>
  <c r="BM337" i="29"/>
  <c r="DD337" i="29"/>
  <c r="DE337" i="29"/>
  <c r="CZ337" i="29"/>
  <c r="DB337" i="29"/>
  <c r="BL337" i="29"/>
  <c r="BP337" i="29"/>
  <c r="BR337" i="29"/>
  <c r="CW337" i="29"/>
  <c r="CY337" i="29"/>
  <c r="Z337" i="29"/>
  <c r="V337" i="29"/>
  <c r="Y337" i="29"/>
  <c r="U337" i="29"/>
  <c r="AB337" i="29"/>
  <c r="X337" i="29"/>
  <c r="AD337" i="29"/>
  <c r="AC337" i="29"/>
  <c r="W337" i="29"/>
  <c r="AA337" i="29"/>
  <c r="CY338" i="29" l="1"/>
  <c r="BR338" i="29"/>
  <c r="BL338" i="29"/>
  <c r="CZ338" i="29"/>
  <c r="DD338" i="29"/>
  <c r="DF338" i="29"/>
  <c r="BN338" i="29"/>
  <c r="BO338" i="29"/>
  <c r="DC338" i="29"/>
  <c r="BK338" i="29"/>
  <c r="CW338" i="29"/>
  <c r="BP338" i="29"/>
  <c r="DB338" i="29"/>
  <c r="DE338" i="29"/>
  <c r="BM338" i="29"/>
  <c r="CX338" i="29"/>
  <c r="BQ338" i="29"/>
  <c r="BI338" i="29"/>
  <c r="BJ338" i="29"/>
  <c r="DA338" i="29"/>
  <c r="W338" i="29"/>
  <c r="AD338" i="29"/>
  <c r="AB338" i="29"/>
  <c r="Y338" i="29"/>
  <c r="Z338" i="29"/>
  <c r="AA338" i="29"/>
  <c r="AC338" i="29"/>
  <c r="X338" i="29"/>
  <c r="U338" i="29"/>
  <c r="V338" i="29"/>
  <c r="DA339" i="29" l="1"/>
  <c r="BI339" i="29"/>
  <c r="CX339" i="29"/>
  <c r="DE339" i="29"/>
  <c r="BP339" i="29"/>
  <c r="BK339" i="29"/>
  <c r="BO339" i="29"/>
  <c r="DF339" i="29"/>
  <c r="CZ339" i="29"/>
  <c r="BR339" i="29"/>
  <c r="BJ339" i="29"/>
  <c r="BQ339" i="29"/>
  <c r="BM339" i="29"/>
  <c r="DB339" i="29"/>
  <c r="CW339" i="29"/>
  <c r="DC339" i="29"/>
  <c r="BN339" i="29"/>
  <c r="DD339" i="29"/>
  <c r="BL339" i="29"/>
  <c r="CY339" i="29"/>
  <c r="U339" i="29"/>
  <c r="AC339" i="29"/>
  <c r="Z339" i="29"/>
  <c r="AB339" i="29"/>
  <c r="W339" i="29"/>
  <c r="V339" i="29"/>
  <c r="X339" i="29"/>
  <c r="AA339" i="29"/>
  <c r="Y339" i="29"/>
  <c r="AD339" i="29"/>
  <c r="CY340" i="29" l="1"/>
  <c r="DD340" i="29"/>
  <c r="DC340" i="29"/>
  <c r="DB340" i="29"/>
  <c r="BQ340" i="29"/>
  <c r="BR340" i="29"/>
  <c r="DF340" i="29"/>
  <c r="BK340" i="29"/>
  <c r="DE340" i="29"/>
  <c r="BI340" i="29"/>
  <c r="BL340" i="29"/>
  <c r="BN340" i="29"/>
  <c r="CW340" i="29"/>
  <c r="BM340" i="29"/>
  <c r="BJ340" i="29"/>
  <c r="CZ340" i="29"/>
  <c r="BO340" i="29"/>
  <c r="BP340" i="29"/>
  <c r="CX340" i="29"/>
  <c r="DA340" i="29"/>
  <c r="Y340" i="29"/>
  <c r="X340" i="29"/>
  <c r="W340" i="29"/>
  <c r="Z340" i="29"/>
  <c r="U340" i="29"/>
  <c r="AD340" i="29"/>
  <c r="AA340" i="29"/>
  <c r="V340" i="29"/>
  <c r="AB340" i="29"/>
  <c r="AC340" i="29"/>
  <c r="DA341" i="29" l="1"/>
  <c r="BP341" i="29"/>
  <c r="CZ341" i="29"/>
  <c r="BM341" i="29"/>
  <c r="BN341" i="29"/>
  <c r="BI341" i="29"/>
  <c r="BK341" i="29"/>
  <c r="BR341" i="29"/>
  <c r="DB341" i="29"/>
  <c r="DD341" i="29"/>
  <c r="CX341" i="29"/>
  <c r="BO341" i="29"/>
  <c r="BJ341" i="29"/>
  <c r="CW341" i="29"/>
  <c r="BL341" i="29"/>
  <c r="DE341" i="29"/>
  <c r="DF341" i="29"/>
  <c r="BQ341" i="29"/>
  <c r="DC341" i="29"/>
  <c r="CY341" i="29"/>
  <c r="V341" i="29"/>
  <c r="AD341" i="29"/>
  <c r="X341" i="29"/>
  <c r="AC341" i="29"/>
  <c r="Z341" i="29"/>
  <c r="AB341" i="29"/>
  <c r="AA341" i="29"/>
  <c r="U341" i="29"/>
  <c r="W341" i="29"/>
  <c r="Y341" i="29"/>
  <c r="CY342" i="29" l="1"/>
  <c r="BQ342" i="29"/>
  <c r="DE342" i="29"/>
  <c r="CW342" i="29"/>
  <c r="BO342" i="29"/>
  <c r="DD342" i="29"/>
  <c r="BR342" i="29"/>
  <c r="BI342" i="29"/>
  <c r="BM342" i="29"/>
  <c r="BP342" i="29"/>
  <c r="DC342" i="29"/>
  <c r="DF342" i="29"/>
  <c r="BL342" i="29"/>
  <c r="BJ342" i="29"/>
  <c r="CX342" i="29"/>
  <c r="DB342" i="29"/>
  <c r="BK342" i="29"/>
  <c r="BN342" i="29"/>
  <c r="CZ342" i="29"/>
  <c r="DA342" i="29"/>
  <c r="AD342" i="29"/>
  <c r="Y342" i="29"/>
  <c r="AC342" i="29"/>
  <c r="U342" i="29"/>
  <c r="AB342" i="29"/>
  <c r="W342" i="29"/>
  <c r="AA342" i="29"/>
  <c r="Z342" i="29"/>
  <c r="X342" i="29"/>
  <c r="V342" i="29"/>
  <c r="BN343" i="29" l="1"/>
  <c r="DF343" i="29"/>
  <c r="CW343" i="29"/>
  <c r="BJ343" i="29"/>
  <c r="DA343" i="29"/>
  <c r="BI343" i="29"/>
  <c r="DB343" i="29"/>
  <c r="BP343" i="29"/>
  <c r="DD343" i="29"/>
  <c r="BQ343" i="29"/>
  <c r="CZ343" i="29"/>
  <c r="BK343" i="29"/>
  <c r="CX343" i="29"/>
  <c r="BL343" i="29"/>
  <c r="DC343" i="29"/>
  <c r="BM343" i="29"/>
  <c r="BR343" i="29"/>
  <c r="BO343" i="29"/>
  <c r="DE343" i="29"/>
  <c r="CY343" i="29"/>
  <c r="Z343" i="29"/>
  <c r="W343" i="29"/>
  <c r="U343" i="29"/>
  <c r="Y343" i="29"/>
  <c r="V343" i="29"/>
  <c r="X343" i="29"/>
  <c r="AA343" i="29"/>
  <c r="AB343" i="29"/>
  <c r="AC343" i="29"/>
  <c r="AD343" i="29"/>
  <c r="CY344" i="29" l="1"/>
  <c r="BO344" i="29"/>
  <c r="BM344" i="29"/>
  <c r="BL344" i="29"/>
  <c r="BK344" i="29"/>
  <c r="BQ344" i="29"/>
  <c r="BP344" i="29"/>
  <c r="BI344" i="29"/>
  <c r="BJ344" i="29"/>
  <c r="DF344" i="29"/>
  <c r="DE344" i="29"/>
  <c r="BR344" i="29"/>
  <c r="DC344" i="29"/>
  <c r="CX344" i="29"/>
  <c r="CZ344" i="29"/>
  <c r="DD344" i="29"/>
  <c r="DB344" i="29"/>
  <c r="DA344" i="29"/>
  <c r="CW344" i="29"/>
  <c r="BN344" i="29"/>
  <c r="AD344" i="29"/>
  <c r="AB344" i="29"/>
  <c r="X344" i="29"/>
  <c r="Y344" i="29"/>
  <c r="W344" i="29"/>
  <c r="AC344" i="29"/>
  <c r="AA344" i="29"/>
  <c r="V344" i="29"/>
  <c r="U344" i="29"/>
  <c r="Z344" i="29"/>
  <c r="CW345" i="29" l="1"/>
  <c r="DC345" i="29"/>
  <c r="BJ345" i="29"/>
  <c r="BK345" i="29"/>
  <c r="BM345" i="29"/>
  <c r="DB345" i="29"/>
  <c r="DE345" i="29"/>
  <c r="BN345" i="29"/>
  <c r="DA345" i="29"/>
  <c r="DD345" i="29"/>
  <c r="CX345" i="29"/>
  <c r="BR345" i="29"/>
  <c r="DF345" i="29"/>
  <c r="BI345" i="29"/>
  <c r="BQ345" i="29"/>
  <c r="BL345" i="29"/>
  <c r="BO345" i="29"/>
  <c r="CZ345" i="29"/>
  <c r="BP345" i="29"/>
  <c r="CY345" i="29"/>
  <c r="V345" i="29"/>
  <c r="AC345" i="29"/>
  <c r="Y345" i="29"/>
  <c r="AB345" i="29"/>
  <c r="Z345" i="29"/>
  <c r="U345" i="29"/>
  <c r="AA345" i="29"/>
  <c r="W345" i="29"/>
  <c r="X345" i="29"/>
  <c r="AD345" i="29"/>
  <c r="CY346" i="29" l="1"/>
  <c r="CZ346" i="29"/>
  <c r="BL346" i="29"/>
  <c r="BI346" i="29"/>
  <c r="BR346" i="29"/>
  <c r="DD346" i="29"/>
  <c r="BN346" i="29"/>
  <c r="DB346" i="29"/>
  <c r="BK346" i="29"/>
  <c r="DC346" i="29"/>
  <c r="BP346" i="29"/>
  <c r="BO346" i="29"/>
  <c r="BQ346" i="29"/>
  <c r="DF346" i="29"/>
  <c r="CX346" i="29"/>
  <c r="DA346" i="29"/>
  <c r="DE346" i="29"/>
  <c r="BM346" i="29"/>
  <c r="BJ346" i="29"/>
  <c r="CW346" i="29"/>
  <c r="AD346" i="29"/>
  <c r="W346" i="29"/>
  <c r="U346" i="29"/>
  <c r="AB346" i="29"/>
  <c r="AC346" i="29"/>
  <c r="X346" i="29"/>
  <c r="AA346" i="29"/>
  <c r="Z346" i="29"/>
  <c r="Y346" i="29"/>
  <c r="V346" i="29"/>
  <c r="CW347" i="29" l="1"/>
  <c r="BM347" i="29"/>
  <c r="DA347" i="29"/>
  <c r="DF347" i="29"/>
  <c r="BO347" i="29"/>
  <c r="DC347" i="29"/>
  <c r="DB347" i="29"/>
  <c r="DD347" i="29"/>
  <c r="BI347" i="29"/>
  <c r="CZ347" i="29"/>
  <c r="BJ347" i="29"/>
  <c r="DE347" i="29"/>
  <c r="CX347" i="29"/>
  <c r="BQ347" i="29"/>
  <c r="BP347" i="29"/>
  <c r="BK347" i="29"/>
  <c r="BN347" i="29"/>
  <c r="BR347" i="29"/>
  <c r="BL347" i="29"/>
  <c r="CY347" i="29"/>
  <c r="X347" i="29"/>
  <c r="AB347" i="29"/>
  <c r="W347" i="29"/>
  <c r="V347" i="29"/>
  <c r="Z347" i="29"/>
  <c r="Y347" i="29"/>
  <c r="AA347" i="29"/>
  <c r="AC347" i="29"/>
  <c r="U347" i="29"/>
  <c r="AD347" i="29"/>
  <c r="CY348" i="29" l="1"/>
  <c r="BR348" i="29"/>
  <c r="BK348" i="29"/>
  <c r="BQ348" i="29"/>
  <c r="DE348" i="29"/>
  <c r="CZ348" i="29"/>
  <c r="DD348" i="29"/>
  <c r="DC348" i="29"/>
  <c r="DF348" i="29"/>
  <c r="BM348" i="29"/>
  <c r="BL348" i="29"/>
  <c r="BN348" i="29"/>
  <c r="BP348" i="29"/>
  <c r="CX348" i="29"/>
  <c r="BJ348" i="29"/>
  <c r="BI348" i="29"/>
  <c r="DB348" i="29"/>
  <c r="BO348" i="29"/>
  <c r="DA348" i="29"/>
  <c r="CW348" i="29"/>
  <c r="AD348" i="29"/>
  <c r="AC348" i="29"/>
  <c r="Y348" i="29"/>
  <c r="V348" i="29"/>
  <c r="AB348" i="29"/>
  <c r="U348" i="29"/>
  <c r="AA348" i="29"/>
  <c r="Z348" i="29"/>
  <c r="W348" i="29"/>
  <c r="X348" i="29"/>
  <c r="CW349" i="29" l="1"/>
  <c r="BO349" i="29"/>
  <c r="BI349" i="29"/>
  <c r="CX349" i="29"/>
  <c r="BN349" i="29"/>
  <c r="BM349" i="29"/>
  <c r="DC349" i="29"/>
  <c r="CZ349" i="29"/>
  <c r="BQ349" i="29"/>
  <c r="BR349" i="29"/>
  <c r="DA349" i="29"/>
  <c r="DB349" i="29"/>
  <c r="BJ349" i="29"/>
  <c r="BP349" i="29"/>
  <c r="BL349" i="29"/>
  <c r="DF349" i="29"/>
  <c r="DD349" i="29"/>
  <c r="DE349" i="29"/>
  <c r="BK349" i="29"/>
  <c r="CY349" i="29"/>
  <c r="X349" i="29"/>
  <c r="Z349" i="29"/>
  <c r="U349" i="29"/>
  <c r="V349" i="29"/>
  <c r="AC349" i="29"/>
  <c r="W349" i="29"/>
  <c r="AA349" i="29"/>
  <c r="AB349" i="29"/>
  <c r="Y349" i="29"/>
  <c r="AD349" i="29"/>
  <c r="BK350" i="29" l="1"/>
  <c r="BL350" i="29"/>
  <c r="BQ350" i="29"/>
  <c r="BI350" i="29"/>
  <c r="DD350" i="29"/>
  <c r="BJ350" i="29"/>
  <c r="DC350" i="29"/>
  <c r="BN350" i="29"/>
  <c r="CY350" i="29"/>
  <c r="DE350" i="29"/>
  <c r="DF350" i="29"/>
  <c r="BP350" i="29"/>
  <c r="DB350" i="29"/>
  <c r="BR350" i="29"/>
  <c r="CZ350" i="29"/>
  <c r="BM350" i="29"/>
  <c r="CX350" i="29"/>
  <c r="BO350" i="29"/>
  <c r="DA350" i="29"/>
  <c r="CW350" i="29"/>
  <c r="AB350" i="29"/>
  <c r="W350" i="29"/>
  <c r="V350" i="29"/>
  <c r="Z350" i="29"/>
  <c r="AD350" i="29"/>
  <c r="Y350" i="29"/>
  <c r="AA350" i="29"/>
  <c r="AC350" i="29"/>
  <c r="U350" i="29"/>
  <c r="X350" i="29"/>
  <c r="CW351" i="29" l="1"/>
  <c r="BO351" i="29"/>
  <c r="BM351" i="29"/>
  <c r="BR351" i="29"/>
  <c r="BP351" i="29"/>
  <c r="DE351" i="29"/>
  <c r="BN351" i="29"/>
  <c r="BJ351" i="29"/>
  <c r="BI351" i="29"/>
  <c r="BL351" i="29"/>
  <c r="DA351" i="29"/>
  <c r="CX351" i="29"/>
  <c r="CZ351" i="29"/>
  <c r="DB351" i="29"/>
  <c r="DF351" i="29"/>
  <c r="CY351" i="29"/>
  <c r="DC351" i="29"/>
  <c r="DD351" i="29"/>
  <c r="BQ351" i="29"/>
  <c r="BK351" i="29"/>
  <c r="X351" i="29"/>
  <c r="AC351" i="29"/>
  <c r="Y351" i="29"/>
  <c r="Z351" i="29"/>
  <c r="W351" i="29"/>
  <c r="U351" i="29"/>
  <c r="AA351" i="29"/>
  <c r="AD351" i="29"/>
  <c r="V351" i="29"/>
  <c r="AB351" i="29"/>
  <c r="BK352" i="29" l="1"/>
  <c r="DD352" i="29"/>
  <c r="CY352" i="29"/>
  <c r="DB352" i="29"/>
  <c r="CX352" i="29"/>
  <c r="BL352" i="29"/>
  <c r="BJ352" i="29"/>
  <c r="DE352" i="29"/>
  <c r="BR352" i="29"/>
  <c r="BO352" i="29"/>
  <c r="BQ352" i="29"/>
  <c r="DC352" i="29"/>
  <c r="DF352" i="29"/>
  <c r="CZ352" i="29"/>
  <c r="DA352" i="29"/>
  <c r="BI352" i="29"/>
  <c r="BN352" i="29"/>
  <c r="BP352" i="29"/>
  <c r="BM352" i="29"/>
  <c r="CW352" i="29"/>
  <c r="AB352" i="29"/>
  <c r="AD352" i="29"/>
  <c r="U352" i="29"/>
  <c r="Z352" i="29"/>
  <c r="AC352" i="29"/>
  <c r="V352" i="29"/>
  <c r="AA352" i="29"/>
  <c r="W352" i="29"/>
  <c r="Y352" i="29"/>
  <c r="X352" i="29"/>
  <c r="CW353" i="29" l="1"/>
  <c r="BP353" i="29"/>
  <c r="BI353" i="29"/>
  <c r="CZ353" i="29"/>
  <c r="DC353" i="29"/>
  <c r="BO353" i="29"/>
  <c r="DE353" i="29"/>
  <c r="BL353" i="29"/>
  <c r="DB353" i="29"/>
  <c r="DD353" i="29"/>
  <c r="BM353" i="29"/>
  <c r="BN353" i="29"/>
  <c r="DA353" i="29"/>
  <c r="DF353" i="29"/>
  <c r="BQ353" i="29"/>
  <c r="BR353" i="29"/>
  <c r="BJ353" i="29"/>
  <c r="CX353" i="29"/>
  <c r="CY353" i="29"/>
  <c r="BK353" i="29"/>
  <c r="X353" i="29"/>
  <c r="W353" i="29"/>
  <c r="V353" i="29"/>
  <c r="Z353" i="29"/>
  <c r="AD353" i="29"/>
  <c r="Y353" i="29"/>
  <c r="AA353" i="29"/>
  <c r="AC353" i="29"/>
  <c r="U353" i="29"/>
  <c r="AB353" i="29"/>
  <c r="BK354" i="29" l="1"/>
  <c r="CX354" i="29"/>
  <c r="BR354" i="29"/>
  <c r="DF354" i="29"/>
  <c r="BN354" i="29"/>
  <c r="DD354" i="29"/>
  <c r="BL354" i="29"/>
  <c r="BO354" i="29"/>
  <c r="CZ354" i="29"/>
  <c r="BP354" i="29"/>
  <c r="CY354" i="29"/>
  <c r="BJ354" i="29"/>
  <c r="BQ354" i="29"/>
  <c r="DA354" i="29"/>
  <c r="BM354" i="29"/>
  <c r="DB354" i="29"/>
  <c r="DE354" i="29"/>
  <c r="DC354" i="29"/>
  <c r="BI354" i="29"/>
  <c r="CW354" i="29"/>
  <c r="AB354" i="29"/>
  <c r="Y354" i="29"/>
  <c r="W354" i="29"/>
  <c r="AC354" i="29"/>
  <c r="Z354" i="29"/>
  <c r="U354" i="29"/>
  <c r="AA354" i="29"/>
  <c r="AD354" i="29"/>
  <c r="V354" i="29"/>
  <c r="X354" i="29"/>
  <c r="CW355" i="29" l="1"/>
  <c r="DC355" i="29"/>
  <c r="DB355" i="29"/>
  <c r="DA355" i="29"/>
  <c r="BJ355" i="29"/>
  <c r="BP355" i="29"/>
  <c r="BO355" i="29"/>
  <c r="DD355" i="29"/>
  <c r="DF355" i="29"/>
  <c r="CX355" i="29"/>
  <c r="BI355" i="29"/>
  <c r="DE355" i="29"/>
  <c r="BM355" i="29"/>
  <c r="BQ355" i="29"/>
  <c r="CY355" i="29"/>
  <c r="CZ355" i="29"/>
  <c r="BL355" i="29"/>
  <c r="BN355" i="29"/>
  <c r="BR355" i="29"/>
  <c r="BK355" i="29"/>
  <c r="Y355" i="29"/>
  <c r="AD355" i="29"/>
  <c r="U355" i="29"/>
  <c r="X355" i="29"/>
  <c r="AC355" i="29"/>
  <c r="V355" i="29"/>
  <c r="AA355" i="29"/>
  <c r="Z355" i="29"/>
  <c r="W355" i="29"/>
  <c r="AB355" i="29"/>
  <c r="BK356" i="29" l="1"/>
  <c r="BN356" i="29"/>
  <c r="CZ356" i="29"/>
  <c r="BQ356" i="29"/>
  <c r="DE356" i="29"/>
  <c r="CX356" i="29"/>
  <c r="DD356" i="29"/>
  <c r="BP356" i="29"/>
  <c r="DA356" i="29"/>
  <c r="DC356" i="29"/>
  <c r="BR356" i="29"/>
  <c r="BL356" i="29"/>
  <c r="CY356" i="29"/>
  <c r="BM356" i="29"/>
  <c r="BI356" i="29"/>
  <c r="DF356" i="29"/>
  <c r="BO356" i="29"/>
  <c r="BJ356" i="29"/>
  <c r="DB356" i="29"/>
  <c r="CW356" i="29"/>
  <c r="Z356" i="29"/>
  <c r="AD356" i="29"/>
  <c r="V356" i="29"/>
  <c r="AB356" i="29"/>
  <c r="X356" i="29"/>
  <c r="W356" i="29"/>
  <c r="AA356" i="29"/>
  <c r="AC356" i="29"/>
  <c r="U356" i="29"/>
  <c r="Y356" i="29"/>
  <c r="CW357" i="29" l="1"/>
  <c r="BJ357" i="29"/>
  <c r="DF357" i="29"/>
  <c r="BM357" i="29"/>
  <c r="BL357" i="29"/>
  <c r="DC357" i="29"/>
  <c r="BP357" i="29"/>
  <c r="CX357" i="29"/>
  <c r="BQ357" i="29"/>
  <c r="BN357" i="29"/>
  <c r="DB357" i="29"/>
  <c r="BO357" i="29"/>
  <c r="BI357" i="29"/>
  <c r="CY357" i="29"/>
  <c r="BR357" i="29"/>
  <c r="DA357" i="29"/>
  <c r="DD357" i="29"/>
  <c r="DE357" i="29"/>
  <c r="CZ357" i="29"/>
  <c r="BK357" i="29"/>
  <c r="Y357" i="29"/>
  <c r="AC357" i="29"/>
  <c r="AD357" i="29"/>
  <c r="AB357" i="29"/>
  <c r="W357" i="29"/>
  <c r="U357" i="29"/>
  <c r="AA357" i="29"/>
  <c r="X357" i="29"/>
  <c r="V357" i="29"/>
  <c r="Z357" i="29"/>
  <c r="BK358" i="29" l="1"/>
  <c r="DE358" i="29"/>
  <c r="DA358" i="29"/>
  <c r="CY358" i="29"/>
  <c r="BO358" i="29"/>
  <c r="BN358" i="29"/>
  <c r="CX358" i="29"/>
  <c r="DC358" i="29"/>
  <c r="BM358" i="29"/>
  <c r="BJ358" i="29"/>
  <c r="CZ358" i="29"/>
  <c r="DD358" i="29"/>
  <c r="BR358" i="29"/>
  <c r="BI358" i="29"/>
  <c r="DB358" i="29"/>
  <c r="BQ358" i="29"/>
  <c r="BP358" i="29"/>
  <c r="BL358" i="29"/>
  <c r="DF358" i="29"/>
  <c r="CW358" i="29"/>
  <c r="X358" i="29"/>
  <c r="AC358" i="29"/>
  <c r="AB358" i="29"/>
  <c r="Z358" i="29"/>
  <c r="U358" i="29"/>
  <c r="V358" i="29"/>
  <c r="AA358" i="29"/>
  <c r="W358" i="29"/>
  <c r="AD358" i="29"/>
  <c r="Y358" i="29"/>
  <c r="CW359" i="29" l="1"/>
  <c r="BL359" i="29"/>
  <c r="BQ359" i="29"/>
  <c r="BI359" i="29"/>
  <c r="DD359" i="29"/>
  <c r="BJ359" i="29"/>
  <c r="DC359" i="29"/>
  <c r="BN359" i="29"/>
  <c r="CY359" i="29"/>
  <c r="DE359" i="29"/>
  <c r="DF359" i="29"/>
  <c r="BP359" i="29"/>
  <c r="DB359" i="29"/>
  <c r="BR359" i="29"/>
  <c r="CZ359" i="29"/>
  <c r="BM359" i="29"/>
  <c r="CX359" i="29"/>
  <c r="BO359" i="29"/>
  <c r="DA359" i="29"/>
  <c r="BK359" i="29"/>
  <c r="Y359" i="29"/>
  <c r="Z359" i="29"/>
  <c r="AC359" i="29"/>
  <c r="W359" i="29"/>
  <c r="V359" i="29"/>
  <c r="AD359" i="29"/>
  <c r="AA359" i="29"/>
  <c r="U359" i="29"/>
  <c r="AB359" i="29"/>
  <c r="X359" i="29"/>
  <c r="BK360" i="29" l="1"/>
  <c r="BO360" i="29"/>
  <c r="BM360" i="29"/>
  <c r="BR360" i="29"/>
  <c r="BP360" i="29"/>
  <c r="DE360" i="29"/>
  <c r="BN360" i="29"/>
  <c r="BJ360" i="29"/>
  <c r="BI360" i="29"/>
  <c r="BL360" i="29"/>
  <c r="DA360" i="29"/>
  <c r="CX360" i="29"/>
  <c r="CZ360" i="29"/>
  <c r="DB360" i="29"/>
  <c r="DF360" i="29"/>
  <c r="CY360" i="29"/>
  <c r="DC360" i="29"/>
  <c r="DD360" i="29"/>
  <c r="BQ360" i="29"/>
  <c r="CW360" i="29"/>
  <c r="X360" i="29"/>
  <c r="W360" i="29"/>
  <c r="Z360" i="29"/>
  <c r="AD360" i="29"/>
  <c r="U360" i="29"/>
  <c r="AB360" i="29"/>
  <c r="AA360" i="29"/>
  <c r="V360" i="29"/>
  <c r="AC360" i="29"/>
  <c r="Y360" i="29"/>
  <c r="CW361" i="29" l="1"/>
  <c r="DD361" i="29"/>
  <c r="CY361" i="29"/>
  <c r="DB361" i="29"/>
  <c r="CX361" i="29"/>
  <c r="BL361" i="29"/>
  <c r="BJ361" i="29"/>
  <c r="DE361" i="29"/>
  <c r="BR361" i="29"/>
  <c r="BO361" i="29"/>
  <c r="BQ361" i="29"/>
  <c r="DC361" i="29"/>
  <c r="DF361" i="29"/>
  <c r="CZ361" i="29"/>
  <c r="DA361" i="29"/>
  <c r="BI361" i="29"/>
  <c r="BN361" i="29"/>
  <c r="BP361" i="29"/>
  <c r="BM361" i="29"/>
  <c r="BK361" i="29"/>
  <c r="Y361" i="29"/>
  <c r="AD361" i="29"/>
  <c r="W361" i="29"/>
  <c r="V361" i="29"/>
  <c r="AB361" i="29"/>
  <c r="AC361" i="29"/>
  <c r="AA361" i="29"/>
  <c r="U361" i="29"/>
  <c r="Z361" i="29"/>
  <c r="X361" i="29"/>
  <c r="BN362" i="29" l="1"/>
  <c r="BQ362" i="29"/>
  <c r="BJ362" i="29"/>
  <c r="CX362" i="29"/>
  <c r="CW362" i="29"/>
  <c r="BM362" i="29"/>
  <c r="DA362" i="29"/>
  <c r="BR362" i="29"/>
  <c r="BK362" i="29"/>
  <c r="BP362" i="29"/>
  <c r="BI362" i="29"/>
  <c r="CZ362" i="29"/>
  <c r="DC362" i="29"/>
  <c r="BO362" i="29"/>
  <c r="DE362" i="29"/>
  <c r="BL362" i="29"/>
  <c r="DB362" i="29"/>
  <c r="DD362" i="29"/>
  <c r="DF362" i="29"/>
  <c r="CY362" i="29"/>
  <c r="U362" i="29"/>
  <c r="AD362" i="29"/>
  <c r="AC362" i="29"/>
  <c r="X362" i="29"/>
  <c r="V362" i="29"/>
  <c r="Z362" i="29"/>
  <c r="AA362" i="29"/>
  <c r="AB362" i="29"/>
  <c r="W362" i="29"/>
  <c r="Y362" i="29"/>
  <c r="CY363" i="29" l="1"/>
  <c r="DD363" i="29"/>
  <c r="BL363" i="29"/>
  <c r="BO363" i="29"/>
  <c r="CZ363" i="29"/>
  <c r="BP363" i="29"/>
  <c r="BR363" i="29"/>
  <c r="BM363" i="29"/>
  <c r="CX363" i="29"/>
  <c r="BQ363" i="29"/>
  <c r="DF363" i="29"/>
  <c r="DB363" i="29"/>
  <c r="DE363" i="29"/>
  <c r="DC363" i="29"/>
  <c r="BI363" i="29"/>
  <c r="BK363" i="29"/>
  <c r="DA363" i="29"/>
  <c r="CW363" i="29"/>
  <c r="BJ363" i="29"/>
  <c r="BN363" i="29"/>
  <c r="Z363" i="29"/>
  <c r="AD363" i="29"/>
  <c r="AB363" i="29"/>
  <c r="Y363" i="29"/>
  <c r="X363" i="29"/>
  <c r="W363" i="29"/>
  <c r="AA363" i="29"/>
  <c r="V363" i="29"/>
  <c r="AC363" i="29"/>
  <c r="U363" i="29"/>
  <c r="BN364" i="29" l="1"/>
  <c r="CW364" i="29"/>
  <c r="BK364" i="29"/>
  <c r="DC364" i="29"/>
  <c r="DB364" i="29"/>
  <c r="BQ364" i="29"/>
  <c r="BM364" i="29"/>
  <c r="BP364" i="29"/>
  <c r="BO364" i="29"/>
  <c r="DD364" i="29"/>
  <c r="BJ364" i="29"/>
  <c r="DA364" i="29"/>
  <c r="BI364" i="29"/>
  <c r="DE364" i="29"/>
  <c r="DF364" i="29"/>
  <c r="CX364" i="29"/>
  <c r="BR364" i="29"/>
  <c r="CZ364" i="29"/>
  <c r="BL364" i="29"/>
  <c r="CY364" i="29"/>
  <c r="U364" i="29"/>
  <c r="Y364" i="29"/>
  <c r="AD364" i="29"/>
  <c r="W364" i="29"/>
  <c r="V364" i="29"/>
  <c r="AC364" i="29"/>
  <c r="AA364" i="29"/>
  <c r="X364" i="29"/>
  <c r="AB364" i="29"/>
  <c r="Z364" i="29"/>
  <c r="CY365" i="29" l="1"/>
  <c r="CZ365" i="29"/>
  <c r="CX365" i="29"/>
  <c r="DE365" i="29"/>
  <c r="DA365" i="29"/>
  <c r="DD365" i="29"/>
  <c r="BP365" i="29"/>
  <c r="BQ365" i="29"/>
  <c r="DC365" i="29"/>
  <c r="CW365" i="29"/>
  <c r="BL365" i="29"/>
  <c r="BR365" i="29"/>
  <c r="DF365" i="29"/>
  <c r="BI365" i="29"/>
  <c r="BJ365" i="29"/>
  <c r="BO365" i="29"/>
  <c r="BM365" i="29"/>
  <c r="DB365" i="29"/>
  <c r="BK365" i="29"/>
  <c r="BN365" i="29"/>
  <c r="X365" i="29"/>
  <c r="Y365" i="29"/>
  <c r="Z365" i="29"/>
  <c r="W365" i="29"/>
  <c r="AC365" i="29"/>
  <c r="AB365" i="29"/>
  <c r="AA365" i="29"/>
  <c r="V365" i="29"/>
  <c r="AD365" i="29"/>
  <c r="U365" i="29"/>
  <c r="BN366" i="29" l="1"/>
  <c r="DB366" i="29"/>
  <c r="BO366" i="29"/>
  <c r="BI366" i="29"/>
  <c r="BR366" i="29"/>
  <c r="CW366" i="29"/>
  <c r="BQ366" i="29"/>
  <c r="DD366" i="29"/>
  <c r="DE366" i="29"/>
  <c r="CZ366" i="29"/>
  <c r="BK366" i="29"/>
  <c r="BM366" i="29"/>
  <c r="BJ366" i="29"/>
  <c r="DF366" i="29"/>
  <c r="BL366" i="29"/>
  <c r="DC366" i="29"/>
  <c r="BP366" i="29"/>
  <c r="DA366" i="29"/>
  <c r="CX366" i="29"/>
  <c r="CY366" i="29"/>
  <c r="Y366" i="29"/>
  <c r="V366" i="29"/>
  <c r="AB366" i="29"/>
  <c r="U366" i="29"/>
  <c r="W366" i="29"/>
  <c r="AD366" i="29"/>
  <c r="AA366" i="29"/>
  <c r="AC366" i="29"/>
  <c r="Z366" i="29"/>
  <c r="X366" i="29"/>
  <c r="CY367" i="29" l="1"/>
  <c r="DA367" i="29"/>
  <c r="DC367" i="29"/>
  <c r="DF367" i="29"/>
  <c r="BM367" i="29"/>
  <c r="CZ367" i="29"/>
  <c r="DD367" i="29"/>
  <c r="CW367" i="29"/>
  <c r="BI367" i="29"/>
  <c r="DB367" i="29"/>
  <c r="CX367" i="29"/>
  <c r="BP367" i="29"/>
  <c r="BL367" i="29"/>
  <c r="BJ367" i="29"/>
  <c r="BK367" i="29"/>
  <c r="DE367" i="29"/>
  <c r="BQ367" i="29"/>
  <c r="BR367" i="29"/>
  <c r="BO367" i="29"/>
  <c r="BN367" i="29"/>
  <c r="X367" i="29"/>
  <c r="AD367" i="29"/>
  <c r="V367" i="29"/>
  <c r="U367" i="29"/>
  <c r="AC367" i="29"/>
  <c r="Z367" i="29"/>
  <c r="AA367" i="29"/>
  <c r="W367" i="29"/>
  <c r="AB367" i="29"/>
  <c r="Y367" i="29"/>
  <c r="BN368" i="29" l="1"/>
  <c r="BR368" i="29"/>
  <c r="DE368" i="29"/>
  <c r="BJ368" i="29"/>
  <c r="BP368" i="29"/>
  <c r="DB368" i="29"/>
  <c r="CW368" i="29"/>
  <c r="CZ368" i="29"/>
  <c r="DF368" i="29"/>
  <c r="DA368" i="29"/>
  <c r="BO368" i="29"/>
  <c r="BQ368" i="29"/>
  <c r="BK368" i="29"/>
  <c r="BL368" i="29"/>
  <c r="CX368" i="29"/>
  <c r="BI368" i="29"/>
  <c r="DD368" i="29"/>
  <c r="BM368" i="29"/>
  <c r="DC368" i="29"/>
  <c r="CY368" i="29"/>
  <c r="AB368" i="29"/>
  <c r="AC368" i="29"/>
  <c r="Y368" i="29"/>
  <c r="W368" i="29"/>
  <c r="Z368" i="29"/>
  <c r="U368" i="29"/>
  <c r="AD368" i="29"/>
  <c r="AA368" i="29"/>
  <c r="V368" i="29"/>
  <c r="X368" i="29"/>
  <c r="G368" i="29" l="1"/>
  <c r="F368" i="29"/>
  <c r="E368" i="29"/>
  <c r="G367" i="29"/>
  <c r="F367" i="29"/>
  <c r="E367" i="29"/>
  <c r="G366" i="29"/>
  <c r="F366" i="29"/>
  <c r="E366" i="29"/>
  <c r="G365" i="29"/>
  <c r="F365" i="29"/>
  <c r="E365" i="29"/>
  <c r="G364" i="29"/>
  <c r="F364" i="29"/>
  <c r="E364" i="29"/>
  <c r="G363" i="29"/>
  <c r="F363" i="29"/>
  <c r="E363" i="29"/>
  <c r="G362" i="29"/>
  <c r="F362" i="29"/>
  <c r="E362" i="29"/>
  <c r="G361" i="29"/>
  <c r="F361" i="29"/>
  <c r="E361" i="29"/>
  <c r="G360" i="29"/>
  <c r="F360" i="29"/>
  <c r="E360" i="29"/>
  <c r="G359" i="29"/>
  <c r="F359" i="29"/>
  <c r="E359" i="29"/>
  <c r="G358" i="29"/>
  <c r="F358" i="29"/>
  <c r="E358" i="29"/>
  <c r="G357" i="29"/>
  <c r="F357" i="29"/>
  <c r="E357" i="29"/>
  <c r="G356" i="29"/>
  <c r="F356" i="29"/>
  <c r="E356" i="29"/>
  <c r="G355" i="29"/>
  <c r="F355" i="29"/>
  <c r="E355" i="29"/>
  <c r="G354" i="29"/>
  <c r="F354" i="29"/>
  <c r="E354" i="29"/>
  <c r="G353" i="29"/>
  <c r="F353" i="29"/>
  <c r="E353" i="29"/>
  <c r="G352" i="29"/>
  <c r="F352" i="29"/>
  <c r="E352" i="29"/>
  <c r="G351" i="29"/>
  <c r="F351" i="29"/>
  <c r="E351" i="29"/>
  <c r="G350" i="29"/>
  <c r="F350" i="29"/>
  <c r="E350" i="29"/>
  <c r="G349" i="29"/>
  <c r="F349" i="29"/>
  <c r="E349" i="29"/>
  <c r="G348" i="29"/>
  <c r="F348" i="29"/>
  <c r="E348" i="29"/>
  <c r="G347" i="29"/>
  <c r="F347" i="29"/>
  <c r="E347" i="29"/>
  <c r="G346" i="29"/>
  <c r="F346" i="29"/>
  <c r="E346" i="29"/>
  <c r="G345" i="29"/>
  <c r="F345" i="29"/>
  <c r="E345" i="29"/>
  <c r="G344" i="29"/>
  <c r="F344" i="29"/>
  <c r="E344" i="29"/>
  <c r="G343" i="29"/>
  <c r="F343" i="29"/>
  <c r="E343" i="29"/>
  <c r="G342" i="29"/>
  <c r="F342" i="29"/>
  <c r="E342" i="29"/>
  <c r="G341" i="29"/>
  <c r="F341" i="29"/>
  <c r="E341" i="29"/>
  <c r="G340" i="29"/>
  <c r="F340" i="29"/>
  <c r="E340" i="29"/>
  <c r="G339" i="29"/>
  <c r="F339" i="29"/>
  <c r="E339" i="29"/>
  <c r="G338" i="29"/>
  <c r="F338" i="29"/>
  <c r="E338" i="29"/>
  <c r="G337" i="29"/>
  <c r="F337" i="29"/>
  <c r="E337" i="29"/>
  <c r="G336" i="29"/>
  <c r="F336" i="29"/>
  <c r="E336" i="29"/>
  <c r="G335" i="29"/>
  <c r="F335" i="29"/>
  <c r="E335" i="29"/>
  <c r="G334" i="29"/>
  <c r="F334" i="29"/>
  <c r="E334" i="29"/>
  <c r="G333" i="29"/>
  <c r="F333" i="29"/>
  <c r="E333" i="29"/>
  <c r="G332" i="29"/>
  <c r="F332" i="29"/>
  <c r="E332" i="29"/>
  <c r="G331" i="29"/>
  <c r="F331" i="29"/>
  <c r="E331" i="29"/>
  <c r="G330" i="29"/>
  <c r="F330" i="29"/>
  <c r="E330" i="29"/>
  <c r="G329" i="29"/>
  <c r="F329" i="29"/>
  <c r="E329" i="29"/>
  <c r="G328" i="29"/>
  <c r="F328" i="29"/>
  <c r="E328" i="29"/>
  <c r="G327" i="29"/>
  <c r="F327" i="29"/>
  <c r="E327" i="29"/>
  <c r="G326" i="29"/>
  <c r="F326" i="29"/>
  <c r="E326" i="29"/>
  <c r="G325" i="29"/>
  <c r="F325" i="29"/>
  <c r="E325" i="29"/>
  <c r="G324" i="29"/>
  <c r="F324" i="29"/>
  <c r="E324" i="29"/>
  <c r="G323" i="29"/>
  <c r="F323" i="29"/>
  <c r="E323" i="29"/>
  <c r="G322" i="29"/>
  <c r="F322" i="29"/>
  <c r="E322" i="29"/>
  <c r="G321" i="29"/>
  <c r="F321" i="29"/>
  <c r="E321" i="29"/>
  <c r="G320" i="29"/>
  <c r="F320" i="29"/>
  <c r="E320" i="29"/>
  <c r="G319" i="29"/>
  <c r="F319" i="29"/>
  <c r="E319" i="29"/>
  <c r="G318" i="29"/>
  <c r="F318" i="29"/>
  <c r="E318" i="29"/>
  <c r="G317" i="29"/>
  <c r="F317" i="29"/>
  <c r="E317" i="29"/>
  <c r="G316" i="29"/>
  <c r="F316" i="29"/>
  <c r="E316" i="29"/>
  <c r="G315" i="29"/>
  <c r="F315" i="29"/>
  <c r="E315" i="29"/>
  <c r="G314" i="29"/>
  <c r="F314" i="29"/>
  <c r="E314" i="29"/>
  <c r="G313" i="29"/>
  <c r="F313" i="29"/>
  <c r="E313" i="29"/>
  <c r="G312" i="29"/>
  <c r="F312" i="29"/>
  <c r="E312" i="29"/>
  <c r="G311" i="29"/>
  <c r="F311" i="29"/>
  <c r="E311" i="29"/>
  <c r="G310" i="29"/>
  <c r="F310" i="29"/>
  <c r="E310" i="29"/>
  <c r="G309" i="29"/>
  <c r="F309" i="29"/>
  <c r="E309" i="29"/>
  <c r="G308" i="29"/>
  <c r="F308" i="29"/>
  <c r="E308" i="29"/>
  <c r="G307" i="29"/>
  <c r="F307" i="29"/>
  <c r="E307" i="29"/>
  <c r="G306" i="29"/>
  <c r="F306" i="29"/>
  <c r="E306" i="29"/>
  <c r="G305" i="29"/>
  <c r="F305" i="29"/>
  <c r="E305" i="29"/>
  <c r="G304" i="29"/>
  <c r="F304" i="29"/>
  <c r="E304" i="29"/>
  <c r="G303" i="29"/>
  <c r="F303" i="29"/>
  <c r="E303" i="29"/>
  <c r="G302" i="29"/>
  <c r="F302" i="29"/>
  <c r="E302" i="29"/>
  <c r="G301" i="29"/>
  <c r="F301" i="29"/>
  <c r="E301" i="29"/>
  <c r="G300" i="29"/>
  <c r="F300" i="29"/>
  <c r="E300" i="29"/>
  <c r="G299" i="29"/>
  <c r="F299" i="29"/>
  <c r="E299" i="29"/>
  <c r="G298" i="29"/>
  <c r="F298" i="29"/>
  <c r="E298" i="29"/>
  <c r="G297" i="29"/>
  <c r="F297" i="29"/>
  <c r="E297" i="29"/>
  <c r="G296" i="29"/>
  <c r="F296" i="29"/>
  <c r="E296" i="29"/>
  <c r="G295" i="29"/>
  <c r="F295" i="29"/>
  <c r="E295" i="29"/>
  <c r="G294" i="29"/>
  <c r="F294" i="29"/>
  <c r="E294" i="29"/>
  <c r="G293" i="29"/>
  <c r="F293" i="29"/>
  <c r="E293" i="29"/>
  <c r="G292" i="29"/>
  <c r="F292" i="29"/>
  <c r="E292" i="29"/>
  <c r="G291" i="29"/>
  <c r="F291" i="29"/>
  <c r="E291" i="29"/>
  <c r="G290" i="29"/>
  <c r="F290" i="29"/>
  <c r="E290" i="29"/>
  <c r="G289" i="29"/>
  <c r="F289" i="29"/>
  <c r="E289" i="29"/>
  <c r="G288" i="29"/>
  <c r="F288" i="29"/>
  <c r="E288" i="29"/>
  <c r="G287" i="29"/>
  <c r="F287" i="29"/>
  <c r="E287" i="29"/>
  <c r="G286" i="29"/>
  <c r="F286" i="29"/>
  <c r="E286" i="29"/>
  <c r="G285" i="29"/>
  <c r="F285" i="29"/>
  <c r="E285" i="29"/>
  <c r="G284" i="29"/>
  <c r="F284" i="29"/>
  <c r="E284" i="29"/>
  <c r="G283" i="29"/>
  <c r="F283" i="29"/>
  <c r="E283" i="29"/>
  <c r="G282" i="29"/>
  <c r="F282" i="29"/>
  <c r="E282" i="29"/>
  <c r="G281" i="29"/>
  <c r="F281" i="29"/>
  <c r="E281" i="29"/>
  <c r="G280" i="29"/>
  <c r="F280" i="29"/>
  <c r="E280" i="29"/>
  <c r="G279" i="29"/>
  <c r="F279" i="29"/>
  <c r="E279" i="29"/>
  <c r="G278" i="29"/>
  <c r="F278" i="29"/>
  <c r="E278" i="29"/>
  <c r="G277" i="29"/>
  <c r="F277" i="29"/>
  <c r="E277" i="29"/>
  <c r="G276" i="29"/>
  <c r="F276" i="29"/>
  <c r="E276" i="29"/>
  <c r="G275" i="29"/>
  <c r="F275" i="29"/>
  <c r="E275" i="29"/>
  <c r="G274" i="29"/>
  <c r="F274" i="29"/>
  <c r="E274" i="29"/>
  <c r="G273" i="29"/>
  <c r="F273" i="29"/>
  <c r="E273" i="29"/>
  <c r="G272" i="29"/>
  <c r="F272" i="29"/>
  <c r="E272" i="29"/>
  <c r="G271" i="29"/>
  <c r="F271" i="29"/>
  <c r="E271" i="29"/>
  <c r="G270" i="29"/>
  <c r="F270" i="29"/>
  <c r="E270" i="29"/>
  <c r="G269" i="29"/>
  <c r="F269" i="29"/>
  <c r="E269" i="29"/>
  <c r="G268" i="29"/>
  <c r="F268" i="29"/>
  <c r="E268" i="29"/>
  <c r="G267" i="29"/>
  <c r="F267" i="29"/>
  <c r="E267" i="29"/>
  <c r="G266" i="29"/>
  <c r="F266" i="29"/>
  <c r="E266" i="29"/>
  <c r="G265" i="29"/>
  <c r="F265" i="29"/>
  <c r="E265" i="29"/>
  <c r="G264" i="29"/>
  <c r="F264" i="29"/>
  <c r="E264" i="29"/>
  <c r="G263" i="29"/>
  <c r="F263" i="29"/>
  <c r="E263" i="29"/>
  <c r="G262" i="29"/>
  <c r="F262" i="29"/>
  <c r="E262" i="29"/>
  <c r="G261" i="29"/>
  <c r="F261" i="29"/>
  <c r="E261" i="29"/>
  <c r="G260" i="29"/>
  <c r="F260" i="29"/>
  <c r="E260" i="29"/>
  <c r="G259" i="29"/>
  <c r="F259" i="29"/>
  <c r="E259" i="29"/>
  <c r="G258" i="29"/>
  <c r="F258" i="29"/>
  <c r="E258" i="29"/>
  <c r="G257" i="29"/>
  <c r="F257" i="29"/>
  <c r="E257" i="29"/>
  <c r="G256" i="29"/>
  <c r="F256" i="29"/>
  <c r="E256" i="29"/>
  <c r="G255" i="29"/>
  <c r="F255" i="29"/>
  <c r="E255" i="29"/>
  <c r="G254" i="29"/>
  <c r="F254" i="29"/>
  <c r="E254" i="29"/>
  <c r="G253" i="29"/>
  <c r="F253" i="29"/>
  <c r="E253" i="29"/>
  <c r="G252" i="29"/>
  <c r="F252" i="29"/>
  <c r="E252" i="29"/>
  <c r="G251" i="29"/>
  <c r="F251" i="29"/>
  <c r="E251" i="29"/>
  <c r="G250" i="29"/>
  <c r="F250" i="29"/>
  <c r="E250" i="29"/>
  <c r="G249" i="29"/>
  <c r="F249" i="29"/>
  <c r="E249" i="29"/>
  <c r="G248" i="29"/>
  <c r="F248" i="29"/>
  <c r="E248" i="29"/>
  <c r="G247" i="29"/>
  <c r="F247" i="29"/>
  <c r="E247" i="29"/>
  <c r="G246" i="29"/>
  <c r="F246" i="29"/>
  <c r="E246" i="29"/>
  <c r="G245" i="29"/>
  <c r="F245" i="29"/>
  <c r="E245" i="29"/>
  <c r="G244" i="29"/>
  <c r="F244" i="29"/>
  <c r="E244" i="29"/>
  <c r="G243" i="29"/>
  <c r="F243" i="29"/>
  <c r="E243" i="29"/>
  <c r="G242" i="29"/>
  <c r="F242" i="29"/>
  <c r="E242" i="29"/>
  <c r="G241" i="29"/>
  <c r="F241" i="29"/>
  <c r="E241" i="29"/>
  <c r="G240" i="29"/>
  <c r="F240" i="29"/>
  <c r="E240" i="29"/>
  <c r="G239" i="29"/>
  <c r="F239" i="29"/>
  <c r="E239" i="29"/>
  <c r="G238" i="29"/>
  <c r="F238" i="29"/>
  <c r="E238" i="29"/>
  <c r="G237" i="29"/>
  <c r="F237" i="29"/>
  <c r="E237" i="29"/>
  <c r="G236" i="29"/>
  <c r="F236" i="29"/>
  <c r="E236" i="29"/>
  <c r="G235" i="29"/>
  <c r="F235" i="29"/>
  <c r="E235" i="29"/>
  <c r="G234" i="29"/>
  <c r="F234" i="29"/>
  <c r="E234" i="29"/>
  <c r="G233" i="29"/>
  <c r="F233" i="29"/>
  <c r="E233" i="29"/>
  <c r="G232" i="29"/>
  <c r="F232" i="29"/>
  <c r="E232" i="29"/>
  <c r="G231" i="29"/>
  <c r="F231" i="29"/>
  <c r="E231" i="29"/>
  <c r="G230" i="29"/>
  <c r="F230" i="29"/>
  <c r="E230" i="29"/>
  <c r="G229" i="29"/>
  <c r="F229" i="29"/>
  <c r="E229" i="29"/>
  <c r="G228" i="29"/>
  <c r="F228" i="29"/>
  <c r="E228" i="29"/>
  <c r="G227" i="29"/>
  <c r="F227" i="29"/>
  <c r="E227" i="29"/>
  <c r="G226" i="29"/>
  <c r="F226" i="29"/>
  <c r="E226" i="29"/>
  <c r="G225" i="29"/>
  <c r="F225" i="29"/>
  <c r="E225" i="29"/>
  <c r="G224" i="29"/>
  <c r="F224" i="29"/>
  <c r="E224" i="29"/>
  <c r="G223" i="29"/>
  <c r="F223" i="29"/>
  <c r="E223" i="29"/>
  <c r="G222" i="29"/>
  <c r="F222" i="29"/>
  <c r="E222" i="29"/>
  <c r="G221" i="29"/>
  <c r="F221" i="29"/>
  <c r="E221" i="29"/>
  <c r="G220" i="29"/>
  <c r="F220" i="29"/>
  <c r="E220" i="29"/>
  <c r="G219" i="29"/>
  <c r="F219" i="29"/>
  <c r="E219" i="29"/>
  <c r="G218" i="29"/>
  <c r="F218" i="29"/>
  <c r="E218" i="29"/>
  <c r="G217" i="29"/>
  <c r="F217" i="29"/>
  <c r="E217" i="29"/>
  <c r="G216" i="29"/>
  <c r="F216" i="29"/>
  <c r="E216" i="29"/>
  <c r="G215" i="29"/>
  <c r="F215" i="29"/>
  <c r="E215" i="29"/>
  <c r="G214" i="29"/>
  <c r="F214" i="29"/>
  <c r="E214" i="29"/>
  <c r="G213" i="29"/>
  <c r="F213" i="29"/>
  <c r="E213" i="29"/>
  <c r="G212" i="29"/>
  <c r="F212" i="29"/>
  <c r="E212" i="29"/>
  <c r="G211" i="29"/>
  <c r="F211" i="29"/>
  <c r="E211" i="29"/>
  <c r="G210" i="29"/>
  <c r="F210" i="29"/>
  <c r="E210" i="29"/>
  <c r="G209" i="29"/>
  <c r="F209" i="29"/>
  <c r="E209" i="29"/>
  <c r="G208" i="29"/>
  <c r="F208" i="29"/>
  <c r="E208" i="29"/>
  <c r="G207" i="29"/>
  <c r="F207" i="29"/>
  <c r="E207" i="29"/>
  <c r="G206" i="29"/>
  <c r="F206" i="29"/>
  <c r="E206" i="29"/>
  <c r="G205" i="29"/>
  <c r="F205" i="29"/>
  <c r="E205" i="29"/>
  <c r="G204" i="29"/>
  <c r="F204" i="29"/>
  <c r="E204" i="29"/>
  <c r="G203" i="29"/>
  <c r="F203" i="29"/>
  <c r="E203" i="29"/>
  <c r="G202" i="29"/>
  <c r="F202" i="29"/>
  <c r="E202" i="29"/>
  <c r="G201" i="29"/>
  <c r="F201" i="29"/>
  <c r="E201" i="29"/>
  <c r="G200" i="29"/>
  <c r="F200" i="29"/>
  <c r="E200" i="29"/>
  <c r="G199" i="29"/>
  <c r="F199" i="29"/>
  <c r="E199" i="29"/>
  <c r="G198" i="29"/>
  <c r="F198" i="29"/>
  <c r="E198" i="29"/>
  <c r="G197" i="29"/>
  <c r="F197" i="29"/>
  <c r="E197" i="29"/>
  <c r="G196" i="29"/>
  <c r="F196" i="29"/>
  <c r="E196" i="29"/>
  <c r="G195" i="29"/>
  <c r="F195" i="29"/>
  <c r="E195" i="29"/>
  <c r="G194" i="29"/>
  <c r="F194" i="29"/>
  <c r="E194" i="29"/>
  <c r="G193" i="29"/>
  <c r="F193" i="29"/>
  <c r="E193" i="29"/>
  <c r="G192" i="29"/>
  <c r="F192" i="29"/>
  <c r="E192" i="29"/>
  <c r="G191" i="29"/>
  <c r="F191" i="29"/>
  <c r="E191" i="29"/>
  <c r="G190" i="29"/>
  <c r="F190" i="29"/>
  <c r="E190" i="29"/>
  <c r="G189" i="29"/>
  <c r="F189" i="29"/>
  <c r="E189" i="29"/>
  <c r="G188" i="29"/>
  <c r="F188" i="29"/>
  <c r="E188" i="29"/>
  <c r="G187" i="29"/>
  <c r="F187" i="29"/>
  <c r="E187" i="29"/>
  <c r="G186" i="29"/>
  <c r="F186" i="29"/>
  <c r="E186" i="29"/>
  <c r="G185" i="29"/>
  <c r="F185" i="29"/>
  <c r="E185" i="29"/>
  <c r="G184" i="29"/>
  <c r="F184" i="29"/>
  <c r="E184" i="29"/>
  <c r="G183" i="29"/>
  <c r="F183" i="29"/>
  <c r="E183" i="29"/>
  <c r="G182" i="29"/>
  <c r="F182" i="29"/>
  <c r="E182" i="29"/>
  <c r="G181" i="29"/>
  <c r="F181" i="29"/>
  <c r="E181" i="29"/>
  <c r="G180" i="29"/>
  <c r="F180" i="29"/>
  <c r="E180" i="29"/>
  <c r="G179" i="29"/>
  <c r="F179" i="29"/>
  <c r="E179" i="29"/>
  <c r="G178" i="29"/>
  <c r="F178" i="29"/>
  <c r="E178" i="29"/>
  <c r="G177" i="29"/>
  <c r="F177" i="29"/>
  <c r="E177" i="29"/>
  <c r="G176" i="29"/>
  <c r="F176" i="29"/>
  <c r="E176" i="29"/>
  <c r="G175" i="29"/>
  <c r="F175" i="29"/>
  <c r="E175" i="29"/>
  <c r="G174" i="29"/>
  <c r="F174" i="29"/>
  <c r="E174" i="29"/>
  <c r="G173" i="29"/>
  <c r="F173" i="29"/>
  <c r="E173" i="29"/>
  <c r="G172" i="29"/>
  <c r="F172" i="29"/>
  <c r="E172" i="29"/>
  <c r="G171" i="29"/>
  <c r="F171" i="29"/>
  <c r="E171" i="29"/>
  <c r="G170" i="29"/>
  <c r="F170" i="29"/>
  <c r="E170" i="29"/>
  <c r="G169" i="29"/>
  <c r="F169" i="29"/>
  <c r="E169" i="29"/>
  <c r="G168" i="29"/>
  <c r="F168" i="29"/>
  <c r="E168" i="29"/>
  <c r="G167" i="29"/>
  <c r="F167" i="29"/>
  <c r="E167" i="29"/>
  <c r="G166" i="29"/>
  <c r="F166" i="29"/>
  <c r="E166" i="29"/>
  <c r="G165" i="29"/>
  <c r="F165" i="29"/>
  <c r="E165" i="29"/>
  <c r="G164" i="29"/>
  <c r="F164" i="29"/>
  <c r="E164" i="29"/>
  <c r="G163" i="29"/>
  <c r="F163" i="29"/>
  <c r="E163" i="29"/>
  <c r="G162" i="29"/>
  <c r="F162" i="29"/>
  <c r="E162" i="29"/>
  <c r="G161" i="29"/>
  <c r="F161" i="29"/>
  <c r="E161" i="29"/>
  <c r="G160" i="29"/>
  <c r="F160" i="29"/>
  <c r="E160" i="29"/>
  <c r="G159" i="29"/>
  <c r="F159" i="29"/>
  <c r="E159" i="29"/>
  <c r="G158" i="29"/>
  <c r="F158" i="29"/>
  <c r="E158" i="29"/>
  <c r="G157" i="29"/>
  <c r="F157" i="29"/>
  <c r="E157" i="29"/>
  <c r="G156" i="29"/>
  <c r="F156" i="29"/>
  <c r="E156" i="29"/>
  <c r="G155" i="29"/>
  <c r="F155" i="29"/>
  <c r="E155" i="29"/>
  <c r="G154" i="29"/>
  <c r="F154" i="29"/>
  <c r="E154" i="29"/>
  <c r="G153" i="29"/>
  <c r="F153" i="29"/>
  <c r="E153" i="29"/>
  <c r="G152" i="29"/>
  <c r="F152" i="29"/>
  <c r="E152" i="29"/>
  <c r="G151" i="29"/>
  <c r="F151" i="29"/>
  <c r="E151" i="29"/>
  <c r="G150" i="29"/>
  <c r="F150" i="29"/>
  <c r="E150" i="29"/>
  <c r="G149" i="29"/>
  <c r="F149" i="29"/>
  <c r="E149" i="29"/>
  <c r="G148" i="29"/>
  <c r="F148" i="29"/>
  <c r="E148" i="29"/>
  <c r="G147" i="29"/>
  <c r="F147" i="29"/>
  <c r="E147" i="29"/>
  <c r="G146" i="29"/>
  <c r="F146" i="29"/>
  <c r="E146" i="29"/>
  <c r="G145" i="29"/>
  <c r="F145" i="29"/>
  <c r="E145" i="29"/>
  <c r="G144" i="29"/>
  <c r="F144" i="29"/>
  <c r="E144" i="29"/>
  <c r="G143" i="29"/>
  <c r="F143" i="29"/>
  <c r="E143" i="29"/>
  <c r="G142" i="29"/>
  <c r="F142" i="29"/>
  <c r="E142" i="29"/>
  <c r="G141" i="29"/>
  <c r="F141" i="29"/>
  <c r="E141" i="29"/>
  <c r="G140" i="29"/>
  <c r="F140" i="29"/>
  <c r="E140" i="29"/>
  <c r="G139" i="29"/>
  <c r="F139" i="29"/>
  <c r="E139" i="29"/>
  <c r="G138" i="29"/>
  <c r="F138" i="29"/>
  <c r="E138" i="29"/>
  <c r="G137" i="29"/>
  <c r="F137" i="29"/>
  <c r="E137" i="29"/>
  <c r="G136" i="29"/>
  <c r="F136" i="29"/>
  <c r="E136" i="29"/>
  <c r="G135" i="29"/>
  <c r="F135" i="29"/>
  <c r="E135" i="29"/>
  <c r="G134" i="29"/>
  <c r="F134" i="29"/>
  <c r="E134" i="29"/>
  <c r="G133" i="29"/>
  <c r="F133" i="29"/>
  <c r="E133" i="29"/>
  <c r="G132" i="29"/>
  <c r="F132" i="29"/>
  <c r="E132" i="29"/>
  <c r="G131" i="29"/>
  <c r="F131" i="29"/>
  <c r="E131" i="29"/>
  <c r="G130" i="29"/>
  <c r="F130" i="29"/>
  <c r="E130" i="29"/>
  <c r="G129" i="29"/>
  <c r="F129" i="29"/>
  <c r="E129" i="29"/>
  <c r="G128" i="29"/>
  <c r="F128" i="29"/>
  <c r="E128" i="29"/>
  <c r="G127" i="29"/>
  <c r="F127" i="29"/>
  <c r="E127" i="29"/>
  <c r="G126" i="29"/>
  <c r="F126" i="29"/>
  <c r="E126" i="29"/>
  <c r="G125" i="29"/>
  <c r="F125" i="29"/>
  <c r="E125" i="29"/>
  <c r="G124" i="29"/>
  <c r="F124" i="29"/>
  <c r="E124" i="29"/>
  <c r="G123" i="29"/>
  <c r="F123" i="29"/>
  <c r="E123" i="29"/>
  <c r="G122" i="29"/>
  <c r="F122" i="29"/>
  <c r="E122" i="29"/>
  <c r="G121" i="29"/>
  <c r="F121" i="29"/>
  <c r="E121" i="29"/>
  <c r="G120" i="29"/>
  <c r="F120" i="29"/>
  <c r="E120" i="29"/>
  <c r="G119" i="29"/>
  <c r="F119" i="29"/>
  <c r="E119" i="29"/>
  <c r="G118" i="29"/>
  <c r="F118" i="29"/>
  <c r="E118" i="29"/>
  <c r="G117" i="29"/>
  <c r="F117" i="29"/>
  <c r="E117" i="29"/>
  <c r="G116" i="29"/>
  <c r="F116" i="29"/>
  <c r="E116" i="29"/>
  <c r="G115" i="29"/>
  <c r="F115" i="29"/>
  <c r="E115" i="29"/>
  <c r="G114" i="29"/>
  <c r="F114" i="29"/>
  <c r="E114" i="29"/>
  <c r="G113" i="29"/>
  <c r="F113" i="29"/>
  <c r="E113" i="29"/>
  <c r="G112" i="29"/>
  <c r="F112" i="29"/>
  <c r="E112" i="29"/>
  <c r="G111" i="29"/>
  <c r="F111" i="29"/>
  <c r="E111" i="29"/>
  <c r="G110" i="29"/>
  <c r="F110" i="29"/>
  <c r="E110" i="29"/>
  <c r="G109" i="29"/>
  <c r="F109" i="29"/>
  <c r="E109" i="29"/>
  <c r="G108" i="29"/>
  <c r="F108" i="29"/>
  <c r="E108" i="29"/>
  <c r="G107" i="29"/>
  <c r="F107" i="29"/>
  <c r="E107" i="29"/>
  <c r="G106" i="29"/>
  <c r="F106" i="29"/>
  <c r="E106" i="29"/>
  <c r="G105" i="29"/>
  <c r="F105" i="29"/>
  <c r="E105" i="29"/>
  <c r="G104" i="29"/>
  <c r="F104" i="29"/>
  <c r="E104" i="29"/>
  <c r="G103" i="29"/>
  <c r="F103" i="29"/>
  <c r="E103" i="29"/>
  <c r="G102" i="29"/>
  <c r="F102" i="29"/>
  <c r="E102" i="29"/>
  <c r="G101" i="29"/>
  <c r="F101" i="29"/>
  <c r="E101" i="29"/>
  <c r="G100" i="29"/>
  <c r="F100" i="29"/>
  <c r="E100" i="29"/>
  <c r="G99" i="29"/>
  <c r="F99" i="29"/>
  <c r="E99" i="29"/>
  <c r="G98" i="29"/>
  <c r="F98" i="29"/>
  <c r="E98" i="29"/>
  <c r="G97" i="29"/>
  <c r="F97" i="29"/>
  <c r="E97" i="29"/>
  <c r="G96" i="29"/>
  <c r="F96" i="29"/>
  <c r="E96" i="29"/>
  <c r="G95" i="29"/>
  <c r="F95" i="29"/>
  <c r="E95" i="29"/>
  <c r="G94" i="29"/>
  <c r="F94" i="29"/>
  <c r="E94" i="29"/>
  <c r="G93" i="29"/>
  <c r="F93" i="29"/>
  <c r="E93" i="29"/>
  <c r="G92" i="29"/>
  <c r="F92" i="29"/>
  <c r="E92" i="29"/>
  <c r="G91" i="29"/>
  <c r="F91" i="29"/>
  <c r="E91" i="29"/>
  <c r="G90" i="29"/>
  <c r="F90" i="29"/>
  <c r="E90" i="29"/>
  <c r="G89" i="29"/>
  <c r="F89" i="29"/>
  <c r="E89" i="29"/>
  <c r="G88" i="29"/>
  <c r="F88" i="29"/>
  <c r="E88" i="29"/>
  <c r="G87" i="29"/>
  <c r="F87" i="29"/>
  <c r="E87" i="29"/>
  <c r="G86" i="29"/>
  <c r="F86" i="29"/>
  <c r="E86" i="29"/>
  <c r="G85" i="29"/>
  <c r="F85" i="29"/>
  <c r="E85" i="29"/>
  <c r="G84" i="29"/>
  <c r="F84" i="29"/>
  <c r="E84" i="29"/>
  <c r="G83" i="29"/>
  <c r="F83" i="29"/>
  <c r="E83" i="29"/>
  <c r="G82" i="29"/>
  <c r="F82" i="29"/>
  <c r="E82" i="29"/>
  <c r="G81" i="29"/>
  <c r="F81" i="29"/>
  <c r="E81" i="29"/>
  <c r="G80" i="29"/>
  <c r="F80" i="29"/>
  <c r="E80" i="29"/>
  <c r="G79" i="29"/>
  <c r="F79" i="29"/>
  <c r="E79" i="29"/>
  <c r="G78" i="29"/>
  <c r="F78" i="29"/>
  <c r="E78" i="29"/>
  <c r="G77" i="29"/>
  <c r="F77" i="29"/>
  <c r="E77" i="29"/>
  <c r="G76" i="29"/>
  <c r="F76" i="29"/>
  <c r="E76" i="29"/>
  <c r="G75" i="29"/>
  <c r="F75" i="29"/>
  <c r="E75" i="29"/>
  <c r="G74" i="29"/>
  <c r="F74" i="29"/>
  <c r="E74" i="29"/>
  <c r="G73" i="29"/>
  <c r="F73" i="29"/>
  <c r="E73" i="29"/>
  <c r="G72" i="29"/>
  <c r="F72" i="29"/>
  <c r="E72" i="29"/>
  <c r="G71" i="29"/>
  <c r="F71" i="29"/>
  <c r="E71" i="29"/>
  <c r="G70" i="29"/>
  <c r="F70" i="29"/>
  <c r="E70" i="29"/>
  <c r="G69" i="29"/>
  <c r="F69" i="29"/>
  <c r="E69" i="29"/>
  <c r="G68" i="29"/>
  <c r="F68" i="29"/>
  <c r="E68" i="29"/>
  <c r="G67" i="29"/>
  <c r="F67" i="29"/>
  <c r="E67" i="29"/>
  <c r="G66" i="29"/>
  <c r="F66" i="29"/>
  <c r="E66" i="29"/>
  <c r="G65" i="29"/>
  <c r="F65" i="29"/>
  <c r="E65" i="29"/>
  <c r="G64" i="29"/>
  <c r="F64" i="29"/>
  <c r="E64" i="29"/>
  <c r="G63" i="29"/>
  <c r="F63" i="29"/>
  <c r="E63" i="29"/>
  <c r="G62" i="29"/>
  <c r="F62" i="29"/>
  <c r="E62" i="29"/>
  <c r="G61" i="29"/>
  <c r="F61" i="29"/>
  <c r="E61" i="29"/>
  <c r="G60" i="29"/>
  <c r="F60" i="29"/>
  <c r="E60" i="29"/>
  <c r="G59" i="29"/>
  <c r="F59" i="29"/>
  <c r="E59" i="29"/>
  <c r="G58" i="29"/>
  <c r="F58" i="29"/>
  <c r="E58" i="29"/>
  <c r="G57" i="29"/>
  <c r="F57" i="29"/>
  <c r="E57" i="29"/>
  <c r="G56" i="29"/>
  <c r="F56" i="29"/>
  <c r="E56" i="29"/>
  <c r="G55" i="29"/>
  <c r="F55" i="29"/>
  <c r="E55" i="29"/>
  <c r="G54" i="29"/>
  <c r="F54" i="29"/>
  <c r="E54" i="29"/>
  <c r="G53" i="29"/>
  <c r="F53" i="29"/>
  <c r="E53" i="29"/>
  <c r="G52" i="29"/>
  <c r="F52" i="29"/>
  <c r="E52" i="29"/>
  <c r="G51" i="29"/>
  <c r="F51" i="29"/>
  <c r="E51" i="29"/>
  <c r="G50" i="29"/>
  <c r="F50" i="29"/>
  <c r="E50" i="29"/>
  <c r="G49" i="29"/>
  <c r="F49" i="29"/>
  <c r="E49" i="29"/>
  <c r="G48" i="29"/>
  <c r="F48" i="29"/>
  <c r="E48" i="29"/>
  <c r="G47" i="29"/>
  <c r="F47" i="29"/>
  <c r="E47" i="29"/>
  <c r="G46" i="29"/>
  <c r="F46" i="29"/>
  <c r="E46" i="29"/>
  <c r="G45" i="29"/>
  <c r="F45" i="29"/>
  <c r="E45" i="29"/>
  <c r="G44" i="29"/>
  <c r="F44" i="29"/>
  <c r="E44" i="29"/>
  <c r="G43" i="29"/>
  <c r="F43" i="29"/>
  <c r="E43" i="29"/>
  <c r="G42" i="29"/>
  <c r="F42" i="29"/>
  <c r="E42" i="29"/>
  <c r="G41" i="29"/>
  <c r="F41" i="29"/>
  <c r="E41" i="29"/>
  <c r="G40" i="29"/>
  <c r="F40" i="29"/>
  <c r="E40" i="29"/>
  <c r="G39" i="29"/>
  <c r="F39" i="29"/>
  <c r="E39" i="29"/>
  <c r="G38" i="29"/>
  <c r="F38" i="29"/>
  <c r="E38" i="29"/>
  <c r="G37" i="29"/>
  <c r="F37" i="29"/>
  <c r="E37" i="29"/>
  <c r="G36" i="29"/>
  <c r="F36" i="29"/>
  <c r="E36" i="29"/>
  <c r="G35" i="29"/>
  <c r="F35" i="29"/>
  <c r="E35" i="29"/>
  <c r="G34" i="29"/>
  <c r="F34" i="29"/>
  <c r="E34" i="29"/>
  <c r="G33" i="29"/>
  <c r="F33" i="29"/>
  <c r="E33" i="29"/>
  <c r="G32" i="29"/>
  <c r="F32" i="29"/>
  <c r="E32" i="29"/>
  <c r="G31" i="29"/>
  <c r="F31" i="29"/>
  <c r="E31" i="29"/>
  <c r="G30" i="29"/>
  <c r="F30" i="29"/>
  <c r="E30" i="29"/>
  <c r="G29" i="29"/>
  <c r="F29" i="29"/>
  <c r="E29" i="29"/>
  <c r="G28" i="29"/>
  <c r="F28" i="29"/>
  <c r="E28" i="29"/>
  <c r="G27" i="29"/>
  <c r="F27" i="29"/>
  <c r="E27" i="29"/>
  <c r="G26" i="29"/>
  <c r="F26" i="29"/>
  <c r="E26" i="29"/>
  <c r="G25" i="29"/>
  <c r="F25" i="29"/>
  <c r="E25" i="29"/>
  <c r="G24" i="29"/>
  <c r="F24" i="29"/>
  <c r="E24" i="29"/>
  <c r="G23" i="29"/>
  <c r="F23" i="29"/>
  <c r="E23" i="29"/>
  <c r="G22" i="29"/>
  <c r="F22" i="29"/>
  <c r="E22" i="29"/>
  <c r="G21" i="29"/>
  <c r="F21" i="29"/>
  <c r="E21" i="29"/>
  <c r="G20" i="29"/>
  <c r="F20" i="29"/>
  <c r="E20" i="29"/>
  <c r="G19" i="29"/>
  <c r="F19" i="29"/>
  <c r="E19" i="29"/>
  <c r="G18" i="29"/>
  <c r="F18" i="29"/>
  <c r="E18" i="29"/>
  <c r="G17" i="29"/>
  <c r="F17" i="29"/>
  <c r="E17" i="29"/>
  <c r="G16" i="29"/>
  <c r="F16" i="29"/>
  <c r="E16" i="29"/>
  <c r="G15" i="29"/>
  <c r="F15" i="29"/>
  <c r="E15" i="29"/>
  <c r="G14" i="29"/>
  <c r="F14" i="29"/>
  <c r="E14" i="29"/>
  <c r="G13" i="29"/>
  <c r="F13" i="29"/>
  <c r="E13" i="29"/>
  <c r="G12" i="29"/>
  <c r="F12" i="29"/>
  <c r="E12" i="29"/>
  <c r="G11" i="29"/>
  <c r="F11" i="29"/>
  <c r="E11" i="29"/>
  <c r="G10" i="29"/>
  <c r="F10" i="29"/>
  <c r="E10" i="29"/>
  <c r="G9" i="29"/>
  <c r="F9" i="29"/>
  <c r="E9" i="29"/>
  <c r="G8" i="29"/>
  <c r="F8" i="29"/>
  <c r="E8" i="29"/>
  <c r="G7" i="29"/>
  <c r="F7" i="29"/>
  <c r="E7" i="29"/>
  <c r="G6" i="29"/>
  <c r="F6" i="29"/>
  <c r="E6" i="29"/>
  <c r="G5" i="29"/>
  <c r="F5" i="29"/>
  <c r="E5" i="29"/>
  <c r="G4" i="29"/>
  <c r="F4" i="29"/>
  <c r="E4" i="29"/>
  <c r="G3" i="29"/>
  <c r="F3" i="29"/>
  <c r="E3" i="29"/>
</calcChain>
</file>

<file path=xl/sharedStrings.xml><?xml version="1.0" encoding="utf-8"?>
<sst xmlns="http://schemas.openxmlformats.org/spreadsheetml/2006/main" count="203" uniqueCount="40">
  <si>
    <t>CWRS</t>
  </si>
  <si>
    <t>Low protein</t>
  </si>
  <si>
    <t>Soft wheat</t>
  </si>
  <si>
    <t>Order quantity</t>
  </si>
  <si>
    <t>TCA</t>
  </si>
  <si>
    <t>Warri</t>
  </si>
  <si>
    <t>PH</t>
  </si>
  <si>
    <t>TCB</t>
  </si>
  <si>
    <t>Beachland</t>
  </si>
  <si>
    <t>Month</t>
  </si>
  <si>
    <t>Calabar</t>
  </si>
  <si>
    <t>Apapa</t>
  </si>
  <si>
    <t>Ikorodu</t>
  </si>
  <si>
    <t>Ilorin</t>
  </si>
  <si>
    <t>Kano</t>
  </si>
  <si>
    <t>Required quantity</t>
  </si>
  <si>
    <t>Received quantity</t>
  </si>
  <si>
    <t>CWRS - Demand</t>
  </si>
  <si>
    <t>CWRS - Inventory position</t>
  </si>
  <si>
    <t>CWRS - Days of inventory</t>
  </si>
  <si>
    <t>Low protein - Demand</t>
  </si>
  <si>
    <t>Low protein - Inventory position</t>
  </si>
  <si>
    <t>Low protein - Days of inventory</t>
  </si>
  <si>
    <t>Soft wheat - Demand</t>
  </si>
  <si>
    <t>Soft wheat - Inventory position</t>
  </si>
  <si>
    <t>Soft wheat - Days of inventory</t>
  </si>
  <si>
    <t>CWRS - Actuals</t>
  </si>
  <si>
    <t>Low protein - Actuals</t>
  </si>
  <si>
    <t>Soft wheat - Actuals</t>
  </si>
  <si>
    <t>Order Quantity</t>
  </si>
  <si>
    <t>Port</t>
  </si>
  <si>
    <t>Lagos</t>
  </si>
  <si>
    <t>Port 4</t>
  </si>
  <si>
    <t>Port 5</t>
  </si>
  <si>
    <t>Plant</t>
  </si>
  <si>
    <t>Discharge duration (days)</t>
  </si>
  <si>
    <t>Sailing duration to next port (days)</t>
  </si>
  <si>
    <t>NA</t>
  </si>
  <si>
    <t>Discharge start day</t>
  </si>
  <si>
    <t>DOI Threshold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</si>
</sst>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1" xfId="0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17" fontId="0" fillId="0" borderId="0" xfId="0" applyNumberFormat="1"/>
    <xf numFmtId="17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/>
    </xf>
    <xf numFmtId="0" fontId="0" fillId="0" borderId="0" xfId="0" applyFill="1"/>
    <xf numFmtId="0" fontId="1" fillId="5" borderId="2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" fontId="0" fillId="0" borderId="1" xfId="0" applyNumberFormat="1" applyFill="1" applyBorder="1" applyAlignment="1">
      <alignment horizontal="center" vertical="center"/>
    </xf>
    <xf numFmtId="1" fontId="0" fillId="0" borderId="7" xfId="0" applyNumberForma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6" borderId="3" xfId="0" applyFont="1" applyFill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0" fontId="1" fillId="7" borderId="4" xfId="0" applyFont="1" applyFill="1" applyBorder="1" applyAlignment="1">
      <alignment horizontal="center" vertical="center"/>
    </xf>
    <xf numFmtId="0" fontId="1" fillId="7" borderId="5" xfId="0" applyFont="1" applyFill="1" applyBorder="1" applyAlignment="1">
      <alignment horizontal="center" vertical="center"/>
    </xf>
    <xf numFmtId="0" fontId="1" fillId="7" borderId="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17" fontId="1" fillId="3" borderId="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200024</xdr:colOff>
      <xdr:row>0</xdr:row>
      <xdr:rowOff>19050</xdr:rowOff>
    </xdr:from>
    <xdr:to>
      <xdr:col>0</xdr:col>
      <xdr:colOff>1085850</xdr:colOff>
      <xdr:row>0</xdr:row>
      <xdr:rowOff>161925</xdr:rowOff>
    </xdr:to>
    <xdr:sp macro="[0]!inventor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3A37B9A-2CA8-476B-AAAD-0478C7BE0326}"/>
            </a:ext>
          </a:extLst>
        </xdr:cNvPr>
        <xdr:cNvSpPr/>
      </xdr:nvSpPr>
      <xdr:spPr>
        <a:xfrm>
          <a:off x="200024" y="19050"/>
          <a:ext cx="885826" cy="1428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/>
            <a:t>Update DOI</a:t>
          </a:r>
        </a:p>
      </xdr:txBody>
    </xdr:sp>
    <xdr:clientData/>
  </xdr:twoCellAnchor>
  <xdr:twoCellAnchor>
    <xdr:from>
      <xdr:col>5</xdr:col>
      <xdr:colOff>847724</xdr:colOff>
      <xdr:row>0</xdr:row>
      <xdr:rowOff>9525</xdr:rowOff>
    </xdr:from>
    <xdr:to>
      <xdr:col>6</xdr:col>
      <xdr:colOff>847725</xdr:colOff>
      <xdr:row>0</xdr:row>
      <xdr:rowOff>180975</xdr:rowOff>
    </xdr:to>
    <xdr:sp macro="[0]!Suggesti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BA7CE1E-FBD4-4274-82E7-987E3461B5FD}"/>
            </a:ext>
          </a:extLst>
        </xdr:cNvPr>
        <xdr:cNvSpPr/>
      </xdr:nvSpPr>
      <xdr:spPr>
        <a:xfrm>
          <a:off x="2771774" y="9525"/>
          <a:ext cx="866776" cy="171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/>
            <a:t>Get plan</a:t>
          </a:r>
        </a:p>
      </xdr:txBody>
    </xdr:sp>
    <xdr:clientData/>
  </xdr:twoCellAnchor>
  <xdr:twoCellAnchor>
    <xdr:from>
      <xdr:col>9</xdr:col>
      <xdr:colOff>19050</xdr:colOff>
      <xdr:row>0</xdr:row>
      <xdr:rowOff>9525</xdr:rowOff>
    </xdr:from>
    <xdr:to>
      <xdr:col>10</xdr:col>
      <xdr:colOff>0</xdr:colOff>
      <xdr:row>1</xdr:row>
      <xdr:rowOff>9525</xdr:rowOff>
    </xdr:to>
    <xdr:sp macro="[0]!actual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587B619-C09B-4CA4-9394-53C23769DFD7}"/>
            </a:ext>
          </a:extLst>
        </xdr:cNvPr>
        <xdr:cNvSpPr/>
      </xdr:nvSpPr>
      <xdr:spPr>
        <a:xfrm>
          <a:off x="5067300" y="9525"/>
          <a:ext cx="790575" cy="190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/>
            <a:t>Revise plan</a:t>
          </a:r>
        </a:p>
      </xdr:txBody>
    </xdr:sp>
    <xdr:clientData/>
  </xdr:twoCellAnchor>
  <xdr:twoCellAnchor>
    <xdr:from>
      <xdr:col>0</xdr:col>
      <xdr:colOff>323850</xdr:colOff>
      <xdr:row>1</xdr:row>
      <xdr:rowOff>1</xdr:rowOff>
    </xdr:from>
    <xdr:to>
      <xdr:col>0</xdr:col>
      <xdr:colOff>1000125</xdr:colOff>
      <xdr:row>1</xdr:row>
      <xdr:rowOff>228601</xdr:rowOff>
    </xdr:to>
    <xdr:sp macro="[0]!rollback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B2AD7BA9-A674-427F-8DF7-C930060FA33D}"/>
            </a:ext>
          </a:extLst>
        </xdr:cNvPr>
        <xdr:cNvSpPr/>
      </xdr:nvSpPr>
      <xdr:spPr>
        <a:xfrm>
          <a:off x="323850" y="190501"/>
          <a:ext cx="676275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rollback</a:t>
          </a:r>
        </a:p>
      </xdr:txBody>
    </xdr:sp>
    <xdr:clientData/>
  </xdr:twoCellAnchor>
  <xdr:oneCellAnchor>
    <xdr:from>
      <xdr:col>11</xdr:col>
      <xdr:colOff>374359</xdr:colOff>
      <xdr:row>9</xdr:row>
      <xdr:rowOff>126498</xdr:rowOff>
    </xdr:from>
    <xdr:ext cx="184731" cy="937629"/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E268AF5-6F4E-435C-89A9-C301E6F8D24D}"/>
            </a:ext>
          </a:extLst>
        </xdr:cNvPr>
        <xdr:cNvSpPr/>
      </xdr:nvSpPr>
      <xdr:spPr>
        <a:xfrm>
          <a:off x="6841834" y="1898148"/>
          <a:ext cx="184731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en-US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nventory%20optimization%20work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ggplan_p1to5"/>
      <sheetName val="Sheet1"/>
      <sheetName val="Sheet2"/>
      <sheetName val="Parameters"/>
      <sheetName val="Sheet1 - C"/>
      <sheetName val="Repl"/>
    </sheetNames>
    <sheetDataSet>
      <sheetData sheetId="0"/>
      <sheetData sheetId="1"/>
      <sheetData sheetId="2">
        <row r="2">
          <cell r="N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AJ2">
            <v>127</v>
          </cell>
          <cell r="AK2">
            <v>58</v>
          </cell>
          <cell r="AL2">
            <v>999999</v>
          </cell>
          <cell r="AM2">
            <v>365</v>
          </cell>
          <cell r="AN2">
            <v>365</v>
          </cell>
          <cell r="AO2">
            <v>365</v>
          </cell>
          <cell r="AP2">
            <v>110</v>
          </cell>
          <cell r="AQ2">
            <v>241</v>
          </cell>
          <cell r="AR2">
            <v>365</v>
          </cell>
          <cell r="AS2">
            <v>297</v>
          </cell>
          <cell r="BE2">
            <v>0</v>
          </cell>
          <cell r="BG2">
            <v>0</v>
          </cell>
          <cell r="BH2">
            <v>0</v>
          </cell>
          <cell r="BI2">
            <v>0</v>
          </cell>
          <cell r="BJ2">
            <v>0</v>
          </cell>
          <cell r="BK2">
            <v>0</v>
          </cell>
          <cell r="BL2">
            <v>0</v>
          </cell>
          <cell r="BM2">
            <v>0</v>
          </cell>
          <cell r="BN2">
            <v>0</v>
          </cell>
          <cell r="BO2">
            <v>0</v>
          </cell>
          <cell r="BP2">
            <v>0</v>
          </cell>
          <cell r="CA2">
            <v>218979</v>
          </cell>
          <cell r="CB2">
            <v>287</v>
          </cell>
          <cell r="CC2">
            <v>365</v>
          </cell>
          <cell r="CD2">
            <v>365</v>
          </cell>
          <cell r="CE2">
            <v>327</v>
          </cell>
          <cell r="CF2">
            <v>365</v>
          </cell>
          <cell r="CG2">
            <v>259</v>
          </cell>
          <cell r="CH2">
            <v>365</v>
          </cell>
          <cell r="CI2">
            <v>365</v>
          </cell>
          <cell r="CJ2">
            <v>365</v>
          </cell>
          <cell r="CV2">
            <v>0</v>
          </cell>
          <cell r="CX2">
            <v>0</v>
          </cell>
          <cell r="CY2">
            <v>0</v>
          </cell>
          <cell r="CZ2">
            <v>0</v>
          </cell>
          <cell r="DA2">
            <v>0</v>
          </cell>
          <cell r="DB2">
            <v>0</v>
          </cell>
          <cell r="DC2">
            <v>0</v>
          </cell>
          <cell r="DD2">
            <v>0</v>
          </cell>
          <cell r="DE2">
            <v>0</v>
          </cell>
          <cell r="DF2">
            <v>0</v>
          </cell>
          <cell r="DG2">
            <v>0</v>
          </cell>
          <cell r="DR2">
            <v>73103</v>
          </cell>
          <cell r="DS2">
            <v>365</v>
          </cell>
          <cell r="DT2">
            <v>365</v>
          </cell>
          <cell r="DU2">
            <v>999999</v>
          </cell>
          <cell r="DV2">
            <v>999999</v>
          </cell>
          <cell r="DW2">
            <v>999999</v>
          </cell>
          <cell r="DX2">
            <v>365</v>
          </cell>
          <cell r="DY2">
            <v>365</v>
          </cell>
          <cell r="DZ2">
            <v>999999</v>
          </cell>
          <cell r="EA2">
            <v>999999</v>
          </cell>
        </row>
        <row r="3">
          <cell r="N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AJ3">
            <v>126</v>
          </cell>
          <cell r="AK3">
            <v>57</v>
          </cell>
          <cell r="AL3">
            <v>999999</v>
          </cell>
          <cell r="AM3">
            <v>364</v>
          </cell>
          <cell r="AN3">
            <v>364</v>
          </cell>
          <cell r="AO3">
            <v>364</v>
          </cell>
          <cell r="AP3">
            <v>109</v>
          </cell>
          <cell r="AQ3">
            <v>240</v>
          </cell>
          <cell r="AR3">
            <v>364</v>
          </cell>
          <cell r="AS3">
            <v>296</v>
          </cell>
          <cell r="BE3">
            <v>0</v>
          </cell>
          <cell r="BG3" t="str">
            <v>Rus</v>
          </cell>
          <cell r="BH3">
            <v>0</v>
          </cell>
          <cell r="BI3">
            <v>0</v>
          </cell>
          <cell r="BJ3">
            <v>0</v>
          </cell>
          <cell r="BK3">
            <v>0</v>
          </cell>
          <cell r="BL3">
            <v>0</v>
          </cell>
          <cell r="BM3">
            <v>0</v>
          </cell>
          <cell r="BN3">
            <v>0</v>
          </cell>
          <cell r="BO3">
            <v>0</v>
          </cell>
          <cell r="BP3">
            <v>0</v>
          </cell>
          <cell r="CA3">
            <v>218559.64516129033</v>
          </cell>
          <cell r="CB3">
            <v>286</v>
          </cell>
          <cell r="CC3">
            <v>364</v>
          </cell>
          <cell r="CD3">
            <v>364</v>
          </cell>
          <cell r="CE3">
            <v>326</v>
          </cell>
          <cell r="CF3">
            <v>364</v>
          </cell>
          <cell r="CG3">
            <v>258</v>
          </cell>
          <cell r="CH3">
            <v>364</v>
          </cell>
          <cell r="CI3">
            <v>364</v>
          </cell>
          <cell r="CJ3">
            <v>364</v>
          </cell>
          <cell r="CV3">
            <v>271.83622828784121</v>
          </cell>
          <cell r="CX3">
            <v>50000</v>
          </cell>
          <cell r="CY3">
            <v>0</v>
          </cell>
          <cell r="CZ3">
            <v>0</v>
          </cell>
          <cell r="DA3">
            <v>0</v>
          </cell>
          <cell r="DB3">
            <v>0</v>
          </cell>
          <cell r="DC3">
            <v>0</v>
          </cell>
          <cell r="DD3">
            <v>0</v>
          </cell>
          <cell r="DE3">
            <v>0</v>
          </cell>
          <cell r="DF3">
            <v>0</v>
          </cell>
          <cell r="DG3">
            <v>0</v>
          </cell>
          <cell r="DR3">
            <v>73103</v>
          </cell>
          <cell r="DS3">
            <v>364</v>
          </cell>
          <cell r="DT3">
            <v>364</v>
          </cell>
          <cell r="DU3">
            <v>999999</v>
          </cell>
          <cell r="DV3">
            <v>999999</v>
          </cell>
          <cell r="DW3">
            <v>999999</v>
          </cell>
          <cell r="DX3">
            <v>364</v>
          </cell>
          <cell r="DY3">
            <v>364</v>
          </cell>
          <cell r="DZ3">
            <v>999999</v>
          </cell>
          <cell r="EA3">
            <v>999999</v>
          </cell>
        </row>
        <row r="4">
          <cell r="N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AJ4">
            <v>125</v>
          </cell>
          <cell r="AK4">
            <v>56</v>
          </cell>
          <cell r="AL4">
            <v>999999</v>
          </cell>
          <cell r="AM4">
            <v>363</v>
          </cell>
          <cell r="AN4">
            <v>363</v>
          </cell>
          <cell r="AO4">
            <v>363</v>
          </cell>
          <cell r="AP4">
            <v>108</v>
          </cell>
          <cell r="AQ4">
            <v>239</v>
          </cell>
          <cell r="AR4">
            <v>363</v>
          </cell>
          <cell r="AS4">
            <v>295</v>
          </cell>
          <cell r="BE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  <cell r="BP4">
            <v>0</v>
          </cell>
          <cell r="CA4">
            <v>218140.29032258067</v>
          </cell>
          <cell r="CB4">
            <v>285</v>
          </cell>
          <cell r="CC4">
            <v>363</v>
          </cell>
          <cell r="CD4">
            <v>363</v>
          </cell>
          <cell r="CE4">
            <v>325</v>
          </cell>
          <cell r="CF4">
            <v>363</v>
          </cell>
          <cell r="CG4">
            <v>257</v>
          </cell>
          <cell r="CH4">
            <v>363</v>
          </cell>
          <cell r="CI4">
            <v>363</v>
          </cell>
          <cell r="CJ4">
            <v>363</v>
          </cell>
          <cell r="CV4">
            <v>271.83622828784121</v>
          </cell>
          <cell r="CX4">
            <v>0</v>
          </cell>
          <cell r="CY4">
            <v>0</v>
          </cell>
          <cell r="CZ4">
            <v>0</v>
          </cell>
          <cell r="DA4">
            <v>0</v>
          </cell>
          <cell r="DB4">
            <v>0</v>
          </cell>
          <cell r="DC4">
            <v>0</v>
          </cell>
          <cell r="DD4">
            <v>0</v>
          </cell>
          <cell r="DE4">
            <v>0</v>
          </cell>
          <cell r="DF4">
            <v>0</v>
          </cell>
          <cell r="DG4">
            <v>0</v>
          </cell>
          <cell r="DR4">
            <v>73103</v>
          </cell>
          <cell r="DS4">
            <v>363</v>
          </cell>
          <cell r="DT4">
            <v>363</v>
          </cell>
          <cell r="DU4">
            <v>999999</v>
          </cell>
          <cell r="DV4">
            <v>999999</v>
          </cell>
          <cell r="DW4">
            <v>999999</v>
          </cell>
          <cell r="DX4">
            <v>363</v>
          </cell>
          <cell r="DY4">
            <v>363</v>
          </cell>
          <cell r="DZ4">
            <v>999999</v>
          </cell>
          <cell r="EA4">
            <v>999999</v>
          </cell>
        </row>
        <row r="5">
          <cell r="N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AJ5">
            <v>124</v>
          </cell>
          <cell r="AK5">
            <v>55</v>
          </cell>
          <cell r="AL5">
            <v>999999</v>
          </cell>
          <cell r="AM5">
            <v>362</v>
          </cell>
          <cell r="AN5">
            <v>362</v>
          </cell>
          <cell r="AO5">
            <v>362</v>
          </cell>
          <cell r="AP5">
            <v>107</v>
          </cell>
          <cell r="AQ5">
            <v>238</v>
          </cell>
          <cell r="AR5">
            <v>362</v>
          </cell>
          <cell r="AS5">
            <v>294</v>
          </cell>
          <cell r="BE5">
            <v>0</v>
          </cell>
          <cell r="BG5">
            <v>0</v>
          </cell>
          <cell r="BH5">
            <v>0</v>
          </cell>
          <cell r="BI5">
            <v>0</v>
          </cell>
          <cell r="BJ5">
            <v>0</v>
          </cell>
          <cell r="BK5">
            <v>0</v>
          </cell>
          <cell r="BL5">
            <v>0</v>
          </cell>
          <cell r="BM5">
            <v>0</v>
          </cell>
          <cell r="BN5">
            <v>0</v>
          </cell>
          <cell r="BO5">
            <v>0</v>
          </cell>
          <cell r="BP5">
            <v>0</v>
          </cell>
          <cell r="CA5">
            <v>217720.935483871</v>
          </cell>
          <cell r="CB5">
            <v>284</v>
          </cell>
          <cell r="CC5">
            <v>362</v>
          </cell>
          <cell r="CD5">
            <v>362</v>
          </cell>
          <cell r="CE5">
            <v>324</v>
          </cell>
          <cell r="CF5">
            <v>362</v>
          </cell>
          <cell r="CG5">
            <v>256</v>
          </cell>
          <cell r="CH5">
            <v>362</v>
          </cell>
          <cell r="CI5">
            <v>362</v>
          </cell>
          <cell r="CJ5">
            <v>362</v>
          </cell>
          <cell r="CV5">
            <v>271.83622828784121</v>
          </cell>
          <cell r="CX5">
            <v>0</v>
          </cell>
          <cell r="CY5">
            <v>0</v>
          </cell>
          <cell r="CZ5">
            <v>0</v>
          </cell>
          <cell r="DA5">
            <v>0</v>
          </cell>
          <cell r="DB5">
            <v>0</v>
          </cell>
          <cell r="DC5">
            <v>0</v>
          </cell>
          <cell r="DD5">
            <v>0</v>
          </cell>
          <cell r="DE5">
            <v>0</v>
          </cell>
          <cell r="DF5">
            <v>0</v>
          </cell>
          <cell r="DG5">
            <v>0</v>
          </cell>
          <cell r="DR5">
            <v>73103</v>
          </cell>
          <cell r="DS5">
            <v>362</v>
          </cell>
          <cell r="DT5">
            <v>362</v>
          </cell>
          <cell r="DU5">
            <v>999999</v>
          </cell>
          <cell r="DV5">
            <v>999999</v>
          </cell>
          <cell r="DW5">
            <v>999999</v>
          </cell>
          <cell r="DX5">
            <v>362</v>
          </cell>
          <cell r="DY5">
            <v>362</v>
          </cell>
          <cell r="DZ5">
            <v>999999</v>
          </cell>
          <cell r="EA5">
            <v>999999</v>
          </cell>
        </row>
        <row r="6">
          <cell r="N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AJ6">
            <v>123</v>
          </cell>
          <cell r="AK6">
            <v>54</v>
          </cell>
          <cell r="AL6">
            <v>999999</v>
          </cell>
          <cell r="AM6">
            <v>361</v>
          </cell>
          <cell r="AN6">
            <v>361</v>
          </cell>
          <cell r="AO6">
            <v>361</v>
          </cell>
          <cell r="AP6">
            <v>106</v>
          </cell>
          <cell r="AQ6">
            <v>237</v>
          </cell>
          <cell r="AR6">
            <v>361</v>
          </cell>
          <cell r="AS6">
            <v>293</v>
          </cell>
          <cell r="BE6">
            <v>0</v>
          </cell>
          <cell r="BG6">
            <v>0</v>
          </cell>
          <cell r="BH6">
            <v>0</v>
          </cell>
          <cell r="BI6">
            <v>0</v>
          </cell>
          <cell r="BJ6">
            <v>0</v>
          </cell>
          <cell r="BK6">
            <v>0</v>
          </cell>
          <cell r="BL6">
            <v>0</v>
          </cell>
          <cell r="BM6">
            <v>0</v>
          </cell>
          <cell r="BN6">
            <v>0</v>
          </cell>
          <cell r="BO6">
            <v>0</v>
          </cell>
          <cell r="BP6">
            <v>0</v>
          </cell>
          <cell r="CA6">
            <v>217301.58064516133</v>
          </cell>
          <cell r="CB6">
            <v>283</v>
          </cell>
          <cell r="CC6">
            <v>361</v>
          </cell>
          <cell r="CD6">
            <v>361</v>
          </cell>
          <cell r="CE6">
            <v>323</v>
          </cell>
          <cell r="CF6">
            <v>361</v>
          </cell>
          <cell r="CG6">
            <v>255</v>
          </cell>
          <cell r="CH6">
            <v>361</v>
          </cell>
          <cell r="CI6">
            <v>361</v>
          </cell>
          <cell r="CJ6">
            <v>361</v>
          </cell>
          <cell r="CV6">
            <v>271.83622828784121</v>
          </cell>
          <cell r="CX6">
            <v>0</v>
          </cell>
          <cell r="CY6">
            <v>0</v>
          </cell>
          <cell r="CZ6">
            <v>0</v>
          </cell>
          <cell r="DA6">
            <v>0</v>
          </cell>
          <cell r="DB6">
            <v>0</v>
          </cell>
          <cell r="DC6">
            <v>0</v>
          </cell>
          <cell r="DD6">
            <v>0</v>
          </cell>
          <cell r="DE6">
            <v>0</v>
          </cell>
          <cell r="DF6">
            <v>0</v>
          </cell>
          <cell r="DG6">
            <v>0</v>
          </cell>
          <cell r="DR6">
            <v>73103</v>
          </cell>
          <cell r="DS6">
            <v>361</v>
          </cell>
          <cell r="DT6">
            <v>361</v>
          </cell>
          <cell r="DU6">
            <v>999999</v>
          </cell>
          <cell r="DV6">
            <v>999999</v>
          </cell>
          <cell r="DW6">
            <v>999999</v>
          </cell>
          <cell r="DX6">
            <v>361</v>
          </cell>
          <cell r="DY6">
            <v>361</v>
          </cell>
          <cell r="DZ6">
            <v>999999</v>
          </cell>
          <cell r="EA6">
            <v>999999</v>
          </cell>
        </row>
        <row r="7">
          <cell r="N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AJ7">
            <v>122</v>
          </cell>
          <cell r="AK7">
            <v>53</v>
          </cell>
          <cell r="AL7">
            <v>999999</v>
          </cell>
          <cell r="AM7">
            <v>360</v>
          </cell>
          <cell r="AN7">
            <v>360</v>
          </cell>
          <cell r="AO7">
            <v>360</v>
          </cell>
          <cell r="AP7">
            <v>105</v>
          </cell>
          <cell r="AQ7">
            <v>236</v>
          </cell>
          <cell r="AR7">
            <v>360</v>
          </cell>
          <cell r="AS7">
            <v>292</v>
          </cell>
          <cell r="BE7">
            <v>0</v>
          </cell>
          <cell r="BG7">
            <v>0</v>
          </cell>
          <cell r="BH7">
            <v>0</v>
          </cell>
          <cell r="BI7">
            <v>0</v>
          </cell>
          <cell r="BJ7">
            <v>0</v>
          </cell>
          <cell r="BK7">
            <v>0</v>
          </cell>
          <cell r="BL7">
            <v>0</v>
          </cell>
          <cell r="BM7">
            <v>0</v>
          </cell>
          <cell r="BN7">
            <v>0</v>
          </cell>
          <cell r="BO7">
            <v>0</v>
          </cell>
          <cell r="BP7">
            <v>0</v>
          </cell>
          <cell r="CA7">
            <v>216882.22580645166</v>
          </cell>
          <cell r="CB7">
            <v>282</v>
          </cell>
          <cell r="CC7">
            <v>360</v>
          </cell>
          <cell r="CD7">
            <v>360</v>
          </cell>
          <cell r="CE7">
            <v>322</v>
          </cell>
          <cell r="CF7">
            <v>360</v>
          </cell>
          <cell r="CG7">
            <v>254</v>
          </cell>
          <cell r="CH7">
            <v>360</v>
          </cell>
          <cell r="CI7">
            <v>360</v>
          </cell>
          <cell r="CJ7">
            <v>360</v>
          </cell>
          <cell r="CV7">
            <v>271.83622828784121</v>
          </cell>
          <cell r="CX7">
            <v>0</v>
          </cell>
          <cell r="CY7">
            <v>0</v>
          </cell>
          <cell r="CZ7">
            <v>0</v>
          </cell>
          <cell r="DA7">
            <v>0</v>
          </cell>
          <cell r="DB7">
            <v>0</v>
          </cell>
          <cell r="DC7">
            <v>0</v>
          </cell>
          <cell r="DD7">
            <v>0</v>
          </cell>
          <cell r="DE7">
            <v>0</v>
          </cell>
          <cell r="DF7">
            <v>0</v>
          </cell>
          <cell r="DG7">
            <v>0</v>
          </cell>
          <cell r="DR7">
            <v>73103</v>
          </cell>
          <cell r="DS7">
            <v>360</v>
          </cell>
          <cell r="DT7">
            <v>360</v>
          </cell>
          <cell r="DU7">
            <v>999999</v>
          </cell>
          <cell r="DV7">
            <v>999999</v>
          </cell>
          <cell r="DW7">
            <v>999999</v>
          </cell>
          <cell r="DX7">
            <v>360</v>
          </cell>
          <cell r="DY7">
            <v>360</v>
          </cell>
          <cell r="DZ7">
            <v>999999</v>
          </cell>
          <cell r="EA7">
            <v>999999</v>
          </cell>
        </row>
        <row r="8">
          <cell r="N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AJ8">
            <v>121</v>
          </cell>
          <cell r="AK8">
            <v>52</v>
          </cell>
          <cell r="AL8">
            <v>999999</v>
          </cell>
          <cell r="AM8">
            <v>359</v>
          </cell>
          <cell r="AN8">
            <v>359</v>
          </cell>
          <cell r="AO8">
            <v>359</v>
          </cell>
          <cell r="AP8">
            <v>104</v>
          </cell>
          <cell r="AQ8">
            <v>235</v>
          </cell>
          <cell r="AR8">
            <v>359</v>
          </cell>
          <cell r="AS8">
            <v>291</v>
          </cell>
          <cell r="BE8">
            <v>0</v>
          </cell>
          <cell r="BG8">
            <v>0</v>
          </cell>
          <cell r="BH8">
            <v>0</v>
          </cell>
          <cell r="BI8">
            <v>0</v>
          </cell>
          <cell r="BJ8">
            <v>0</v>
          </cell>
          <cell r="BK8">
            <v>0</v>
          </cell>
          <cell r="BL8">
            <v>0</v>
          </cell>
          <cell r="BM8">
            <v>0</v>
          </cell>
          <cell r="BN8">
            <v>0</v>
          </cell>
          <cell r="BO8">
            <v>0</v>
          </cell>
          <cell r="BP8">
            <v>0</v>
          </cell>
          <cell r="CA8">
            <v>216462.870967742</v>
          </cell>
          <cell r="CB8">
            <v>281</v>
          </cell>
          <cell r="CC8">
            <v>359</v>
          </cell>
          <cell r="CD8">
            <v>359</v>
          </cell>
          <cell r="CE8">
            <v>321</v>
          </cell>
          <cell r="CF8">
            <v>359</v>
          </cell>
          <cell r="CG8">
            <v>253</v>
          </cell>
          <cell r="CH8">
            <v>359</v>
          </cell>
          <cell r="CI8">
            <v>359</v>
          </cell>
          <cell r="CJ8">
            <v>359</v>
          </cell>
          <cell r="CV8">
            <v>271.83622828784121</v>
          </cell>
          <cell r="CX8">
            <v>0</v>
          </cell>
          <cell r="CY8">
            <v>0</v>
          </cell>
          <cell r="CZ8">
            <v>0</v>
          </cell>
          <cell r="DA8">
            <v>0</v>
          </cell>
          <cell r="DB8">
            <v>0</v>
          </cell>
          <cell r="DC8">
            <v>0</v>
          </cell>
          <cell r="DD8">
            <v>0</v>
          </cell>
          <cell r="DE8">
            <v>0</v>
          </cell>
          <cell r="DF8">
            <v>0</v>
          </cell>
          <cell r="DG8">
            <v>0</v>
          </cell>
          <cell r="DR8">
            <v>73103</v>
          </cell>
          <cell r="DS8">
            <v>359</v>
          </cell>
          <cell r="DT8">
            <v>359</v>
          </cell>
          <cell r="DU8">
            <v>999999</v>
          </cell>
          <cell r="DV8">
            <v>999999</v>
          </cell>
          <cell r="DW8">
            <v>999999</v>
          </cell>
          <cell r="DX8">
            <v>359</v>
          </cell>
          <cell r="DY8">
            <v>359</v>
          </cell>
          <cell r="DZ8">
            <v>999999</v>
          </cell>
          <cell r="EA8">
            <v>999999</v>
          </cell>
        </row>
        <row r="9">
          <cell r="N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AJ9">
            <v>120</v>
          </cell>
          <cell r="AK9">
            <v>51</v>
          </cell>
          <cell r="AL9">
            <v>999999</v>
          </cell>
          <cell r="AM9">
            <v>358</v>
          </cell>
          <cell r="AN9">
            <v>358</v>
          </cell>
          <cell r="AO9">
            <v>358</v>
          </cell>
          <cell r="AP9">
            <v>103</v>
          </cell>
          <cell r="AQ9">
            <v>234</v>
          </cell>
          <cell r="AR9">
            <v>358</v>
          </cell>
          <cell r="AS9">
            <v>290</v>
          </cell>
          <cell r="BE9">
            <v>0</v>
          </cell>
          <cell r="BG9">
            <v>0</v>
          </cell>
          <cell r="BH9">
            <v>0</v>
          </cell>
          <cell r="BI9">
            <v>0</v>
          </cell>
          <cell r="BJ9">
            <v>0</v>
          </cell>
          <cell r="BK9">
            <v>0</v>
          </cell>
          <cell r="BL9">
            <v>0</v>
          </cell>
          <cell r="BM9">
            <v>0</v>
          </cell>
          <cell r="BN9">
            <v>0</v>
          </cell>
          <cell r="BO9">
            <v>0</v>
          </cell>
          <cell r="BP9">
            <v>0</v>
          </cell>
          <cell r="CA9">
            <v>216043.51612903233</v>
          </cell>
          <cell r="CB9">
            <v>280</v>
          </cell>
          <cell r="CC9">
            <v>358</v>
          </cell>
          <cell r="CD9">
            <v>358</v>
          </cell>
          <cell r="CE9">
            <v>320</v>
          </cell>
          <cell r="CF9">
            <v>358</v>
          </cell>
          <cell r="CG9">
            <v>252</v>
          </cell>
          <cell r="CH9">
            <v>358</v>
          </cell>
          <cell r="CI9">
            <v>358</v>
          </cell>
          <cell r="CJ9">
            <v>358</v>
          </cell>
          <cell r="CV9">
            <v>271.83622828784121</v>
          </cell>
          <cell r="CX9">
            <v>0</v>
          </cell>
          <cell r="CY9">
            <v>0</v>
          </cell>
          <cell r="CZ9">
            <v>0</v>
          </cell>
          <cell r="DA9">
            <v>0</v>
          </cell>
          <cell r="DB9">
            <v>0</v>
          </cell>
          <cell r="DC9">
            <v>0</v>
          </cell>
          <cell r="DD9">
            <v>0</v>
          </cell>
          <cell r="DE9">
            <v>0</v>
          </cell>
          <cell r="DF9">
            <v>0</v>
          </cell>
          <cell r="DG9">
            <v>0</v>
          </cell>
          <cell r="DR9">
            <v>73103</v>
          </cell>
          <cell r="DS9">
            <v>358</v>
          </cell>
          <cell r="DT9">
            <v>358</v>
          </cell>
          <cell r="DU9">
            <v>999999</v>
          </cell>
          <cell r="DV9">
            <v>999999</v>
          </cell>
          <cell r="DW9">
            <v>999999</v>
          </cell>
          <cell r="DX9">
            <v>358</v>
          </cell>
          <cell r="DY9">
            <v>358</v>
          </cell>
          <cell r="DZ9">
            <v>999999</v>
          </cell>
          <cell r="EA9">
            <v>999999</v>
          </cell>
        </row>
        <row r="10">
          <cell r="N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AJ10">
            <v>119</v>
          </cell>
          <cell r="AK10">
            <v>50</v>
          </cell>
          <cell r="AL10">
            <v>999999</v>
          </cell>
          <cell r="AM10">
            <v>357</v>
          </cell>
          <cell r="AN10">
            <v>357</v>
          </cell>
          <cell r="AO10">
            <v>357</v>
          </cell>
          <cell r="AP10">
            <v>102</v>
          </cell>
          <cell r="AQ10">
            <v>233</v>
          </cell>
          <cell r="AR10">
            <v>357</v>
          </cell>
          <cell r="AS10">
            <v>289</v>
          </cell>
          <cell r="BE10">
            <v>0</v>
          </cell>
          <cell r="BG10">
            <v>0</v>
          </cell>
          <cell r="BH10">
            <v>0</v>
          </cell>
          <cell r="BI10">
            <v>0</v>
          </cell>
          <cell r="BJ10">
            <v>0</v>
          </cell>
          <cell r="BK10">
            <v>0</v>
          </cell>
          <cell r="BL10">
            <v>0</v>
          </cell>
          <cell r="BM10">
            <v>0</v>
          </cell>
          <cell r="BN10">
            <v>0</v>
          </cell>
          <cell r="BO10">
            <v>0</v>
          </cell>
          <cell r="BP10">
            <v>0</v>
          </cell>
          <cell r="CA10">
            <v>215624.16129032266</v>
          </cell>
          <cell r="CB10">
            <v>279</v>
          </cell>
          <cell r="CC10">
            <v>357</v>
          </cell>
          <cell r="CD10">
            <v>357</v>
          </cell>
          <cell r="CE10">
            <v>319</v>
          </cell>
          <cell r="CF10">
            <v>357</v>
          </cell>
          <cell r="CG10">
            <v>251</v>
          </cell>
          <cell r="CH10">
            <v>357</v>
          </cell>
          <cell r="CI10">
            <v>357</v>
          </cell>
          <cell r="CJ10">
            <v>357</v>
          </cell>
          <cell r="CV10">
            <v>271.83622828784121</v>
          </cell>
          <cell r="CX10">
            <v>0</v>
          </cell>
          <cell r="CY10">
            <v>0</v>
          </cell>
          <cell r="CZ10">
            <v>0</v>
          </cell>
          <cell r="DA10">
            <v>0</v>
          </cell>
          <cell r="DB10">
            <v>0</v>
          </cell>
          <cell r="DC10">
            <v>0</v>
          </cell>
          <cell r="DD10">
            <v>0</v>
          </cell>
          <cell r="DE10">
            <v>0</v>
          </cell>
          <cell r="DF10">
            <v>0</v>
          </cell>
          <cell r="DG10">
            <v>0</v>
          </cell>
          <cell r="DR10">
            <v>73103</v>
          </cell>
          <cell r="DS10">
            <v>357</v>
          </cell>
          <cell r="DT10">
            <v>357</v>
          </cell>
          <cell r="DU10">
            <v>999999</v>
          </cell>
          <cell r="DV10">
            <v>999999</v>
          </cell>
          <cell r="DW10">
            <v>999999</v>
          </cell>
          <cell r="DX10">
            <v>357</v>
          </cell>
          <cell r="DY10">
            <v>357</v>
          </cell>
          <cell r="DZ10">
            <v>999999</v>
          </cell>
          <cell r="EA10">
            <v>999999</v>
          </cell>
        </row>
        <row r="11">
          <cell r="N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AJ11">
            <v>118</v>
          </cell>
          <cell r="AK11">
            <v>49</v>
          </cell>
          <cell r="AL11">
            <v>999999</v>
          </cell>
          <cell r="AM11">
            <v>356</v>
          </cell>
          <cell r="AN11">
            <v>356</v>
          </cell>
          <cell r="AO11">
            <v>356</v>
          </cell>
          <cell r="AP11">
            <v>101</v>
          </cell>
          <cell r="AQ11">
            <v>232</v>
          </cell>
          <cell r="AR11">
            <v>356</v>
          </cell>
          <cell r="AS11">
            <v>288</v>
          </cell>
          <cell r="BE11">
            <v>0</v>
          </cell>
          <cell r="BG11">
            <v>0</v>
          </cell>
          <cell r="BH11">
            <v>0</v>
          </cell>
          <cell r="BI11">
            <v>0</v>
          </cell>
          <cell r="BJ11">
            <v>0</v>
          </cell>
          <cell r="BK11">
            <v>0</v>
          </cell>
          <cell r="BL11">
            <v>0</v>
          </cell>
          <cell r="BM11">
            <v>0</v>
          </cell>
          <cell r="BN11">
            <v>0</v>
          </cell>
          <cell r="BO11">
            <v>0</v>
          </cell>
          <cell r="BP11">
            <v>0</v>
          </cell>
          <cell r="CA11">
            <v>215204.806451613</v>
          </cell>
          <cell r="CB11">
            <v>278</v>
          </cell>
          <cell r="CC11">
            <v>356</v>
          </cell>
          <cell r="CD11">
            <v>356</v>
          </cell>
          <cell r="CE11">
            <v>318</v>
          </cell>
          <cell r="CF11">
            <v>356</v>
          </cell>
          <cell r="CG11">
            <v>250</v>
          </cell>
          <cell r="CH11">
            <v>356</v>
          </cell>
          <cell r="CI11">
            <v>356</v>
          </cell>
          <cell r="CJ11">
            <v>356</v>
          </cell>
          <cell r="CV11">
            <v>271.83622828784121</v>
          </cell>
          <cell r="CX11">
            <v>0</v>
          </cell>
          <cell r="CY11">
            <v>0</v>
          </cell>
          <cell r="CZ11">
            <v>0</v>
          </cell>
          <cell r="DA11">
            <v>0</v>
          </cell>
          <cell r="DB11">
            <v>0</v>
          </cell>
          <cell r="DC11">
            <v>0</v>
          </cell>
          <cell r="DD11">
            <v>0</v>
          </cell>
          <cell r="DE11">
            <v>0</v>
          </cell>
          <cell r="DF11">
            <v>0</v>
          </cell>
          <cell r="DG11">
            <v>0</v>
          </cell>
          <cell r="DR11">
            <v>73103</v>
          </cell>
          <cell r="DS11">
            <v>356</v>
          </cell>
          <cell r="DT11">
            <v>356</v>
          </cell>
          <cell r="DU11">
            <v>999999</v>
          </cell>
          <cell r="DV11">
            <v>999999</v>
          </cell>
          <cell r="DW11">
            <v>999999</v>
          </cell>
          <cell r="DX11">
            <v>356</v>
          </cell>
          <cell r="DY11">
            <v>356</v>
          </cell>
          <cell r="DZ11">
            <v>999999</v>
          </cell>
          <cell r="EA11">
            <v>999999</v>
          </cell>
        </row>
        <row r="12">
          <cell r="N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AJ12">
            <v>117</v>
          </cell>
          <cell r="AK12">
            <v>48</v>
          </cell>
          <cell r="AL12">
            <v>999999</v>
          </cell>
          <cell r="AM12">
            <v>355</v>
          </cell>
          <cell r="AN12">
            <v>355</v>
          </cell>
          <cell r="AO12">
            <v>355</v>
          </cell>
          <cell r="AP12">
            <v>100</v>
          </cell>
          <cell r="AQ12">
            <v>231</v>
          </cell>
          <cell r="AR12">
            <v>355</v>
          </cell>
          <cell r="AS12">
            <v>287</v>
          </cell>
          <cell r="BE12">
            <v>0</v>
          </cell>
          <cell r="BG12">
            <v>0</v>
          </cell>
          <cell r="BH12">
            <v>0</v>
          </cell>
          <cell r="BI12">
            <v>0</v>
          </cell>
          <cell r="BJ12">
            <v>0</v>
          </cell>
          <cell r="BK12">
            <v>0</v>
          </cell>
          <cell r="BL12">
            <v>0</v>
          </cell>
          <cell r="BM12">
            <v>0</v>
          </cell>
          <cell r="BN12">
            <v>0</v>
          </cell>
          <cell r="BO12">
            <v>0</v>
          </cell>
          <cell r="BP12">
            <v>0</v>
          </cell>
          <cell r="CA12">
            <v>214785.45161290333</v>
          </cell>
          <cell r="CB12">
            <v>277</v>
          </cell>
          <cell r="CC12">
            <v>355</v>
          </cell>
          <cell r="CD12">
            <v>355</v>
          </cell>
          <cell r="CE12">
            <v>317</v>
          </cell>
          <cell r="CF12">
            <v>355</v>
          </cell>
          <cell r="CG12">
            <v>249</v>
          </cell>
          <cell r="CH12">
            <v>355</v>
          </cell>
          <cell r="CI12">
            <v>355</v>
          </cell>
          <cell r="CJ12">
            <v>355</v>
          </cell>
          <cell r="CV12">
            <v>271.83622828784121</v>
          </cell>
          <cell r="CX12">
            <v>0</v>
          </cell>
          <cell r="CY12">
            <v>0</v>
          </cell>
          <cell r="CZ12">
            <v>0</v>
          </cell>
          <cell r="DA12">
            <v>0</v>
          </cell>
          <cell r="DB12">
            <v>0</v>
          </cell>
          <cell r="DC12">
            <v>0</v>
          </cell>
          <cell r="DD12">
            <v>0</v>
          </cell>
          <cell r="DE12">
            <v>0</v>
          </cell>
          <cell r="DF12">
            <v>0</v>
          </cell>
          <cell r="DG12">
            <v>0</v>
          </cell>
          <cell r="DR12">
            <v>73103</v>
          </cell>
          <cell r="DS12">
            <v>355</v>
          </cell>
          <cell r="DT12">
            <v>355</v>
          </cell>
          <cell r="DU12">
            <v>999999</v>
          </cell>
          <cell r="DV12">
            <v>999999</v>
          </cell>
          <cell r="DW12">
            <v>999999</v>
          </cell>
          <cell r="DX12">
            <v>355</v>
          </cell>
          <cell r="DY12">
            <v>355</v>
          </cell>
          <cell r="DZ12">
            <v>999999</v>
          </cell>
          <cell r="EA12">
            <v>999999</v>
          </cell>
        </row>
        <row r="13">
          <cell r="N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AJ13">
            <v>116</v>
          </cell>
          <cell r="AK13">
            <v>47</v>
          </cell>
          <cell r="AL13">
            <v>999999</v>
          </cell>
          <cell r="AM13">
            <v>354</v>
          </cell>
          <cell r="AN13">
            <v>354</v>
          </cell>
          <cell r="AO13">
            <v>354</v>
          </cell>
          <cell r="AP13">
            <v>99</v>
          </cell>
          <cell r="AQ13">
            <v>230</v>
          </cell>
          <cell r="AR13">
            <v>354</v>
          </cell>
          <cell r="AS13">
            <v>286</v>
          </cell>
          <cell r="BE13">
            <v>0</v>
          </cell>
          <cell r="BG13">
            <v>0</v>
          </cell>
          <cell r="BH13">
            <v>0</v>
          </cell>
          <cell r="BI13">
            <v>0</v>
          </cell>
          <cell r="BJ13">
            <v>0</v>
          </cell>
          <cell r="BK13">
            <v>0</v>
          </cell>
          <cell r="BL13">
            <v>0</v>
          </cell>
          <cell r="BM13">
            <v>0</v>
          </cell>
          <cell r="BN13">
            <v>0</v>
          </cell>
          <cell r="BO13">
            <v>0</v>
          </cell>
          <cell r="BP13">
            <v>0</v>
          </cell>
          <cell r="CA13">
            <v>214366.09677419366</v>
          </cell>
          <cell r="CB13">
            <v>276</v>
          </cell>
          <cell r="CC13">
            <v>354</v>
          </cell>
          <cell r="CD13">
            <v>354</v>
          </cell>
          <cell r="CE13">
            <v>316</v>
          </cell>
          <cell r="CF13">
            <v>354</v>
          </cell>
          <cell r="CG13">
            <v>248</v>
          </cell>
          <cell r="CH13">
            <v>354</v>
          </cell>
          <cell r="CI13">
            <v>354</v>
          </cell>
          <cell r="CJ13">
            <v>354</v>
          </cell>
          <cell r="CV13">
            <v>271.83622828784121</v>
          </cell>
          <cell r="CX13">
            <v>0</v>
          </cell>
          <cell r="CY13">
            <v>0</v>
          </cell>
          <cell r="CZ13">
            <v>0</v>
          </cell>
          <cell r="DA13">
            <v>0</v>
          </cell>
          <cell r="DB13">
            <v>0</v>
          </cell>
          <cell r="DC13">
            <v>0</v>
          </cell>
          <cell r="DD13">
            <v>0</v>
          </cell>
          <cell r="DE13">
            <v>0</v>
          </cell>
          <cell r="DF13">
            <v>0</v>
          </cell>
          <cell r="DG13">
            <v>0</v>
          </cell>
          <cell r="DR13">
            <v>73103</v>
          </cell>
          <cell r="DS13">
            <v>354</v>
          </cell>
          <cell r="DT13">
            <v>354</v>
          </cell>
          <cell r="DU13">
            <v>999999</v>
          </cell>
          <cell r="DV13">
            <v>999999</v>
          </cell>
          <cell r="DW13">
            <v>999999</v>
          </cell>
          <cell r="DX13">
            <v>354</v>
          </cell>
          <cell r="DY13">
            <v>354</v>
          </cell>
          <cell r="DZ13">
            <v>999999</v>
          </cell>
          <cell r="EA13">
            <v>999999</v>
          </cell>
        </row>
        <row r="14">
          <cell r="N14">
            <v>0</v>
          </cell>
          <cell r="P14">
            <v>0</v>
          </cell>
          <cell r="Q14">
            <v>0</v>
          </cell>
          <cell r="R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AJ14">
            <v>115</v>
          </cell>
          <cell r="AK14">
            <v>46</v>
          </cell>
          <cell r="AL14">
            <v>999999</v>
          </cell>
          <cell r="AM14">
            <v>353</v>
          </cell>
          <cell r="AN14">
            <v>353</v>
          </cell>
          <cell r="AO14">
            <v>353</v>
          </cell>
          <cell r="AP14">
            <v>98</v>
          </cell>
          <cell r="AQ14">
            <v>229</v>
          </cell>
          <cell r="AR14">
            <v>353</v>
          </cell>
          <cell r="AS14">
            <v>285</v>
          </cell>
          <cell r="BE14">
            <v>0</v>
          </cell>
          <cell r="BG14">
            <v>0</v>
          </cell>
          <cell r="BH14">
            <v>0</v>
          </cell>
          <cell r="BI14">
            <v>0</v>
          </cell>
          <cell r="BJ14">
            <v>0</v>
          </cell>
          <cell r="BK14">
            <v>0</v>
          </cell>
          <cell r="BL14">
            <v>0</v>
          </cell>
          <cell r="BM14">
            <v>0</v>
          </cell>
          <cell r="BN14">
            <v>0</v>
          </cell>
          <cell r="BO14">
            <v>0</v>
          </cell>
          <cell r="BP14">
            <v>0</v>
          </cell>
          <cell r="CA14">
            <v>213946.74193548399</v>
          </cell>
          <cell r="CB14">
            <v>275</v>
          </cell>
          <cell r="CC14">
            <v>353</v>
          </cell>
          <cell r="CD14">
            <v>353</v>
          </cell>
          <cell r="CE14">
            <v>315</v>
          </cell>
          <cell r="CF14">
            <v>353</v>
          </cell>
          <cell r="CG14">
            <v>247</v>
          </cell>
          <cell r="CH14">
            <v>353</v>
          </cell>
          <cell r="CI14">
            <v>353</v>
          </cell>
          <cell r="CJ14">
            <v>353</v>
          </cell>
          <cell r="CV14">
            <v>271.83622828784121</v>
          </cell>
          <cell r="CX14">
            <v>0</v>
          </cell>
          <cell r="CY14">
            <v>0</v>
          </cell>
          <cell r="CZ14">
            <v>0</v>
          </cell>
          <cell r="DA14">
            <v>0</v>
          </cell>
          <cell r="DB14">
            <v>0</v>
          </cell>
          <cell r="DC14">
            <v>0</v>
          </cell>
          <cell r="DD14">
            <v>0</v>
          </cell>
          <cell r="DE14">
            <v>0</v>
          </cell>
          <cell r="DF14">
            <v>0</v>
          </cell>
          <cell r="DG14">
            <v>0</v>
          </cell>
          <cell r="DR14">
            <v>73103</v>
          </cell>
          <cell r="DS14">
            <v>353</v>
          </cell>
          <cell r="DT14">
            <v>353</v>
          </cell>
          <cell r="DU14">
            <v>999999</v>
          </cell>
          <cell r="DV14">
            <v>999999</v>
          </cell>
          <cell r="DW14">
            <v>999999</v>
          </cell>
          <cell r="DX14">
            <v>353</v>
          </cell>
          <cell r="DY14">
            <v>353</v>
          </cell>
          <cell r="DZ14">
            <v>999999</v>
          </cell>
          <cell r="EA14">
            <v>999999</v>
          </cell>
        </row>
        <row r="15">
          <cell r="N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AJ15">
            <v>114</v>
          </cell>
          <cell r="AK15">
            <v>45</v>
          </cell>
          <cell r="AL15">
            <v>999999</v>
          </cell>
          <cell r="AM15">
            <v>352</v>
          </cell>
          <cell r="AN15">
            <v>352</v>
          </cell>
          <cell r="AO15">
            <v>352</v>
          </cell>
          <cell r="AP15">
            <v>97</v>
          </cell>
          <cell r="AQ15">
            <v>228</v>
          </cell>
          <cell r="AR15">
            <v>352</v>
          </cell>
          <cell r="AS15">
            <v>284</v>
          </cell>
          <cell r="BE15">
            <v>0</v>
          </cell>
          <cell r="BG15">
            <v>0</v>
          </cell>
          <cell r="BH15">
            <v>0</v>
          </cell>
          <cell r="BI15">
            <v>0</v>
          </cell>
          <cell r="BJ15">
            <v>0</v>
          </cell>
          <cell r="BK15">
            <v>0</v>
          </cell>
          <cell r="BL15">
            <v>0</v>
          </cell>
          <cell r="BM15">
            <v>0</v>
          </cell>
          <cell r="BN15">
            <v>0</v>
          </cell>
          <cell r="BO15">
            <v>0</v>
          </cell>
          <cell r="BP15">
            <v>0</v>
          </cell>
          <cell r="CA15">
            <v>213527.38709677433</v>
          </cell>
          <cell r="CB15">
            <v>274</v>
          </cell>
          <cell r="CC15">
            <v>352</v>
          </cell>
          <cell r="CD15">
            <v>352</v>
          </cell>
          <cell r="CE15">
            <v>314</v>
          </cell>
          <cell r="CF15">
            <v>352</v>
          </cell>
          <cell r="CG15">
            <v>246</v>
          </cell>
          <cell r="CH15">
            <v>352</v>
          </cell>
          <cell r="CI15">
            <v>352</v>
          </cell>
          <cell r="CJ15">
            <v>352</v>
          </cell>
          <cell r="CV15">
            <v>271.83622828784121</v>
          </cell>
          <cell r="CX15">
            <v>0</v>
          </cell>
          <cell r="CY15">
            <v>0</v>
          </cell>
          <cell r="CZ15">
            <v>0</v>
          </cell>
          <cell r="DA15">
            <v>0</v>
          </cell>
          <cell r="DB15">
            <v>0</v>
          </cell>
          <cell r="DC15">
            <v>0</v>
          </cell>
          <cell r="DD15">
            <v>0</v>
          </cell>
          <cell r="DE15">
            <v>0</v>
          </cell>
          <cell r="DF15">
            <v>0</v>
          </cell>
          <cell r="DG15">
            <v>0</v>
          </cell>
          <cell r="DR15">
            <v>73103</v>
          </cell>
          <cell r="DS15">
            <v>352</v>
          </cell>
          <cell r="DT15">
            <v>352</v>
          </cell>
          <cell r="DU15">
            <v>999999</v>
          </cell>
          <cell r="DV15">
            <v>999999</v>
          </cell>
          <cell r="DW15">
            <v>999999</v>
          </cell>
          <cell r="DX15">
            <v>352</v>
          </cell>
          <cell r="DY15">
            <v>352</v>
          </cell>
          <cell r="DZ15">
            <v>999999</v>
          </cell>
          <cell r="EA15">
            <v>999999</v>
          </cell>
        </row>
        <row r="16">
          <cell r="N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AJ16">
            <v>113</v>
          </cell>
          <cell r="AK16">
            <v>44</v>
          </cell>
          <cell r="AL16">
            <v>999999</v>
          </cell>
          <cell r="AM16">
            <v>351</v>
          </cell>
          <cell r="AN16">
            <v>351</v>
          </cell>
          <cell r="AO16">
            <v>351</v>
          </cell>
          <cell r="AP16">
            <v>96</v>
          </cell>
          <cell r="AQ16">
            <v>227</v>
          </cell>
          <cell r="AR16">
            <v>351</v>
          </cell>
          <cell r="AS16">
            <v>283</v>
          </cell>
          <cell r="BE16">
            <v>0</v>
          </cell>
          <cell r="BG16">
            <v>0</v>
          </cell>
          <cell r="BH16">
            <v>0</v>
          </cell>
          <cell r="BI16">
            <v>0</v>
          </cell>
          <cell r="BJ16">
            <v>0</v>
          </cell>
          <cell r="BK16">
            <v>0</v>
          </cell>
          <cell r="BL16">
            <v>0</v>
          </cell>
          <cell r="BM16">
            <v>0</v>
          </cell>
          <cell r="BN16">
            <v>0</v>
          </cell>
          <cell r="BO16">
            <v>0</v>
          </cell>
          <cell r="BP16">
            <v>0</v>
          </cell>
          <cell r="CA16">
            <v>213108.03225806466</v>
          </cell>
          <cell r="CB16">
            <v>273</v>
          </cell>
          <cell r="CC16">
            <v>351</v>
          </cell>
          <cell r="CD16">
            <v>351</v>
          </cell>
          <cell r="CE16">
            <v>313</v>
          </cell>
          <cell r="CF16">
            <v>351</v>
          </cell>
          <cell r="CG16">
            <v>245</v>
          </cell>
          <cell r="CH16">
            <v>351</v>
          </cell>
          <cell r="CI16">
            <v>351</v>
          </cell>
          <cell r="CJ16">
            <v>351</v>
          </cell>
          <cell r="CV16">
            <v>271.83622828784121</v>
          </cell>
          <cell r="CX16">
            <v>0</v>
          </cell>
          <cell r="CY16">
            <v>0</v>
          </cell>
          <cell r="CZ16">
            <v>0</v>
          </cell>
          <cell r="DA16">
            <v>0</v>
          </cell>
          <cell r="DB16">
            <v>0</v>
          </cell>
          <cell r="DC16">
            <v>0</v>
          </cell>
          <cell r="DD16">
            <v>0</v>
          </cell>
          <cell r="DE16">
            <v>0</v>
          </cell>
          <cell r="DF16">
            <v>0</v>
          </cell>
          <cell r="DG16">
            <v>0</v>
          </cell>
          <cell r="DR16">
            <v>73103</v>
          </cell>
          <cell r="DS16">
            <v>351</v>
          </cell>
          <cell r="DT16">
            <v>351</v>
          </cell>
          <cell r="DU16">
            <v>999999</v>
          </cell>
          <cell r="DV16">
            <v>999999</v>
          </cell>
          <cell r="DW16">
            <v>999999</v>
          </cell>
          <cell r="DX16">
            <v>351</v>
          </cell>
          <cell r="DY16">
            <v>351</v>
          </cell>
          <cell r="DZ16">
            <v>999999</v>
          </cell>
          <cell r="EA16">
            <v>999999</v>
          </cell>
        </row>
        <row r="17">
          <cell r="N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AJ17">
            <v>112</v>
          </cell>
          <cell r="AK17">
            <v>43</v>
          </cell>
          <cell r="AL17">
            <v>999999</v>
          </cell>
          <cell r="AM17">
            <v>350</v>
          </cell>
          <cell r="AN17">
            <v>350</v>
          </cell>
          <cell r="AO17">
            <v>350</v>
          </cell>
          <cell r="AP17">
            <v>95</v>
          </cell>
          <cell r="AQ17">
            <v>226</v>
          </cell>
          <cell r="AR17">
            <v>350</v>
          </cell>
          <cell r="AS17">
            <v>282</v>
          </cell>
          <cell r="BE17">
            <v>0</v>
          </cell>
          <cell r="BG17">
            <v>0</v>
          </cell>
          <cell r="BH17">
            <v>0</v>
          </cell>
          <cell r="BI17">
            <v>0</v>
          </cell>
          <cell r="BJ17">
            <v>0</v>
          </cell>
          <cell r="BK17">
            <v>0</v>
          </cell>
          <cell r="BL17">
            <v>0</v>
          </cell>
          <cell r="BM17">
            <v>0</v>
          </cell>
          <cell r="BN17">
            <v>0</v>
          </cell>
          <cell r="BO17">
            <v>0</v>
          </cell>
          <cell r="BP17">
            <v>0</v>
          </cell>
          <cell r="CA17">
            <v>212688.67741935499</v>
          </cell>
          <cell r="CB17">
            <v>272</v>
          </cell>
          <cell r="CC17">
            <v>350</v>
          </cell>
          <cell r="CD17">
            <v>350</v>
          </cell>
          <cell r="CE17">
            <v>312</v>
          </cell>
          <cell r="CF17">
            <v>350</v>
          </cell>
          <cell r="CG17">
            <v>244</v>
          </cell>
          <cell r="CH17">
            <v>350</v>
          </cell>
          <cell r="CI17">
            <v>350</v>
          </cell>
          <cell r="CJ17">
            <v>350</v>
          </cell>
          <cell r="CV17">
            <v>271.83622828784121</v>
          </cell>
          <cell r="CX17">
            <v>0</v>
          </cell>
          <cell r="CY17">
            <v>0</v>
          </cell>
          <cell r="CZ17">
            <v>0</v>
          </cell>
          <cell r="DA17">
            <v>0</v>
          </cell>
          <cell r="DB17">
            <v>0</v>
          </cell>
          <cell r="DC17">
            <v>0</v>
          </cell>
          <cell r="DD17">
            <v>0</v>
          </cell>
          <cell r="DE17">
            <v>0</v>
          </cell>
          <cell r="DF17">
            <v>0</v>
          </cell>
          <cell r="DG17">
            <v>0</v>
          </cell>
          <cell r="DR17">
            <v>73103</v>
          </cell>
          <cell r="DS17">
            <v>350</v>
          </cell>
          <cell r="DT17">
            <v>350</v>
          </cell>
          <cell r="DU17">
            <v>999999</v>
          </cell>
          <cell r="DV17">
            <v>999999</v>
          </cell>
          <cell r="DW17">
            <v>999999</v>
          </cell>
          <cell r="DX17">
            <v>350</v>
          </cell>
          <cell r="DY17">
            <v>350</v>
          </cell>
          <cell r="DZ17">
            <v>999999</v>
          </cell>
          <cell r="EA17">
            <v>999999</v>
          </cell>
        </row>
        <row r="18">
          <cell r="N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AJ18">
            <v>111</v>
          </cell>
          <cell r="AK18">
            <v>42</v>
          </cell>
          <cell r="AL18">
            <v>999999</v>
          </cell>
          <cell r="AM18">
            <v>349</v>
          </cell>
          <cell r="AN18">
            <v>349</v>
          </cell>
          <cell r="AO18">
            <v>349</v>
          </cell>
          <cell r="AP18">
            <v>94</v>
          </cell>
          <cell r="AQ18">
            <v>225</v>
          </cell>
          <cell r="AR18">
            <v>349</v>
          </cell>
          <cell r="AS18">
            <v>281</v>
          </cell>
          <cell r="BE18">
            <v>0</v>
          </cell>
          <cell r="BG18">
            <v>0</v>
          </cell>
          <cell r="BH18">
            <v>0</v>
          </cell>
          <cell r="BI18">
            <v>0</v>
          </cell>
          <cell r="BJ18">
            <v>0</v>
          </cell>
          <cell r="BK18">
            <v>0</v>
          </cell>
          <cell r="BL18">
            <v>0</v>
          </cell>
          <cell r="BM18">
            <v>0</v>
          </cell>
          <cell r="BN18">
            <v>0</v>
          </cell>
          <cell r="BO18">
            <v>0</v>
          </cell>
          <cell r="BP18">
            <v>0</v>
          </cell>
          <cell r="CA18">
            <v>212269.32258064533</v>
          </cell>
          <cell r="CB18">
            <v>271</v>
          </cell>
          <cell r="CC18">
            <v>349</v>
          </cell>
          <cell r="CD18">
            <v>349</v>
          </cell>
          <cell r="CE18">
            <v>311</v>
          </cell>
          <cell r="CF18">
            <v>349</v>
          </cell>
          <cell r="CG18">
            <v>243</v>
          </cell>
          <cell r="CH18">
            <v>349</v>
          </cell>
          <cell r="CI18">
            <v>349</v>
          </cell>
          <cell r="CJ18">
            <v>349</v>
          </cell>
          <cell r="CV18">
            <v>271.83622828784121</v>
          </cell>
          <cell r="CX18">
            <v>0</v>
          </cell>
          <cell r="CY18">
            <v>0</v>
          </cell>
          <cell r="CZ18">
            <v>0</v>
          </cell>
          <cell r="DA18">
            <v>0</v>
          </cell>
          <cell r="DB18">
            <v>0</v>
          </cell>
          <cell r="DC18">
            <v>0</v>
          </cell>
          <cell r="DD18">
            <v>0</v>
          </cell>
          <cell r="DE18">
            <v>0</v>
          </cell>
          <cell r="DF18">
            <v>0</v>
          </cell>
          <cell r="DG18">
            <v>0</v>
          </cell>
          <cell r="DR18">
            <v>73103</v>
          </cell>
          <cell r="DS18">
            <v>349</v>
          </cell>
          <cell r="DT18">
            <v>349</v>
          </cell>
          <cell r="DU18">
            <v>999999</v>
          </cell>
          <cell r="DV18">
            <v>999999</v>
          </cell>
          <cell r="DW18">
            <v>999999</v>
          </cell>
          <cell r="DX18">
            <v>349</v>
          </cell>
          <cell r="DY18">
            <v>349</v>
          </cell>
          <cell r="DZ18">
            <v>999999</v>
          </cell>
          <cell r="EA18">
            <v>999999</v>
          </cell>
        </row>
        <row r="19">
          <cell r="N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AJ19">
            <v>110</v>
          </cell>
          <cell r="AK19">
            <v>41</v>
          </cell>
          <cell r="AL19">
            <v>999999</v>
          </cell>
          <cell r="AM19">
            <v>348</v>
          </cell>
          <cell r="AN19">
            <v>348</v>
          </cell>
          <cell r="AO19">
            <v>348</v>
          </cell>
          <cell r="AP19">
            <v>93</v>
          </cell>
          <cell r="AQ19">
            <v>224</v>
          </cell>
          <cell r="AR19">
            <v>348</v>
          </cell>
          <cell r="AS19">
            <v>280</v>
          </cell>
          <cell r="BE19">
            <v>0</v>
          </cell>
          <cell r="BG19">
            <v>0</v>
          </cell>
          <cell r="BH19">
            <v>0</v>
          </cell>
          <cell r="BI19">
            <v>0</v>
          </cell>
          <cell r="BJ19">
            <v>0</v>
          </cell>
          <cell r="BK19">
            <v>0</v>
          </cell>
          <cell r="BL19">
            <v>0</v>
          </cell>
          <cell r="BM19">
            <v>0</v>
          </cell>
          <cell r="BN19">
            <v>0</v>
          </cell>
          <cell r="BO19">
            <v>0</v>
          </cell>
          <cell r="BP19">
            <v>0</v>
          </cell>
          <cell r="CA19">
            <v>211849.96774193566</v>
          </cell>
          <cell r="CB19">
            <v>270</v>
          </cell>
          <cell r="CC19">
            <v>348</v>
          </cell>
          <cell r="CD19">
            <v>348</v>
          </cell>
          <cell r="CE19">
            <v>310</v>
          </cell>
          <cell r="CF19">
            <v>348</v>
          </cell>
          <cell r="CG19">
            <v>242</v>
          </cell>
          <cell r="CH19">
            <v>348</v>
          </cell>
          <cell r="CI19">
            <v>348</v>
          </cell>
          <cell r="CJ19">
            <v>348</v>
          </cell>
          <cell r="CV19">
            <v>271.83622828784121</v>
          </cell>
          <cell r="CX19">
            <v>0</v>
          </cell>
          <cell r="CY19">
            <v>0</v>
          </cell>
          <cell r="CZ19">
            <v>0</v>
          </cell>
          <cell r="DA19">
            <v>0</v>
          </cell>
          <cell r="DB19">
            <v>0</v>
          </cell>
          <cell r="DC19">
            <v>0</v>
          </cell>
          <cell r="DD19">
            <v>0</v>
          </cell>
          <cell r="DE19">
            <v>0</v>
          </cell>
          <cell r="DF19">
            <v>0</v>
          </cell>
          <cell r="DG19">
            <v>0</v>
          </cell>
          <cell r="DR19">
            <v>73103</v>
          </cell>
          <cell r="DS19">
            <v>348</v>
          </cell>
          <cell r="DT19">
            <v>348</v>
          </cell>
          <cell r="DU19">
            <v>999999</v>
          </cell>
          <cell r="DV19">
            <v>999999</v>
          </cell>
          <cell r="DW19">
            <v>999999</v>
          </cell>
          <cell r="DX19">
            <v>348</v>
          </cell>
          <cell r="DY19">
            <v>348</v>
          </cell>
          <cell r="DZ19">
            <v>999999</v>
          </cell>
          <cell r="EA19">
            <v>999999</v>
          </cell>
        </row>
        <row r="20">
          <cell r="N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AJ20">
            <v>109</v>
          </cell>
          <cell r="AK20">
            <v>40</v>
          </cell>
          <cell r="AL20">
            <v>999999</v>
          </cell>
          <cell r="AM20">
            <v>347</v>
          </cell>
          <cell r="AN20">
            <v>347</v>
          </cell>
          <cell r="AO20">
            <v>347</v>
          </cell>
          <cell r="AP20">
            <v>92</v>
          </cell>
          <cell r="AQ20">
            <v>223</v>
          </cell>
          <cell r="AR20">
            <v>347</v>
          </cell>
          <cell r="AS20">
            <v>279</v>
          </cell>
          <cell r="BE20">
            <v>0</v>
          </cell>
          <cell r="BG20">
            <v>0</v>
          </cell>
          <cell r="BH20">
            <v>0</v>
          </cell>
          <cell r="BI20">
            <v>0</v>
          </cell>
          <cell r="BJ20">
            <v>0</v>
          </cell>
          <cell r="BK20">
            <v>0</v>
          </cell>
          <cell r="BL20">
            <v>0</v>
          </cell>
          <cell r="BM20">
            <v>0</v>
          </cell>
          <cell r="BN20">
            <v>0</v>
          </cell>
          <cell r="BO20">
            <v>0</v>
          </cell>
          <cell r="BP20">
            <v>0</v>
          </cell>
          <cell r="CA20">
            <v>211430.61290322599</v>
          </cell>
          <cell r="CB20">
            <v>269</v>
          </cell>
          <cell r="CC20">
            <v>347</v>
          </cell>
          <cell r="CD20">
            <v>347</v>
          </cell>
          <cell r="CE20">
            <v>309</v>
          </cell>
          <cell r="CF20">
            <v>347</v>
          </cell>
          <cell r="CG20">
            <v>241</v>
          </cell>
          <cell r="CH20">
            <v>347</v>
          </cell>
          <cell r="CI20">
            <v>347</v>
          </cell>
          <cell r="CJ20">
            <v>347</v>
          </cell>
          <cell r="CV20">
            <v>271.83622828784121</v>
          </cell>
          <cell r="CX20">
            <v>0</v>
          </cell>
          <cell r="CY20">
            <v>0</v>
          </cell>
          <cell r="CZ20">
            <v>0</v>
          </cell>
          <cell r="DA20">
            <v>0</v>
          </cell>
          <cell r="DB20">
            <v>0</v>
          </cell>
          <cell r="DC20">
            <v>0</v>
          </cell>
          <cell r="DD20">
            <v>0</v>
          </cell>
          <cell r="DE20">
            <v>0</v>
          </cell>
          <cell r="DF20">
            <v>0</v>
          </cell>
          <cell r="DG20">
            <v>0</v>
          </cell>
          <cell r="DR20">
            <v>73103</v>
          </cell>
          <cell r="DS20">
            <v>347</v>
          </cell>
          <cell r="DT20">
            <v>347</v>
          </cell>
          <cell r="DU20">
            <v>999999</v>
          </cell>
          <cell r="DV20">
            <v>999999</v>
          </cell>
          <cell r="DW20">
            <v>999999</v>
          </cell>
          <cell r="DX20">
            <v>347</v>
          </cell>
          <cell r="DY20">
            <v>347</v>
          </cell>
          <cell r="DZ20">
            <v>999999</v>
          </cell>
          <cell r="EA20">
            <v>999999</v>
          </cell>
        </row>
        <row r="21">
          <cell r="N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AJ21">
            <v>108</v>
          </cell>
          <cell r="AK21">
            <v>39</v>
          </cell>
          <cell r="AL21">
            <v>999999</v>
          </cell>
          <cell r="AM21">
            <v>346</v>
          </cell>
          <cell r="AN21">
            <v>346</v>
          </cell>
          <cell r="AO21">
            <v>346</v>
          </cell>
          <cell r="AP21">
            <v>91</v>
          </cell>
          <cell r="AQ21">
            <v>222</v>
          </cell>
          <cell r="AR21">
            <v>346</v>
          </cell>
          <cell r="AS21">
            <v>278</v>
          </cell>
          <cell r="BE21">
            <v>0</v>
          </cell>
          <cell r="BG21">
            <v>0</v>
          </cell>
          <cell r="BH21">
            <v>0</v>
          </cell>
          <cell r="BI21">
            <v>0</v>
          </cell>
          <cell r="BJ21">
            <v>0</v>
          </cell>
          <cell r="BK21">
            <v>0</v>
          </cell>
          <cell r="BL21">
            <v>0</v>
          </cell>
          <cell r="BM21">
            <v>0</v>
          </cell>
          <cell r="BN21">
            <v>0</v>
          </cell>
          <cell r="BO21">
            <v>0</v>
          </cell>
          <cell r="BP21">
            <v>0</v>
          </cell>
          <cell r="CA21">
            <v>211011.25806451633</v>
          </cell>
          <cell r="CB21">
            <v>268</v>
          </cell>
          <cell r="CC21">
            <v>346</v>
          </cell>
          <cell r="CD21">
            <v>346</v>
          </cell>
          <cell r="CE21">
            <v>308</v>
          </cell>
          <cell r="CF21">
            <v>346</v>
          </cell>
          <cell r="CG21">
            <v>240</v>
          </cell>
          <cell r="CH21">
            <v>346</v>
          </cell>
          <cell r="CI21">
            <v>346</v>
          </cell>
          <cell r="CJ21">
            <v>346</v>
          </cell>
          <cell r="CV21">
            <v>271.83622828784121</v>
          </cell>
          <cell r="CX21">
            <v>0</v>
          </cell>
          <cell r="CY21">
            <v>0</v>
          </cell>
          <cell r="CZ21">
            <v>0</v>
          </cell>
          <cell r="DA21">
            <v>0</v>
          </cell>
          <cell r="DB21">
            <v>0</v>
          </cell>
          <cell r="DC21">
            <v>0</v>
          </cell>
          <cell r="DD21">
            <v>0</v>
          </cell>
          <cell r="DE21">
            <v>0</v>
          </cell>
          <cell r="DF21">
            <v>0</v>
          </cell>
          <cell r="DG21">
            <v>0</v>
          </cell>
          <cell r="DR21">
            <v>73103</v>
          </cell>
          <cell r="DS21">
            <v>346</v>
          </cell>
          <cell r="DT21">
            <v>346</v>
          </cell>
          <cell r="DU21">
            <v>999999</v>
          </cell>
          <cell r="DV21">
            <v>999999</v>
          </cell>
          <cell r="DW21">
            <v>999999</v>
          </cell>
          <cell r="DX21">
            <v>346</v>
          </cell>
          <cell r="DY21">
            <v>346</v>
          </cell>
          <cell r="DZ21">
            <v>999999</v>
          </cell>
          <cell r="EA21">
            <v>999999</v>
          </cell>
        </row>
        <row r="22">
          <cell r="N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AJ22">
            <v>107</v>
          </cell>
          <cell r="AK22">
            <v>38</v>
          </cell>
          <cell r="AL22">
            <v>999999</v>
          </cell>
          <cell r="AM22">
            <v>345</v>
          </cell>
          <cell r="AN22">
            <v>345</v>
          </cell>
          <cell r="AO22">
            <v>345</v>
          </cell>
          <cell r="AP22">
            <v>90</v>
          </cell>
          <cell r="AQ22">
            <v>221</v>
          </cell>
          <cell r="AR22">
            <v>345</v>
          </cell>
          <cell r="AS22">
            <v>277</v>
          </cell>
          <cell r="BE22">
            <v>0</v>
          </cell>
          <cell r="BG22">
            <v>0</v>
          </cell>
          <cell r="BH22">
            <v>0</v>
          </cell>
          <cell r="BI22">
            <v>0</v>
          </cell>
          <cell r="BJ22">
            <v>0</v>
          </cell>
          <cell r="BK22">
            <v>0</v>
          </cell>
          <cell r="BL22">
            <v>0</v>
          </cell>
          <cell r="BM22">
            <v>0</v>
          </cell>
          <cell r="BN22">
            <v>0</v>
          </cell>
          <cell r="BO22">
            <v>0</v>
          </cell>
          <cell r="BP22">
            <v>0</v>
          </cell>
          <cell r="CA22">
            <v>210591.90322580666</v>
          </cell>
          <cell r="CB22">
            <v>267</v>
          </cell>
          <cell r="CC22">
            <v>345</v>
          </cell>
          <cell r="CD22">
            <v>345</v>
          </cell>
          <cell r="CE22">
            <v>307</v>
          </cell>
          <cell r="CF22">
            <v>345</v>
          </cell>
          <cell r="CG22">
            <v>239</v>
          </cell>
          <cell r="CH22">
            <v>345</v>
          </cell>
          <cell r="CI22">
            <v>345</v>
          </cell>
          <cell r="CJ22">
            <v>345</v>
          </cell>
          <cell r="CV22">
            <v>271.83622828784121</v>
          </cell>
          <cell r="CX22">
            <v>0</v>
          </cell>
          <cell r="CY22">
            <v>0</v>
          </cell>
          <cell r="CZ22">
            <v>0</v>
          </cell>
          <cell r="DA22">
            <v>0</v>
          </cell>
          <cell r="DB22">
            <v>0</v>
          </cell>
          <cell r="DC22">
            <v>0</v>
          </cell>
          <cell r="DD22">
            <v>0</v>
          </cell>
          <cell r="DE22">
            <v>0</v>
          </cell>
          <cell r="DF22">
            <v>0</v>
          </cell>
          <cell r="DG22">
            <v>0</v>
          </cell>
          <cell r="DR22">
            <v>73103</v>
          </cell>
          <cell r="DS22">
            <v>345</v>
          </cell>
          <cell r="DT22">
            <v>345</v>
          </cell>
          <cell r="DU22">
            <v>999999</v>
          </cell>
          <cell r="DV22">
            <v>999999</v>
          </cell>
          <cell r="DW22">
            <v>999999</v>
          </cell>
          <cell r="DX22">
            <v>345</v>
          </cell>
          <cell r="DY22">
            <v>345</v>
          </cell>
          <cell r="DZ22">
            <v>999999</v>
          </cell>
          <cell r="EA22">
            <v>999999</v>
          </cell>
        </row>
        <row r="23">
          <cell r="N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AJ23">
            <v>106</v>
          </cell>
          <cell r="AK23">
            <v>37</v>
          </cell>
          <cell r="AL23">
            <v>999999</v>
          </cell>
          <cell r="AM23">
            <v>344</v>
          </cell>
          <cell r="AN23">
            <v>344</v>
          </cell>
          <cell r="AO23">
            <v>344</v>
          </cell>
          <cell r="AP23">
            <v>89</v>
          </cell>
          <cell r="AQ23">
            <v>220</v>
          </cell>
          <cell r="AR23">
            <v>344</v>
          </cell>
          <cell r="AS23">
            <v>276</v>
          </cell>
          <cell r="BE23">
            <v>0</v>
          </cell>
          <cell r="BG23">
            <v>0</v>
          </cell>
          <cell r="BH23">
            <v>0</v>
          </cell>
          <cell r="BI23">
            <v>0</v>
          </cell>
          <cell r="BJ23">
            <v>0</v>
          </cell>
          <cell r="BK23">
            <v>0</v>
          </cell>
          <cell r="BL23">
            <v>0</v>
          </cell>
          <cell r="BM23">
            <v>0</v>
          </cell>
          <cell r="BN23">
            <v>0</v>
          </cell>
          <cell r="BO23">
            <v>0</v>
          </cell>
          <cell r="BP23">
            <v>0</v>
          </cell>
          <cell r="CA23">
            <v>210172.54838709699</v>
          </cell>
          <cell r="CB23">
            <v>266</v>
          </cell>
          <cell r="CC23">
            <v>344</v>
          </cell>
          <cell r="CD23">
            <v>344</v>
          </cell>
          <cell r="CE23">
            <v>306</v>
          </cell>
          <cell r="CF23">
            <v>344</v>
          </cell>
          <cell r="CG23">
            <v>238</v>
          </cell>
          <cell r="CH23">
            <v>344</v>
          </cell>
          <cell r="CI23">
            <v>344</v>
          </cell>
          <cell r="CJ23">
            <v>344</v>
          </cell>
          <cell r="CV23">
            <v>271.83622828784121</v>
          </cell>
          <cell r="CX23">
            <v>0</v>
          </cell>
          <cell r="CY23">
            <v>0</v>
          </cell>
          <cell r="CZ23">
            <v>0</v>
          </cell>
          <cell r="DA23">
            <v>0</v>
          </cell>
          <cell r="DB23">
            <v>0</v>
          </cell>
          <cell r="DC23">
            <v>0</v>
          </cell>
          <cell r="DD23">
            <v>0</v>
          </cell>
          <cell r="DE23">
            <v>0</v>
          </cell>
          <cell r="DF23">
            <v>0</v>
          </cell>
          <cell r="DG23">
            <v>0</v>
          </cell>
          <cell r="DR23">
            <v>73103</v>
          </cell>
          <cell r="DS23">
            <v>344</v>
          </cell>
          <cell r="DT23">
            <v>344</v>
          </cell>
          <cell r="DU23">
            <v>999999</v>
          </cell>
          <cell r="DV23">
            <v>999999</v>
          </cell>
          <cell r="DW23">
            <v>999999</v>
          </cell>
          <cell r="DX23">
            <v>344</v>
          </cell>
          <cell r="DY23">
            <v>344</v>
          </cell>
          <cell r="DZ23">
            <v>999999</v>
          </cell>
          <cell r="EA23">
            <v>999999</v>
          </cell>
        </row>
        <row r="24">
          <cell r="N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AJ24">
            <v>105</v>
          </cell>
          <cell r="AK24">
            <v>36</v>
          </cell>
          <cell r="AL24">
            <v>999999</v>
          </cell>
          <cell r="AM24">
            <v>343</v>
          </cell>
          <cell r="AN24">
            <v>343</v>
          </cell>
          <cell r="AO24">
            <v>343</v>
          </cell>
          <cell r="AP24">
            <v>88</v>
          </cell>
          <cell r="AQ24">
            <v>219</v>
          </cell>
          <cell r="AR24">
            <v>343</v>
          </cell>
          <cell r="AS24">
            <v>275</v>
          </cell>
          <cell r="BE24">
            <v>0</v>
          </cell>
          <cell r="BG24">
            <v>0</v>
          </cell>
          <cell r="BH24">
            <v>0</v>
          </cell>
          <cell r="BI24">
            <v>0</v>
          </cell>
          <cell r="BJ24">
            <v>0</v>
          </cell>
          <cell r="BK24">
            <v>0</v>
          </cell>
          <cell r="BL24">
            <v>0</v>
          </cell>
          <cell r="BM24">
            <v>0</v>
          </cell>
          <cell r="BN24">
            <v>0</v>
          </cell>
          <cell r="BO24">
            <v>0</v>
          </cell>
          <cell r="BP24">
            <v>0</v>
          </cell>
          <cell r="CA24">
            <v>209753.19354838732</v>
          </cell>
          <cell r="CB24">
            <v>265</v>
          </cell>
          <cell r="CC24">
            <v>343</v>
          </cell>
          <cell r="CD24">
            <v>343</v>
          </cell>
          <cell r="CE24">
            <v>305</v>
          </cell>
          <cell r="CF24">
            <v>343</v>
          </cell>
          <cell r="CG24">
            <v>237</v>
          </cell>
          <cell r="CH24">
            <v>343</v>
          </cell>
          <cell r="CI24">
            <v>343</v>
          </cell>
          <cell r="CJ24">
            <v>343</v>
          </cell>
          <cell r="CV24">
            <v>271.83622828784121</v>
          </cell>
          <cell r="CX24">
            <v>0</v>
          </cell>
          <cell r="CY24">
            <v>0</v>
          </cell>
          <cell r="CZ24">
            <v>0</v>
          </cell>
          <cell r="DA24">
            <v>0</v>
          </cell>
          <cell r="DB24">
            <v>0</v>
          </cell>
          <cell r="DC24">
            <v>0</v>
          </cell>
          <cell r="DD24">
            <v>0</v>
          </cell>
          <cell r="DE24">
            <v>0</v>
          </cell>
          <cell r="DF24">
            <v>0</v>
          </cell>
          <cell r="DG24">
            <v>0</v>
          </cell>
          <cell r="DR24">
            <v>73103</v>
          </cell>
          <cell r="DS24">
            <v>343</v>
          </cell>
          <cell r="DT24">
            <v>343</v>
          </cell>
          <cell r="DU24">
            <v>999999</v>
          </cell>
          <cell r="DV24">
            <v>999999</v>
          </cell>
          <cell r="DW24">
            <v>999999</v>
          </cell>
          <cell r="DX24">
            <v>343</v>
          </cell>
          <cell r="DY24">
            <v>343</v>
          </cell>
          <cell r="DZ24">
            <v>999999</v>
          </cell>
          <cell r="EA24">
            <v>999999</v>
          </cell>
        </row>
        <row r="25">
          <cell r="N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AJ25">
            <v>104</v>
          </cell>
          <cell r="AK25">
            <v>35</v>
          </cell>
          <cell r="AL25">
            <v>999999</v>
          </cell>
          <cell r="AM25">
            <v>342</v>
          </cell>
          <cell r="AN25">
            <v>342</v>
          </cell>
          <cell r="AO25">
            <v>342</v>
          </cell>
          <cell r="AP25">
            <v>87</v>
          </cell>
          <cell r="AQ25">
            <v>218</v>
          </cell>
          <cell r="AR25">
            <v>342</v>
          </cell>
          <cell r="AS25">
            <v>274</v>
          </cell>
          <cell r="BE25">
            <v>0</v>
          </cell>
          <cell r="BG25">
            <v>0</v>
          </cell>
          <cell r="BH25">
            <v>0</v>
          </cell>
          <cell r="BI25">
            <v>0</v>
          </cell>
          <cell r="BJ25">
            <v>0</v>
          </cell>
          <cell r="BK25">
            <v>0</v>
          </cell>
          <cell r="BL25">
            <v>0</v>
          </cell>
          <cell r="BM25">
            <v>0</v>
          </cell>
          <cell r="BN25">
            <v>0</v>
          </cell>
          <cell r="BO25">
            <v>0</v>
          </cell>
          <cell r="BP25">
            <v>0</v>
          </cell>
          <cell r="CA25">
            <v>209333.83870967766</v>
          </cell>
          <cell r="CB25">
            <v>264</v>
          </cell>
          <cell r="CC25">
            <v>342</v>
          </cell>
          <cell r="CD25">
            <v>342</v>
          </cell>
          <cell r="CE25">
            <v>304</v>
          </cell>
          <cell r="CF25">
            <v>342</v>
          </cell>
          <cell r="CG25">
            <v>236</v>
          </cell>
          <cell r="CH25">
            <v>342</v>
          </cell>
          <cell r="CI25">
            <v>342</v>
          </cell>
          <cell r="CJ25">
            <v>342</v>
          </cell>
          <cell r="CV25">
            <v>271.83622828784121</v>
          </cell>
          <cell r="CX25">
            <v>0</v>
          </cell>
          <cell r="CY25">
            <v>0</v>
          </cell>
          <cell r="CZ25">
            <v>0</v>
          </cell>
          <cell r="DA25">
            <v>0</v>
          </cell>
          <cell r="DB25">
            <v>0</v>
          </cell>
          <cell r="DC25">
            <v>0</v>
          </cell>
          <cell r="DD25">
            <v>0</v>
          </cell>
          <cell r="DE25">
            <v>0</v>
          </cell>
          <cell r="DF25">
            <v>0</v>
          </cell>
          <cell r="DG25">
            <v>0</v>
          </cell>
          <cell r="DR25">
            <v>73103</v>
          </cell>
          <cell r="DS25">
            <v>342</v>
          </cell>
          <cell r="DT25">
            <v>342</v>
          </cell>
          <cell r="DU25">
            <v>999999</v>
          </cell>
          <cell r="DV25">
            <v>999999</v>
          </cell>
          <cell r="DW25">
            <v>999999</v>
          </cell>
          <cell r="DX25">
            <v>342</v>
          </cell>
          <cell r="DY25">
            <v>342</v>
          </cell>
          <cell r="DZ25">
            <v>999999</v>
          </cell>
          <cell r="EA25">
            <v>999999</v>
          </cell>
        </row>
        <row r="26">
          <cell r="N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AJ26">
            <v>103</v>
          </cell>
          <cell r="AK26">
            <v>34</v>
          </cell>
          <cell r="AL26">
            <v>999999</v>
          </cell>
          <cell r="AM26">
            <v>341</v>
          </cell>
          <cell r="AN26">
            <v>341</v>
          </cell>
          <cell r="AO26">
            <v>341</v>
          </cell>
          <cell r="AP26">
            <v>86</v>
          </cell>
          <cell r="AQ26">
            <v>217</v>
          </cell>
          <cell r="AR26">
            <v>341</v>
          </cell>
          <cell r="AS26">
            <v>273</v>
          </cell>
          <cell r="BE26">
            <v>0</v>
          </cell>
          <cell r="BG26">
            <v>0</v>
          </cell>
          <cell r="BH26">
            <v>0</v>
          </cell>
          <cell r="BI26">
            <v>0</v>
          </cell>
          <cell r="BJ26">
            <v>0</v>
          </cell>
          <cell r="BK26">
            <v>0</v>
          </cell>
          <cell r="BL26">
            <v>0</v>
          </cell>
          <cell r="BM26">
            <v>0</v>
          </cell>
          <cell r="BN26">
            <v>0</v>
          </cell>
          <cell r="BO26">
            <v>0</v>
          </cell>
          <cell r="BP26">
            <v>0</v>
          </cell>
          <cell r="CA26">
            <v>208914.48387096799</v>
          </cell>
          <cell r="CB26">
            <v>263</v>
          </cell>
          <cell r="CC26">
            <v>341</v>
          </cell>
          <cell r="CD26">
            <v>341</v>
          </cell>
          <cell r="CE26">
            <v>303</v>
          </cell>
          <cell r="CF26">
            <v>341</v>
          </cell>
          <cell r="CG26">
            <v>235</v>
          </cell>
          <cell r="CH26">
            <v>341</v>
          </cell>
          <cell r="CI26">
            <v>341</v>
          </cell>
          <cell r="CJ26">
            <v>341</v>
          </cell>
          <cell r="CV26">
            <v>271.83622828784121</v>
          </cell>
          <cell r="CX26">
            <v>0</v>
          </cell>
          <cell r="CY26">
            <v>0</v>
          </cell>
          <cell r="CZ26">
            <v>0</v>
          </cell>
          <cell r="DA26">
            <v>0</v>
          </cell>
          <cell r="DB26">
            <v>0</v>
          </cell>
          <cell r="DC26">
            <v>0</v>
          </cell>
          <cell r="DD26">
            <v>0</v>
          </cell>
          <cell r="DE26">
            <v>0</v>
          </cell>
          <cell r="DF26">
            <v>0</v>
          </cell>
          <cell r="DG26">
            <v>0</v>
          </cell>
          <cell r="DR26">
            <v>73103</v>
          </cell>
          <cell r="DS26">
            <v>341</v>
          </cell>
          <cell r="DT26">
            <v>341</v>
          </cell>
          <cell r="DU26">
            <v>999999</v>
          </cell>
          <cell r="DV26">
            <v>999999</v>
          </cell>
          <cell r="DW26">
            <v>999999</v>
          </cell>
          <cell r="DX26">
            <v>341</v>
          </cell>
          <cell r="DY26">
            <v>341</v>
          </cell>
          <cell r="DZ26">
            <v>999999</v>
          </cell>
          <cell r="EA26">
            <v>999999</v>
          </cell>
        </row>
        <row r="27">
          <cell r="N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AJ27">
            <v>102</v>
          </cell>
          <cell r="AK27">
            <v>33</v>
          </cell>
          <cell r="AL27">
            <v>999999</v>
          </cell>
          <cell r="AM27">
            <v>340</v>
          </cell>
          <cell r="AN27">
            <v>340</v>
          </cell>
          <cell r="AO27">
            <v>340</v>
          </cell>
          <cell r="AP27">
            <v>85</v>
          </cell>
          <cell r="AQ27">
            <v>216</v>
          </cell>
          <cell r="AR27">
            <v>340</v>
          </cell>
          <cell r="AS27">
            <v>272</v>
          </cell>
          <cell r="BE27">
            <v>0</v>
          </cell>
          <cell r="BG27">
            <v>0</v>
          </cell>
          <cell r="BH27">
            <v>0</v>
          </cell>
          <cell r="BI27">
            <v>0</v>
          </cell>
          <cell r="BJ27">
            <v>0</v>
          </cell>
          <cell r="BK27">
            <v>0</v>
          </cell>
          <cell r="BL27">
            <v>0</v>
          </cell>
          <cell r="BM27">
            <v>0</v>
          </cell>
          <cell r="BN27">
            <v>0</v>
          </cell>
          <cell r="BO27">
            <v>0</v>
          </cell>
          <cell r="BP27">
            <v>0</v>
          </cell>
          <cell r="CA27">
            <v>208495.12903225832</v>
          </cell>
          <cell r="CB27">
            <v>262</v>
          </cell>
          <cell r="CC27">
            <v>340</v>
          </cell>
          <cell r="CD27">
            <v>340</v>
          </cell>
          <cell r="CE27">
            <v>302</v>
          </cell>
          <cell r="CF27">
            <v>340</v>
          </cell>
          <cell r="CG27">
            <v>234</v>
          </cell>
          <cell r="CH27">
            <v>340</v>
          </cell>
          <cell r="CI27">
            <v>340</v>
          </cell>
          <cell r="CJ27">
            <v>340</v>
          </cell>
          <cell r="CV27">
            <v>271.83622828784121</v>
          </cell>
          <cell r="CX27">
            <v>0</v>
          </cell>
          <cell r="CY27">
            <v>0</v>
          </cell>
          <cell r="CZ27">
            <v>0</v>
          </cell>
          <cell r="DA27">
            <v>0</v>
          </cell>
          <cell r="DB27">
            <v>0</v>
          </cell>
          <cell r="DC27">
            <v>0</v>
          </cell>
          <cell r="DD27">
            <v>0</v>
          </cell>
          <cell r="DE27">
            <v>0</v>
          </cell>
          <cell r="DF27">
            <v>0</v>
          </cell>
          <cell r="DG27">
            <v>0</v>
          </cell>
          <cell r="DR27">
            <v>73103</v>
          </cell>
          <cell r="DS27">
            <v>340</v>
          </cell>
          <cell r="DT27">
            <v>340</v>
          </cell>
          <cell r="DU27">
            <v>999999</v>
          </cell>
          <cell r="DV27">
            <v>999999</v>
          </cell>
          <cell r="DW27">
            <v>999999</v>
          </cell>
          <cell r="DX27">
            <v>340</v>
          </cell>
          <cell r="DY27">
            <v>340</v>
          </cell>
          <cell r="DZ27">
            <v>999999</v>
          </cell>
          <cell r="EA27">
            <v>999999</v>
          </cell>
        </row>
        <row r="28">
          <cell r="N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AJ28">
            <v>101</v>
          </cell>
          <cell r="AK28">
            <v>32</v>
          </cell>
          <cell r="AL28">
            <v>999999</v>
          </cell>
          <cell r="AM28">
            <v>339</v>
          </cell>
          <cell r="AN28">
            <v>339</v>
          </cell>
          <cell r="AO28">
            <v>339</v>
          </cell>
          <cell r="AP28">
            <v>84</v>
          </cell>
          <cell r="AQ28">
            <v>215</v>
          </cell>
          <cell r="AR28">
            <v>339</v>
          </cell>
          <cell r="AS28">
            <v>271</v>
          </cell>
          <cell r="BE28">
            <v>0</v>
          </cell>
          <cell r="BG28">
            <v>0</v>
          </cell>
          <cell r="BH28">
            <v>0</v>
          </cell>
          <cell r="BI28">
            <v>0</v>
          </cell>
          <cell r="BJ28">
            <v>0</v>
          </cell>
          <cell r="BK28">
            <v>0</v>
          </cell>
          <cell r="BL28">
            <v>0</v>
          </cell>
          <cell r="BM28">
            <v>0</v>
          </cell>
          <cell r="BN28">
            <v>0</v>
          </cell>
          <cell r="BO28">
            <v>0</v>
          </cell>
          <cell r="BP28">
            <v>0</v>
          </cell>
          <cell r="CA28">
            <v>208075.77419354866</v>
          </cell>
          <cell r="CB28">
            <v>261</v>
          </cell>
          <cell r="CC28">
            <v>339</v>
          </cell>
          <cell r="CD28">
            <v>339</v>
          </cell>
          <cell r="CE28">
            <v>301</v>
          </cell>
          <cell r="CF28">
            <v>339</v>
          </cell>
          <cell r="CG28">
            <v>233</v>
          </cell>
          <cell r="CH28">
            <v>339</v>
          </cell>
          <cell r="CI28">
            <v>339</v>
          </cell>
          <cell r="CJ28">
            <v>339</v>
          </cell>
          <cell r="CV28">
            <v>271.83622828784121</v>
          </cell>
          <cell r="CX28">
            <v>0</v>
          </cell>
          <cell r="CY28">
            <v>0</v>
          </cell>
          <cell r="CZ28">
            <v>0</v>
          </cell>
          <cell r="DA28">
            <v>0</v>
          </cell>
          <cell r="DB28">
            <v>0</v>
          </cell>
          <cell r="DC28">
            <v>0</v>
          </cell>
          <cell r="DD28">
            <v>0</v>
          </cell>
          <cell r="DE28">
            <v>0</v>
          </cell>
          <cell r="DF28">
            <v>0</v>
          </cell>
          <cell r="DG28">
            <v>0</v>
          </cell>
          <cell r="DR28">
            <v>73103</v>
          </cell>
          <cell r="DS28">
            <v>339</v>
          </cell>
          <cell r="DT28">
            <v>339</v>
          </cell>
          <cell r="DU28">
            <v>999999</v>
          </cell>
          <cell r="DV28">
            <v>999999</v>
          </cell>
          <cell r="DW28">
            <v>999999</v>
          </cell>
          <cell r="DX28">
            <v>339</v>
          </cell>
          <cell r="DY28">
            <v>339</v>
          </cell>
          <cell r="DZ28">
            <v>999999</v>
          </cell>
          <cell r="EA28">
            <v>999999</v>
          </cell>
        </row>
        <row r="29">
          <cell r="N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AJ29">
            <v>100</v>
          </cell>
          <cell r="AK29">
            <v>31</v>
          </cell>
          <cell r="AL29">
            <v>999999</v>
          </cell>
          <cell r="AM29">
            <v>338</v>
          </cell>
          <cell r="AN29">
            <v>338</v>
          </cell>
          <cell r="AO29">
            <v>338</v>
          </cell>
          <cell r="AP29">
            <v>83</v>
          </cell>
          <cell r="AQ29">
            <v>214</v>
          </cell>
          <cell r="AR29">
            <v>338</v>
          </cell>
          <cell r="AS29">
            <v>270</v>
          </cell>
          <cell r="BE29">
            <v>0</v>
          </cell>
          <cell r="BG29">
            <v>0</v>
          </cell>
          <cell r="BH29">
            <v>0</v>
          </cell>
          <cell r="BI29">
            <v>0</v>
          </cell>
          <cell r="BJ29">
            <v>0</v>
          </cell>
          <cell r="BK29">
            <v>0</v>
          </cell>
          <cell r="BL29">
            <v>0</v>
          </cell>
          <cell r="BM29">
            <v>0</v>
          </cell>
          <cell r="BN29">
            <v>0</v>
          </cell>
          <cell r="BO29">
            <v>0</v>
          </cell>
          <cell r="BP29">
            <v>0</v>
          </cell>
          <cell r="CA29">
            <v>207656.41935483899</v>
          </cell>
          <cell r="CB29">
            <v>260</v>
          </cell>
          <cell r="CC29">
            <v>338</v>
          </cell>
          <cell r="CD29">
            <v>338</v>
          </cell>
          <cell r="CE29">
            <v>300</v>
          </cell>
          <cell r="CF29">
            <v>338</v>
          </cell>
          <cell r="CG29">
            <v>232</v>
          </cell>
          <cell r="CH29">
            <v>338</v>
          </cell>
          <cell r="CI29">
            <v>338</v>
          </cell>
          <cell r="CJ29">
            <v>338</v>
          </cell>
          <cell r="CV29">
            <v>271.83622828784121</v>
          </cell>
          <cell r="CX29">
            <v>0</v>
          </cell>
          <cell r="CY29">
            <v>0</v>
          </cell>
          <cell r="CZ29">
            <v>0</v>
          </cell>
          <cell r="DA29">
            <v>0</v>
          </cell>
          <cell r="DB29">
            <v>0</v>
          </cell>
          <cell r="DC29">
            <v>0</v>
          </cell>
          <cell r="DD29">
            <v>0</v>
          </cell>
          <cell r="DE29">
            <v>0</v>
          </cell>
          <cell r="DF29">
            <v>0</v>
          </cell>
          <cell r="DG29">
            <v>0</v>
          </cell>
          <cell r="DR29">
            <v>73103</v>
          </cell>
          <cell r="DS29">
            <v>338</v>
          </cell>
          <cell r="DT29">
            <v>338</v>
          </cell>
          <cell r="DU29">
            <v>999999</v>
          </cell>
          <cell r="DV29">
            <v>999999</v>
          </cell>
          <cell r="DW29">
            <v>999999</v>
          </cell>
          <cell r="DX29">
            <v>338</v>
          </cell>
          <cell r="DY29">
            <v>338</v>
          </cell>
          <cell r="DZ29">
            <v>999999</v>
          </cell>
          <cell r="EA29">
            <v>999999</v>
          </cell>
        </row>
        <row r="30">
          <cell r="N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AJ30">
            <v>99</v>
          </cell>
          <cell r="AK30">
            <v>30</v>
          </cell>
          <cell r="AL30">
            <v>999999</v>
          </cell>
          <cell r="AM30">
            <v>337</v>
          </cell>
          <cell r="AN30">
            <v>337</v>
          </cell>
          <cell r="AO30">
            <v>337</v>
          </cell>
          <cell r="AP30">
            <v>82</v>
          </cell>
          <cell r="AQ30">
            <v>213</v>
          </cell>
          <cell r="AR30">
            <v>337</v>
          </cell>
          <cell r="AS30">
            <v>269</v>
          </cell>
          <cell r="BE30">
            <v>0</v>
          </cell>
          <cell r="BG30">
            <v>0</v>
          </cell>
          <cell r="BH30">
            <v>0</v>
          </cell>
          <cell r="BI30">
            <v>0</v>
          </cell>
          <cell r="BJ30">
            <v>0</v>
          </cell>
          <cell r="BK30">
            <v>0</v>
          </cell>
          <cell r="BL30">
            <v>0</v>
          </cell>
          <cell r="BM30">
            <v>0</v>
          </cell>
          <cell r="BN30">
            <v>0</v>
          </cell>
          <cell r="BO30">
            <v>0</v>
          </cell>
          <cell r="BP30">
            <v>0</v>
          </cell>
          <cell r="CA30">
            <v>207237.06451612932</v>
          </cell>
          <cell r="CB30">
            <v>259</v>
          </cell>
          <cell r="CC30">
            <v>337</v>
          </cell>
          <cell r="CD30">
            <v>337</v>
          </cell>
          <cell r="CE30">
            <v>299</v>
          </cell>
          <cell r="CF30">
            <v>337</v>
          </cell>
          <cell r="CG30">
            <v>231</v>
          </cell>
          <cell r="CH30">
            <v>337</v>
          </cell>
          <cell r="CI30">
            <v>337</v>
          </cell>
          <cell r="CJ30">
            <v>337</v>
          </cell>
          <cell r="CV30">
            <v>271.83622828784121</v>
          </cell>
          <cell r="CX30">
            <v>0</v>
          </cell>
          <cell r="CY30">
            <v>0</v>
          </cell>
          <cell r="CZ30">
            <v>0</v>
          </cell>
          <cell r="DA30">
            <v>0</v>
          </cell>
          <cell r="DB30">
            <v>0</v>
          </cell>
          <cell r="DC30">
            <v>0</v>
          </cell>
          <cell r="DD30">
            <v>0</v>
          </cell>
          <cell r="DE30">
            <v>0</v>
          </cell>
          <cell r="DF30">
            <v>0</v>
          </cell>
          <cell r="DG30">
            <v>0</v>
          </cell>
          <cell r="DR30">
            <v>73103</v>
          </cell>
          <cell r="DS30">
            <v>337</v>
          </cell>
          <cell r="DT30">
            <v>337</v>
          </cell>
          <cell r="DU30">
            <v>999999</v>
          </cell>
          <cell r="DV30">
            <v>999999</v>
          </cell>
          <cell r="DW30">
            <v>999999</v>
          </cell>
          <cell r="DX30">
            <v>337</v>
          </cell>
          <cell r="DY30">
            <v>337</v>
          </cell>
          <cell r="DZ30">
            <v>999999</v>
          </cell>
          <cell r="EA30">
            <v>999999</v>
          </cell>
        </row>
        <row r="31">
          <cell r="N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AJ31">
            <v>98</v>
          </cell>
          <cell r="AK31">
            <v>29</v>
          </cell>
          <cell r="AL31">
            <v>999999</v>
          </cell>
          <cell r="AM31">
            <v>336</v>
          </cell>
          <cell r="AN31">
            <v>336</v>
          </cell>
          <cell r="AO31">
            <v>336</v>
          </cell>
          <cell r="AP31">
            <v>81</v>
          </cell>
          <cell r="AQ31">
            <v>212</v>
          </cell>
          <cell r="AR31">
            <v>336</v>
          </cell>
          <cell r="AS31">
            <v>268</v>
          </cell>
          <cell r="BE31">
            <v>0</v>
          </cell>
          <cell r="BG31">
            <v>0</v>
          </cell>
          <cell r="BH31">
            <v>0</v>
          </cell>
          <cell r="BI31">
            <v>0</v>
          </cell>
          <cell r="BJ31">
            <v>0</v>
          </cell>
          <cell r="BK31">
            <v>0</v>
          </cell>
          <cell r="BL31">
            <v>0</v>
          </cell>
          <cell r="BM31">
            <v>0</v>
          </cell>
          <cell r="BN31">
            <v>0</v>
          </cell>
          <cell r="BO31">
            <v>0</v>
          </cell>
          <cell r="BP31">
            <v>0</v>
          </cell>
          <cell r="CA31">
            <v>206817.70967741965</v>
          </cell>
          <cell r="CB31">
            <v>258</v>
          </cell>
          <cell r="CC31">
            <v>336</v>
          </cell>
          <cell r="CD31">
            <v>336</v>
          </cell>
          <cell r="CE31">
            <v>298</v>
          </cell>
          <cell r="CF31">
            <v>336</v>
          </cell>
          <cell r="CG31">
            <v>230</v>
          </cell>
          <cell r="CH31">
            <v>336</v>
          </cell>
          <cell r="CI31">
            <v>336</v>
          </cell>
          <cell r="CJ31">
            <v>336</v>
          </cell>
          <cell r="CV31">
            <v>271.83622828784121</v>
          </cell>
          <cell r="CX31">
            <v>0</v>
          </cell>
          <cell r="CY31">
            <v>0</v>
          </cell>
          <cell r="CZ31">
            <v>0</v>
          </cell>
          <cell r="DA31">
            <v>0</v>
          </cell>
          <cell r="DB31">
            <v>0</v>
          </cell>
          <cell r="DC31">
            <v>0</v>
          </cell>
          <cell r="DD31">
            <v>0</v>
          </cell>
          <cell r="DE31">
            <v>0</v>
          </cell>
          <cell r="DF31">
            <v>0</v>
          </cell>
          <cell r="DG31">
            <v>0</v>
          </cell>
          <cell r="DR31">
            <v>73103</v>
          </cell>
          <cell r="DS31">
            <v>336</v>
          </cell>
          <cell r="DT31">
            <v>336</v>
          </cell>
          <cell r="DU31">
            <v>999999</v>
          </cell>
          <cell r="DV31">
            <v>999999</v>
          </cell>
          <cell r="DW31">
            <v>999999</v>
          </cell>
          <cell r="DX31">
            <v>336</v>
          </cell>
          <cell r="DY31">
            <v>336</v>
          </cell>
          <cell r="DZ31">
            <v>999999</v>
          </cell>
          <cell r="EA31">
            <v>999999</v>
          </cell>
        </row>
        <row r="32">
          <cell r="N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AJ32">
            <v>97</v>
          </cell>
          <cell r="AK32">
            <v>28</v>
          </cell>
          <cell r="AL32">
            <v>999999</v>
          </cell>
          <cell r="AM32">
            <v>335</v>
          </cell>
          <cell r="AN32">
            <v>335</v>
          </cell>
          <cell r="AO32">
            <v>335</v>
          </cell>
          <cell r="AP32">
            <v>80</v>
          </cell>
          <cell r="AQ32">
            <v>211</v>
          </cell>
          <cell r="AR32">
            <v>335</v>
          </cell>
          <cell r="AS32">
            <v>267</v>
          </cell>
          <cell r="BE32">
            <v>0</v>
          </cell>
          <cell r="BG32">
            <v>0</v>
          </cell>
          <cell r="BH32">
            <v>0</v>
          </cell>
          <cell r="BI32">
            <v>0</v>
          </cell>
          <cell r="BJ32">
            <v>0</v>
          </cell>
          <cell r="BK32">
            <v>0</v>
          </cell>
          <cell r="BL32">
            <v>0</v>
          </cell>
          <cell r="BM32">
            <v>0</v>
          </cell>
          <cell r="BN32">
            <v>0</v>
          </cell>
          <cell r="BO32">
            <v>0</v>
          </cell>
          <cell r="BP32">
            <v>0</v>
          </cell>
          <cell r="CA32">
            <v>206398.35483870999</v>
          </cell>
          <cell r="CB32">
            <v>257</v>
          </cell>
          <cell r="CC32">
            <v>335</v>
          </cell>
          <cell r="CD32">
            <v>335</v>
          </cell>
          <cell r="CE32">
            <v>297</v>
          </cell>
          <cell r="CF32">
            <v>335</v>
          </cell>
          <cell r="CG32">
            <v>229</v>
          </cell>
          <cell r="CH32">
            <v>335</v>
          </cell>
          <cell r="CI32">
            <v>335</v>
          </cell>
          <cell r="CJ32">
            <v>335</v>
          </cell>
          <cell r="CV32">
            <v>271.83622828784121</v>
          </cell>
          <cell r="CX32">
            <v>0</v>
          </cell>
          <cell r="CY32">
            <v>0</v>
          </cell>
          <cell r="CZ32">
            <v>0</v>
          </cell>
          <cell r="DA32">
            <v>0</v>
          </cell>
          <cell r="DB32">
            <v>0</v>
          </cell>
          <cell r="DC32">
            <v>0</v>
          </cell>
          <cell r="DD32">
            <v>0</v>
          </cell>
          <cell r="DE32">
            <v>0</v>
          </cell>
          <cell r="DF32">
            <v>0</v>
          </cell>
          <cell r="DG32">
            <v>0</v>
          </cell>
          <cell r="DR32">
            <v>73103</v>
          </cell>
          <cell r="DS32">
            <v>335</v>
          </cell>
          <cell r="DT32">
            <v>335</v>
          </cell>
          <cell r="DU32">
            <v>999999</v>
          </cell>
          <cell r="DV32">
            <v>999999</v>
          </cell>
          <cell r="DW32">
            <v>999999</v>
          </cell>
          <cell r="DX32">
            <v>335</v>
          </cell>
          <cell r="DY32">
            <v>335</v>
          </cell>
          <cell r="DZ32">
            <v>999999</v>
          </cell>
          <cell r="EA32">
            <v>999999</v>
          </cell>
        </row>
        <row r="33">
          <cell r="N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AJ33">
            <v>96</v>
          </cell>
          <cell r="AK33">
            <v>27</v>
          </cell>
          <cell r="AL33">
            <v>999999</v>
          </cell>
          <cell r="AM33">
            <v>334</v>
          </cell>
          <cell r="AN33">
            <v>334</v>
          </cell>
          <cell r="AO33">
            <v>334</v>
          </cell>
          <cell r="AP33">
            <v>79</v>
          </cell>
          <cell r="AQ33">
            <v>210</v>
          </cell>
          <cell r="AR33">
            <v>334</v>
          </cell>
          <cell r="AS33">
            <v>266</v>
          </cell>
          <cell r="BE33">
            <v>0</v>
          </cell>
          <cell r="BG33">
            <v>0</v>
          </cell>
          <cell r="BH33">
            <v>0</v>
          </cell>
          <cell r="BI33">
            <v>0</v>
          </cell>
          <cell r="BJ33">
            <v>0</v>
          </cell>
          <cell r="BK33">
            <v>0</v>
          </cell>
          <cell r="BL33">
            <v>0</v>
          </cell>
          <cell r="BM33">
            <v>0</v>
          </cell>
          <cell r="BN33">
            <v>0</v>
          </cell>
          <cell r="BO33">
            <v>0</v>
          </cell>
          <cell r="BP33">
            <v>0</v>
          </cell>
          <cell r="CA33">
            <v>205979.00000000032</v>
          </cell>
          <cell r="CB33">
            <v>256</v>
          </cell>
          <cell r="CC33">
            <v>334</v>
          </cell>
          <cell r="CD33">
            <v>334</v>
          </cell>
          <cell r="CE33">
            <v>296</v>
          </cell>
          <cell r="CF33">
            <v>334</v>
          </cell>
          <cell r="CG33">
            <v>228</v>
          </cell>
          <cell r="CH33">
            <v>334</v>
          </cell>
          <cell r="CI33">
            <v>334</v>
          </cell>
          <cell r="CJ33">
            <v>334</v>
          </cell>
          <cell r="CV33">
            <v>271.83622828784121</v>
          </cell>
          <cell r="CX33">
            <v>0</v>
          </cell>
          <cell r="CY33">
            <v>0</v>
          </cell>
          <cell r="CZ33">
            <v>0</v>
          </cell>
          <cell r="DA33">
            <v>0</v>
          </cell>
          <cell r="DB33">
            <v>0</v>
          </cell>
          <cell r="DC33">
            <v>0</v>
          </cell>
          <cell r="DD33">
            <v>0</v>
          </cell>
          <cell r="DE33">
            <v>0</v>
          </cell>
          <cell r="DF33">
            <v>0</v>
          </cell>
          <cell r="DG33">
            <v>0</v>
          </cell>
          <cell r="DR33">
            <v>73103</v>
          </cell>
          <cell r="DS33">
            <v>334</v>
          </cell>
          <cell r="DT33">
            <v>334</v>
          </cell>
          <cell r="DU33">
            <v>999999</v>
          </cell>
          <cell r="DV33">
            <v>999999</v>
          </cell>
          <cell r="DW33">
            <v>999999</v>
          </cell>
          <cell r="DX33">
            <v>334</v>
          </cell>
          <cell r="DY33">
            <v>334</v>
          </cell>
          <cell r="DZ33">
            <v>999999</v>
          </cell>
          <cell r="EA33">
            <v>999999</v>
          </cell>
        </row>
        <row r="34">
          <cell r="N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AJ34">
            <v>95</v>
          </cell>
          <cell r="AK34">
            <v>26</v>
          </cell>
          <cell r="AL34">
            <v>999999</v>
          </cell>
          <cell r="AM34">
            <v>333</v>
          </cell>
          <cell r="AN34">
            <v>333</v>
          </cell>
          <cell r="AO34">
            <v>333</v>
          </cell>
          <cell r="AP34">
            <v>78</v>
          </cell>
          <cell r="AQ34">
            <v>209</v>
          </cell>
          <cell r="AR34">
            <v>333</v>
          </cell>
          <cell r="AS34">
            <v>265</v>
          </cell>
          <cell r="BE34">
            <v>0</v>
          </cell>
          <cell r="BG34">
            <v>0</v>
          </cell>
          <cell r="BH34">
            <v>0</v>
          </cell>
          <cell r="BI34">
            <v>0</v>
          </cell>
          <cell r="BJ34">
            <v>0</v>
          </cell>
          <cell r="BK34">
            <v>0</v>
          </cell>
          <cell r="BL34">
            <v>0</v>
          </cell>
          <cell r="BM34">
            <v>0</v>
          </cell>
          <cell r="BN34">
            <v>0</v>
          </cell>
          <cell r="BO34">
            <v>0</v>
          </cell>
          <cell r="BP34">
            <v>0</v>
          </cell>
          <cell r="CA34">
            <v>205507.57142857174</v>
          </cell>
          <cell r="CB34">
            <v>255</v>
          </cell>
          <cell r="CC34">
            <v>333</v>
          </cell>
          <cell r="CD34">
            <v>333</v>
          </cell>
          <cell r="CE34">
            <v>295</v>
          </cell>
          <cell r="CF34">
            <v>333</v>
          </cell>
          <cell r="CG34">
            <v>227</v>
          </cell>
          <cell r="CH34">
            <v>333</v>
          </cell>
          <cell r="CI34">
            <v>333</v>
          </cell>
          <cell r="CJ34">
            <v>333</v>
          </cell>
          <cell r="CV34">
            <v>180.41208791208791</v>
          </cell>
          <cell r="CX34">
            <v>0</v>
          </cell>
          <cell r="CY34">
            <v>0</v>
          </cell>
          <cell r="CZ34">
            <v>0</v>
          </cell>
          <cell r="DA34">
            <v>0</v>
          </cell>
          <cell r="DB34">
            <v>0</v>
          </cell>
          <cell r="DC34">
            <v>0</v>
          </cell>
          <cell r="DD34">
            <v>0</v>
          </cell>
          <cell r="DE34">
            <v>0</v>
          </cell>
          <cell r="DF34">
            <v>0</v>
          </cell>
          <cell r="DG34">
            <v>0</v>
          </cell>
          <cell r="DR34">
            <v>73103</v>
          </cell>
          <cell r="DS34">
            <v>333</v>
          </cell>
          <cell r="DT34">
            <v>333</v>
          </cell>
          <cell r="DU34">
            <v>999999</v>
          </cell>
          <cell r="DV34">
            <v>999999</v>
          </cell>
          <cell r="DW34">
            <v>999999</v>
          </cell>
          <cell r="DX34">
            <v>333</v>
          </cell>
          <cell r="DY34">
            <v>333</v>
          </cell>
          <cell r="DZ34">
            <v>999999</v>
          </cell>
          <cell r="EA34">
            <v>999999</v>
          </cell>
        </row>
        <row r="35">
          <cell r="N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AJ35">
            <v>94</v>
          </cell>
          <cell r="AK35">
            <v>25</v>
          </cell>
          <cell r="AL35">
            <v>999999</v>
          </cell>
          <cell r="AM35">
            <v>332</v>
          </cell>
          <cell r="AN35">
            <v>332</v>
          </cell>
          <cell r="AO35">
            <v>332</v>
          </cell>
          <cell r="AP35">
            <v>77</v>
          </cell>
          <cell r="AQ35">
            <v>208</v>
          </cell>
          <cell r="AR35">
            <v>332</v>
          </cell>
          <cell r="AS35">
            <v>264</v>
          </cell>
          <cell r="BE35">
            <v>0</v>
          </cell>
          <cell r="BG35">
            <v>0</v>
          </cell>
          <cell r="BH35">
            <v>0</v>
          </cell>
          <cell r="BI35">
            <v>0</v>
          </cell>
          <cell r="BJ35">
            <v>0</v>
          </cell>
          <cell r="BK35">
            <v>0</v>
          </cell>
          <cell r="BL35">
            <v>0</v>
          </cell>
          <cell r="BM35">
            <v>0</v>
          </cell>
          <cell r="BN35">
            <v>0</v>
          </cell>
          <cell r="BO35">
            <v>0</v>
          </cell>
          <cell r="BP35">
            <v>0</v>
          </cell>
          <cell r="CA35">
            <v>205036.14285714316</v>
          </cell>
          <cell r="CB35">
            <v>254</v>
          </cell>
          <cell r="CC35">
            <v>332</v>
          </cell>
          <cell r="CD35">
            <v>332</v>
          </cell>
          <cell r="CE35">
            <v>294</v>
          </cell>
          <cell r="CF35">
            <v>332</v>
          </cell>
          <cell r="CG35">
            <v>226</v>
          </cell>
          <cell r="CH35">
            <v>332</v>
          </cell>
          <cell r="CI35">
            <v>332</v>
          </cell>
          <cell r="CJ35">
            <v>332</v>
          </cell>
          <cell r="CV35">
            <v>180.41208791208791</v>
          </cell>
          <cell r="CX35">
            <v>0</v>
          </cell>
          <cell r="CY35">
            <v>0</v>
          </cell>
          <cell r="CZ35">
            <v>0</v>
          </cell>
          <cell r="DA35">
            <v>0</v>
          </cell>
          <cell r="DB35">
            <v>0</v>
          </cell>
          <cell r="DC35">
            <v>0</v>
          </cell>
          <cell r="DD35">
            <v>0</v>
          </cell>
          <cell r="DE35">
            <v>0</v>
          </cell>
          <cell r="DF35">
            <v>0</v>
          </cell>
          <cell r="DG35">
            <v>0</v>
          </cell>
          <cell r="DR35">
            <v>73103</v>
          </cell>
          <cell r="DS35">
            <v>332</v>
          </cell>
          <cell r="DT35">
            <v>332</v>
          </cell>
          <cell r="DU35">
            <v>999999</v>
          </cell>
          <cell r="DV35">
            <v>999999</v>
          </cell>
          <cell r="DW35">
            <v>999999</v>
          </cell>
          <cell r="DX35">
            <v>332</v>
          </cell>
          <cell r="DY35">
            <v>332</v>
          </cell>
          <cell r="DZ35">
            <v>999999</v>
          </cell>
          <cell r="EA35">
            <v>999999</v>
          </cell>
        </row>
        <row r="36">
          <cell r="N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AJ36">
            <v>93</v>
          </cell>
          <cell r="AK36">
            <v>24</v>
          </cell>
          <cell r="AL36">
            <v>999999</v>
          </cell>
          <cell r="AM36">
            <v>331</v>
          </cell>
          <cell r="AN36">
            <v>331</v>
          </cell>
          <cell r="AO36">
            <v>331</v>
          </cell>
          <cell r="AP36">
            <v>76</v>
          </cell>
          <cell r="AQ36">
            <v>207</v>
          </cell>
          <cell r="AR36">
            <v>331</v>
          </cell>
          <cell r="AS36">
            <v>263</v>
          </cell>
          <cell r="BE36">
            <v>0</v>
          </cell>
          <cell r="BG36">
            <v>0</v>
          </cell>
          <cell r="BH36">
            <v>0</v>
          </cell>
          <cell r="BI36">
            <v>0</v>
          </cell>
          <cell r="BJ36">
            <v>0</v>
          </cell>
          <cell r="BK36">
            <v>0</v>
          </cell>
          <cell r="BL36">
            <v>0</v>
          </cell>
          <cell r="BM36">
            <v>0</v>
          </cell>
          <cell r="BN36">
            <v>0</v>
          </cell>
          <cell r="BO36">
            <v>0</v>
          </cell>
          <cell r="BP36">
            <v>0</v>
          </cell>
          <cell r="CA36">
            <v>204564.71428571458</v>
          </cell>
          <cell r="CB36">
            <v>253</v>
          </cell>
          <cell r="CC36">
            <v>331</v>
          </cell>
          <cell r="CD36">
            <v>331</v>
          </cell>
          <cell r="CE36">
            <v>293</v>
          </cell>
          <cell r="CF36">
            <v>331</v>
          </cell>
          <cell r="CG36">
            <v>225</v>
          </cell>
          <cell r="CH36">
            <v>331</v>
          </cell>
          <cell r="CI36">
            <v>331</v>
          </cell>
          <cell r="CJ36">
            <v>331</v>
          </cell>
          <cell r="CV36">
            <v>180.41208791208791</v>
          </cell>
          <cell r="CX36">
            <v>0</v>
          </cell>
          <cell r="CY36">
            <v>0</v>
          </cell>
          <cell r="CZ36">
            <v>0</v>
          </cell>
          <cell r="DA36">
            <v>0</v>
          </cell>
          <cell r="DB36">
            <v>0</v>
          </cell>
          <cell r="DC36">
            <v>0</v>
          </cell>
          <cell r="DD36">
            <v>0</v>
          </cell>
          <cell r="DE36">
            <v>0</v>
          </cell>
          <cell r="DF36">
            <v>0</v>
          </cell>
          <cell r="DG36">
            <v>0</v>
          </cell>
          <cell r="DR36">
            <v>73103</v>
          </cell>
          <cell r="DS36">
            <v>331</v>
          </cell>
          <cell r="DT36">
            <v>331</v>
          </cell>
          <cell r="DU36">
            <v>999999</v>
          </cell>
          <cell r="DV36">
            <v>999999</v>
          </cell>
          <cell r="DW36">
            <v>999999</v>
          </cell>
          <cell r="DX36">
            <v>331</v>
          </cell>
          <cell r="DY36">
            <v>331</v>
          </cell>
          <cell r="DZ36">
            <v>999999</v>
          </cell>
          <cell r="EA36">
            <v>999999</v>
          </cell>
        </row>
        <row r="37">
          <cell r="N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AJ37">
            <v>92</v>
          </cell>
          <cell r="AK37">
            <v>23</v>
          </cell>
          <cell r="AL37">
            <v>999999</v>
          </cell>
          <cell r="AM37">
            <v>330</v>
          </cell>
          <cell r="AN37">
            <v>330</v>
          </cell>
          <cell r="AO37">
            <v>330</v>
          </cell>
          <cell r="AP37">
            <v>75</v>
          </cell>
          <cell r="AQ37">
            <v>206</v>
          </cell>
          <cell r="AR37">
            <v>330</v>
          </cell>
          <cell r="AS37">
            <v>262</v>
          </cell>
          <cell r="BE37">
            <v>0</v>
          </cell>
          <cell r="BG37">
            <v>0</v>
          </cell>
          <cell r="BH37">
            <v>0</v>
          </cell>
          <cell r="BI37">
            <v>0</v>
          </cell>
          <cell r="BJ37">
            <v>0</v>
          </cell>
          <cell r="BK37">
            <v>0</v>
          </cell>
          <cell r="BL37">
            <v>0</v>
          </cell>
          <cell r="BM37">
            <v>0</v>
          </cell>
          <cell r="BN37">
            <v>0</v>
          </cell>
          <cell r="BO37">
            <v>0</v>
          </cell>
          <cell r="BP37">
            <v>0</v>
          </cell>
          <cell r="CA37">
            <v>204093.285714286</v>
          </cell>
          <cell r="CB37">
            <v>252</v>
          </cell>
          <cell r="CC37">
            <v>330</v>
          </cell>
          <cell r="CD37">
            <v>330</v>
          </cell>
          <cell r="CE37">
            <v>292</v>
          </cell>
          <cell r="CF37">
            <v>330</v>
          </cell>
          <cell r="CG37">
            <v>224</v>
          </cell>
          <cell r="CH37">
            <v>330</v>
          </cell>
          <cell r="CI37">
            <v>330</v>
          </cell>
          <cell r="CJ37">
            <v>330</v>
          </cell>
          <cell r="CV37">
            <v>180.41208791208791</v>
          </cell>
          <cell r="CX37">
            <v>0</v>
          </cell>
          <cell r="CY37">
            <v>0</v>
          </cell>
          <cell r="CZ37">
            <v>0</v>
          </cell>
          <cell r="DA37">
            <v>0</v>
          </cell>
          <cell r="DB37">
            <v>0</v>
          </cell>
          <cell r="DC37">
            <v>0</v>
          </cell>
          <cell r="DD37">
            <v>0</v>
          </cell>
          <cell r="DE37">
            <v>0</v>
          </cell>
          <cell r="DF37">
            <v>0</v>
          </cell>
          <cell r="DG37">
            <v>0</v>
          </cell>
          <cell r="DR37">
            <v>73103</v>
          </cell>
          <cell r="DS37">
            <v>330</v>
          </cell>
          <cell r="DT37">
            <v>330</v>
          </cell>
          <cell r="DU37">
            <v>999999</v>
          </cell>
          <cell r="DV37">
            <v>999999</v>
          </cell>
          <cell r="DW37">
            <v>999999</v>
          </cell>
          <cell r="DX37">
            <v>330</v>
          </cell>
          <cell r="DY37">
            <v>330</v>
          </cell>
          <cell r="DZ37">
            <v>999999</v>
          </cell>
          <cell r="EA37">
            <v>999999</v>
          </cell>
        </row>
        <row r="38">
          <cell r="N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AJ38">
            <v>91</v>
          </cell>
          <cell r="AK38">
            <v>22</v>
          </cell>
          <cell r="AL38">
            <v>999999</v>
          </cell>
          <cell r="AM38">
            <v>329</v>
          </cell>
          <cell r="AN38">
            <v>329</v>
          </cell>
          <cell r="AO38">
            <v>329</v>
          </cell>
          <cell r="AP38">
            <v>74</v>
          </cell>
          <cell r="AQ38">
            <v>205</v>
          </cell>
          <cell r="AR38">
            <v>329</v>
          </cell>
          <cell r="AS38">
            <v>261</v>
          </cell>
          <cell r="BE38">
            <v>0</v>
          </cell>
          <cell r="BG38">
            <v>0</v>
          </cell>
          <cell r="BH38">
            <v>0</v>
          </cell>
          <cell r="BI38">
            <v>0</v>
          </cell>
          <cell r="BJ38">
            <v>0</v>
          </cell>
          <cell r="BK38">
            <v>0</v>
          </cell>
          <cell r="BL38">
            <v>0</v>
          </cell>
          <cell r="BM38">
            <v>0</v>
          </cell>
          <cell r="BN38">
            <v>0</v>
          </cell>
          <cell r="BO38">
            <v>0</v>
          </cell>
          <cell r="BP38">
            <v>0</v>
          </cell>
          <cell r="CA38">
            <v>203621.85714285742</v>
          </cell>
          <cell r="CB38">
            <v>251</v>
          </cell>
          <cell r="CC38">
            <v>329</v>
          </cell>
          <cell r="CD38">
            <v>329</v>
          </cell>
          <cell r="CE38">
            <v>291</v>
          </cell>
          <cell r="CF38">
            <v>329</v>
          </cell>
          <cell r="CG38">
            <v>223</v>
          </cell>
          <cell r="CH38">
            <v>329</v>
          </cell>
          <cell r="CI38">
            <v>329</v>
          </cell>
          <cell r="CJ38">
            <v>329</v>
          </cell>
          <cell r="CV38">
            <v>180.41208791208791</v>
          </cell>
          <cell r="CX38">
            <v>0</v>
          </cell>
          <cell r="CY38">
            <v>0</v>
          </cell>
          <cell r="CZ38">
            <v>0</v>
          </cell>
          <cell r="DA38">
            <v>0</v>
          </cell>
          <cell r="DB38">
            <v>0</v>
          </cell>
          <cell r="DC38">
            <v>0</v>
          </cell>
          <cell r="DD38">
            <v>0</v>
          </cell>
          <cell r="DE38">
            <v>0</v>
          </cell>
          <cell r="DF38">
            <v>0</v>
          </cell>
          <cell r="DG38">
            <v>0</v>
          </cell>
          <cell r="DR38">
            <v>73103</v>
          </cell>
          <cell r="DS38">
            <v>329</v>
          </cell>
          <cell r="DT38">
            <v>329</v>
          </cell>
          <cell r="DU38">
            <v>999999</v>
          </cell>
          <cell r="DV38">
            <v>999999</v>
          </cell>
          <cell r="DW38">
            <v>999999</v>
          </cell>
          <cell r="DX38">
            <v>329</v>
          </cell>
          <cell r="DY38">
            <v>329</v>
          </cell>
          <cell r="DZ38">
            <v>999999</v>
          </cell>
          <cell r="EA38">
            <v>999999</v>
          </cell>
        </row>
        <row r="39">
          <cell r="N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AJ39">
            <v>90</v>
          </cell>
          <cell r="AK39">
            <v>21</v>
          </cell>
          <cell r="AL39">
            <v>999999</v>
          </cell>
          <cell r="AM39">
            <v>328</v>
          </cell>
          <cell r="AN39">
            <v>328</v>
          </cell>
          <cell r="AO39">
            <v>328</v>
          </cell>
          <cell r="AP39">
            <v>73</v>
          </cell>
          <cell r="AQ39">
            <v>204</v>
          </cell>
          <cell r="AR39">
            <v>328</v>
          </cell>
          <cell r="AS39">
            <v>260</v>
          </cell>
          <cell r="BE39">
            <v>0</v>
          </cell>
          <cell r="BG39">
            <v>0</v>
          </cell>
          <cell r="BH39">
            <v>0</v>
          </cell>
          <cell r="BI39">
            <v>0</v>
          </cell>
          <cell r="BJ39">
            <v>0</v>
          </cell>
          <cell r="BK39">
            <v>0</v>
          </cell>
          <cell r="BL39">
            <v>0</v>
          </cell>
          <cell r="BM39">
            <v>0</v>
          </cell>
          <cell r="BN39">
            <v>0</v>
          </cell>
          <cell r="BO39">
            <v>0</v>
          </cell>
          <cell r="BP39">
            <v>0</v>
          </cell>
          <cell r="CA39">
            <v>203150.42857142884</v>
          </cell>
          <cell r="CB39">
            <v>250</v>
          </cell>
          <cell r="CC39">
            <v>328</v>
          </cell>
          <cell r="CD39">
            <v>328</v>
          </cell>
          <cell r="CE39">
            <v>290</v>
          </cell>
          <cell r="CF39">
            <v>328</v>
          </cell>
          <cell r="CG39">
            <v>222</v>
          </cell>
          <cell r="CH39">
            <v>328</v>
          </cell>
          <cell r="CI39">
            <v>328</v>
          </cell>
          <cell r="CJ39">
            <v>328</v>
          </cell>
          <cell r="CV39">
            <v>180.41208791208791</v>
          </cell>
          <cell r="CX39">
            <v>0</v>
          </cell>
          <cell r="CY39">
            <v>0</v>
          </cell>
          <cell r="CZ39">
            <v>0</v>
          </cell>
          <cell r="DA39">
            <v>0</v>
          </cell>
          <cell r="DB39">
            <v>0</v>
          </cell>
          <cell r="DC39">
            <v>0</v>
          </cell>
          <cell r="DD39">
            <v>0</v>
          </cell>
          <cell r="DE39">
            <v>0</v>
          </cell>
          <cell r="DF39">
            <v>0</v>
          </cell>
          <cell r="DG39">
            <v>0</v>
          </cell>
          <cell r="DR39">
            <v>73103</v>
          </cell>
          <cell r="DS39">
            <v>328</v>
          </cell>
          <cell r="DT39">
            <v>328</v>
          </cell>
          <cell r="DU39">
            <v>999999</v>
          </cell>
          <cell r="DV39">
            <v>999999</v>
          </cell>
          <cell r="DW39">
            <v>999999</v>
          </cell>
          <cell r="DX39">
            <v>328</v>
          </cell>
          <cell r="DY39">
            <v>328</v>
          </cell>
          <cell r="DZ39">
            <v>999999</v>
          </cell>
          <cell r="EA39">
            <v>999999</v>
          </cell>
        </row>
        <row r="40">
          <cell r="N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AJ40">
            <v>89</v>
          </cell>
          <cell r="AK40">
            <v>20</v>
          </cell>
          <cell r="AL40">
            <v>999999</v>
          </cell>
          <cell r="AM40">
            <v>327</v>
          </cell>
          <cell r="AN40">
            <v>327</v>
          </cell>
          <cell r="AO40">
            <v>327</v>
          </cell>
          <cell r="AP40">
            <v>72</v>
          </cell>
          <cell r="AQ40">
            <v>203</v>
          </cell>
          <cell r="AR40">
            <v>327</v>
          </cell>
          <cell r="AS40">
            <v>259</v>
          </cell>
          <cell r="BE40">
            <v>0</v>
          </cell>
          <cell r="BG40">
            <v>0</v>
          </cell>
          <cell r="BH40">
            <v>0</v>
          </cell>
          <cell r="BI40">
            <v>0</v>
          </cell>
          <cell r="BJ40">
            <v>0</v>
          </cell>
          <cell r="BK40">
            <v>0</v>
          </cell>
          <cell r="BL40">
            <v>0</v>
          </cell>
          <cell r="BM40">
            <v>0</v>
          </cell>
          <cell r="BN40">
            <v>0</v>
          </cell>
          <cell r="BO40">
            <v>0</v>
          </cell>
          <cell r="BP40">
            <v>0</v>
          </cell>
          <cell r="CA40">
            <v>202679.00000000026</v>
          </cell>
          <cell r="CB40">
            <v>249</v>
          </cell>
          <cell r="CC40">
            <v>327</v>
          </cell>
          <cell r="CD40">
            <v>327</v>
          </cell>
          <cell r="CE40">
            <v>289</v>
          </cell>
          <cell r="CF40">
            <v>327</v>
          </cell>
          <cell r="CG40">
            <v>221</v>
          </cell>
          <cell r="CH40">
            <v>327</v>
          </cell>
          <cell r="CI40">
            <v>327</v>
          </cell>
          <cell r="CJ40">
            <v>327</v>
          </cell>
          <cell r="CV40">
            <v>180.41208791208791</v>
          </cell>
          <cell r="CX40">
            <v>0</v>
          </cell>
          <cell r="CY40">
            <v>0</v>
          </cell>
          <cell r="CZ40">
            <v>0</v>
          </cell>
          <cell r="DA40">
            <v>0</v>
          </cell>
          <cell r="DB40">
            <v>0</v>
          </cell>
          <cell r="DC40">
            <v>0</v>
          </cell>
          <cell r="DD40">
            <v>0</v>
          </cell>
          <cell r="DE40">
            <v>0</v>
          </cell>
          <cell r="DF40">
            <v>0</v>
          </cell>
          <cell r="DG40">
            <v>0</v>
          </cell>
          <cell r="DR40">
            <v>73103</v>
          </cell>
          <cell r="DS40">
            <v>327</v>
          </cell>
          <cell r="DT40">
            <v>327</v>
          </cell>
          <cell r="DU40">
            <v>999999</v>
          </cell>
          <cell r="DV40">
            <v>999999</v>
          </cell>
          <cell r="DW40">
            <v>999999</v>
          </cell>
          <cell r="DX40">
            <v>327</v>
          </cell>
          <cell r="DY40">
            <v>327</v>
          </cell>
          <cell r="DZ40">
            <v>999999</v>
          </cell>
          <cell r="EA40">
            <v>999999</v>
          </cell>
        </row>
        <row r="41">
          <cell r="N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AJ41">
            <v>88</v>
          </cell>
          <cell r="AK41">
            <v>19</v>
          </cell>
          <cell r="AL41">
            <v>999999</v>
          </cell>
          <cell r="AM41">
            <v>326</v>
          </cell>
          <cell r="AN41">
            <v>326</v>
          </cell>
          <cell r="AO41">
            <v>326</v>
          </cell>
          <cell r="AP41">
            <v>71</v>
          </cell>
          <cell r="AQ41">
            <v>202</v>
          </cell>
          <cell r="AR41">
            <v>326</v>
          </cell>
          <cell r="AS41">
            <v>258</v>
          </cell>
          <cell r="BE41">
            <v>0</v>
          </cell>
          <cell r="BG41">
            <v>0</v>
          </cell>
          <cell r="BH41">
            <v>0</v>
          </cell>
          <cell r="BI41">
            <v>0</v>
          </cell>
          <cell r="BJ41">
            <v>0</v>
          </cell>
          <cell r="BK41">
            <v>0</v>
          </cell>
          <cell r="BL41">
            <v>0</v>
          </cell>
          <cell r="BM41">
            <v>0</v>
          </cell>
          <cell r="BN41">
            <v>0</v>
          </cell>
          <cell r="BO41">
            <v>0</v>
          </cell>
          <cell r="BP41">
            <v>0</v>
          </cell>
          <cell r="CA41">
            <v>202207.57142857168</v>
          </cell>
          <cell r="CB41">
            <v>248</v>
          </cell>
          <cell r="CC41">
            <v>326</v>
          </cell>
          <cell r="CD41">
            <v>326</v>
          </cell>
          <cell r="CE41">
            <v>288</v>
          </cell>
          <cell r="CF41">
            <v>326</v>
          </cell>
          <cell r="CG41">
            <v>220</v>
          </cell>
          <cell r="CH41">
            <v>326</v>
          </cell>
          <cell r="CI41">
            <v>326</v>
          </cell>
          <cell r="CJ41">
            <v>326</v>
          </cell>
          <cell r="CV41">
            <v>180.41208791208791</v>
          </cell>
          <cell r="CX41">
            <v>0</v>
          </cell>
          <cell r="CY41">
            <v>0</v>
          </cell>
          <cell r="CZ41">
            <v>0</v>
          </cell>
          <cell r="DA41">
            <v>0</v>
          </cell>
          <cell r="DB41">
            <v>0</v>
          </cell>
          <cell r="DC41">
            <v>0</v>
          </cell>
          <cell r="DD41">
            <v>0</v>
          </cell>
          <cell r="DE41">
            <v>0</v>
          </cell>
          <cell r="DF41">
            <v>0</v>
          </cell>
          <cell r="DG41">
            <v>0</v>
          </cell>
          <cell r="DR41">
            <v>73103</v>
          </cell>
          <cell r="DS41">
            <v>326</v>
          </cell>
          <cell r="DT41">
            <v>326</v>
          </cell>
          <cell r="DU41">
            <v>999999</v>
          </cell>
          <cell r="DV41">
            <v>999999</v>
          </cell>
          <cell r="DW41">
            <v>999999</v>
          </cell>
          <cell r="DX41">
            <v>326</v>
          </cell>
          <cell r="DY41">
            <v>326</v>
          </cell>
          <cell r="DZ41">
            <v>999999</v>
          </cell>
          <cell r="EA41">
            <v>999999</v>
          </cell>
        </row>
        <row r="42">
          <cell r="N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AJ42">
            <v>87</v>
          </cell>
          <cell r="AK42">
            <v>18</v>
          </cell>
          <cell r="AL42">
            <v>999999</v>
          </cell>
          <cell r="AM42">
            <v>325</v>
          </cell>
          <cell r="AN42">
            <v>325</v>
          </cell>
          <cell r="AO42">
            <v>325</v>
          </cell>
          <cell r="AP42">
            <v>70</v>
          </cell>
          <cell r="AQ42">
            <v>201</v>
          </cell>
          <cell r="AR42">
            <v>325</v>
          </cell>
          <cell r="AS42">
            <v>257</v>
          </cell>
          <cell r="BE42">
            <v>0</v>
          </cell>
          <cell r="BG42">
            <v>0</v>
          </cell>
          <cell r="BH42">
            <v>0</v>
          </cell>
          <cell r="BI42">
            <v>0</v>
          </cell>
          <cell r="BJ42">
            <v>0</v>
          </cell>
          <cell r="BK42">
            <v>0</v>
          </cell>
          <cell r="BL42">
            <v>0</v>
          </cell>
          <cell r="BM42">
            <v>0</v>
          </cell>
          <cell r="BN42">
            <v>0</v>
          </cell>
          <cell r="BO42">
            <v>0</v>
          </cell>
          <cell r="BP42">
            <v>0</v>
          </cell>
          <cell r="CA42">
            <v>201736.1428571431</v>
          </cell>
          <cell r="CB42">
            <v>247</v>
          </cell>
          <cell r="CC42">
            <v>325</v>
          </cell>
          <cell r="CD42">
            <v>325</v>
          </cell>
          <cell r="CE42">
            <v>287</v>
          </cell>
          <cell r="CF42">
            <v>325</v>
          </cell>
          <cell r="CG42">
            <v>219</v>
          </cell>
          <cell r="CH42">
            <v>325</v>
          </cell>
          <cell r="CI42">
            <v>325</v>
          </cell>
          <cell r="CJ42">
            <v>325</v>
          </cell>
          <cell r="CV42">
            <v>180.41208791208791</v>
          </cell>
          <cell r="CX42">
            <v>0</v>
          </cell>
          <cell r="CY42">
            <v>0</v>
          </cell>
          <cell r="CZ42">
            <v>0</v>
          </cell>
          <cell r="DA42">
            <v>0</v>
          </cell>
          <cell r="DB42">
            <v>0</v>
          </cell>
          <cell r="DC42">
            <v>0</v>
          </cell>
          <cell r="DD42">
            <v>0</v>
          </cell>
          <cell r="DE42">
            <v>0</v>
          </cell>
          <cell r="DF42">
            <v>0</v>
          </cell>
          <cell r="DG42">
            <v>0</v>
          </cell>
          <cell r="DR42">
            <v>73103</v>
          </cell>
          <cell r="DS42">
            <v>325</v>
          </cell>
          <cell r="DT42">
            <v>325</v>
          </cell>
          <cell r="DU42">
            <v>999999</v>
          </cell>
          <cell r="DV42">
            <v>999999</v>
          </cell>
          <cell r="DW42">
            <v>999999</v>
          </cell>
          <cell r="DX42">
            <v>325</v>
          </cell>
          <cell r="DY42">
            <v>325</v>
          </cell>
          <cell r="DZ42">
            <v>999999</v>
          </cell>
          <cell r="EA42">
            <v>999999</v>
          </cell>
        </row>
        <row r="43">
          <cell r="N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AJ43">
            <v>86</v>
          </cell>
          <cell r="AK43">
            <v>17</v>
          </cell>
          <cell r="AL43">
            <v>999999</v>
          </cell>
          <cell r="AM43">
            <v>324</v>
          </cell>
          <cell r="AN43">
            <v>324</v>
          </cell>
          <cell r="AO43">
            <v>324</v>
          </cell>
          <cell r="AP43">
            <v>69</v>
          </cell>
          <cell r="AQ43">
            <v>200</v>
          </cell>
          <cell r="AR43">
            <v>324</v>
          </cell>
          <cell r="AS43">
            <v>256</v>
          </cell>
          <cell r="BE43">
            <v>0</v>
          </cell>
          <cell r="BG43">
            <v>0</v>
          </cell>
          <cell r="BH43">
            <v>0</v>
          </cell>
          <cell r="BI43">
            <v>0</v>
          </cell>
          <cell r="BJ43">
            <v>0</v>
          </cell>
          <cell r="BK43">
            <v>0</v>
          </cell>
          <cell r="BL43">
            <v>0</v>
          </cell>
          <cell r="BM43">
            <v>0</v>
          </cell>
          <cell r="BN43">
            <v>0</v>
          </cell>
          <cell r="BO43">
            <v>0</v>
          </cell>
          <cell r="BP43">
            <v>0</v>
          </cell>
          <cell r="CA43">
            <v>201264.71428571452</v>
          </cell>
          <cell r="CB43">
            <v>246</v>
          </cell>
          <cell r="CC43">
            <v>324</v>
          </cell>
          <cell r="CD43">
            <v>324</v>
          </cell>
          <cell r="CE43">
            <v>286</v>
          </cell>
          <cell r="CF43">
            <v>324</v>
          </cell>
          <cell r="CG43">
            <v>218</v>
          </cell>
          <cell r="CH43">
            <v>324</v>
          </cell>
          <cell r="CI43">
            <v>324</v>
          </cell>
          <cell r="CJ43">
            <v>324</v>
          </cell>
          <cell r="CV43">
            <v>180.41208791208791</v>
          </cell>
          <cell r="CX43">
            <v>0</v>
          </cell>
          <cell r="CY43">
            <v>0</v>
          </cell>
          <cell r="CZ43">
            <v>0</v>
          </cell>
          <cell r="DA43">
            <v>0</v>
          </cell>
          <cell r="DB43">
            <v>0</v>
          </cell>
          <cell r="DC43">
            <v>0</v>
          </cell>
          <cell r="DD43">
            <v>0</v>
          </cell>
          <cell r="DE43">
            <v>0</v>
          </cell>
          <cell r="DF43">
            <v>0</v>
          </cell>
          <cell r="DG43">
            <v>0</v>
          </cell>
          <cell r="DR43">
            <v>73103</v>
          </cell>
          <cell r="DS43">
            <v>324</v>
          </cell>
          <cell r="DT43">
            <v>324</v>
          </cell>
          <cell r="DU43">
            <v>999999</v>
          </cell>
          <cell r="DV43">
            <v>999999</v>
          </cell>
          <cell r="DW43">
            <v>999999</v>
          </cell>
          <cell r="DX43">
            <v>324</v>
          </cell>
          <cell r="DY43">
            <v>324</v>
          </cell>
          <cell r="DZ43">
            <v>999999</v>
          </cell>
          <cell r="EA43">
            <v>999999</v>
          </cell>
        </row>
        <row r="44">
          <cell r="N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AJ44">
            <v>85</v>
          </cell>
          <cell r="AK44">
            <v>16</v>
          </cell>
          <cell r="AL44">
            <v>999999</v>
          </cell>
          <cell r="AM44">
            <v>323</v>
          </cell>
          <cell r="AN44">
            <v>323</v>
          </cell>
          <cell r="AO44">
            <v>323</v>
          </cell>
          <cell r="AP44">
            <v>68</v>
          </cell>
          <cell r="AQ44">
            <v>199</v>
          </cell>
          <cell r="AR44">
            <v>323</v>
          </cell>
          <cell r="AS44">
            <v>255</v>
          </cell>
          <cell r="BE44">
            <v>0</v>
          </cell>
          <cell r="BG44">
            <v>0</v>
          </cell>
          <cell r="BH44">
            <v>0</v>
          </cell>
          <cell r="BI44">
            <v>0</v>
          </cell>
          <cell r="BJ44">
            <v>0</v>
          </cell>
          <cell r="BK44">
            <v>0</v>
          </cell>
          <cell r="BL44">
            <v>0</v>
          </cell>
          <cell r="BM44">
            <v>0</v>
          </cell>
          <cell r="BN44">
            <v>0</v>
          </cell>
          <cell r="BO44">
            <v>0</v>
          </cell>
          <cell r="BP44">
            <v>0</v>
          </cell>
          <cell r="CA44">
            <v>200793.28571428594</v>
          </cell>
          <cell r="CB44">
            <v>245</v>
          </cell>
          <cell r="CC44">
            <v>323</v>
          </cell>
          <cell r="CD44">
            <v>323</v>
          </cell>
          <cell r="CE44">
            <v>285</v>
          </cell>
          <cell r="CF44">
            <v>323</v>
          </cell>
          <cell r="CG44">
            <v>217</v>
          </cell>
          <cell r="CH44">
            <v>323</v>
          </cell>
          <cell r="CI44">
            <v>323</v>
          </cell>
          <cell r="CJ44">
            <v>323</v>
          </cell>
          <cell r="CV44">
            <v>180.41208791208791</v>
          </cell>
          <cell r="CX44">
            <v>0</v>
          </cell>
          <cell r="CY44">
            <v>0</v>
          </cell>
          <cell r="CZ44">
            <v>0</v>
          </cell>
          <cell r="DA44">
            <v>0</v>
          </cell>
          <cell r="DB44">
            <v>0</v>
          </cell>
          <cell r="DC44">
            <v>0</v>
          </cell>
          <cell r="DD44">
            <v>0</v>
          </cell>
          <cell r="DE44">
            <v>0</v>
          </cell>
          <cell r="DF44">
            <v>0</v>
          </cell>
          <cell r="DG44">
            <v>0</v>
          </cell>
          <cell r="DR44">
            <v>73103</v>
          </cell>
          <cell r="DS44">
            <v>323</v>
          </cell>
          <cell r="DT44">
            <v>323</v>
          </cell>
          <cell r="DU44">
            <v>999999</v>
          </cell>
          <cell r="DV44">
            <v>999999</v>
          </cell>
          <cell r="DW44">
            <v>999999</v>
          </cell>
          <cell r="DX44">
            <v>323</v>
          </cell>
          <cell r="DY44">
            <v>323</v>
          </cell>
          <cell r="DZ44">
            <v>999999</v>
          </cell>
          <cell r="EA44">
            <v>999999</v>
          </cell>
        </row>
        <row r="45">
          <cell r="N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AJ45">
            <v>84</v>
          </cell>
          <cell r="AK45">
            <v>15</v>
          </cell>
          <cell r="AL45">
            <v>999999</v>
          </cell>
          <cell r="AM45">
            <v>322</v>
          </cell>
          <cell r="AN45">
            <v>322</v>
          </cell>
          <cell r="AO45">
            <v>322</v>
          </cell>
          <cell r="AP45">
            <v>67</v>
          </cell>
          <cell r="AQ45">
            <v>198</v>
          </cell>
          <cell r="AR45">
            <v>322</v>
          </cell>
          <cell r="AS45">
            <v>254</v>
          </cell>
          <cell r="BE45">
            <v>0</v>
          </cell>
          <cell r="BG45">
            <v>0</v>
          </cell>
          <cell r="BH45">
            <v>0</v>
          </cell>
          <cell r="BI45">
            <v>0</v>
          </cell>
          <cell r="BJ45">
            <v>0</v>
          </cell>
          <cell r="BK45">
            <v>0</v>
          </cell>
          <cell r="BL45">
            <v>0</v>
          </cell>
          <cell r="BM45">
            <v>0</v>
          </cell>
          <cell r="BN45">
            <v>0</v>
          </cell>
          <cell r="BO45">
            <v>0</v>
          </cell>
          <cell r="BP45">
            <v>0</v>
          </cell>
          <cell r="CA45">
            <v>200321.85714285736</v>
          </cell>
          <cell r="CB45">
            <v>244</v>
          </cell>
          <cell r="CC45">
            <v>322</v>
          </cell>
          <cell r="CD45">
            <v>322</v>
          </cell>
          <cell r="CE45">
            <v>284</v>
          </cell>
          <cell r="CF45">
            <v>322</v>
          </cell>
          <cell r="CG45">
            <v>216</v>
          </cell>
          <cell r="CH45">
            <v>322</v>
          </cell>
          <cell r="CI45">
            <v>322</v>
          </cell>
          <cell r="CJ45">
            <v>322</v>
          </cell>
          <cell r="CV45">
            <v>180.41208791208791</v>
          </cell>
          <cell r="CX45">
            <v>0</v>
          </cell>
          <cell r="CY45">
            <v>0</v>
          </cell>
          <cell r="CZ45">
            <v>0</v>
          </cell>
          <cell r="DA45">
            <v>0</v>
          </cell>
          <cell r="DB45">
            <v>0</v>
          </cell>
          <cell r="DC45">
            <v>0</v>
          </cell>
          <cell r="DD45">
            <v>0</v>
          </cell>
          <cell r="DE45">
            <v>0</v>
          </cell>
          <cell r="DF45">
            <v>0</v>
          </cell>
          <cell r="DG45">
            <v>0</v>
          </cell>
          <cell r="DR45">
            <v>73103</v>
          </cell>
          <cell r="DS45">
            <v>322</v>
          </cell>
          <cell r="DT45">
            <v>322</v>
          </cell>
          <cell r="DU45">
            <v>999999</v>
          </cell>
          <cell r="DV45">
            <v>999999</v>
          </cell>
          <cell r="DW45">
            <v>999999</v>
          </cell>
          <cell r="DX45">
            <v>322</v>
          </cell>
          <cell r="DY45">
            <v>322</v>
          </cell>
          <cell r="DZ45">
            <v>999999</v>
          </cell>
          <cell r="EA45">
            <v>999999</v>
          </cell>
        </row>
        <row r="46">
          <cell r="N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AJ46">
            <v>83</v>
          </cell>
          <cell r="AK46">
            <v>14</v>
          </cell>
          <cell r="AL46">
            <v>999999</v>
          </cell>
          <cell r="AM46">
            <v>321</v>
          </cell>
          <cell r="AN46">
            <v>321</v>
          </cell>
          <cell r="AO46">
            <v>321</v>
          </cell>
          <cell r="AP46">
            <v>66</v>
          </cell>
          <cell r="AQ46">
            <v>197</v>
          </cell>
          <cell r="AR46">
            <v>321</v>
          </cell>
          <cell r="AS46">
            <v>253</v>
          </cell>
          <cell r="BE46">
            <v>0</v>
          </cell>
          <cell r="BG46">
            <v>0</v>
          </cell>
          <cell r="BH46">
            <v>0</v>
          </cell>
          <cell r="BI46">
            <v>0</v>
          </cell>
          <cell r="BJ46">
            <v>0</v>
          </cell>
          <cell r="BK46">
            <v>0</v>
          </cell>
          <cell r="BL46">
            <v>0</v>
          </cell>
          <cell r="BM46">
            <v>0</v>
          </cell>
          <cell r="BN46">
            <v>0</v>
          </cell>
          <cell r="BO46">
            <v>0</v>
          </cell>
          <cell r="BP46">
            <v>0</v>
          </cell>
          <cell r="CA46">
            <v>199850.42857142878</v>
          </cell>
          <cell r="CB46">
            <v>243</v>
          </cell>
          <cell r="CC46">
            <v>321</v>
          </cell>
          <cell r="CD46">
            <v>321</v>
          </cell>
          <cell r="CE46">
            <v>283</v>
          </cell>
          <cell r="CF46">
            <v>321</v>
          </cell>
          <cell r="CG46">
            <v>215</v>
          </cell>
          <cell r="CH46">
            <v>321</v>
          </cell>
          <cell r="CI46">
            <v>321</v>
          </cell>
          <cell r="CJ46">
            <v>321</v>
          </cell>
          <cell r="CV46">
            <v>180.41208791208791</v>
          </cell>
          <cell r="CX46">
            <v>0</v>
          </cell>
          <cell r="CY46">
            <v>0</v>
          </cell>
          <cell r="CZ46">
            <v>0</v>
          </cell>
          <cell r="DA46">
            <v>0</v>
          </cell>
          <cell r="DB46">
            <v>0</v>
          </cell>
          <cell r="DC46">
            <v>0</v>
          </cell>
          <cell r="DD46">
            <v>0</v>
          </cell>
          <cell r="DE46">
            <v>0</v>
          </cell>
          <cell r="DF46">
            <v>0</v>
          </cell>
          <cell r="DG46">
            <v>0</v>
          </cell>
          <cell r="DR46">
            <v>73103</v>
          </cell>
          <cell r="DS46">
            <v>321</v>
          </cell>
          <cell r="DT46">
            <v>321</v>
          </cell>
          <cell r="DU46">
            <v>999999</v>
          </cell>
          <cell r="DV46">
            <v>999999</v>
          </cell>
          <cell r="DW46">
            <v>999999</v>
          </cell>
          <cell r="DX46">
            <v>321</v>
          </cell>
          <cell r="DY46">
            <v>321</v>
          </cell>
          <cell r="DZ46">
            <v>999999</v>
          </cell>
          <cell r="EA46">
            <v>999999</v>
          </cell>
        </row>
        <row r="47">
          <cell r="N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AJ47">
            <v>82</v>
          </cell>
          <cell r="AK47">
            <v>13</v>
          </cell>
          <cell r="AL47">
            <v>999999</v>
          </cell>
          <cell r="AM47">
            <v>320</v>
          </cell>
          <cell r="AN47">
            <v>320</v>
          </cell>
          <cell r="AO47">
            <v>320</v>
          </cell>
          <cell r="AP47">
            <v>65</v>
          </cell>
          <cell r="AQ47">
            <v>196</v>
          </cell>
          <cell r="AR47">
            <v>320</v>
          </cell>
          <cell r="AS47">
            <v>252</v>
          </cell>
          <cell r="BE47">
            <v>0</v>
          </cell>
          <cell r="BG47">
            <v>0</v>
          </cell>
          <cell r="BH47">
            <v>0</v>
          </cell>
          <cell r="BI47">
            <v>0</v>
          </cell>
          <cell r="BJ47">
            <v>0</v>
          </cell>
          <cell r="BK47">
            <v>0</v>
          </cell>
          <cell r="BL47">
            <v>0</v>
          </cell>
          <cell r="BM47">
            <v>0</v>
          </cell>
          <cell r="BN47">
            <v>0</v>
          </cell>
          <cell r="BO47">
            <v>0</v>
          </cell>
          <cell r="BP47">
            <v>0</v>
          </cell>
          <cell r="CA47">
            <v>199379.0000000002</v>
          </cell>
          <cell r="CB47">
            <v>242</v>
          </cell>
          <cell r="CC47">
            <v>320</v>
          </cell>
          <cell r="CD47">
            <v>320</v>
          </cell>
          <cell r="CE47">
            <v>282</v>
          </cell>
          <cell r="CF47">
            <v>320</v>
          </cell>
          <cell r="CG47">
            <v>214</v>
          </cell>
          <cell r="CH47">
            <v>320</v>
          </cell>
          <cell r="CI47">
            <v>320</v>
          </cell>
          <cell r="CJ47">
            <v>320</v>
          </cell>
          <cell r="CV47">
            <v>180.41208791208791</v>
          </cell>
          <cell r="CX47">
            <v>0</v>
          </cell>
          <cell r="CY47">
            <v>0</v>
          </cell>
          <cell r="CZ47">
            <v>0</v>
          </cell>
          <cell r="DA47">
            <v>0</v>
          </cell>
          <cell r="DB47">
            <v>0</v>
          </cell>
          <cell r="DC47">
            <v>0</v>
          </cell>
          <cell r="DD47">
            <v>0</v>
          </cell>
          <cell r="DE47">
            <v>0</v>
          </cell>
          <cell r="DF47">
            <v>0</v>
          </cell>
          <cell r="DG47">
            <v>0</v>
          </cell>
          <cell r="DR47">
            <v>73103</v>
          </cell>
          <cell r="DS47">
            <v>320</v>
          </cell>
          <cell r="DT47">
            <v>320</v>
          </cell>
          <cell r="DU47">
            <v>999999</v>
          </cell>
          <cell r="DV47">
            <v>999999</v>
          </cell>
          <cell r="DW47">
            <v>999999</v>
          </cell>
          <cell r="DX47">
            <v>320</v>
          </cell>
          <cell r="DY47">
            <v>320</v>
          </cell>
          <cell r="DZ47">
            <v>999999</v>
          </cell>
          <cell r="EA47">
            <v>999999</v>
          </cell>
        </row>
        <row r="48">
          <cell r="N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AJ48">
            <v>81</v>
          </cell>
          <cell r="AK48">
            <v>12</v>
          </cell>
          <cell r="AL48">
            <v>999999</v>
          </cell>
          <cell r="AM48">
            <v>319</v>
          </cell>
          <cell r="AN48">
            <v>319</v>
          </cell>
          <cell r="AO48">
            <v>319</v>
          </cell>
          <cell r="AP48">
            <v>64</v>
          </cell>
          <cell r="AQ48">
            <v>195</v>
          </cell>
          <cell r="AR48">
            <v>319</v>
          </cell>
          <cell r="AS48">
            <v>251</v>
          </cell>
          <cell r="BE48">
            <v>0</v>
          </cell>
          <cell r="BG48">
            <v>0</v>
          </cell>
          <cell r="BH48">
            <v>0</v>
          </cell>
          <cell r="BI48">
            <v>0</v>
          </cell>
          <cell r="BJ48">
            <v>0</v>
          </cell>
          <cell r="BK48">
            <v>0</v>
          </cell>
          <cell r="BL48">
            <v>0</v>
          </cell>
          <cell r="BM48">
            <v>0</v>
          </cell>
          <cell r="BN48">
            <v>0</v>
          </cell>
          <cell r="BO48">
            <v>0</v>
          </cell>
          <cell r="BP48">
            <v>0</v>
          </cell>
          <cell r="CA48">
            <v>198907.57142857162</v>
          </cell>
          <cell r="CB48">
            <v>241</v>
          </cell>
          <cell r="CC48">
            <v>319</v>
          </cell>
          <cell r="CD48">
            <v>319</v>
          </cell>
          <cell r="CE48">
            <v>281</v>
          </cell>
          <cell r="CF48">
            <v>319</v>
          </cell>
          <cell r="CG48">
            <v>213</v>
          </cell>
          <cell r="CH48">
            <v>319</v>
          </cell>
          <cell r="CI48">
            <v>319</v>
          </cell>
          <cell r="CJ48">
            <v>319</v>
          </cell>
          <cell r="CV48">
            <v>180.41208791208791</v>
          </cell>
          <cell r="CX48">
            <v>0</v>
          </cell>
          <cell r="CY48">
            <v>0</v>
          </cell>
          <cell r="CZ48">
            <v>0</v>
          </cell>
          <cell r="DA48">
            <v>0</v>
          </cell>
          <cell r="DB48">
            <v>0</v>
          </cell>
          <cell r="DC48">
            <v>0</v>
          </cell>
          <cell r="DD48">
            <v>0</v>
          </cell>
          <cell r="DE48">
            <v>0</v>
          </cell>
          <cell r="DF48">
            <v>0</v>
          </cell>
          <cell r="DG48">
            <v>0</v>
          </cell>
          <cell r="DR48">
            <v>73103</v>
          </cell>
          <cell r="DS48">
            <v>319</v>
          </cell>
          <cell r="DT48">
            <v>319</v>
          </cell>
          <cell r="DU48">
            <v>999999</v>
          </cell>
          <cell r="DV48">
            <v>999999</v>
          </cell>
          <cell r="DW48">
            <v>999999</v>
          </cell>
          <cell r="DX48">
            <v>319</v>
          </cell>
          <cell r="DY48">
            <v>319</v>
          </cell>
          <cell r="DZ48">
            <v>999999</v>
          </cell>
          <cell r="EA48">
            <v>999999</v>
          </cell>
        </row>
        <row r="49">
          <cell r="N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AJ49">
            <v>80</v>
          </cell>
          <cell r="AK49">
            <v>11</v>
          </cell>
          <cell r="AL49">
            <v>999999</v>
          </cell>
          <cell r="AM49">
            <v>318</v>
          </cell>
          <cell r="AN49">
            <v>318</v>
          </cell>
          <cell r="AO49">
            <v>318</v>
          </cell>
          <cell r="AP49">
            <v>63</v>
          </cell>
          <cell r="AQ49">
            <v>194</v>
          </cell>
          <cell r="AR49">
            <v>318</v>
          </cell>
          <cell r="AS49">
            <v>250</v>
          </cell>
          <cell r="BE49">
            <v>0</v>
          </cell>
          <cell r="BG49">
            <v>0</v>
          </cell>
          <cell r="BH49">
            <v>0</v>
          </cell>
          <cell r="BI49">
            <v>0</v>
          </cell>
          <cell r="BJ49">
            <v>0</v>
          </cell>
          <cell r="BK49">
            <v>0</v>
          </cell>
          <cell r="BL49">
            <v>0</v>
          </cell>
          <cell r="BM49">
            <v>0</v>
          </cell>
          <cell r="BN49">
            <v>0</v>
          </cell>
          <cell r="BO49">
            <v>0</v>
          </cell>
          <cell r="BP49">
            <v>0</v>
          </cell>
          <cell r="CA49">
            <v>198436.14285714304</v>
          </cell>
          <cell r="CB49">
            <v>240</v>
          </cell>
          <cell r="CC49">
            <v>318</v>
          </cell>
          <cell r="CD49">
            <v>318</v>
          </cell>
          <cell r="CE49">
            <v>280</v>
          </cell>
          <cell r="CF49">
            <v>318</v>
          </cell>
          <cell r="CG49">
            <v>212</v>
          </cell>
          <cell r="CH49">
            <v>318</v>
          </cell>
          <cell r="CI49">
            <v>318</v>
          </cell>
          <cell r="CJ49">
            <v>318</v>
          </cell>
          <cell r="CV49">
            <v>180.41208791208791</v>
          </cell>
          <cell r="CX49">
            <v>0</v>
          </cell>
          <cell r="CY49">
            <v>0</v>
          </cell>
          <cell r="CZ49">
            <v>0</v>
          </cell>
          <cell r="DA49">
            <v>0</v>
          </cell>
          <cell r="DB49">
            <v>0</v>
          </cell>
          <cell r="DC49">
            <v>0</v>
          </cell>
          <cell r="DD49">
            <v>0</v>
          </cell>
          <cell r="DE49">
            <v>0</v>
          </cell>
          <cell r="DF49">
            <v>0</v>
          </cell>
          <cell r="DG49">
            <v>0</v>
          </cell>
          <cell r="DR49">
            <v>73103</v>
          </cell>
          <cell r="DS49">
            <v>318</v>
          </cell>
          <cell r="DT49">
            <v>318</v>
          </cell>
          <cell r="DU49">
            <v>999999</v>
          </cell>
          <cell r="DV49">
            <v>999999</v>
          </cell>
          <cell r="DW49">
            <v>999999</v>
          </cell>
          <cell r="DX49">
            <v>318</v>
          </cell>
          <cell r="DY49">
            <v>318</v>
          </cell>
          <cell r="DZ49">
            <v>999999</v>
          </cell>
          <cell r="EA49">
            <v>999999</v>
          </cell>
        </row>
        <row r="50">
          <cell r="N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AJ50">
            <v>79</v>
          </cell>
          <cell r="AK50">
            <v>10</v>
          </cell>
          <cell r="AL50">
            <v>999999</v>
          </cell>
          <cell r="AM50">
            <v>317</v>
          </cell>
          <cell r="AN50">
            <v>317</v>
          </cell>
          <cell r="AO50">
            <v>317</v>
          </cell>
          <cell r="AP50">
            <v>62</v>
          </cell>
          <cell r="AQ50">
            <v>193</v>
          </cell>
          <cell r="AR50">
            <v>317</v>
          </cell>
          <cell r="AS50">
            <v>249</v>
          </cell>
          <cell r="BE50">
            <v>0</v>
          </cell>
          <cell r="BG50">
            <v>0</v>
          </cell>
          <cell r="BH50">
            <v>0</v>
          </cell>
          <cell r="BI50">
            <v>0</v>
          </cell>
          <cell r="BJ50">
            <v>0</v>
          </cell>
          <cell r="BK50">
            <v>0</v>
          </cell>
          <cell r="BL50">
            <v>0</v>
          </cell>
          <cell r="BM50">
            <v>0</v>
          </cell>
          <cell r="BN50">
            <v>0</v>
          </cell>
          <cell r="BO50">
            <v>0</v>
          </cell>
          <cell r="BP50">
            <v>0</v>
          </cell>
          <cell r="CA50">
            <v>197964.71428571446</v>
          </cell>
          <cell r="CB50">
            <v>239</v>
          </cell>
          <cell r="CC50">
            <v>317</v>
          </cell>
          <cell r="CD50">
            <v>317</v>
          </cell>
          <cell r="CE50">
            <v>279</v>
          </cell>
          <cell r="CF50">
            <v>317</v>
          </cell>
          <cell r="CG50">
            <v>211</v>
          </cell>
          <cell r="CH50">
            <v>317</v>
          </cell>
          <cell r="CI50">
            <v>317</v>
          </cell>
          <cell r="CJ50">
            <v>317</v>
          </cell>
          <cell r="CV50">
            <v>180.41208791208791</v>
          </cell>
          <cell r="CX50">
            <v>0</v>
          </cell>
          <cell r="CY50">
            <v>0</v>
          </cell>
          <cell r="CZ50">
            <v>0</v>
          </cell>
          <cell r="DA50">
            <v>0</v>
          </cell>
          <cell r="DB50">
            <v>0</v>
          </cell>
          <cell r="DC50">
            <v>0</v>
          </cell>
          <cell r="DD50">
            <v>0</v>
          </cell>
          <cell r="DE50">
            <v>0</v>
          </cell>
          <cell r="DF50">
            <v>0</v>
          </cell>
          <cell r="DG50">
            <v>0</v>
          </cell>
          <cell r="DR50">
            <v>73103</v>
          </cell>
          <cell r="DS50">
            <v>317</v>
          </cell>
          <cell r="DT50">
            <v>317</v>
          </cell>
          <cell r="DU50">
            <v>999999</v>
          </cell>
          <cell r="DV50">
            <v>999999</v>
          </cell>
          <cell r="DW50">
            <v>999999</v>
          </cell>
          <cell r="DX50">
            <v>317</v>
          </cell>
          <cell r="DY50">
            <v>317</v>
          </cell>
          <cell r="DZ50">
            <v>999999</v>
          </cell>
          <cell r="EA50">
            <v>999999</v>
          </cell>
        </row>
        <row r="51">
          <cell r="N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AJ51">
            <v>78</v>
          </cell>
          <cell r="AK51">
            <v>9</v>
          </cell>
          <cell r="AL51">
            <v>999999</v>
          </cell>
          <cell r="AM51">
            <v>316</v>
          </cell>
          <cell r="AN51">
            <v>316</v>
          </cell>
          <cell r="AO51">
            <v>316</v>
          </cell>
          <cell r="AP51">
            <v>61</v>
          </cell>
          <cell r="AQ51">
            <v>192</v>
          </cell>
          <cell r="AR51">
            <v>316</v>
          </cell>
          <cell r="AS51">
            <v>248</v>
          </cell>
          <cell r="BE51">
            <v>0</v>
          </cell>
          <cell r="BG51">
            <v>0</v>
          </cell>
          <cell r="BH51">
            <v>0</v>
          </cell>
          <cell r="BI51">
            <v>0</v>
          </cell>
          <cell r="BJ51">
            <v>0</v>
          </cell>
          <cell r="BK51">
            <v>0</v>
          </cell>
          <cell r="BL51">
            <v>0</v>
          </cell>
          <cell r="BM51">
            <v>0</v>
          </cell>
          <cell r="BN51">
            <v>0</v>
          </cell>
          <cell r="BO51">
            <v>0</v>
          </cell>
          <cell r="BP51">
            <v>0</v>
          </cell>
          <cell r="CA51">
            <v>197493.28571428588</v>
          </cell>
          <cell r="CB51">
            <v>238</v>
          </cell>
          <cell r="CC51">
            <v>316</v>
          </cell>
          <cell r="CD51">
            <v>316</v>
          </cell>
          <cell r="CE51">
            <v>278</v>
          </cell>
          <cell r="CF51">
            <v>316</v>
          </cell>
          <cell r="CG51">
            <v>210</v>
          </cell>
          <cell r="CH51">
            <v>316</v>
          </cell>
          <cell r="CI51">
            <v>316</v>
          </cell>
          <cell r="CJ51">
            <v>316</v>
          </cell>
          <cell r="CV51">
            <v>180.41208791208791</v>
          </cell>
          <cell r="CX51">
            <v>0</v>
          </cell>
          <cell r="CY51">
            <v>0</v>
          </cell>
          <cell r="CZ51">
            <v>0</v>
          </cell>
          <cell r="DA51">
            <v>0</v>
          </cell>
          <cell r="DB51">
            <v>0</v>
          </cell>
          <cell r="DC51">
            <v>0</v>
          </cell>
          <cell r="DD51">
            <v>0</v>
          </cell>
          <cell r="DE51">
            <v>0</v>
          </cell>
          <cell r="DF51">
            <v>0</v>
          </cell>
          <cell r="DG51">
            <v>0</v>
          </cell>
          <cell r="DR51">
            <v>73103</v>
          </cell>
          <cell r="DS51">
            <v>316</v>
          </cell>
          <cell r="DT51">
            <v>316</v>
          </cell>
          <cell r="DU51">
            <v>999999</v>
          </cell>
          <cell r="DV51">
            <v>999999</v>
          </cell>
          <cell r="DW51">
            <v>999999</v>
          </cell>
          <cell r="DX51">
            <v>316</v>
          </cell>
          <cell r="DY51">
            <v>316</v>
          </cell>
          <cell r="DZ51">
            <v>999999</v>
          </cell>
          <cell r="EA51">
            <v>999999</v>
          </cell>
        </row>
        <row r="52">
          <cell r="N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AJ52">
            <v>77</v>
          </cell>
          <cell r="AK52">
            <v>8</v>
          </cell>
          <cell r="AL52">
            <v>999999</v>
          </cell>
          <cell r="AM52">
            <v>315</v>
          </cell>
          <cell r="AN52">
            <v>315</v>
          </cell>
          <cell r="AO52">
            <v>315</v>
          </cell>
          <cell r="AP52">
            <v>60</v>
          </cell>
          <cell r="AQ52">
            <v>191</v>
          </cell>
          <cell r="AR52">
            <v>315</v>
          </cell>
          <cell r="AS52">
            <v>247</v>
          </cell>
          <cell r="BE52">
            <v>0</v>
          </cell>
          <cell r="BG52">
            <v>0</v>
          </cell>
          <cell r="BH52">
            <v>0</v>
          </cell>
          <cell r="BI52">
            <v>0</v>
          </cell>
          <cell r="BJ52">
            <v>0</v>
          </cell>
          <cell r="BK52">
            <v>0</v>
          </cell>
          <cell r="BL52">
            <v>0</v>
          </cell>
          <cell r="BM52">
            <v>0</v>
          </cell>
          <cell r="BN52">
            <v>0</v>
          </cell>
          <cell r="BO52">
            <v>0</v>
          </cell>
          <cell r="BP52">
            <v>0</v>
          </cell>
          <cell r="CA52">
            <v>197021.85714285731</v>
          </cell>
          <cell r="CB52">
            <v>237</v>
          </cell>
          <cell r="CC52">
            <v>315</v>
          </cell>
          <cell r="CD52">
            <v>315</v>
          </cell>
          <cell r="CE52">
            <v>277</v>
          </cell>
          <cell r="CF52">
            <v>315</v>
          </cell>
          <cell r="CG52">
            <v>209</v>
          </cell>
          <cell r="CH52">
            <v>315</v>
          </cell>
          <cell r="CI52">
            <v>315</v>
          </cell>
          <cell r="CJ52">
            <v>315</v>
          </cell>
          <cell r="CV52">
            <v>180.41208791208791</v>
          </cell>
          <cell r="CX52">
            <v>0</v>
          </cell>
          <cell r="CY52">
            <v>0</v>
          </cell>
          <cell r="CZ52">
            <v>0</v>
          </cell>
          <cell r="DA52">
            <v>0</v>
          </cell>
          <cell r="DB52">
            <v>0</v>
          </cell>
          <cell r="DC52">
            <v>0</v>
          </cell>
          <cell r="DD52">
            <v>0</v>
          </cell>
          <cell r="DE52">
            <v>0</v>
          </cell>
          <cell r="DF52">
            <v>0</v>
          </cell>
          <cell r="DG52">
            <v>0</v>
          </cell>
          <cell r="DR52">
            <v>73103</v>
          </cell>
          <cell r="DS52">
            <v>315</v>
          </cell>
          <cell r="DT52">
            <v>315</v>
          </cell>
          <cell r="DU52">
            <v>999999</v>
          </cell>
          <cell r="DV52">
            <v>999999</v>
          </cell>
          <cell r="DW52">
            <v>999999</v>
          </cell>
          <cell r="DX52">
            <v>315</v>
          </cell>
          <cell r="DY52">
            <v>315</v>
          </cell>
          <cell r="DZ52">
            <v>999999</v>
          </cell>
          <cell r="EA52">
            <v>999999</v>
          </cell>
        </row>
        <row r="53">
          <cell r="N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AJ53">
            <v>76</v>
          </cell>
          <cell r="AK53">
            <v>7</v>
          </cell>
          <cell r="AL53">
            <v>999999</v>
          </cell>
          <cell r="AM53">
            <v>314</v>
          </cell>
          <cell r="AN53">
            <v>314</v>
          </cell>
          <cell r="AO53">
            <v>314</v>
          </cell>
          <cell r="AP53">
            <v>59</v>
          </cell>
          <cell r="AQ53">
            <v>190</v>
          </cell>
          <cell r="AR53">
            <v>314</v>
          </cell>
          <cell r="AS53">
            <v>246</v>
          </cell>
          <cell r="BE53">
            <v>0</v>
          </cell>
          <cell r="BG53">
            <v>0</v>
          </cell>
          <cell r="BH53">
            <v>0</v>
          </cell>
          <cell r="BI53">
            <v>0</v>
          </cell>
          <cell r="BJ53">
            <v>0</v>
          </cell>
          <cell r="BK53">
            <v>0</v>
          </cell>
          <cell r="BL53">
            <v>0</v>
          </cell>
          <cell r="BM53">
            <v>0</v>
          </cell>
          <cell r="BN53">
            <v>0</v>
          </cell>
          <cell r="BO53">
            <v>0</v>
          </cell>
          <cell r="BP53">
            <v>0</v>
          </cell>
          <cell r="CA53">
            <v>196550.42857142873</v>
          </cell>
          <cell r="CB53">
            <v>236</v>
          </cell>
          <cell r="CC53">
            <v>314</v>
          </cell>
          <cell r="CD53">
            <v>314</v>
          </cell>
          <cell r="CE53">
            <v>276</v>
          </cell>
          <cell r="CF53">
            <v>314</v>
          </cell>
          <cell r="CG53">
            <v>208</v>
          </cell>
          <cell r="CH53">
            <v>314</v>
          </cell>
          <cell r="CI53">
            <v>314</v>
          </cell>
          <cell r="CJ53">
            <v>314</v>
          </cell>
          <cell r="CV53">
            <v>180.41208791208791</v>
          </cell>
          <cell r="CX53">
            <v>0</v>
          </cell>
          <cell r="CY53">
            <v>0</v>
          </cell>
          <cell r="CZ53">
            <v>0</v>
          </cell>
          <cell r="DA53">
            <v>0</v>
          </cell>
          <cell r="DB53">
            <v>0</v>
          </cell>
          <cell r="DC53">
            <v>0</v>
          </cell>
          <cell r="DD53">
            <v>0</v>
          </cell>
          <cell r="DE53">
            <v>0</v>
          </cell>
          <cell r="DF53">
            <v>0</v>
          </cell>
          <cell r="DG53">
            <v>0</v>
          </cell>
          <cell r="DR53">
            <v>73103</v>
          </cell>
          <cell r="DS53">
            <v>314</v>
          </cell>
          <cell r="DT53">
            <v>314</v>
          </cell>
          <cell r="DU53">
            <v>999999</v>
          </cell>
          <cell r="DV53">
            <v>999999</v>
          </cell>
          <cell r="DW53">
            <v>999999</v>
          </cell>
          <cell r="DX53">
            <v>314</v>
          </cell>
          <cell r="DY53">
            <v>314</v>
          </cell>
          <cell r="DZ53">
            <v>999999</v>
          </cell>
          <cell r="EA53">
            <v>999999</v>
          </cell>
        </row>
        <row r="54">
          <cell r="N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AJ54">
            <v>75</v>
          </cell>
          <cell r="AK54">
            <v>6</v>
          </cell>
          <cell r="AL54">
            <v>999999</v>
          </cell>
          <cell r="AM54">
            <v>313</v>
          </cell>
          <cell r="AN54">
            <v>313</v>
          </cell>
          <cell r="AO54">
            <v>313</v>
          </cell>
          <cell r="AP54">
            <v>58</v>
          </cell>
          <cell r="AQ54">
            <v>189</v>
          </cell>
          <cell r="AR54">
            <v>313</v>
          </cell>
          <cell r="AS54">
            <v>245</v>
          </cell>
          <cell r="BE54">
            <v>0</v>
          </cell>
          <cell r="BG54">
            <v>0</v>
          </cell>
          <cell r="BH54">
            <v>0</v>
          </cell>
          <cell r="BI54">
            <v>0</v>
          </cell>
          <cell r="BJ54">
            <v>0</v>
          </cell>
          <cell r="BK54">
            <v>0</v>
          </cell>
          <cell r="BL54">
            <v>0</v>
          </cell>
          <cell r="BM54">
            <v>0</v>
          </cell>
          <cell r="BN54">
            <v>0</v>
          </cell>
          <cell r="BO54">
            <v>0</v>
          </cell>
          <cell r="BP54">
            <v>0</v>
          </cell>
          <cell r="CA54">
            <v>196079.00000000015</v>
          </cell>
          <cell r="CB54">
            <v>235</v>
          </cell>
          <cell r="CC54">
            <v>313</v>
          </cell>
          <cell r="CD54">
            <v>313</v>
          </cell>
          <cell r="CE54">
            <v>275</v>
          </cell>
          <cell r="CF54">
            <v>313</v>
          </cell>
          <cell r="CG54">
            <v>207</v>
          </cell>
          <cell r="CH54">
            <v>313</v>
          </cell>
          <cell r="CI54">
            <v>313</v>
          </cell>
          <cell r="CJ54">
            <v>313</v>
          </cell>
          <cell r="CV54">
            <v>180.41208791208791</v>
          </cell>
          <cell r="CX54">
            <v>0</v>
          </cell>
          <cell r="CY54">
            <v>0</v>
          </cell>
          <cell r="CZ54">
            <v>0</v>
          </cell>
          <cell r="DA54">
            <v>0</v>
          </cell>
          <cell r="DB54">
            <v>0</v>
          </cell>
          <cell r="DC54">
            <v>0</v>
          </cell>
          <cell r="DD54">
            <v>0</v>
          </cell>
          <cell r="DE54">
            <v>0</v>
          </cell>
          <cell r="DF54">
            <v>0</v>
          </cell>
          <cell r="DG54">
            <v>0</v>
          </cell>
          <cell r="DR54">
            <v>73103</v>
          </cell>
          <cell r="DS54">
            <v>313</v>
          </cell>
          <cell r="DT54">
            <v>313</v>
          </cell>
          <cell r="DU54">
            <v>999999</v>
          </cell>
          <cell r="DV54">
            <v>999999</v>
          </cell>
          <cell r="DW54">
            <v>999999</v>
          </cell>
          <cell r="DX54">
            <v>313</v>
          </cell>
          <cell r="DY54">
            <v>313</v>
          </cell>
          <cell r="DZ54">
            <v>999999</v>
          </cell>
          <cell r="EA54">
            <v>999999</v>
          </cell>
        </row>
        <row r="55">
          <cell r="N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AJ55">
            <v>74</v>
          </cell>
          <cell r="AK55">
            <v>5</v>
          </cell>
          <cell r="AL55">
            <v>999999</v>
          </cell>
          <cell r="AM55">
            <v>312</v>
          </cell>
          <cell r="AN55">
            <v>312</v>
          </cell>
          <cell r="AO55">
            <v>312</v>
          </cell>
          <cell r="AP55">
            <v>57</v>
          </cell>
          <cell r="AQ55">
            <v>188</v>
          </cell>
          <cell r="AR55">
            <v>312</v>
          </cell>
          <cell r="AS55">
            <v>244</v>
          </cell>
          <cell r="BE55">
            <v>0</v>
          </cell>
          <cell r="BG55">
            <v>0</v>
          </cell>
          <cell r="BH55">
            <v>0</v>
          </cell>
          <cell r="BI55">
            <v>0</v>
          </cell>
          <cell r="BJ55">
            <v>0</v>
          </cell>
          <cell r="BK55">
            <v>0</v>
          </cell>
          <cell r="BL55">
            <v>0</v>
          </cell>
          <cell r="BM55">
            <v>0</v>
          </cell>
          <cell r="BN55">
            <v>0</v>
          </cell>
          <cell r="BO55">
            <v>0</v>
          </cell>
          <cell r="BP55">
            <v>0</v>
          </cell>
          <cell r="CA55">
            <v>195607.57142857157</v>
          </cell>
          <cell r="CB55">
            <v>234</v>
          </cell>
          <cell r="CC55">
            <v>312</v>
          </cell>
          <cell r="CD55">
            <v>312</v>
          </cell>
          <cell r="CE55">
            <v>274</v>
          </cell>
          <cell r="CF55">
            <v>312</v>
          </cell>
          <cell r="CG55">
            <v>206</v>
          </cell>
          <cell r="CH55">
            <v>312</v>
          </cell>
          <cell r="CI55">
            <v>312</v>
          </cell>
          <cell r="CJ55">
            <v>312</v>
          </cell>
          <cell r="CV55">
            <v>180.41208791208791</v>
          </cell>
          <cell r="CX55">
            <v>0</v>
          </cell>
          <cell r="CY55">
            <v>0</v>
          </cell>
          <cell r="CZ55">
            <v>0</v>
          </cell>
          <cell r="DA55">
            <v>0</v>
          </cell>
          <cell r="DB55">
            <v>0</v>
          </cell>
          <cell r="DC55">
            <v>0</v>
          </cell>
          <cell r="DD55">
            <v>0</v>
          </cell>
          <cell r="DE55">
            <v>0</v>
          </cell>
          <cell r="DF55">
            <v>0</v>
          </cell>
          <cell r="DG55">
            <v>0</v>
          </cell>
          <cell r="DR55">
            <v>73103</v>
          </cell>
          <cell r="DS55">
            <v>312</v>
          </cell>
          <cell r="DT55">
            <v>312</v>
          </cell>
          <cell r="DU55">
            <v>999999</v>
          </cell>
          <cell r="DV55">
            <v>999999</v>
          </cell>
          <cell r="DW55">
            <v>999999</v>
          </cell>
          <cell r="DX55">
            <v>312</v>
          </cell>
          <cell r="DY55">
            <v>312</v>
          </cell>
          <cell r="DZ55">
            <v>999999</v>
          </cell>
          <cell r="EA55">
            <v>999999</v>
          </cell>
        </row>
        <row r="56">
          <cell r="N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AJ56">
            <v>73</v>
          </cell>
          <cell r="AK56">
            <v>4</v>
          </cell>
          <cell r="AL56">
            <v>999999</v>
          </cell>
          <cell r="AM56">
            <v>311</v>
          </cell>
          <cell r="AN56">
            <v>311</v>
          </cell>
          <cell r="AO56">
            <v>311</v>
          </cell>
          <cell r="AP56">
            <v>56</v>
          </cell>
          <cell r="AQ56">
            <v>187</v>
          </cell>
          <cell r="AR56">
            <v>311</v>
          </cell>
          <cell r="AS56">
            <v>243</v>
          </cell>
          <cell r="BE56">
            <v>0</v>
          </cell>
          <cell r="BG56">
            <v>0</v>
          </cell>
          <cell r="BH56">
            <v>0</v>
          </cell>
          <cell r="BI56">
            <v>0</v>
          </cell>
          <cell r="BJ56">
            <v>0</v>
          </cell>
          <cell r="BK56">
            <v>0</v>
          </cell>
          <cell r="BL56">
            <v>0</v>
          </cell>
          <cell r="BM56">
            <v>0</v>
          </cell>
          <cell r="BN56">
            <v>0</v>
          </cell>
          <cell r="BO56">
            <v>0</v>
          </cell>
          <cell r="BP56">
            <v>0</v>
          </cell>
          <cell r="CA56">
            <v>195136.14285714299</v>
          </cell>
          <cell r="CB56">
            <v>233</v>
          </cell>
          <cell r="CC56">
            <v>311</v>
          </cell>
          <cell r="CD56">
            <v>311</v>
          </cell>
          <cell r="CE56">
            <v>273</v>
          </cell>
          <cell r="CF56">
            <v>311</v>
          </cell>
          <cell r="CG56">
            <v>205</v>
          </cell>
          <cell r="CH56">
            <v>311</v>
          </cell>
          <cell r="CI56">
            <v>311</v>
          </cell>
          <cell r="CJ56">
            <v>311</v>
          </cell>
          <cell r="CV56">
            <v>180.41208791208791</v>
          </cell>
          <cell r="CX56">
            <v>0</v>
          </cell>
          <cell r="CY56">
            <v>0</v>
          </cell>
          <cell r="CZ56">
            <v>0</v>
          </cell>
          <cell r="DA56">
            <v>0</v>
          </cell>
          <cell r="DB56">
            <v>0</v>
          </cell>
          <cell r="DC56">
            <v>0</v>
          </cell>
          <cell r="DD56">
            <v>0</v>
          </cell>
          <cell r="DE56">
            <v>0</v>
          </cell>
          <cell r="DF56">
            <v>0</v>
          </cell>
          <cell r="DG56">
            <v>0</v>
          </cell>
          <cell r="DR56">
            <v>73103</v>
          </cell>
          <cell r="DS56">
            <v>311</v>
          </cell>
          <cell r="DT56">
            <v>311</v>
          </cell>
          <cell r="DU56">
            <v>999999</v>
          </cell>
          <cell r="DV56">
            <v>999999</v>
          </cell>
          <cell r="DW56">
            <v>999999</v>
          </cell>
          <cell r="DX56">
            <v>311</v>
          </cell>
          <cell r="DY56">
            <v>311</v>
          </cell>
          <cell r="DZ56">
            <v>999999</v>
          </cell>
          <cell r="EA56">
            <v>999999</v>
          </cell>
        </row>
        <row r="57">
          <cell r="N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AJ57">
            <v>72</v>
          </cell>
          <cell r="AK57">
            <v>3</v>
          </cell>
          <cell r="AL57">
            <v>999999</v>
          </cell>
          <cell r="AM57">
            <v>310</v>
          </cell>
          <cell r="AN57">
            <v>310</v>
          </cell>
          <cell r="AO57">
            <v>310</v>
          </cell>
          <cell r="AP57">
            <v>55</v>
          </cell>
          <cell r="AQ57">
            <v>186</v>
          </cell>
          <cell r="AR57">
            <v>310</v>
          </cell>
          <cell r="AS57">
            <v>242</v>
          </cell>
          <cell r="BE57">
            <v>0</v>
          </cell>
          <cell r="BG57">
            <v>0</v>
          </cell>
          <cell r="BH57">
            <v>0</v>
          </cell>
          <cell r="BI57">
            <v>0</v>
          </cell>
          <cell r="BJ57">
            <v>0</v>
          </cell>
          <cell r="BK57">
            <v>0</v>
          </cell>
          <cell r="BL57">
            <v>0</v>
          </cell>
          <cell r="BM57">
            <v>0</v>
          </cell>
          <cell r="BN57">
            <v>0</v>
          </cell>
          <cell r="BO57">
            <v>0</v>
          </cell>
          <cell r="BP57">
            <v>0</v>
          </cell>
          <cell r="CA57">
            <v>194664.71428571441</v>
          </cell>
          <cell r="CB57">
            <v>232</v>
          </cell>
          <cell r="CC57">
            <v>310</v>
          </cell>
          <cell r="CD57">
            <v>310</v>
          </cell>
          <cell r="CE57">
            <v>272</v>
          </cell>
          <cell r="CF57">
            <v>310</v>
          </cell>
          <cell r="CG57">
            <v>204</v>
          </cell>
          <cell r="CH57">
            <v>310</v>
          </cell>
          <cell r="CI57">
            <v>310</v>
          </cell>
          <cell r="CJ57">
            <v>310</v>
          </cell>
          <cell r="CV57">
            <v>180.41208791208791</v>
          </cell>
          <cell r="CX57">
            <v>0</v>
          </cell>
          <cell r="CY57">
            <v>0</v>
          </cell>
          <cell r="CZ57">
            <v>0</v>
          </cell>
          <cell r="DA57">
            <v>0</v>
          </cell>
          <cell r="DB57">
            <v>0</v>
          </cell>
          <cell r="DC57">
            <v>0</v>
          </cell>
          <cell r="DD57">
            <v>0</v>
          </cell>
          <cell r="DE57">
            <v>0</v>
          </cell>
          <cell r="DF57">
            <v>0</v>
          </cell>
          <cell r="DG57">
            <v>0</v>
          </cell>
          <cell r="DR57">
            <v>73103</v>
          </cell>
          <cell r="DS57">
            <v>310</v>
          </cell>
          <cell r="DT57">
            <v>310</v>
          </cell>
          <cell r="DU57">
            <v>999999</v>
          </cell>
          <cell r="DV57">
            <v>999999</v>
          </cell>
          <cell r="DW57">
            <v>999999</v>
          </cell>
          <cell r="DX57">
            <v>310</v>
          </cell>
          <cell r="DY57">
            <v>310</v>
          </cell>
          <cell r="DZ57">
            <v>999999</v>
          </cell>
          <cell r="EA57">
            <v>999999</v>
          </cell>
        </row>
        <row r="58">
          <cell r="N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AJ58">
            <v>71</v>
          </cell>
          <cell r="AK58">
            <v>2</v>
          </cell>
          <cell r="AL58">
            <v>999999</v>
          </cell>
          <cell r="AM58">
            <v>309</v>
          </cell>
          <cell r="AN58">
            <v>309</v>
          </cell>
          <cell r="AO58">
            <v>309</v>
          </cell>
          <cell r="AP58">
            <v>54</v>
          </cell>
          <cell r="AQ58">
            <v>185</v>
          </cell>
          <cell r="AR58">
            <v>309</v>
          </cell>
          <cell r="AS58">
            <v>241</v>
          </cell>
          <cell r="BE58">
            <v>0</v>
          </cell>
          <cell r="BG58">
            <v>0</v>
          </cell>
          <cell r="BH58">
            <v>0</v>
          </cell>
          <cell r="BI58">
            <v>0</v>
          </cell>
          <cell r="BJ58">
            <v>0</v>
          </cell>
          <cell r="BK58">
            <v>0</v>
          </cell>
          <cell r="BL58">
            <v>0</v>
          </cell>
          <cell r="BM58">
            <v>0</v>
          </cell>
          <cell r="BN58">
            <v>0</v>
          </cell>
          <cell r="BO58">
            <v>0</v>
          </cell>
          <cell r="BP58">
            <v>0</v>
          </cell>
          <cell r="CA58">
            <v>194193.28571428583</v>
          </cell>
          <cell r="CB58">
            <v>231</v>
          </cell>
          <cell r="CC58">
            <v>309</v>
          </cell>
          <cell r="CD58">
            <v>309</v>
          </cell>
          <cell r="CE58">
            <v>271</v>
          </cell>
          <cell r="CF58">
            <v>309</v>
          </cell>
          <cell r="CG58">
            <v>203</v>
          </cell>
          <cell r="CH58">
            <v>309</v>
          </cell>
          <cell r="CI58">
            <v>309</v>
          </cell>
          <cell r="CJ58">
            <v>309</v>
          </cell>
          <cell r="CV58">
            <v>180.41208791208791</v>
          </cell>
          <cell r="CX58">
            <v>0</v>
          </cell>
          <cell r="CY58">
            <v>0</v>
          </cell>
          <cell r="CZ58">
            <v>0</v>
          </cell>
          <cell r="DA58">
            <v>0</v>
          </cell>
          <cell r="DB58">
            <v>0</v>
          </cell>
          <cell r="DC58">
            <v>0</v>
          </cell>
          <cell r="DD58">
            <v>0</v>
          </cell>
          <cell r="DE58">
            <v>0</v>
          </cell>
          <cell r="DF58">
            <v>0</v>
          </cell>
          <cell r="DG58">
            <v>0</v>
          </cell>
          <cell r="DR58">
            <v>73103</v>
          </cell>
          <cell r="DS58">
            <v>309</v>
          </cell>
          <cell r="DT58">
            <v>309</v>
          </cell>
          <cell r="DU58">
            <v>999999</v>
          </cell>
          <cell r="DV58">
            <v>999999</v>
          </cell>
          <cell r="DW58">
            <v>999999</v>
          </cell>
          <cell r="DX58">
            <v>309</v>
          </cell>
          <cell r="DY58">
            <v>309</v>
          </cell>
          <cell r="DZ58">
            <v>999999</v>
          </cell>
          <cell r="EA58">
            <v>999999</v>
          </cell>
        </row>
        <row r="59">
          <cell r="N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AJ59">
            <v>70</v>
          </cell>
          <cell r="AK59">
            <v>1</v>
          </cell>
          <cell r="AL59">
            <v>999999</v>
          </cell>
          <cell r="AM59">
            <v>308</v>
          </cell>
          <cell r="AN59">
            <v>308</v>
          </cell>
          <cell r="AO59">
            <v>308</v>
          </cell>
          <cell r="AP59">
            <v>53</v>
          </cell>
          <cell r="AQ59">
            <v>184</v>
          </cell>
          <cell r="AR59">
            <v>308</v>
          </cell>
          <cell r="AS59">
            <v>240</v>
          </cell>
          <cell r="BE59">
            <v>0</v>
          </cell>
          <cell r="BG59">
            <v>0</v>
          </cell>
          <cell r="BH59">
            <v>0</v>
          </cell>
          <cell r="BI59">
            <v>0</v>
          </cell>
          <cell r="BJ59">
            <v>0</v>
          </cell>
          <cell r="BK59">
            <v>0</v>
          </cell>
          <cell r="BL59">
            <v>0</v>
          </cell>
          <cell r="BM59">
            <v>0</v>
          </cell>
          <cell r="BN59">
            <v>0</v>
          </cell>
          <cell r="BO59">
            <v>0</v>
          </cell>
          <cell r="BP59">
            <v>0</v>
          </cell>
          <cell r="CA59">
            <v>193721.85714285725</v>
          </cell>
          <cell r="CB59">
            <v>230</v>
          </cell>
          <cell r="CC59">
            <v>308</v>
          </cell>
          <cell r="CD59">
            <v>308</v>
          </cell>
          <cell r="CE59">
            <v>270</v>
          </cell>
          <cell r="CF59">
            <v>308</v>
          </cell>
          <cell r="CG59">
            <v>202</v>
          </cell>
          <cell r="CH59">
            <v>308</v>
          </cell>
          <cell r="CI59">
            <v>308</v>
          </cell>
          <cell r="CJ59">
            <v>308</v>
          </cell>
          <cell r="CV59">
            <v>180.41208791208791</v>
          </cell>
          <cell r="CX59">
            <v>0</v>
          </cell>
          <cell r="CY59">
            <v>0</v>
          </cell>
          <cell r="CZ59">
            <v>0</v>
          </cell>
          <cell r="DA59">
            <v>0</v>
          </cell>
          <cell r="DB59">
            <v>0</v>
          </cell>
          <cell r="DC59">
            <v>0</v>
          </cell>
          <cell r="DD59">
            <v>0</v>
          </cell>
          <cell r="DE59">
            <v>0</v>
          </cell>
          <cell r="DF59">
            <v>0</v>
          </cell>
          <cell r="DG59">
            <v>0</v>
          </cell>
          <cell r="DR59">
            <v>73103</v>
          </cell>
          <cell r="DS59">
            <v>308</v>
          </cell>
          <cell r="DT59">
            <v>308</v>
          </cell>
          <cell r="DU59">
            <v>999999</v>
          </cell>
          <cell r="DV59">
            <v>999999</v>
          </cell>
          <cell r="DW59">
            <v>999999</v>
          </cell>
          <cell r="DX59">
            <v>308</v>
          </cell>
          <cell r="DY59">
            <v>308</v>
          </cell>
          <cell r="DZ59">
            <v>999999</v>
          </cell>
          <cell r="EA59">
            <v>999999</v>
          </cell>
        </row>
        <row r="60">
          <cell r="N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AJ60">
            <v>69</v>
          </cell>
          <cell r="AK60">
            <v>0</v>
          </cell>
          <cell r="AL60">
            <v>999999</v>
          </cell>
          <cell r="AM60">
            <v>307</v>
          </cell>
          <cell r="AN60">
            <v>307</v>
          </cell>
          <cell r="AO60">
            <v>307</v>
          </cell>
          <cell r="AP60">
            <v>52</v>
          </cell>
          <cell r="AQ60">
            <v>183</v>
          </cell>
          <cell r="AR60">
            <v>307</v>
          </cell>
          <cell r="AS60">
            <v>239</v>
          </cell>
          <cell r="BE60">
            <v>0</v>
          </cell>
          <cell r="BG60">
            <v>0</v>
          </cell>
          <cell r="BH60">
            <v>0</v>
          </cell>
          <cell r="BI60">
            <v>0</v>
          </cell>
          <cell r="BJ60">
            <v>0</v>
          </cell>
          <cell r="BK60">
            <v>0</v>
          </cell>
          <cell r="BL60">
            <v>0</v>
          </cell>
          <cell r="BM60">
            <v>0</v>
          </cell>
          <cell r="BN60">
            <v>0</v>
          </cell>
          <cell r="BO60">
            <v>0</v>
          </cell>
          <cell r="BP60">
            <v>0</v>
          </cell>
          <cell r="CA60">
            <v>193250.42857142867</v>
          </cell>
          <cell r="CB60">
            <v>229</v>
          </cell>
          <cell r="CC60">
            <v>307</v>
          </cell>
          <cell r="CD60">
            <v>307</v>
          </cell>
          <cell r="CE60">
            <v>269</v>
          </cell>
          <cell r="CF60">
            <v>307</v>
          </cell>
          <cell r="CG60">
            <v>201</v>
          </cell>
          <cell r="CH60">
            <v>307</v>
          </cell>
          <cell r="CI60">
            <v>307</v>
          </cell>
          <cell r="CJ60">
            <v>307</v>
          </cell>
          <cell r="CV60">
            <v>180.41208791208791</v>
          </cell>
          <cell r="CX60">
            <v>0</v>
          </cell>
          <cell r="CY60">
            <v>0</v>
          </cell>
          <cell r="CZ60">
            <v>0</v>
          </cell>
          <cell r="DA60">
            <v>0</v>
          </cell>
          <cell r="DB60">
            <v>0</v>
          </cell>
          <cell r="DC60">
            <v>0</v>
          </cell>
          <cell r="DD60">
            <v>0</v>
          </cell>
          <cell r="DE60">
            <v>0</v>
          </cell>
          <cell r="DF60">
            <v>0</v>
          </cell>
          <cell r="DG60">
            <v>0</v>
          </cell>
          <cell r="DR60">
            <v>73103</v>
          </cell>
          <cell r="DS60">
            <v>307</v>
          </cell>
          <cell r="DT60">
            <v>307</v>
          </cell>
          <cell r="DU60">
            <v>999999</v>
          </cell>
          <cell r="DV60">
            <v>999999</v>
          </cell>
          <cell r="DW60">
            <v>999999</v>
          </cell>
          <cell r="DX60">
            <v>307</v>
          </cell>
          <cell r="DY60">
            <v>307</v>
          </cell>
          <cell r="DZ60">
            <v>999999</v>
          </cell>
          <cell r="EA60">
            <v>999999</v>
          </cell>
        </row>
        <row r="61">
          <cell r="N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AJ61">
            <v>68</v>
          </cell>
          <cell r="AK61">
            <v>0</v>
          </cell>
          <cell r="AL61">
            <v>999999</v>
          </cell>
          <cell r="AM61">
            <v>306</v>
          </cell>
          <cell r="AN61">
            <v>306</v>
          </cell>
          <cell r="AO61">
            <v>306</v>
          </cell>
          <cell r="AP61">
            <v>51</v>
          </cell>
          <cell r="AQ61">
            <v>182</v>
          </cell>
          <cell r="AR61">
            <v>306</v>
          </cell>
          <cell r="AS61">
            <v>238</v>
          </cell>
          <cell r="BE61">
            <v>0</v>
          </cell>
          <cell r="BG61">
            <v>0</v>
          </cell>
          <cell r="BH61">
            <v>0</v>
          </cell>
          <cell r="BI61">
            <v>0</v>
          </cell>
          <cell r="BJ61">
            <v>0</v>
          </cell>
          <cell r="BK61">
            <v>0</v>
          </cell>
          <cell r="BL61">
            <v>0</v>
          </cell>
          <cell r="BM61">
            <v>0</v>
          </cell>
          <cell r="BN61">
            <v>0</v>
          </cell>
          <cell r="BO61">
            <v>0</v>
          </cell>
          <cell r="BP61">
            <v>0</v>
          </cell>
          <cell r="CA61">
            <v>192779.00000000009</v>
          </cell>
          <cell r="CB61">
            <v>228</v>
          </cell>
          <cell r="CC61">
            <v>306</v>
          </cell>
          <cell r="CD61">
            <v>306</v>
          </cell>
          <cell r="CE61">
            <v>268</v>
          </cell>
          <cell r="CF61">
            <v>306</v>
          </cell>
          <cell r="CG61">
            <v>200</v>
          </cell>
          <cell r="CH61">
            <v>306</v>
          </cell>
          <cell r="CI61">
            <v>306</v>
          </cell>
          <cell r="CJ61">
            <v>306</v>
          </cell>
          <cell r="CV61">
            <v>180.41208791208791</v>
          </cell>
          <cell r="CX61">
            <v>0</v>
          </cell>
          <cell r="CY61">
            <v>0</v>
          </cell>
          <cell r="CZ61">
            <v>0</v>
          </cell>
          <cell r="DA61">
            <v>0</v>
          </cell>
          <cell r="DB61">
            <v>0</v>
          </cell>
          <cell r="DC61">
            <v>0</v>
          </cell>
          <cell r="DD61">
            <v>0</v>
          </cell>
          <cell r="DE61">
            <v>0</v>
          </cell>
          <cell r="DF61">
            <v>0</v>
          </cell>
          <cell r="DG61">
            <v>0</v>
          </cell>
          <cell r="DR61">
            <v>73103</v>
          </cell>
          <cell r="DS61">
            <v>306</v>
          </cell>
          <cell r="DT61">
            <v>306</v>
          </cell>
          <cell r="DU61">
            <v>999999</v>
          </cell>
          <cell r="DV61">
            <v>999999</v>
          </cell>
          <cell r="DW61">
            <v>999999</v>
          </cell>
          <cell r="DX61">
            <v>306</v>
          </cell>
          <cell r="DY61">
            <v>306</v>
          </cell>
          <cell r="DZ61">
            <v>999999</v>
          </cell>
          <cell r="EA61">
            <v>999999</v>
          </cell>
        </row>
        <row r="62">
          <cell r="N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AJ62">
            <v>67</v>
          </cell>
          <cell r="AK62">
            <v>0</v>
          </cell>
          <cell r="AL62">
            <v>999999</v>
          </cell>
          <cell r="AM62">
            <v>305</v>
          </cell>
          <cell r="AN62">
            <v>305</v>
          </cell>
          <cell r="AO62">
            <v>305</v>
          </cell>
          <cell r="AP62">
            <v>50</v>
          </cell>
          <cell r="AQ62">
            <v>181</v>
          </cell>
          <cell r="AR62">
            <v>305</v>
          </cell>
          <cell r="AS62">
            <v>237</v>
          </cell>
          <cell r="BE62">
            <v>0</v>
          </cell>
          <cell r="BG62">
            <v>0</v>
          </cell>
          <cell r="BH62">
            <v>0</v>
          </cell>
          <cell r="BI62">
            <v>0</v>
          </cell>
          <cell r="BJ62">
            <v>0</v>
          </cell>
          <cell r="BK62">
            <v>0</v>
          </cell>
          <cell r="BL62">
            <v>0</v>
          </cell>
          <cell r="BM62">
            <v>0</v>
          </cell>
          <cell r="BN62">
            <v>0</v>
          </cell>
          <cell r="BO62">
            <v>0</v>
          </cell>
          <cell r="BP62">
            <v>0</v>
          </cell>
          <cell r="CA62">
            <v>192327.38709677427</v>
          </cell>
          <cell r="CB62">
            <v>227</v>
          </cell>
          <cell r="CC62">
            <v>305</v>
          </cell>
          <cell r="CD62">
            <v>305</v>
          </cell>
          <cell r="CE62">
            <v>267</v>
          </cell>
          <cell r="CF62">
            <v>305</v>
          </cell>
          <cell r="CG62">
            <v>199</v>
          </cell>
          <cell r="CH62">
            <v>305</v>
          </cell>
          <cell r="CI62">
            <v>305</v>
          </cell>
          <cell r="CJ62">
            <v>305</v>
          </cell>
          <cell r="CV62">
            <v>336.72456575682378</v>
          </cell>
          <cell r="CX62">
            <v>0</v>
          </cell>
          <cell r="CY62">
            <v>0</v>
          </cell>
          <cell r="CZ62">
            <v>0</v>
          </cell>
          <cell r="DA62">
            <v>0</v>
          </cell>
          <cell r="DB62">
            <v>0</v>
          </cell>
          <cell r="DC62">
            <v>0</v>
          </cell>
          <cell r="DD62">
            <v>0</v>
          </cell>
          <cell r="DE62">
            <v>0</v>
          </cell>
          <cell r="DF62">
            <v>0</v>
          </cell>
          <cell r="DG62">
            <v>0</v>
          </cell>
          <cell r="DR62">
            <v>73103</v>
          </cell>
          <cell r="DS62">
            <v>305</v>
          </cell>
          <cell r="DT62">
            <v>305</v>
          </cell>
          <cell r="DU62">
            <v>999999</v>
          </cell>
          <cell r="DV62">
            <v>999999</v>
          </cell>
          <cell r="DW62">
            <v>999999</v>
          </cell>
          <cell r="DX62">
            <v>305</v>
          </cell>
          <cell r="DY62">
            <v>305</v>
          </cell>
          <cell r="DZ62">
            <v>999999</v>
          </cell>
          <cell r="EA62">
            <v>999999</v>
          </cell>
        </row>
        <row r="63">
          <cell r="N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AJ63">
            <v>66</v>
          </cell>
          <cell r="AK63">
            <v>0</v>
          </cell>
          <cell r="AL63">
            <v>999999</v>
          </cell>
          <cell r="AM63">
            <v>304</v>
          </cell>
          <cell r="AN63">
            <v>304</v>
          </cell>
          <cell r="AO63">
            <v>304</v>
          </cell>
          <cell r="AP63">
            <v>49</v>
          </cell>
          <cell r="AQ63">
            <v>180</v>
          </cell>
          <cell r="AR63">
            <v>304</v>
          </cell>
          <cell r="AS63">
            <v>236</v>
          </cell>
          <cell r="BE63">
            <v>0</v>
          </cell>
          <cell r="BG63">
            <v>0</v>
          </cell>
          <cell r="BH63">
            <v>0</v>
          </cell>
          <cell r="BI63">
            <v>0</v>
          </cell>
          <cell r="BJ63">
            <v>0</v>
          </cell>
          <cell r="BK63">
            <v>0</v>
          </cell>
          <cell r="BL63">
            <v>0</v>
          </cell>
          <cell r="BM63">
            <v>0</v>
          </cell>
          <cell r="BN63">
            <v>0</v>
          </cell>
          <cell r="BO63">
            <v>0</v>
          </cell>
          <cell r="BP63">
            <v>0</v>
          </cell>
          <cell r="CA63">
            <v>191875.77419354845</v>
          </cell>
          <cell r="CB63">
            <v>226</v>
          </cell>
          <cell r="CC63">
            <v>304</v>
          </cell>
          <cell r="CD63">
            <v>304</v>
          </cell>
          <cell r="CE63">
            <v>266</v>
          </cell>
          <cell r="CF63">
            <v>304</v>
          </cell>
          <cell r="CG63">
            <v>198</v>
          </cell>
          <cell r="CH63">
            <v>304</v>
          </cell>
          <cell r="CI63">
            <v>304</v>
          </cell>
          <cell r="CJ63">
            <v>304</v>
          </cell>
          <cell r="CV63">
            <v>336.72456575682378</v>
          </cell>
          <cell r="CX63">
            <v>0</v>
          </cell>
          <cell r="CY63">
            <v>0</v>
          </cell>
          <cell r="CZ63">
            <v>0</v>
          </cell>
          <cell r="DA63">
            <v>0</v>
          </cell>
          <cell r="DB63">
            <v>0</v>
          </cell>
          <cell r="DC63">
            <v>0</v>
          </cell>
          <cell r="DD63">
            <v>0</v>
          </cell>
          <cell r="DE63">
            <v>0</v>
          </cell>
          <cell r="DF63">
            <v>0</v>
          </cell>
          <cell r="DG63">
            <v>0</v>
          </cell>
          <cell r="DR63">
            <v>73103</v>
          </cell>
          <cell r="DS63">
            <v>304</v>
          </cell>
          <cell r="DT63">
            <v>304</v>
          </cell>
          <cell r="DU63">
            <v>999999</v>
          </cell>
          <cell r="DV63">
            <v>999999</v>
          </cell>
          <cell r="DW63">
            <v>999999</v>
          </cell>
          <cell r="DX63">
            <v>304</v>
          </cell>
          <cell r="DY63">
            <v>304</v>
          </cell>
          <cell r="DZ63">
            <v>999999</v>
          </cell>
          <cell r="EA63">
            <v>999999</v>
          </cell>
        </row>
        <row r="64">
          <cell r="N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AJ64">
            <v>65</v>
          </cell>
          <cell r="AK64">
            <v>0</v>
          </cell>
          <cell r="AL64">
            <v>999999</v>
          </cell>
          <cell r="AM64">
            <v>303</v>
          </cell>
          <cell r="AN64">
            <v>303</v>
          </cell>
          <cell r="AO64">
            <v>303</v>
          </cell>
          <cell r="AP64">
            <v>48</v>
          </cell>
          <cell r="AQ64">
            <v>179</v>
          </cell>
          <cell r="AR64">
            <v>303</v>
          </cell>
          <cell r="AS64">
            <v>235</v>
          </cell>
          <cell r="BE64">
            <v>0</v>
          </cell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CA64">
            <v>191424.16129032263</v>
          </cell>
          <cell r="CB64">
            <v>225</v>
          </cell>
          <cell r="CC64">
            <v>303</v>
          </cell>
          <cell r="CD64">
            <v>303</v>
          </cell>
          <cell r="CE64">
            <v>265</v>
          </cell>
          <cell r="CF64">
            <v>303</v>
          </cell>
          <cell r="CG64">
            <v>197</v>
          </cell>
          <cell r="CH64">
            <v>303</v>
          </cell>
          <cell r="CI64">
            <v>303</v>
          </cell>
          <cell r="CJ64">
            <v>303</v>
          </cell>
          <cell r="CV64">
            <v>336.72456575682378</v>
          </cell>
          <cell r="CX64">
            <v>0</v>
          </cell>
          <cell r="CY64">
            <v>0</v>
          </cell>
          <cell r="CZ64">
            <v>0</v>
          </cell>
          <cell r="DA64">
            <v>0</v>
          </cell>
          <cell r="DB64">
            <v>0</v>
          </cell>
          <cell r="DC64">
            <v>0</v>
          </cell>
          <cell r="DD64">
            <v>0</v>
          </cell>
          <cell r="DE64">
            <v>0</v>
          </cell>
          <cell r="DF64">
            <v>0</v>
          </cell>
          <cell r="DG64">
            <v>0</v>
          </cell>
          <cell r="DR64">
            <v>73103</v>
          </cell>
          <cell r="DS64">
            <v>303</v>
          </cell>
          <cell r="DT64">
            <v>303</v>
          </cell>
          <cell r="DU64">
            <v>999999</v>
          </cell>
          <cell r="DV64">
            <v>999999</v>
          </cell>
          <cell r="DW64">
            <v>999999</v>
          </cell>
          <cell r="DX64">
            <v>303</v>
          </cell>
          <cell r="DY64">
            <v>303</v>
          </cell>
          <cell r="DZ64">
            <v>999999</v>
          </cell>
          <cell r="EA64">
            <v>999999</v>
          </cell>
        </row>
        <row r="65">
          <cell r="N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AJ65">
            <v>64</v>
          </cell>
          <cell r="AK65">
            <v>0</v>
          </cell>
          <cell r="AL65">
            <v>999999</v>
          </cell>
          <cell r="AM65">
            <v>302</v>
          </cell>
          <cell r="AN65">
            <v>302</v>
          </cell>
          <cell r="AO65">
            <v>302</v>
          </cell>
          <cell r="AP65">
            <v>47</v>
          </cell>
          <cell r="AQ65">
            <v>178</v>
          </cell>
          <cell r="AR65">
            <v>302</v>
          </cell>
          <cell r="AS65">
            <v>234</v>
          </cell>
          <cell r="BE65">
            <v>0</v>
          </cell>
          <cell r="BG65">
            <v>0</v>
          </cell>
          <cell r="BH65">
            <v>0</v>
          </cell>
          <cell r="BI65">
            <v>0</v>
          </cell>
          <cell r="BJ65">
            <v>0</v>
          </cell>
          <cell r="BK65">
            <v>0</v>
          </cell>
          <cell r="BL65">
            <v>0</v>
          </cell>
          <cell r="BM65">
            <v>0</v>
          </cell>
          <cell r="BN65">
            <v>0</v>
          </cell>
          <cell r="BO65">
            <v>0</v>
          </cell>
          <cell r="BP65">
            <v>0</v>
          </cell>
          <cell r="CA65">
            <v>190972.54838709682</v>
          </cell>
          <cell r="CB65">
            <v>224</v>
          </cell>
          <cell r="CC65">
            <v>302</v>
          </cell>
          <cell r="CD65">
            <v>302</v>
          </cell>
          <cell r="CE65">
            <v>264</v>
          </cell>
          <cell r="CF65">
            <v>302</v>
          </cell>
          <cell r="CG65">
            <v>196</v>
          </cell>
          <cell r="CH65">
            <v>302</v>
          </cell>
          <cell r="CI65">
            <v>302</v>
          </cell>
          <cell r="CJ65">
            <v>302</v>
          </cell>
          <cell r="CV65">
            <v>336.72456575682378</v>
          </cell>
          <cell r="CX65">
            <v>0</v>
          </cell>
          <cell r="CY65">
            <v>0</v>
          </cell>
          <cell r="CZ65">
            <v>0</v>
          </cell>
          <cell r="DA65">
            <v>0</v>
          </cell>
          <cell r="DB65">
            <v>0</v>
          </cell>
          <cell r="DC65">
            <v>0</v>
          </cell>
          <cell r="DD65">
            <v>0</v>
          </cell>
          <cell r="DE65">
            <v>0</v>
          </cell>
          <cell r="DF65">
            <v>0</v>
          </cell>
          <cell r="DG65">
            <v>0</v>
          </cell>
          <cell r="DR65">
            <v>73103</v>
          </cell>
          <cell r="DS65">
            <v>302</v>
          </cell>
          <cell r="DT65">
            <v>302</v>
          </cell>
          <cell r="DU65">
            <v>999999</v>
          </cell>
          <cell r="DV65">
            <v>999999</v>
          </cell>
          <cell r="DW65">
            <v>999999</v>
          </cell>
          <cell r="DX65">
            <v>302</v>
          </cell>
          <cell r="DY65">
            <v>302</v>
          </cell>
          <cell r="DZ65">
            <v>999999</v>
          </cell>
          <cell r="EA65">
            <v>999999</v>
          </cell>
        </row>
        <row r="66">
          <cell r="N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AJ66">
            <v>63</v>
          </cell>
          <cell r="AK66">
            <v>0</v>
          </cell>
          <cell r="AL66">
            <v>999999</v>
          </cell>
          <cell r="AM66">
            <v>301</v>
          </cell>
          <cell r="AN66">
            <v>301</v>
          </cell>
          <cell r="AO66">
            <v>301</v>
          </cell>
          <cell r="AP66">
            <v>46</v>
          </cell>
          <cell r="AQ66">
            <v>177</v>
          </cell>
          <cell r="AR66">
            <v>301</v>
          </cell>
          <cell r="AS66">
            <v>233</v>
          </cell>
          <cell r="BE66">
            <v>0</v>
          </cell>
          <cell r="BG66">
            <v>0</v>
          </cell>
          <cell r="BH66">
            <v>0</v>
          </cell>
          <cell r="BI66">
            <v>0</v>
          </cell>
          <cell r="BJ66">
            <v>0</v>
          </cell>
          <cell r="BK66">
            <v>0</v>
          </cell>
          <cell r="BL66">
            <v>0</v>
          </cell>
          <cell r="BM66">
            <v>0</v>
          </cell>
          <cell r="BN66">
            <v>0</v>
          </cell>
          <cell r="BO66">
            <v>0</v>
          </cell>
          <cell r="BP66">
            <v>0</v>
          </cell>
          <cell r="CA66">
            <v>190520.935483871</v>
          </cell>
          <cell r="CB66">
            <v>223</v>
          </cell>
          <cell r="CC66">
            <v>301</v>
          </cell>
          <cell r="CD66">
            <v>301</v>
          </cell>
          <cell r="CE66">
            <v>263</v>
          </cell>
          <cell r="CF66">
            <v>301</v>
          </cell>
          <cell r="CG66">
            <v>195</v>
          </cell>
          <cell r="CH66">
            <v>301</v>
          </cell>
          <cell r="CI66">
            <v>301</v>
          </cell>
          <cell r="CJ66">
            <v>301</v>
          </cell>
          <cell r="CV66">
            <v>336.72456575682378</v>
          </cell>
          <cell r="CX66">
            <v>0</v>
          </cell>
          <cell r="CY66">
            <v>0</v>
          </cell>
          <cell r="CZ66">
            <v>0</v>
          </cell>
          <cell r="DA66">
            <v>0</v>
          </cell>
          <cell r="DB66">
            <v>0</v>
          </cell>
          <cell r="DC66">
            <v>0</v>
          </cell>
          <cell r="DD66">
            <v>0</v>
          </cell>
          <cell r="DE66">
            <v>0</v>
          </cell>
          <cell r="DF66">
            <v>0</v>
          </cell>
          <cell r="DG66">
            <v>0</v>
          </cell>
          <cell r="DR66">
            <v>73103</v>
          </cell>
          <cell r="DS66">
            <v>301</v>
          </cell>
          <cell r="DT66">
            <v>301</v>
          </cell>
          <cell r="DU66">
            <v>999999</v>
          </cell>
          <cell r="DV66">
            <v>999999</v>
          </cell>
          <cell r="DW66">
            <v>999999</v>
          </cell>
          <cell r="DX66">
            <v>301</v>
          </cell>
          <cell r="DY66">
            <v>301</v>
          </cell>
          <cell r="DZ66">
            <v>999999</v>
          </cell>
          <cell r="EA66">
            <v>999999</v>
          </cell>
        </row>
        <row r="67">
          <cell r="N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AJ67">
            <v>62</v>
          </cell>
          <cell r="AK67">
            <v>0</v>
          </cell>
          <cell r="AL67">
            <v>999999</v>
          </cell>
          <cell r="AM67">
            <v>300</v>
          </cell>
          <cell r="AN67">
            <v>300</v>
          </cell>
          <cell r="AO67">
            <v>300</v>
          </cell>
          <cell r="AP67">
            <v>45</v>
          </cell>
          <cell r="AQ67">
            <v>176</v>
          </cell>
          <cell r="AR67">
            <v>300</v>
          </cell>
          <cell r="AS67">
            <v>232</v>
          </cell>
          <cell r="BE67">
            <v>0</v>
          </cell>
          <cell r="BG67">
            <v>0</v>
          </cell>
          <cell r="BH67">
            <v>0</v>
          </cell>
          <cell r="BI67">
            <v>0</v>
          </cell>
          <cell r="BJ67">
            <v>0</v>
          </cell>
          <cell r="BK67">
            <v>0</v>
          </cell>
          <cell r="BL67">
            <v>0</v>
          </cell>
          <cell r="BM67">
            <v>0</v>
          </cell>
          <cell r="BN67">
            <v>0</v>
          </cell>
          <cell r="BO67">
            <v>0</v>
          </cell>
          <cell r="BP67">
            <v>0</v>
          </cell>
          <cell r="CA67">
            <v>190069.32258064518</v>
          </cell>
          <cell r="CB67">
            <v>222</v>
          </cell>
          <cell r="CC67">
            <v>300</v>
          </cell>
          <cell r="CD67">
            <v>300</v>
          </cell>
          <cell r="CE67">
            <v>262</v>
          </cell>
          <cell r="CF67">
            <v>300</v>
          </cell>
          <cell r="CG67">
            <v>194</v>
          </cell>
          <cell r="CH67">
            <v>300</v>
          </cell>
          <cell r="CI67">
            <v>300</v>
          </cell>
          <cell r="CJ67">
            <v>300</v>
          </cell>
          <cell r="CV67">
            <v>336.72456575682378</v>
          </cell>
          <cell r="CX67">
            <v>0</v>
          </cell>
          <cell r="CY67">
            <v>0</v>
          </cell>
          <cell r="CZ67">
            <v>0</v>
          </cell>
          <cell r="DA67">
            <v>0</v>
          </cell>
          <cell r="DB67">
            <v>0</v>
          </cell>
          <cell r="DC67">
            <v>0</v>
          </cell>
          <cell r="DD67">
            <v>0</v>
          </cell>
          <cell r="DE67">
            <v>0</v>
          </cell>
          <cell r="DF67">
            <v>0</v>
          </cell>
          <cell r="DG67">
            <v>0</v>
          </cell>
          <cell r="DR67">
            <v>73103</v>
          </cell>
          <cell r="DS67">
            <v>300</v>
          </cell>
          <cell r="DT67">
            <v>300</v>
          </cell>
          <cell r="DU67">
            <v>999999</v>
          </cell>
          <cell r="DV67">
            <v>999999</v>
          </cell>
          <cell r="DW67">
            <v>999999</v>
          </cell>
          <cell r="DX67">
            <v>300</v>
          </cell>
          <cell r="DY67">
            <v>300</v>
          </cell>
          <cell r="DZ67">
            <v>999999</v>
          </cell>
          <cell r="EA67">
            <v>999999</v>
          </cell>
        </row>
        <row r="68">
          <cell r="N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AJ68">
            <v>61</v>
          </cell>
          <cell r="AK68">
            <v>0</v>
          </cell>
          <cell r="AL68">
            <v>999999</v>
          </cell>
          <cell r="AM68">
            <v>299</v>
          </cell>
          <cell r="AN68">
            <v>299</v>
          </cell>
          <cell r="AO68">
            <v>299</v>
          </cell>
          <cell r="AP68">
            <v>44</v>
          </cell>
          <cell r="AQ68">
            <v>175</v>
          </cell>
          <cell r="AR68">
            <v>299</v>
          </cell>
          <cell r="AS68">
            <v>231</v>
          </cell>
          <cell r="BE68">
            <v>0</v>
          </cell>
          <cell r="BG68">
            <v>0</v>
          </cell>
          <cell r="BH68">
            <v>0</v>
          </cell>
          <cell r="BI68">
            <v>0</v>
          </cell>
          <cell r="BJ68">
            <v>0</v>
          </cell>
          <cell r="BK68">
            <v>0</v>
          </cell>
          <cell r="BL68">
            <v>0</v>
          </cell>
          <cell r="BM68">
            <v>0</v>
          </cell>
          <cell r="BN68">
            <v>0</v>
          </cell>
          <cell r="BO68">
            <v>0</v>
          </cell>
          <cell r="BP68">
            <v>0</v>
          </cell>
          <cell r="CA68">
            <v>189617.70967741936</v>
          </cell>
          <cell r="CB68">
            <v>221</v>
          </cell>
          <cell r="CC68">
            <v>299</v>
          </cell>
          <cell r="CD68">
            <v>299</v>
          </cell>
          <cell r="CE68">
            <v>261</v>
          </cell>
          <cell r="CF68">
            <v>299</v>
          </cell>
          <cell r="CG68">
            <v>193</v>
          </cell>
          <cell r="CH68">
            <v>299</v>
          </cell>
          <cell r="CI68">
            <v>299</v>
          </cell>
          <cell r="CJ68">
            <v>299</v>
          </cell>
          <cell r="CV68">
            <v>336.72456575682378</v>
          </cell>
          <cell r="CX68">
            <v>0</v>
          </cell>
          <cell r="CY68">
            <v>0</v>
          </cell>
          <cell r="CZ68">
            <v>0</v>
          </cell>
          <cell r="DA68">
            <v>0</v>
          </cell>
          <cell r="DB68">
            <v>0</v>
          </cell>
          <cell r="DC68">
            <v>0</v>
          </cell>
          <cell r="DD68">
            <v>0</v>
          </cell>
          <cell r="DE68">
            <v>0</v>
          </cell>
          <cell r="DF68">
            <v>0</v>
          </cell>
          <cell r="DG68">
            <v>0</v>
          </cell>
          <cell r="DR68">
            <v>73103</v>
          </cell>
          <cell r="DS68">
            <v>299</v>
          </cell>
          <cell r="DT68">
            <v>299</v>
          </cell>
          <cell r="DU68">
            <v>999999</v>
          </cell>
          <cell r="DV68">
            <v>999999</v>
          </cell>
          <cell r="DW68">
            <v>999999</v>
          </cell>
          <cell r="DX68">
            <v>299</v>
          </cell>
          <cell r="DY68">
            <v>299</v>
          </cell>
          <cell r="DZ68">
            <v>999999</v>
          </cell>
          <cell r="EA68">
            <v>999999</v>
          </cell>
        </row>
        <row r="69">
          <cell r="N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AJ69">
            <v>60</v>
          </cell>
          <cell r="AK69">
            <v>0</v>
          </cell>
          <cell r="AL69">
            <v>999999</v>
          </cell>
          <cell r="AM69">
            <v>298</v>
          </cell>
          <cell r="AN69">
            <v>298</v>
          </cell>
          <cell r="AO69">
            <v>298</v>
          </cell>
          <cell r="AP69">
            <v>43</v>
          </cell>
          <cell r="AQ69">
            <v>174</v>
          </cell>
          <cell r="AR69">
            <v>298</v>
          </cell>
          <cell r="AS69">
            <v>230</v>
          </cell>
          <cell r="BE69">
            <v>0</v>
          </cell>
          <cell r="BG69">
            <v>0</v>
          </cell>
          <cell r="BH69">
            <v>0</v>
          </cell>
          <cell r="BI69">
            <v>0</v>
          </cell>
          <cell r="BJ69">
            <v>0</v>
          </cell>
          <cell r="BK69">
            <v>0</v>
          </cell>
          <cell r="BL69">
            <v>0</v>
          </cell>
          <cell r="BM69">
            <v>0</v>
          </cell>
          <cell r="BN69">
            <v>0</v>
          </cell>
          <cell r="BO69">
            <v>0</v>
          </cell>
          <cell r="BP69">
            <v>0</v>
          </cell>
          <cell r="CA69">
            <v>189166.09677419355</v>
          </cell>
          <cell r="CB69">
            <v>220</v>
          </cell>
          <cell r="CC69">
            <v>298</v>
          </cell>
          <cell r="CD69">
            <v>298</v>
          </cell>
          <cell r="CE69">
            <v>260</v>
          </cell>
          <cell r="CF69">
            <v>298</v>
          </cell>
          <cell r="CG69">
            <v>192</v>
          </cell>
          <cell r="CH69">
            <v>298</v>
          </cell>
          <cell r="CI69">
            <v>298</v>
          </cell>
          <cell r="CJ69">
            <v>298</v>
          </cell>
          <cell r="CV69">
            <v>336.72456575682378</v>
          </cell>
          <cell r="CX69">
            <v>0</v>
          </cell>
          <cell r="CY69">
            <v>0</v>
          </cell>
          <cell r="CZ69">
            <v>0</v>
          </cell>
          <cell r="DA69">
            <v>0</v>
          </cell>
          <cell r="DB69">
            <v>0</v>
          </cell>
          <cell r="DC69">
            <v>0</v>
          </cell>
          <cell r="DD69">
            <v>0</v>
          </cell>
          <cell r="DE69">
            <v>0</v>
          </cell>
          <cell r="DF69">
            <v>0</v>
          </cell>
          <cell r="DG69">
            <v>0</v>
          </cell>
          <cell r="DR69">
            <v>73103</v>
          </cell>
          <cell r="DS69">
            <v>298</v>
          </cell>
          <cell r="DT69">
            <v>298</v>
          </cell>
          <cell r="DU69">
            <v>999999</v>
          </cell>
          <cell r="DV69">
            <v>999999</v>
          </cell>
          <cell r="DW69">
            <v>999999</v>
          </cell>
          <cell r="DX69">
            <v>298</v>
          </cell>
          <cell r="DY69">
            <v>298</v>
          </cell>
          <cell r="DZ69">
            <v>999999</v>
          </cell>
          <cell r="EA69">
            <v>999999</v>
          </cell>
        </row>
        <row r="70">
          <cell r="N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AJ70">
            <v>59</v>
          </cell>
          <cell r="AK70">
            <v>0</v>
          </cell>
          <cell r="AL70">
            <v>999999</v>
          </cell>
          <cell r="AM70">
            <v>297</v>
          </cell>
          <cell r="AN70">
            <v>297</v>
          </cell>
          <cell r="AO70">
            <v>297</v>
          </cell>
          <cell r="AP70">
            <v>42</v>
          </cell>
          <cell r="AQ70">
            <v>173</v>
          </cell>
          <cell r="AR70">
            <v>297</v>
          </cell>
          <cell r="AS70">
            <v>229</v>
          </cell>
          <cell r="BE70">
            <v>0</v>
          </cell>
          <cell r="BG70">
            <v>0</v>
          </cell>
          <cell r="BH70">
            <v>0</v>
          </cell>
          <cell r="BI70">
            <v>0</v>
          </cell>
          <cell r="BJ70">
            <v>0</v>
          </cell>
          <cell r="BK70">
            <v>0</v>
          </cell>
          <cell r="BL70">
            <v>0</v>
          </cell>
          <cell r="BM70">
            <v>0</v>
          </cell>
          <cell r="BN70">
            <v>0</v>
          </cell>
          <cell r="BO70">
            <v>0</v>
          </cell>
          <cell r="BP70">
            <v>0</v>
          </cell>
          <cell r="CA70">
            <v>188714.48387096773</v>
          </cell>
          <cell r="CB70">
            <v>219</v>
          </cell>
          <cell r="CC70">
            <v>297</v>
          </cell>
          <cell r="CD70">
            <v>297</v>
          </cell>
          <cell r="CE70">
            <v>259</v>
          </cell>
          <cell r="CF70">
            <v>297</v>
          </cell>
          <cell r="CG70">
            <v>191</v>
          </cell>
          <cell r="CH70">
            <v>297</v>
          </cell>
          <cell r="CI70">
            <v>297</v>
          </cell>
          <cell r="CJ70">
            <v>297</v>
          </cell>
          <cell r="CV70">
            <v>336.72456575682378</v>
          </cell>
          <cell r="CX70">
            <v>0</v>
          </cell>
          <cell r="CY70">
            <v>0</v>
          </cell>
          <cell r="CZ70">
            <v>0</v>
          </cell>
          <cell r="DA70">
            <v>0</v>
          </cell>
          <cell r="DB70">
            <v>0</v>
          </cell>
          <cell r="DC70">
            <v>0</v>
          </cell>
          <cell r="DD70">
            <v>0</v>
          </cell>
          <cell r="DE70">
            <v>0</v>
          </cell>
          <cell r="DF70">
            <v>0</v>
          </cell>
          <cell r="DG70">
            <v>0</v>
          </cell>
          <cell r="DR70">
            <v>73103</v>
          </cell>
          <cell r="DS70">
            <v>297</v>
          </cell>
          <cell r="DT70">
            <v>297</v>
          </cell>
          <cell r="DU70">
            <v>999999</v>
          </cell>
          <cell r="DV70">
            <v>999999</v>
          </cell>
          <cell r="DW70">
            <v>999999</v>
          </cell>
          <cell r="DX70">
            <v>297</v>
          </cell>
          <cell r="DY70">
            <v>297</v>
          </cell>
          <cell r="DZ70">
            <v>999999</v>
          </cell>
          <cell r="EA70">
            <v>999999</v>
          </cell>
        </row>
        <row r="71">
          <cell r="N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AJ71">
            <v>58</v>
          </cell>
          <cell r="AK71">
            <v>0</v>
          </cell>
          <cell r="AL71">
            <v>999999</v>
          </cell>
          <cell r="AM71">
            <v>296</v>
          </cell>
          <cell r="AN71">
            <v>296</v>
          </cell>
          <cell r="AO71">
            <v>296</v>
          </cell>
          <cell r="AP71">
            <v>41</v>
          </cell>
          <cell r="AQ71">
            <v>172</v>
          </cell>
          <cell r="AR71">
            <v>296</v>
          </cell>
          <cell r="AS71">
            <v>228</v>
          </cell>
          <cell r="BE71">
            <v>0</v>
          </cell>
          <cell r="BG71">
            <v>0</v>
          </cell>
          <cell r="BH71">
            <v>0</v>
          </cell>
          <cell r="BI71">
            <v>0</v>
          </cell>
          <cell r="BJ71">
            <v>0</v>
          </cell>
          <cell r="BK71">
            <v>0</v>
          </cell>
          <cell r="BL71">
            <v>0</v>
          </cell>
          <cell r="BM71">
            <v>0</v>
          </cell>
          <cell r="BN71">
            <v>0</v>
          </cell>
          <cell r="BO71">
            <v>0</v>
          </cell>
          <cell r="BP71">
            <v>0</v>
          </cell>
          <cell r="CA71">
            <v>188262.87096774191</v>
          </cell>
          <cell r="CB71">
            <v>218</v>
          </cell>
          <cell r="CC71">
            <v>296</v>
          </cell>
          <cell r="CD71">
            <v>296</v>
          </cell>
          <cell r="CE71">
            <v>258</v>
          </cell>
          <cell r="CF71">
            <v>296</v>
          </cell>
          <cell r="CG71">
            <v>190</v>
          </cell>
          <cell r="CH71">
            <v>296</v>
          </cell>
          <cell r="CI71">
            <v>296</v>
          </cell>
          <cell r="CJ71">
            <v>296</v>
          </cell>
          <cell r="CV71">
            <v>336.72456575682378</v>
          </cell>
          <cell r="CX71">
            <v>0</v>
          </cell>
          <cell r="CY71">
            <v>0</v>
          </cell>
          <cell r="CZ71">
            <v>0</v>
          </cell>
          <cell r="DA71">
            <v>0</v>
          </cell>
          <cell r="DB71">
            <v>0</v>
          </cell>
          <cell r="DC71">
            <v>0</v>
          </cell>
          <cell r="DD71">
            <v>0</v>
          </cell>
          <cell r="DE71">
            <v>0</v>
          </cell>
          <cell r="DF71">
            <v>0</v>
          </cell>
          <cell r="DG71">
            <v>0</v>
          </cell>
          <cell r="DR71">
            <v>73103</v>
          </cell>
          <cell r="DS71">
            <v>296</v>
          </cell>
          <cell r="DT71">
            <v>296</v>
          </cell>
          <cell r="DU71">
            <v>999999</v>
          </cell>
          <cell r="DV71">
            <v>999999</v>
          </cell>
          <cell r="DW71">
            <v>999999</v>
          </cell>
          <cell r="DX71">
            <v>296</v>
          </cell>
          <cell r="DY71">
            <v>296</v>
          </cell>
          <cell r="DZ71">
            <v>999999</v>
          </cell>
          <cell r="EA71">
            <v>999999</v>
          </cell>
        </row>
        <row r="72">
          <cell r="N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AJ72">
            <v>57</v>
          </cell>
          <cell r="AK72">
            <v>0</v>
          </cell>
          <cell r="AL72">
            <v>999999</v>
          </cell>
          <cell r="AM72">
            <v>295</v>
          </cell>
          <cell r="AN72">
            <v>295</v>
          </cell>
          <cell r="AO72">
            <v>295</v>
          </cell>
          <cell r="AP72">
            <v>40</v>
          </cell>
          <cell r="AQ72">
            <v>171</v>
          </cell>
          <cell r="AR72">
            <v>295</v>
          </cell>
          <cell r="AS72">
            <v>227</v>
          </cell>
          <cell r="BE72">
            <v>0</v>
          </cell>
          <cell r="BG72">
            <v>0</v>
          </cell>
          <cell r="BH72">
            <v>0</v>
          </cell>
          <cell r="BI72">
            <v>0</v>
          </cell>
          <cell r="BJ72">
            <v>0</v>
          </cell>
          <cell r="BK72">
            <v>0</v>
          </cell>
          <cell r="BL72">
            <v>0</v>
          </cell>
          <cell r="BM72">
            <v>0</v>
          </cell>
          <cell r="BN72">
            <v>0</v>
          </cell>
          <cell r="BO72">
            <v>0</v>
          </cell>
          <cell r="BP72">
            <v>0</v>
          </cell>
          <cell r="CA72">
            <v>187811.25806451609</v>
          </cell>
          <cell r="CB72">
            <v>217</v>
          </cell>
          <cell r="CC72">
            <v>295</v>
          </cell>
          <cell r="CD72">
            <v>295</v>
          </cell>
          <cell r="CE72">
            <v>257</v>
          </cell>
          <cell r="CF72">
            <v>295</v>
          </cell>
          <cell r="CG72">
            <v>189</v>
          </cell>
          <cell r="CH72">
            <v>295</v>
          </cell>
          <cell r="CI72">
            <v>295</v>
          </cell>
          <cell r="CJ72">
            <v>295</v>
          </cell>
          <cell r="CV72">
            <v>336.72456575682378</v>
          </cell>
          <cell r="CX72">
            <v>0</v>
          </cell>
          <cell r="CY72">
            <v>0</v>
          </cell>
          <cell r="CZ72">
            <v>0</v>
          </cell>
          <cell r="DA72">
            <v>0</v>
          </cell>
          <cell r="DB72">
            <v>0</v>
          </cell>
          <cell r="DC72">
            <v>0</v>
          </cell>
          <cell r="DD72">
            <v>0</v>
          </cell>
          <cell r="DE72">
            <v>0</v>
          </cell>
          <cell r="DF72">
            <v>0</v>
          </cell>
          <cell r="DG72">
            <v>0</v>
          </cell>
          <cell r="DR72">
            <v>73103</v>
          </cell>
          <cell r="DS72">
            <v>295</v>
          </cell>
          <cell r="DT72">
            <v>295</v>
          </cell>
          <cell r="DU72">
            <v>999999</v>
          </cell>
          <cell r="DV72">
            <v>999999</v>
          </cell>
          <cell r="DW72">
            <v>999999</v>
          </cell>
          <cell r="DX72">
            <v>295</v>
          </cell>
          <cell r="DY72">
            <v>295</v>
          </cell>
          <cell r="DZ72">
            <v>999999</v>
          </cell>
          <cell r="EA72">
            <v>999999</v>
          </cell>
        </row>
        <row r="73">
          <cell r="N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AJ73">
            <v>56</v>
          </cell>
          <cell r="AK73">
            <v>0</v>
          </cell>
          <cell r="AL73">
            <v>999999</v>
          </cell>
          <cell r="AM73">
            <v>294</v>
          </cell>
          <cell r="AN73">
            <v>294</v>
          </cell>
          <cell r="AO73">
            <v>294</v>
          </cell>
          <cell r="AP73">
            <v>39</v>
          </cell>
          <cell r="AQ73">
            <v>170</v>
          </cell>
          <cell r="AR73">
            <v>294</v>
          </cell>
          <cell r="AS73">
            <v>226</v>
          </cell>
          <cell r="BE73">
            <v>0</v>
          </cell>
          <cell r="BG73">
            <v>0</v>
          </cell>
          <cell r="BH73">
            <v>0</v>
          </cell>
          <cell r="BI73">
            <v>0</v>
          </cell>
          <cell r="BJ73">
            <v>0</v>
          </cell>
          <cell r="BK73">
            <v>0</v>
          </cell>
          <cell r="BL73">
            <v>0</v>
          </cell>
          <cell r="BM73">
            <v>0</v>
          </cell>
          <cell r="BN73">
            <v>0</v>
          </cell>
          <cell r="BO73">
            <v>0</v>
          </cell>
          <cell r="BP73">
            <v>0</v>
          </cell>
          <cell r="CA73">
            <v>187359.64516129027</v>
          </cell>
          <cell r="CB73">
            <v>216</v>
          </cell>
          <cell r="CC73">
            <v>294</v>
          </cell>
          <cell r="CD73">
            <v>294</v>
          </cell>
          <cell r="CE73">
            <v>256</v>
          </cell>
          <cell r="CF73">
            <v>294</v>
          </cell>
          <cell r="CG73">
            <v>188</v>
          </cell>
          <cell r="CH73">
            <v>294</v>
          </cell>
          <cell r="CI73">
            <v>294</v>
          </cell>
          <cell r="CJ73">
            <v>294</v>
          </cell>
          <cell r="CV73">
            <v>336.72456575682378</v>
          </cell>
          <cell r="CX73">
            <v>0</v>
          </cell>
          <cell r="CY73">
            <v>0</v>
          </cell>
          <cell r="CZ73">
            <v>0</v>
          </cell>
          <cell r="DA73">
            <v>0</v>
          </cell>
          <cell r="DB73">
            <v>0</v>
          </cell>
          <cell r="DC73">
            <v>0</v>
          </cell>
          <cell r="DD73">
            <v>0</v>
          </cell>
          <cell r="DE73">
            <v>0</v>
          </cell>
          <cell r="DF73">
            <v>0</v>
          </cell>
          <cell r="DG73">
            <v>0</v>
          </cell>
          <cell r="DR73">
            <v>73103</v>
          </cell>
          <cell r="DS73">
            <v>294</v>
          </cell>
          <cell r="DT73">
            <v>294</v>
          </cell>
          <cell r="DU73">
            <v>999999</v>
          </cell>
          <cell r="DV73">
            <v>999999</v>
          </cell>
          <cell r="DW73">
            <v>999999</v>
          </cell>
          <cell r="DX73">
            <v>294</v>
          </cell>
          <cell r="DY73">
            <v>294</v>
          </cell>
          <cell r="DZ73">
            <v>999999</v>
          </cell>
          <cell r="EA73">
            <v>999999</v>
          </cell>
        </row>
        <row r="74">
          <cell r="N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AJ74">
            <v>55</v>
          </cell>
          <cell r="AK74">
            <v>0</v>
          </cell>
          <cell r="AL74">
            <v>999999</v>
          </cell>
          <cell r="AM74">
            <v>293</v>
          </cell>
          <cell r="AN74">
            <v>293</v>
          </cell>
          <cell r="AO74">
            <v>293</v>
          </cell>
          <cell r="AP74">
            <v>38</v>
          </cell>
          <cell r="AQ74">
            <v>169</v>
          </cell>
          <cell r="AR74">
            <v>293</v>
          </cell>
          <cell r="AS74">
            <v>225</v>
          </cell>
          <cell r="BE74">
            <v>0</v>
          </cell>
          <cell r="BG74">
            <v>0</v>
          </cell>
          <cell r="BH74">
            <v>0</v>
          </cell>
          <cell r="BI74">
            <v>0</v>
          </cell>
          <cell r="BJ74">
            <v>0</v>
          </cell>
          <cell r="BK74">
            <v>0</v>
          </cell>
          <cell r="BL74">
            <v>0</v>
          </cell>
          <cell r="BM74">
            <v>0</v>
          </cell>
          <cell r="BN74">
            <v>0</v>
          </cell>
          <cell r="BO74">
            <v>0</v>
          </cell>
          <cell r="BP74">
            <v>0</v>
          </cell>
          <cell r="CA74">
            <v>186908.03225806446</v>
          </cell>
          <cell r="CB74">
            <v>215</v>
          </cell>
          <cell r="CC74">
            <v>293</v>
          </cell>
          <cell r="CD74">
            <v>293</v>
          </cell>
          <cell r="CE74">
            <v>255</v>
          </cell>
          <cell r="CF74">
            <v>293</v>
          </cell>
          <cell r="CG74">
            <v>187</v>
          </cell>
          <cell r="CH74">
            <v>293</v>
          </cell>
          <cell r="CI74">
            <v>293</v>
          </cell>
          <cell r="CJ74">
            <v>293</v>
          </cell>
          <cell r="CV74">
            <v>336.72456575682378</v>
          </cell>
          <cell r="CX74">
            <v>0</v>
          </cell>
          <cell r="CY74">
            <v>0</v>
          </cell>
          <cell r="CZ74">
            <v>0</v>
          </cell>
          <cell r="DA74">
            <v>0</v>
          </cell>
          <cell r="DB74">
            <v>0</v>
          </cell>
          <cell r="DC74">
            <v>0</v>
          </cell>
          <cell r="DD74">
            <v>0</v>
          </cell>
          <cell r="DE74">
            <v>0</v>
          </cell>
          <cell r="DF74">
            <v>0</v>
          </cell>
          <cell r="DG74">
            <v>0</v>
          </cell>
          <cell r="DR74">
            <v>73103</v>
          </cell>
          <cell r="DS74">
            <v>293</v>
          </cell>
          <cell r="DT74">
            <v>293</v>
          </cell>
          <cell r="DU74">
            <v>999999</v>
          </cell>
          <cell r="DV74">
            <v>999999</v>
          </cell>
          <cell r="DW74">
            <v>999999</v>
          </cell>
          <cell r="DX74">
            <v>293</v>
          </cell>
          <cell r="DY74">
            <v>293</v>
          </cell>
          <cell r="DZ74">
            <v>999999</v>
          </cell>
          <cell r="EA74">
            <v>999999</v>
          </cell>
        </row>
        <row r="75">
          <cell r="N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AJ75">
            <v>54</v>
          </cell>
          <cell r="AK75">
            <v>0</v>
          </cell>
          <cell r="AL75">
            <v>999999</v>
          </cell>
          <cell r="AM75">
            <v>292</v>
          </cell>
          <cell r="AN75">
            <v>292</v>
          </cell>
          <cell r="AO75">
            <v>292</v>
          </cell>
          <cell r="AP75">
            <v>37</v>
          </cell>
          <cell r="AQ75">
            <v>168</v>
          </cell>
          <cell r="AR75">
            <v>292</v>
          </cell>
          <cell r="AS75">
            <v>224</v>
          </cell>
          <cell r="BE75">
            <v>0</v>
          </cell>
          <cell r="BG75">
            <v>0</v>
          </cell>
          <cell r="BH75">
            <v>0</v>
          </cell>
          <cell r="BI75">
            <v>0</v>
          </cell>
          <cell r="BJ75">
            <v>0</v>
          </cell>
          <cell r="BK75">
            <v>0</v>
          </cell>
          <cell r="BL75">
            <v>0</v>
          </cell>
          <cell r="BM75">
            <v>0</v>
          </cell>
          <cell r="BN75">
            <v>0</v>
          </cell>
          <cell r="BO75">
            <v>0</v>
          </cell>
          <cell r="BP75">
            <v>0</v>
          </cell>
          <cell r="CA75">
            <v>186456.41935483864</v>
          </cell>
          <cell r="CB75">
            <v>214</v>
          </cell>
          <cell r="CC75">
            <v>292</v>
          </cell>
          <cell r="CD75">
            <v>292</v>
          </cell>
          <cell r="CE75">
            <v>254</v>
          </cell>
          <cell r="CF75">
            <v>292</v>
          </cell>
          <cell r="CG75">
            <v>186</v>
          </cell>
          <cell r="CH75">
            <v>292</v>
          </cell>
          <cell r="CI75">
            <v>292</v>
          </cell>
          <cell r="CJ75">
            <v>292</v>
          </cell>
          <cell r="CV75">
            <v>336.72456575682378</v>
          </cell>
          <cell r="CX75">
            <v>0</v>
          </cell>
          <cell r="CY75">
            <v>0</v>
          </cell>
          <cell r="CZ75">
            <v>0</v>
          </cell>
          <cell r="DA75">
            <v>0</v>
          </cell>
          <cell r="DB75">
            <v>0</v>
          </cell>
          <cell r="DC75">
            <v>0</v>
          </cell>
          <cell r="DD75">
            <v>0</v>
          </cell>
          <cell r="DE75">
            <v>0</v>
          </cell>
          <cell r="DF75">
            <v>0</v>
          </cell>
          <cell r="DG75">
            <v>0</v>
          </cell>
          <cell r="DR75">
            <v>73103</v>
          </cell>
          <cell r="DS75">
            <v>292</v>
          </cell>
          <cell r="DT75">
            <v>292</v>
          </cell>
          <cell r="DU75">
            <v>999999</v>
          </cell>
          <cell r="DV75">
            <v>999999</v>
          </cell>
          <cell r="DW75">
            <v>999999</v>
          </cell>
          <cell r="DX75">
            <v>292</v>
          </cell>
          <cell r="DY75">
            <v>292</v>
          </cell>
          <cell r="DZ75">
            <v>999999</v>
          </cell>
          <cell r="EA75">
            <v>999999</v>
          </cell>
        </row>
        <row r="76">
          <cell r="N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AJ76">
            <v>53</v>
          </cell>
          <cell r="AK76">
            <v>0</v>
          </cell>
          <cell r="AL76">
            <v>999999</v>
          </cell>
          <cell r="AM76">
            <v>291</v>
          </cell>
          <cell r="AN76">
            <v>291</v>
          </cell>
          <cell r="AO76">
            <v>291</v>
          </cell>
          <cell r="AP76">
            <v>36</v>
          </cell>
          <cell r="AQ76">
            <v>167</v>
          </cell>
          <cell r="AR76">
            <v>291</v>
          </cell>
          <cell r="AS76">
            <v>223</v>
          </cell>
          <cell r="BE76">
            <v>0</v>
          </cell>
          <cell r="BG76">
            <v>0</v>
          </cell>
          <cell r="BH76">
            <v>0</v>
          </cell>
          <cell r="BI76">
            <v>0</v>
          </cell>
          <cell r="BJ76">
            <v>0</v>
          </cell>
          <cell r="BK76">
            <v>0</v>
          </cell>
          <cell r="BL76">
            <v>0</v>
          </cell>
          <cell r="BM76">
            <v>0</v>
          </cell>
          <cell r="BN76">
            <v>0</v>
          </cell>
          <cell r="BO76">
            <v>0</v>
          </cell>
          <cell r="BP76">
            <v>0</v>
          </cell>
          <cell r="CA76">
            <v>186004.80645161282</v>
          </cell>
          <cell r="CB76">
            <v>213</v>
          </cell>
          <cell r="CC76">
            <v>291</v>
          </cell>
          <cell r="CD76">
            <v>291</v>
          </cell>
          <cell r="CE76">
            <v>253</v>
          </cell>
          <cell r="CF76">
            <v>291</v>
          </cell>
          <cell r="CG76">
            <v>185</v>
          </cell>
          <cell r="CH76">
            <v>291</v>
          </cell>
          <cell r="CI76">
            <v>291</v>
          </cell>
          <cell r="CJ76">
            <v>291</v>
          </cell>
          <cell r="CV76">
            <v>336.72456575682378</v>
          </cell>
          <cell r="CX76">
            <v>0</v>
          </cell>
          <cell r="CY76">
            <v>0</v>
          </cell>
          <cell r="CZ76">
            <v>0</v>
          </cell>
          <cell r="DA76">
            <v>0</v>
          </cell>
          <cell r="DB76">
            <v>0</v>
          </cell>
          <cell r="DC76">
            <v>0</v>
          </cell>
          <cell r="DD76">
            <v>0</v>
          </cell>
          <cell r="DE76">
            <v>0</v>
          </cell>
          <cell r="DF76">
            <v>0</v>
          </cell>
          <cell r="DG76">
            <v>0</v>
          </cell>
          <cell r="DR76">
            <v>73103</v>
          </cell>
          <cell r="DS76">
            <v>291</v>
          </cell>
          <cell r="DT76">
            <v>291</v>
          </cell>
          <cell r="DU76">
            <v>999999</v>
          </cell>
          <cell r="DV76">
            <v>999999</v>
          </cell>
          <cell r="DW76">
            <v>999999</v>
          </cell>
          <cell r="DX76">
            <v>291</v>
          </cell>
          <cell r="DY76">
            <v>291</v>
          </cell>
          <cell r="DZ76">
            <v>999999</v>
          </cell>
          <cell r="EA76">
            <v>999999</v>
          </cell>
        </row>
        <row r="77">
          <cell r="N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AJ77">
            <v>52</v>
          </cell>
          <cell r="AK77">
            <v>0</v>
          </cell>
          <cell r="AL77">
            <v>999999</v>
          </cell>
          <cell r="AM77">
            <v>290</v>
          </cell>
          <cell r="AN77">
            <v>290</v>
          </cell>
          <cell r="AO77">
            <v>290</v>
          </cell>
          <cell r="AP77">
            <v>35</v>
          </cell>
          <cell r="AQ77">
            <v>166</v>
          </cell>
          <cell r="AR77">
            <v>290</v>
          </cell>
          <cell r="AS77">
            <v>222</v>
          </cell>
          <cell r="BE77">
            <v>0</v>
          </cell>
          <cell r="BG77">
            <v>0</v>
          </cell>
          <cell r="BH77">
            <v>0</v>
          </cell>
          <cell r="BI77">
            <v>0</v>
          </cell>
          <cell r="BJ77">
            <v>0</v>
          </cell>
          <cell r="BK77">
            <v>0</v>
          </cell>
          <cell r="BL77">
            <v>0</v>
          </cell>
          <cell r="BM77">
            <v>0</v>
          </cell>
          <cell r="BN77">
            <v>0</v>
          </cell>
          <cell r="BO77">
            <v>0</v>
          </cell>
          <cell r="BP77">
            <v>0</v>
          </cell>
          <cell r="CA77">
            <v>185553.193548387</v>
          </cell>
          <cell r="CB77">
            <v>212</v>
          </cell>
          <cell r="CC77">
            <v>290</v>
          </cell>
          <cell r="CD77">
            <v>290</v>
          </cell>
          <cell r="CE77">
            <v>252</v>
          </cell>
          <cell r="CF77">
            <v>290</v>
          </cell>
          <cell r="CG77">
            <v>184</v>
          </cell>
          <cell r="CH77">
            <v>290</v>
          </cell>
          <cell r="CI77">
            <v>290</v>
          </cell>
          <cell r="CJ77">
            <v>290</v>
          </cell>
          <cell r="CV77">
            <v>336.72456575682378</v>
          </cell>
          <cell r="CX77">
            <v>0</v>
          </cell>
          <cell r="CY77">
            <v>0</v>
          </cell>
          <cell r="CZ77">
            <v>0</v>
          </cell>
          <cell r="DA77">
            <v>0</v>
          </cell>
          <cell r="DB77">
            <v>0</v>
          </cell>
          <cell r="DC77">
            <v>0</v>
          </cell>
          <cell r="DD77">
            <v>0</v>
          </cell>
          <cell r="DE77">
            <v>0</v>
          </cell>
          <cell r="DF77">
            <v>0</v>
          </cell>
          <cell r="DG77">
            <v>0</v>
          </cell>
          <cell r="DR77">
            <v>73103</v>
          </cell>
          <cell r="DS77">
            <v>290</v>
          </cell>
          <cell r="DT77">
            <v>290</v>
          </cell>
          <cell r="DU77">
            <v>999999</v>
          </cell>
          <cell r="DV77">
            <v>999999</v>
          </cell>
          <cell r="DW77">
            <v>999999</v>
          </cell>
          <cell r="DX77">
            <v>290</v>
          </cell>
          <cell r="DY77">
            <v>290</v>
          </cell>
          <cell r="DZ77">
            <v>999999</v>
          </cell>
          <cell r="EA77">
            <v>999999</v>
          </cell>
        </row>
        <row r="78">
          <cell r="N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AJ78">
            <v>51</v>
          </cell>
          <cell r="AK78">
            <v>0</v>
          </cell>
          <cell r="AL78">
            <v>999999</v>
          </cell>
          <cell r="AM78">
            <v>289</v>
          </cell>
          <cell r="AN78">
            <v>289</v>
          </cell>
          <cell r="AO78">
            <v>289</v>
          </cell>
          <cell r="AP78">
            <v>34</v>
          </cell>
          <cell r="AQ78">
            <v>165</v>
          </cell>
          <cell r="AR78">
            <v>289</v>
          </cell>
          <cell r="AS78">
            <v>221</v>
          </cell>
          <cell r="BE78">
            <v>0</v>
          </cell>
          <cell r="BG78">
            <v>0</v>
          </cell>
          <cell r="BH78">
            <v>0</v>
          </cell>
          <cell r="BI78">
            <v>0</v>
          </cell>
          <cell r="BJ78">
            <v>0</v>
          </cell>
          <cell r="BK78">
            <v>0</v>
          </cell>
          <cell r="BL78">
            <v>0</v>
          </cell>
          <cell r="BM78">
            <v>0</v>
          </cell>
          <cell r="BN78">
            <v>0</v>
          </cell>
          <cell r="BO78">
            <v>0</v>
          </cell>
          <cell r="BP78">
            <v>0</v>
          </cell>
          <cell r="CA78">
            <v>185101.58064516119</v>
          </cell>
          <cell r="CB78">
            <v>211</v>
          </cell>
          <cell r="CC78">
            <v>289</v>
          </cell>
          <cell r="CD78">
            <v>289</v>
          </cell>
          <cell r="CE78">
            <v>251</v>
          </cell>
          <cell r="CF78">
            <v>289</v>
          </cell>
          <cell r="CG78">
            <v>183</v>
          </cell>
          <cell r="CH78">
            <v>289</v>
          </cell>
          <cell r="CI78">
            <v>289</v>
          </cell>
          <cell r="CJ78">
            <v>289</v>
          </cell>
          <cell r="CV78">
            <v>336.72456575682378</v>
          </cell>
          <cell r="CX78">
            <v>0</v>
          </cell>
          <cell r="CY78">
            <v>0</v>
          </cell>
          <cell r="CZ78">
            <v>0</v>
          </cell>
          <cell r="DA78">
            <v>0</v>
          </cell>
          <cell r="DB78">
            <v>0</v>
          </cell>
          <cell r="DC78">
            <v>0</v>
          </cell>
          <cell r="DD78">
            <v>0</v>
          </cell>
          <cell r="DE78">
            <v>0</v>
          </cell>
          <cell r="DF78">
            <v>0</v>
          </cell>
          <cell r="DG78">
            <v>0</v>
          </cell>
          <cell r="DR78">
            <v>73103</v>
          </cell>
          <cell r="DS78">
            <v>289</v>
          </cell>
          <cell r="DT78">
            <v>289</v>
          </cell>
          <cell r="DU78">
            <v>999999</v>
          </cell>
          <cell r="DV78">
            <v>999999</v>
          </cell>
          <cell r="DW78">
            <v>999999</v>
          </cell>
          <cell r="DX78">
            <v>289</v>
          </cell>
          <cell r="DY78">
            <v>289</v>
          </cell>
          <cell r="DZ78">
            <v>999999</v>
          </cell>
          <cell r="EA78">
            <v>999999</v>
          </cell>
        </row>
        <row r="79">
          <cell r="N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AJ79">
            <v>50</v>
          </cell>
          <cell r="AK79">
            <v>0</v>
          </cell>
          <cell r="AL79">
            <v>999999</v>
          </cell>
          <cell r="AM79">
            <v>288</v>
          </cell>
          <cell r="AN79">
            <v>288</v>
          </cell>
          <cell r="AO79">
            <v>288</v>
          </cell>
          <cell r="AP79">
            <v>33</v>
          </cell>
          <cell r="AQ79">
            <v>164</v>
          </cell>
          <cell r="AR79">
            <v>288</v>
          </cell>
          <cell r="AS79">
            <v>220</v>
          </cell>
          <cell r="BE79">
            <v>0</v>
          </cell>
          <cell r="BG79">
            <v>0</v>
          </cell>
          <cell r="BH79">
            <v>0</v>
          </cell>
          <cell r="BI79">
            <v>0</v>
          </cell>
          <cell r="BJ79">
            <v>0</v>
          </cell>
          <cell r="BK79">
            <v>0</v>
          </cell>
          <cell r="BL79">
            <v>0</v>
          </cell>
          <cell r="BM79">
            <v>0</v>
          </cell>
          <cell r="BN79">
            <v>0</v>
          </cell>
          <cell r="BO79">
            <v>0</v>
          </cell>
          <cell r="BP79">
            <v>0</v>
          </cell>
          <cell r="CA79">
            <v>184649.96774193537</v>
          </cell>
          <cell r="CB79">
            <v>210</v>
          </cell>
          <cell r="CC79">
            <v>288</v>
          </cell>
          <cell r="CD79">
            <v>288</v>
          </cell>
          <cell r="CE79">
            <v>250</v>
          </cell>
          <cell r="CF79">
            <v>288</v>
          </cell>
          <cell r="CG79">
            <v>182</v>
          </cell>
          <cell r="CH79">
            <v>288</v>
          </cell>
          <cell r="CI79">
            <v>288</v>
          </cell>
          <cell r="CJ79">
            <v>288</v>
          </cell>
          <cell r="CV79">
            <v>336.72456575682378</v>
          </cell>
          <cell r="CX79">
            <v>0</v>
          </cell>
          <cell r="CY79">
            <v>0</v>
          </cell>
          <cell r="CZ79">
            <v>0</v>
          </cell>
          <cell r="DA79">
            <v>0</v>
          </cell>
          <cell r="DB79">
            <v>0</v>
          </cell>
          <cell r="DC79">
            <v>0</v>
          </cell>
          <cell r="DD79">
            <v>0</v>
          </cell>
          <cell r="DE79">
            <v>0</v>
          </cell>
          <cell r="DF79">
            <v>0</v>
          </cell>
          <cell r="DG79">
            <v>0</v>
          </cell>
          <cell r="DR79">
            <v>73103</v>
          </cell>
          <cell r="DS79">
            <v>288</v>
          </cell>
          <cell r="DT79">
            <v>288</v>
          </cell>
          <cell r="DU79">
            <v>999999</v>
          </cell>
          <cell r="DV79">
            <v>999999</v>
          </cell>
          <cell r="DW79">
            <v>999999</v>
          </cell>
          <cell r="DX79">
            <v>288</v>
          </cell>
          <cell r="DY79">
            <v>288</v>
          </cell>
          <cell r="DZ79">
            <v>999999</v>
          </cell>
          <cell r="EA79">
            <v>999999</v>
          </cell>
        </row>
        <row r="80">
          <cell r="N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AJ80">
            <v>49</v>
          </cell>
          <cell r="AK80">
            <v>0</v>
          </cell>
          <cell r="AL80">
            <v>999999</v>
          </cell>
          <cell r="AM80">
            <v>287</v>
          </cell>
          <cell r="AN80">
            <v>287</v>
          </cell>
          <cell r="AO80">
            <v>287</v>
          </cell>
          <cell r="AP80">
            <v>32</v>
          </cell>
          <cell r="AQ80">
            <v>163</v>
          </cell>
          <cell r="AR80">
            <v>287</v>
          </cell>
          <cell r="AS80">
            <v>219</v>
          </cell>
          <cell r="BE80">
            <v>0</v>
          </cell>
          <cell r="BG80">
            <v>0</v>
          </cell>
          <cell r="BH80">
            <v>0</v>
          </cell>
          <cell r="BI80">
            <v>0</v>
          </cell>
          <cell r="BJ80">
            <v>0</v>
          </cell>
          <cell r="BK80">
            <v>0</v>
          </cell>
          <cell r="BL80">
            <v>0</v>
          </cell>
          <cell r="BM80">
            <v>0</v>
          </cell>
          <cell r="BN80">
            <v>0</v>
          </cell>
          <cell r="BO80">
            <v>0</v>
          </cell>
          <cell r="BP80">
            <v>0</v>
          </cell>
          <cell r="CA80">
            <v>184198.35483870955</v>
          </cell>
          <cell r="CB80">
            <v>209</v>
          </cell>
          <cell r="CC80">
            <v>287</v>
          </cell>
          <cell r="CD80">
            <v>287</v>
          </cell>
          <cell r="CE80">
            <v>249</v>
          </cell>
          <cell r="CF80">
            <v>287</v>
          </cell>
          <cell r="CG80">
            <v>181</v>
          </cell>
          <cell r="CH80">
            <v>287</v>
          </cell>
          <cell r="CI80">
            <v>287</v>
          </cell>
          <cell r="CJ80">
            <v>287</v>
          </cell>
          <cell r="CV80">
            <v>336.72456575682378</v>
          </cell>
          <cell r="CX80">
            <v>0</v>
          </cell>
          <cell r="CY80">
            <v>0</v>
          </cell>
          <cell r="CZ80">
            <v>0</v>
          </cell>
          <cell r="DA80">
            <v>0</v>
          </cell>
          <cell r="DB80">
            <v>0</v>
          </cell>
          <cell r="DC80">
            <v>0</v>
          </cell>
          <cell r="DD80">
            <v>0</v>
          </cell>
          <cell r="DE80">
            <v>0</v>
          </cell>
          <cell r="DF80">
            <v>0</v>
          </cell>
          <cell r="DG80">
            <v>0</v>
          </cell>
          <cell r="DR80">
            <v>73103</v>
          </cell>
          <cell r="DS80">
            <v>287</v>
          </cell>
          <cell r="DT80">
            <v>287</v>
          </cell>
          <cell r="DU80">
            <v>999999</v>
          </cell>
          <cell r="DV80">
            <v>999999</v>
          </cell>
          <cell r="DW80">
            <v>999999</v>
          </cell>
          <cell r="DX80">
            <v>287</v>
          </cell>
          <cell r="DY80">
            <v>287</v>
          </cell>
          <cell r="DZ80">
            <v>999999</v>
          </cell>
          <cell r="EA80">
            <v>999999</v>
          </cell>
        </row>
        <row r="81">
          <cell r="N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AJ81">
            <v>48</v>
          </cell>
          <cell r="AK81">
            <v>0</v>
          </cell>
          <cell r="AL81">
            <v>999999</v>
          </cell>
          <cell r="AM81">
            <v>286</v>
          </cell>
          <cell r="AN81">
            <v>286</v>
          </cell>
          <cell r="AO81">
            <v>286</v>
          </cell>
          <cell r="AP81">
            <v>31</v>
          </cell>
          <cell r="AQ81">
            <v>162</v>
          </cell>
          <cell r="AR81">
            <v>286</v>
          </cell>
          <cell r="AS81">
            <v>218</v>
          </cell>
          <cell r="BE81">
            <v>0</v>
          </cell>
          <cell r="BG81">
            <v>0</v>
          </cell>
          <cell r="BH81">
            <v>0</v>
          </cell>
          <cell r="BI81">
            <v>0</v>
          </cell>
          <cell r="BJ81">
            <v>0</v>
          </cell>
          <cell r="BK81">
            <v>0</v>
          </cell>
          <cell r="BL81">
            <v>0</v>
          </cell>
          <cell r="BM81">
            <v>0</v>
          </cell>
          <cell r="BN81">
            <v>0</v>
          </cell>
          <cell r="BO81">
            <v>0</v>
          </cell>
          <cell r="BP81">
            <v>0</v>
          </cell>
          <cell r="CA81">
            <v>183746.74193548373</v>
          </cell>
          <cell r="CB81">
            <v>208</v>
          </cell>
          <cell r="CC81">
            <v>286</v>
          </cell>
          <cell r="CD81">
            <v>286</v>
          </cell>
          <cell r="CE81">
            <v>248</v>
          </cell>
          <cell r="CF81">
            <v>286</v>
          </cell>
          <cell r="CG81">
            <v>180</v>
          </cell>
          <cell r="CH81">
            <v>286</v>
          </cell>
          <cell r="CI81">
            <v>286</v>
          </cell>
          <cell r="CJ81">
            <v>286</v>
          </cell>
          <cell r="CV81">
            <v>336.72456575682378</v>
          </cell>
          <cell r="CX81">
            <v>0</v>
          </cell>
          <cell r="CY81">
            <v>0</v>
          </cell>
          <cell r="CZ81">
            <v>0</v>
          </cell>
          <cell r="DA81">
            <v>0</v>
          </cell>
          <cell r="DB81">
            <v>0</v>
          </cell>
          <cell r="DC81">
            <v>0</v>
          </cell>
          <cell r="DD81">
            <v>0</v>
          </cell>
          <cell r="DE81">
            <v>0</v>
          </cell>
          <cell r="DF81">
            <v>0</v>
          </cell>
          <cell r="DG81">
            <v>0</v>
          </cell>
          <cell r="DR81">
            <v>73103</v>
          </cell>
          <cell r="DS81">
            <v>286</v>
          </cell>
          <cell r="DT81">
            <v>286</v>
          </cell>
          <cell r="DU81">
            <v>999999</v>
          </cell>
          <cell r="DV81">
            <v>999999</v>
          </cell>
          <cell r="DW81">
            <v>999999</v>
          </cell>
          <cell r="DX81">
            <v>286</v>
          </cell>
          <cell r="DY81">
            <v>286</v>
          </cell>
          <cell r="DZ81">
            <v>999999</v>
          </cell>
          <cell r="EA81">
            <v>999999</v>
          </cell>
        </row>
        <row r="82">
          <cell r="N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AJ82">
            <v>47</v>
          </cell>
          <cell r="AK82">
            <v>0</v>
          </cell>
          <cell r="AL82">
            <v>999999</v>
          </cell>
          <cell r="AM82">
            <v>285</v>
          </cell>
          <cell r="AN82">
            <v>285</v>
          </cell>
          <cell r="AO82">
            <v>285</v>
          </cell>
          <cell r="AP82">
            <v>30</v>
          </cell>
          <cell r="AQ82">
            <v>161</v>
          </cell>
          <cell r="AR82">
            <v>285</v>
          </cell>
          <cell r="AS82">
            <v>217</v>
          </cell>
          <cell r="BE82">
            <v>0</v>
          </cell>
          <cell r="BG82">
            <v>0</v>
          </cell>
          <cell r="BH82">
            <v>0</v>
          </cell>
          <cell r="BI82">
            <v>0</v>
          </cell>
          <cell r="BJ82">
            <v>0</v>
          </cell>
          <cell r="BK82">
            <v>0</v>
          </cell>
          <cell r="BL82">
            <v>0</v>
          </cell>
          <cell r="BM82">
            <v>0</v>
          </cell>
          <cell r="BN82">
            <v>0</v>
          </cell>
          <cell r="BO82">
            <v>0</v>
          </cell>
          <cell r="BP82">
            <v>0</v>
          </cell>
          <cell r="CA82">
            <v>183295.12903225792</v>
          </cell>
          <cell r="CB82">
            <v>207</v>
          </cell>
          <cell r="CC82">
            <v>285</v>
          </cell>
          <cell r="CD82">
            <v>285</v>
          </cell>
          <cell r="CE82">
            <v>247</v>
          </cell>
          <cell r="CF82">
            <v>285</v>
          </cell>
          <cell r="CG82">
            <v>179</v>
          </cell>
          <cell r="CH82">
            <v>285</v>
          </cell>
          <cell r="CI82">
            <v>285</v>
          </cell>
          <cell r="CJ82">
            <v>285</v>
          </cell>
          <cell r="CV82">
            <v>336.72456575682378</v>
          </cell>
          <cell r="CX82">
            <v>0</v>
          </cell>
          <cell r="CY82">
            <v>0</v>
          </cell>
          <cell r="CZ82">
            <v>0</v>
          </cell>
          <cell r="DA82">
            <v>0</v>
          </cell>
          <cell r="DB82">
            <v>0</v>
          </cell>
          <cell r="DC82">
            <v>0</v>
          </cell>
          <cell r="DD82">
            <v>0</v>
          </cell>
          <cell r="DE82">
            <v>0</v>
          </cell>
          <cell r="DF82">
            <v>0</v>
          </cell>
          <cell r="DG82">
            <v>0</v>
          </cell>
          <cell r="DR82">
            <v>73103</v>
          </cell>
          <cell r="DS82">
            <v>285</v>
          </cell>
          <cell r="DT82">
            <v>285</v>
          </cell>
          <cell r="DU82">
            <v>999999</v>
          </cell>
          <cell r="DV82">
            <v>999999</v>
          </cell>
          <cell r="DW82">
            <v>999999</v>
          </cell>
          <cell r="DX82">
            <v>285</v>
          </cell>
          <cell r="DY82">
            <v>285</v>
          </cell>
          <cell r="DZ82">
            <v>999999</v>
          </cell>
          <cell r="EA82">
            <v>999999</v>
          </cell>
        </row>
        <row r="83">
          <cell r="N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AJ83">
            <v>46</v>
          </cell>
          <cell r="AK83">
            <v>0</v>
          </cell>
          <cell r="AL83">
            <v>999999</v>
          </cell>
          <cell r="AM83">
            <v>284</v>
          </cell>
          <cell r="AN83">
            <v>284</v>
          </cell>
          <cell r="AO83">
            <v>284</v>
          </cell>
          <cell r="AP83">
            <v>29</v>
          </cell>
          <cell r="AQ83">
            <v>160</v>
          </cell>
          <cell r="AR83">
            <v>284</v>
          </cell>
          <cell r="AS83">
            <v>216</v>
          </cell>
          <cell r="BE83">
            <v>0</v>
          </cell>
          <cell r="BG83">
            <v>0</v>
          </cell>
          <cell r="BH83">
            <v>0</v>
          </cell>
          <cell r="BI83">
            <v>0</v>
          </cell>
          <cell r="BJ83">
            <v>0</v>
          </cell>
          <cell r="BK83">
            <v>0</v>
          </cell>
          <cell r="BL83">
            <v>0</v>
          </cell>
          <cell r="BM83">
            <v>0</v>
          </cell>
          <cell r="BN83">
            <v>0</v>
          </cell>
          <cell r="BO83">
            <v>0</v>
          </cell>
          <cell r="BP83">
            <v>0</v>
          </cell>
          <cell r="CA83">
            <v>182843.5161290321</v>
          </cell>
          <cell r="CB83">
            <v>206</v>
          </cell>
          <cell r="CC83">
            <v>284</v>
          </cell>
          <cell r="CD83">
            <v>284</v>
          </cell>
          <cell r="CE83">
            <v>246</v>
          </cell>
          <cell r="CF83">
            <v>284</v>
          </cell>
          <cell r="CG83">
            <v>178</v>
          </cell>
          <cell r="CH83">
            <v>284</v>
          </cell>
          <cell r="CI83">
            <v>284</v>
          </cell>
          <cell r="CJ83">
            <v>284</v>
          </cell>
          <cell r="CV83">
            <v>336.72456575682378</v>
          </cell>
          <cell r="CX83">
            <v>0</v>
          </cell>
          <cell r="CY83">
            <v>0</v>
          </cell>
          <cell r="CZ83">
            <v>0</v>
          </cell>
          <cell r="DA83">
            <v>0</v>
          </cell>
          <cell r="DB83">
            <v>0</v>
          </cell>
          <cell r="DC83">
            <v>0</v>
          </cell>
          <cell r="DD83">
            <v>0</v>
          </cell>
          <cell r="DE83">
            <v>0</v>
          </cell>
          <cell r="DF83">
            <v>0</v>
          </cell>
          <cell r="DG83">
            <v>0</v>
          </cell>
          <cell r="DR83">
            <v>73103</v>
          </cell>
          <cell r="DS83">
            <v>284</v>
          </cell>
          <cell r="DT83">
            <v>284</v>
          </cell>
          <cell r="DU83">
            <v>999999</v>
          </cell>
          <cell r="DV83">
            <v>999999</v>
          </cell>
          <cell r="DW83">
            <v>999999</v>
          </cell>
          <cell r="DX83">
            <v>284</v>
          </cell>
          <cell r="DY83">
            <v>284</v>
          </cell>
          <cell r="DZ83">
            <v>999999</v>
          </cell>
          <cell r="EA83">
            <v>999999</v>
          </cell>
        </row>
        <row r="84">
          <cell r="N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AJ84">
            <v>45</v>
          </cell>
          <cell r="AK84">
            <v>0</v>
          </cell>
          <cell r="AL84">
            <v>999999</v>
          </cell>
          <cell r="AM84">
            <v>283</v>
          </cell>
          <cell r="AN84">
            <v>283</v>
          </cell>
          <cell r="AO84">
            <v>283</v>
          </cell>
          <cell r="AP84">
            <v>28</v>
          </cell>
          <cell r="AQ84">
            <v>159</v>
          </cell>
          <cell r="AR84">
            <v>283</v>
          </cell>
          <cell r="AS84">
            <v>215</v>
          </cell>
          <cell r="BE84">
            <v>0</v>
          </cell>
          <cell r="BG84">
            <v>0</v>
          </cell>
          <cell r="BH84">
            <v>0</v>
          </cell>
          <cell r="BI84">
            <v>0</v>
          </cell>
          <cell r="BJ84">
            <v>0</v>
          </cell>
          <cell r="BK84">
            <v>0</v>
          </cell>
          <cell r="BL84">
            <v>0</v>
          </cell>
          <cell r="BM84">
            <v>0</v>
          </cell>
          <cell r="BN84">
            <v>0</v>
          </cell>
          <cell r="BO84">
            <v>0</v>
          </cell>
          <cell r="BP84">
            <v>0</v>
          </cell>
          <cell r="CA84">
            <v>182391.90322580628</v>
          </cell>
          <cell r="CB84">
            <v>205</v>
          </cell>
          <cell r="CC84">
            <v>283</v>
          </cell>
          <cell r="CD84">
            <v>283</v>
          </cell>
          <cell r="CE84">
            <v>245</v>
          </cell>
          <cell r="CF84">
            <v>283</v>
          </cell>
          <cell r="CG84">
            <v>177</v>
          </cell>
          <cell r="CH84">
            <v>283</v>
          </cell>
          <cell r="CI84">
            <v>283</v>
          </cell>
          <cell r="CJ84">
            <v>283</v>
          </cell>
          <cell r="CV84">
            <v>336.72456575682378</v>
          </cell>
          <cell r="CX84">
            <v>0</v>
          </cell>
          <cell r="CY84">
            <v>0</v>
          </cell>
          <cell r="CZ84">
            <v>0</v>
          </cell>
          <cell r="DA84">
            <v>0</v>
          </cell>
          <cell r="DB84">
            <v>0</v>
          </cell>
          <cell r="DC84">
            <v>0</v>
          </cell>
          <cell r="DD84">
            <v>0</v>
          </cell>
          <cell r="DE84">
            <v>0</v>
          </cell>
          <cell r="DF84">
            <v>0</v>
          </cell>
          <cell r="DG84">
            <v>0</v>
          </cell>
          <cell r="DR84">
            <v>73103</v>
          </cell>
          <cell r="DS84">
            <v>283</v>
          </cell>
          <cell r="DT84">
            <v>283</v>
          </cell>
          <cell r="DU84">
            <v>999999</v>
          </cell>
          <cell r="DV84">
            <v>999999</v>
          </cell>
          <cell r="DW84">
            <v>999999</v>
          </cell>
          <cell r="DX84">
            <v>283</v>
          </cell>
          <cell r="DY84">
            <v>283</v>
          </cell>
          <cell r="DZ84">
            <v>999999</v>
          </cell>
          <cell r="EA84">
            <v>999999</v>
          </cell>
        </row>
        <row r="85">
          <cell r="N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AJ85">
            <v>44</v>
          </cell>
          <cell r="AK85">
            <v>0</v>
          </cell>
          <cell r="AL85">
            <v>999999</v>
          </cell>
          <cell r="AM85">
            <v>282</v>
          </cell>
          <cell r="AN85">
            <v>282</v>
          </cell>
          <cell r="AO85">
            <v>282</v>
          </cell>
          <cell r="AP85">
            <v>27</v>
          </cell>
          <cell r="AQ85">
            <v>158</v>
          </cell>
          <cell r="AR85">
            <v>282</v>
          </cell>
          <cell r="AS85">
            <v>214</v>
          </cell>
          <cell r="BE85">
            <v>0</v>
          </cell>
          <cell r="BG85">
            <v>0</v>
          </cell>
          <cell r="BH85">
            <v>0</v>
          </cell>
          <cell r="BI85">
            <v>0</v>
          </cell>
          <cell r="BJ85">
            <v>0</v>
          </cell>
          <cell r="BK85">
            <v>0</v>
          </cell>
          <cell r="BL85">
            <v>0</v>
          </cell>
          <cell r="BM85">
            <v>0</v>
          </cell>
          <cell r="BN85">
            <v>0</v>
          </cell>
          <cell r="BO85">
            <v>0</v>
          </cell>
          <cell r="BP85">
            <v>0</v>
          </cell>
          <cell r="CA85">
            <v>181940.29032258046</v>
          </cell>
          <cell r="CB85">
            <v>204</v>
          </cell>
          <cell r="CC85">
            <v>282</v>
          </cell>
          <cell r="CD85">
            <v>282</v>
          </cell>
          <cell r="CE85">
            <v>244</v>
          </cell>
          <cell r="CF85">
            <v>282</v>
          </cell>
          <cell r="CG85">
            <v>176</v>
          </cell>
          <cell r="CH85">
            <v>282</v>
          </cell>
          <cell r="CI85">
            <v>282</v>
          </cell>
          <cell r="CJ85">
            <v>282</v>
          </cell>
          <cell r="CV85">
            <v>336.72456575682378</v>
          </cell>
          <cell r="CX85">
            <v>0</v>
          </cell>
          <cell r="CY85">
            <v>0</v>
          </cell>
          <cell r="CZ85">
            <v>0</v>
          </cell>
          <cell r="DA85">
            <v>0</v>
          </cell>
          <cell r="DB85">
            <v>0</v>
          </cell>
          <cell r="DC85">
            <v>0</v>
          </cell>
          <cell r="DD85">
            <v>0</v>
          </cell>
          <cell r="DE85">
            <v>0</v>
          </cell>
          <cell r="DF85">
            <v>0</v>
          </cell>
          <cell r="DG85">
            <v>0</v>
          </cell>
          <cell r="DR85">
            <v>73103</v>
          </cell>
          <cell r="DS85">
            <v>282</v>
          </cell>
          <cell r="DT85">
            <v>282</v>
          </cell>
          <cell r="DU85">
            <v>999999</v>
          </cell>
          <cell r="DV85">
            <v>999999</v>
          </cell>
          <cell r="DW85">
            <v>999999</v>
          </cell>
          <cell r="DX85">
            <v>282</v>
          </cell>
          <cell r="DY85">
            <v>282</v>
          </cell>
          <cell r="DZ85">
            <v>999999</v>
          </cell>
          <cell r="EA85">
            <v>999999</v>
          </cell>
        </row>
        <row r="86">
          <cell r="N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AJ86">
            <v>43</v>
          </cell>
          <cell r="AK86">
            <v>0</v>
          </cell>
          <cell r="AL86">
            <v>999999</v>
          </cell>
          <cell r="AM86">
            <v>281</v>
          </cell>
          <cell r="AN86">
            <v>281</v>
          </cell>
          <cell r="AO86">
            <v>281</v>
          </cell>
          <cell r="AP86">
            <v>26</v>
          </cell>
          <cell r="AQ86">
            <v>157</v>
          </cell>
          <cell r="AR86">
            <v>281</v>
          </cell>
          <cell r="AS86">
            <v>213</v>
          </cell>
          <cell r="BE86">
            <v>0</v>
          </cell>
          <cell r="BG86">
            <v>0</v>
          </cell>
          <cell r="BH86">
            <v>0</v>
          </cell>
          <cell r="BI86">
            <v>0</v>
          </cell>
          <cell r="BJ86">
            <v>0</v>
          </cell>
          <cell r="BK86">
            <v>0</v>
          </cell>
          <cell r="BL86">
            <v>0</v>
          </cell>
          <cell r="BM86">
            <v>0</v>
          </cell>
          <cell r="BN86">
            <v>0</v>
          </cell>
          <cell r="BO86">
            <v>0</v>
          </cell>
          <cell r="BP86">
            <v>0</v>
          </cell>
          <cell r="CA86">
            <v>181488.67741935464</v>
          </cell>
          <cell r="CB86">
            <v>203</v>
          </cell>
          <cell r="CC86">
            <v>281</v>
          </cell>
          <cell r="CD86">
            <v>281</v>
          </cell>
          <cell r="CE86">
            <v>243</v>
          </cell>
          <cell r="CF86">
            <v>281</v>
          </cell>
          <cell r="CG86">
            <v>175</v>
          </cell>
          <cell r="CH86">
            <v>281</v>
          </cell>
          <cell r="CI86">
            <v>281</v>
          </cell>
          <cell r="CJ86">
            <v>281</v>
          </cell>
          <cell r="CV86">
            <v>336.72456575682378</v>
          </cell>
          <cell r="CX86">
            <v>0</v>
          </cell>
          <cell r="CY86">
            <v>0</v>
          </cell>
          <cell r="CZ86">
            <v>0</v>
          </cell>
          <cell r="DA86">
            <v>0</v>
          </cell>
          <cell r="DB86">
            <v>0</v>
          </cell>
          <cell r="DC86">
            <v>0</v>
          </cell>
          <cell r="DD86">
            <v>0</v>
          </cell>
          <cell r="DE86">
            <v>0</v>
          </cell>
          <cell r="DF86">
            <v>0</v>
          </cell>
          <cell r="DG86">
            <v>0</v>
          </cell>
          <cell r="DR86">
            <v>73103</v>
          </cell>
          <cell r="DS86">
            <v>281</v>
          </cell>
          <cell r="DT86">
            <v>281</v>
          </cell>
          <cell r="DU86">
            <v>999999</v>
          </cell>
          <cell r="DV86">
            <v>999999</v>
          </cell>
          <cell r="DW86">
            <v>999999</v>
          </cell>
          <cell r="DX86">
            <v>281</v>
          </cell>
          <cell r="DY86">
            <v>281</v>
          </cell>
          <cell r="DZ86">
            <v>999999</v>
          </cell>
          <cell r="EA86">
            <v>999999</v>
          </cell>
        </row>
        <row r="87">
          <cell r="N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AJ87">
            <v>42</v>
          </cell>
          <cell r="AK87">
            <v>0</v>
          </cell>
          <cell r="AL87">
            <v>999999</v>
          </cell>
          <cell r="AM87">
            <v>280</v>
          </cell>
          <cell r="AN87">
            <v>280</v>
          </cell>
          <cell r="AO87">
            <v>280</v>
          </cell>
          <cell r="AP87">
            <v>25</v>
          </cell>
          <cell r="AQ87">
            <v>156</v>
          </cell>
          <cell r="AR87">
            <v>280</v>
          </cell>
          <cell r="AS87">
            <v>212</v>
          </cell>
          <cell r="BE87">
            <v>0</v>
          </cell>
          <cell r="BG87">
            <v>0</v>
          </cell>
          <cell r="BH87">
            <v>0</v>
          </cell>
          <cell r="BI87">
            <v>0</v>
          </cell>
          <cell r="BJ87">
            <v>0</v>
          </cell>
          <cell r="BK87">
            <v>0</v>
          </cell>
          <cell r="BL87">
            <v>0</v>
          </cell>
          <cell r="BM87">
            <v>0</v>
          </cell>
          <cell r="BN87">
            <v>0</v>
          </cell>
          <cell r="BO87">
            <v>0</v>
          </cell>
          <cell r="BP87">
            <v>0</v>
          </cell>
          <cell r="CA87">
            <v>181037.06451612883</v>
          </cell>
          <cell r="CB87">
            <v>202</v>
          </cell>
          <cell r="CC87">
            <v>280</v>
          </cell>
          <cell r="CD87">
            <v>280</v>
          </cell>
          <cell r="CE87">
            <v>242</v>
          </cell>
          <cell r="CF87">
            <v>280</v>
          </cell>
          <cell r="CG87">
            <v>174</v>
          </cell>
          <cell r="CH87">
            <v>280</v>
          </cell>
          <cell r="CI87">
            <v>280</v>
          </cell>
          <cell r="CJ87">
            <v>280</v>
          </cell>
          <cell r="CV87">
            <v>336.72456575682378</v>
          </cell>
          <cell r="CX87">
            <v>0</v>
          </cell>
          <cell r="CY87">
            <v>0</v>
          </cell>
          <cell r="CZ87">
            <v>0</v>
          </cell>
          <cell r="DA87">
            <v>0</v>
          </cell>
          <cell r="DB87">
            <v>0</v>
          </cell>
          <cell r="DC87">
            <v>0</v>
          </cell>
          <cell r="DD87">
            <v>0</v>
          </cell>
          <cell r="DE87">
            <v>0</v>
          </cell>
          <cell r="DF87">
            <v>0</v>
          </cell>
          <cell r="DG87">
            <v>0</v>
          </cell>
          <cell r="DR87">
            <v>73103</v>
          </cell>
          <cell r="DS87">
            <v>280</v>
          </cell>
          <cell r="DT87">
            <v>280</v>
          </cell>
          <cell r="DU87">
            <v>999999</v>
          </cell>
          <cell r="DV87">
            <v>999999</v>
          </cell>
          <cell r="DW87">
            <v>999999</v>
          </cell>
          <cell r="DX87">
            <v>280</v>
          </cell>
          <cell r="DY87">
            <v>280</v>
          </cell>
          <cell r="DZ87">
            <v>999999</v>
          </cell>
          <cell r="EA87">
            <v>999999</v>
          </cell>
        </row>
        <row r="88">
          <cell r="N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AJ88">
            <v>41</v>
          </cell>
          <cell r="AK88">
            <v>0</v>
          </cell>
          <cell r="AL88">
            <v>999999</v>
          </cell>
          <cell r="AM88">
            <v>279</v>
          </cell>
          <cell r="AN88">
            <v>279</v>
          </cell>
          <cell r="AO88">
            <v>279</v>
          </cell>
          <cell r="AP88">
            <v>24</v>
          </cell>
          <cell r="AQ88">
            <v>155</v>
          </cell>
          <cell r="AR88">
            <v>279</v>
          </cell>
          <cell r="AS88">
            <v>211</v>
          </cell>
          <cell r="BE88">
            <v>0</v>
          </cell>
          <cell r="BG88">
            <v>0</v>
          </cell>
          <cell r="BH88">
            <v>0</v>
          </cell>
          <cell r="BI88">
            <v>0</v>
          </cell>
          <cell r="BJ88">
            <v>0</v>
          </cell>
          <cell r="BK88">
            <v>0</v>
          </cell>
          <cell r="BL88">
            <v>0</v>
          </cell>
          <cell r="BM88">
            <v>0</v>
          </cell>
          <cell r="BN88">
            <v>0</v>
          </cell>
          <cell r="BO88">
            <v>0</v>
          </cell>
          <cell r="BP88">
            <v>0</v>
          </cell>
          <cell r="CA88">
            <v>180585.45161290301</v>
          </cell>
          <cell r="CB88">
            <v>201</v>
          </cell>
          <cell r="CC88">
            <v>279</v>
          </cell>
          <cell r="CD88">
            <v>279</v>
          </cell>
          <cell r="CE88">
            <v>241</v>
          </cell>
          <cell r="CF88">
            <v>279</v>
          </cell>
          <cell r="CG88">
            <v>173</v>
          </cell>
          <cell r="CH88">
            <v>279</v>
          </cell>
          <cell r="CI88">
            <v>279</v>
          </cell>
          <cell r="CJ88">
            <v>279</v>
          </cell>
          <cell r="CV88">
            <v>336.72456575682378</v>
          </cell>
          <cell r="CX88">
            <v>0</v>
          </cell>
          <cell r="CY88">
            <v>0</v>
          </cell>
          <cell r="CZ88">
            <v>0</v>
          </cell>
          <cell r="DA88">
            <v>0</v>
          </cell>
          <cell r="DB88">
            <v>0</v>
          </cell>
          <cell r="DC88">
            <v>0</v>
          </cell>
          <cell r="DD88">
            <v>0</v>
          </cell>
          <cell r="DE88">
            <v>0</v>
          </cell>
          <cell r="DF88">
            <v>0</v>
          </cell>
          <cell r="DG88">
            <v>0</v>
          </cell>
          <cell r="DR88">
            <v>73103</v>
          </cell>
          <cell r="DS88">
            <v>279</v>
          </cell>
          <cell r="DT88">
            <v>279</v>
          </cell>
          <cell r="DU88">
            <v>999999</v>
          </cell>
          <cell r="DV88">
            <v>999999</v>
          </cell>
          <cell r="DW88">
            <v>999999</v>
          </cell>
          <cell r="DX88">
            <v>279</v>
          </cell>
          <cell r="DY88">
            <v>279</v>
          </cell>
          <cell r="DZ88">
            <v>999999</v>
          </cell>
          <cell r="EA88">
            <v>999999</v>
          </cell>
        </row>
        <row r="89">
          <cell r="N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AJ89">
            <v>40</v>
          </cell>
          <cell r="AK89">
            <v>0</v>
          </cell>
          <cell r="AL89">
            <v>999999</v>
          </cell>
          <cell r="AM89">
            <v>278</v>
          </cell>
          <cell r="AN89">
            <v>278</v>
          </cell>
          <cell r="AO89">
            <v>278</v>
          </cell>
          <cell r="AP89">
            <v>23</v>
          </cell>
          <cell r="AQ89">
            <v>154</v>
          </cell>
          <cell r="AR89">
            <v>278</v>
          </cell>
          <cell r="AS89">
            <v>210</v>
          </cell>
          <cell r="BE89">
            <v>0</v>
          </cell>
          <cell r="BG89">
            <v>0</v>
          </cell>
          <cell r="BH89">
            <v>0</v>
          </cell>
          <cell r="BI89">
            <v>0</v>
          </cell>
          <cell r="BJ89">
            <v>0</v>
          </cell>
          <cell r="BK89">
            <v>0</v>
          </cell>
          <cell r="BL89">
            <v>0</v>
          </cell>
          <cell r="BM89">
            <v>0</v>
          </cell>
          <cell r="BN89">
            <v>0</v>
          </cell>
          <cell r="BO89">
            <v>0</v>
          </cell>
          <cell r="BP89">
            <v>0</v>
          </cell>
          <cell r="CA89">
            <v>180133.83870967719</v>
          </cell>
          <cell r="CB89">
            <v>200</v>
          </cell>
          <cell r="CC89">
            <v>278</v>
          </cell>
          <cell r="CD89">
            <v>278</v>
          </cell>
          <cell r="CE89">
            <v>240</v>
          </cell>
          <cell r="CF89">
            <v>278</v>
          </cell>
          <cell r="CG89">
            <v>172</v>
          </cell>
          <cell r="CH89">
            <v>278</v>
          </cell>
          <cell r="CI89">
            <v>278</v>
          </cell>
          <cell r="CJ89">
            <v>278</v>
          </cell>
          <cell r="CV89">
            <v>336.72456575682378</v>
          </cell>
          <cell r="CX89">
            <v>0</v>
          </cell>
          <cell r="CY89">
            <v>0</v>
          </cell>
          <cell r="CZ89">
            <v>0</v>
          </cell>
          <cell r="DA89">
            <v>0</v>
          </cell>
          <cell r="DB89">
            <v>0</v>
          </cell>
          <cell r="DC89">
            <v>0</v>
          </cell>
          <cell r="DD89">
            <v>0</v>
          </cell>
          <cell r="DE89">
            <v>0</v>
          </cell>
          <cell r="DF89">
            <v>0</v>
          </cell>
          <cell r="DG89">
            <v>0</v>
          </cell>
          <cell r="DR89">
            <v>73103</v>
          </cell>
          <cell r="DS89">
            <v>278</v>
          </cell>
          <cell r="DT89">
            <v>278</v>
          </cell>
          <cell r="DU89">
            <v>999999</v>
          </cell>
          <cell r="DV89">
            <v>999999</v>
          </cell>
          <cell r="DW89">
            <v>999999</v>
          </cell>
          <cell r="DX89">
            <v>278</v>
          </cell>
          <cell r="DY89">
            <v>278</v>
          </cell>
          <cell r="DZ89">
            <v>999999</v>
          </cell>
          <cell r="EA89">
            <v>999999</v>
          </cell>
        </row>
        <row r="90">
          <cell r="N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AJ90">
            <v>39</v>
          </cell>
          <cell r="AK90">
            <v>0</v>
          </cell>
          <cell r="AL90">
            <v>999999</v>
          </cell>
          <cell r="AM90">
            <v>277</v>
          </cell>
          <cell r="AN90">
            <v>277</v>
          </cell>
          <cell r="AO90">
            <v>277</v>
          </cell>
          <cell r="AP90">
            <v>22</v>
          </cell>
          <cell r="AQ90">
            <v>153</v>
          </cell>
          <cell r="AR90">
            <v>277</v>
          </cell>
          <cell r="AS90">
            <v>209</v>
          </cell>
          <cell r="BE90">
            <v>0</v>
          </cell>
          <cell r="BG90">
            <v>0</v>
          </cell>
          <cell r="BH90">
            <v>0</v>
          </cell>
          <cell r="BI90">
            <v>0</v>
          </cell>
          <cell r="BJ90">
            <v>0</v>
          </cell>
          <cell r="BK90">
            <v>0</v>
          </cell>
          <cell r="BL90">
            <v>0</v>
          </cell>
          <cell r="BM90">
            <v>0</v>
          </cell>
          <cell r="BN90">
            <v>0</v>
          </cell>
          <cell r="BO90">
            <v>0</v>
          </cell>
          <cell r="BP90">
            <v>0</v>
          </cell>
          <cell r="CA90">
            <v>179682.22580645137</v>
          </cell>
          <cell r="CB90">
            <v>199</v>
          </cell>
          <cell r="CC90">
            <v>277</v>
          </cell>
          <cell r="CD90">
            <v>277</v>
          </cell>
          <cell r="CE90">
            <v>239</v>
          </cell>
          <cell r="CF90">
            <v>277</v>
          </cell>
          <cell r="CG90">
            <v>171</v>
          </cell>
          <cell r="CH90">
            <v>277</v>
          </cell>
          <cell r="CI90">
            <v>277</v>
          </cell>
          <cell r="CJ90">
            <v>277</v>
          </cell>
          <cell r="CV90">
            <v>336.72456575682378</v>
          </cell>
          <cell r="CX90">
            <v>0</v>
          </cell>
          <cell r="CY90">
            <v>0</v>
          </cell>
          <cell r="CZ90">
            <v>0</v>
          </cell>
          <cell r="DA90">
            <v>0</v>
          </cell>
          <cell r="DB90">
            <v>0</v>
          </cell>
          <cell r="DC90">
            <v>0</v>
          </cell>
          <cell r="DD90">
            <v>0</v>
          </cell>
          <cell r="DE90">
            <v>0</v>
          </cell>
          <cell r="DF90">
            <v>0</v>
          </cell>
          <cell r="DG90">
            <v>0</v>
          </cell>
          <cell r="DR90">
            <v>73103</v>
          </cell>
          <cell r="DS90">
            <v>277</v>
          </cell>
          <cell r="DT90">
            <v>277</v>
          </cell>
          <cell r="DU90">
            <v>999999</v>
          </cell>
          <cell r="DV90">
            <v>999999</v>
          </cell>
          <cell r="DW90">
            <v>999999</v>
          </cell>
          <cell r="DX90">
            <v>277</v>
          </cell>
          <cell r="DY90">
            <v>277</v>
          </cell>
          <cell r="DZ90">
            <v>999999</v>
          </cell>
          <cell r="EA90">
            <v>999999</v>
          </cell>
        </row>
        <row r="91">
          <cell r="N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AJ91">
            <v>38</v>
          </cell>
          <cell r="AK91">
            <v>0</v>
          </cell>
          <cell r="AL91">
            <v>999999</v>
          </cell>
          <cell r="AM91">
            <v>276</v>
          </cell>
          <cell r="AN91">
            <v>276</v>
          </cell>
          <cell r="AO91">
            <v>276</v>
          </cell>
          <cell r="AP91">
            <v>21</v>
          </cell>
          <cell r="AQ91">
            <v>152</v>
          </cell>
          <cell r="AR91">
            <v>276</v>
          </cell>
          <cell r="AS91">
            <v>208</v>
          </cell>
          <cell r="BE91">
            <v>0</v>
          </cell>
          <cell r="BG91">
            <v>0</v>
          </cell>
          <cell r="BH91">
            <v>0</v>
          </cell>
          <cell r="BI91">
            <v>0</v>
          </cell>
          <cell r="BJ91">
            <v>0</v>
          </cell>
          <cell r="BK91">
            <v>0</v>
          </cell>
          <cell r="BL91">
            <v>0</v>
          </cell>
          <cell r="BM91">
            <v>0</v>
          </cell>
          <cell r="BN91">
            <v>0</v>
          </cell>
          <cell r="BO91">
            <v>0</v>
          </cell>
          <cell r="BP91">
            <v>0</v>
          </cell>
          <cell r="CA91">
            <v>179230.61290322556</v>
          </cell>
          <cell r="CB91">
            <v>198</v>
          </cell>
          <cell r="CC91">
            <v>276</v>
          </cell>
          <cell r="CD91">
            <v>276</v>
          </cell>
          <cell r="CE91">
            <v>238</v>
          </cell>
          <cell r="CF91">
            <v>276</v>
          </cell>
          <cell r="CG91">
            <v>170</v>
          </cell>
          <cell r="CH91">
            <v>276</v>
          </cell>
          <cell r="CI91">
            <v>276</v>
          </cell>
          <cell r="CJ91">
            <v>276</v>
          </cell>
          <cell r="CV91">
            <v>336.72456575682378</v>
          </cell>
          <cell r="CX91">
            <v>0</v>
          </cell>
          <cell r="CY91">
            <v>0</v>
          </cell>
          <cell r="CZ91">
            <v>0</v>
          </cell>
          <cell r="DA91">
            <v>0</v>
          </cell>
          <cell r="DB91">
            <v>0</v>
          </cell>
          <cell r="DC91">
            <v>0</v>
          </cell>
          <cell r="DD91">
            <v>0</v>
          </cell>
          <cell r="DE91">
            <v>0</v>
          </cell>
          <cell r="DF91">
            <v>0</v>
          </cell>
          <cell r="DG91">
            <v>0</v>
          </cell>
          <cell r="DR91">
            <v>73103</v>
          </cell>
          <cell r="DS91">
            <v>276</v>
          </cell>
          <cell r="DT91">
            <v>276</v>
          </cell>
          <cell r="DU91">
            <v>999999</v>
          </cell>
          <cell r="DV91">
            <v>999999</v>
          </cell>
          <cell r="DW91">
            <v>999999</v>
          </cell>
          <cell r="DX91">
            <v>276</v>
          </cell>
          <cell r="DY91">
            <v>276</v>
          </cell>
          <cell r="DZ91">
            <v>999999</v>
          </cell>
          <cell r="EA91">
            <v>999999</v>
          </cell>
        </row>
        <row r="92">
          <cell r="N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AJ92">
            <v>37</v>
          </cell>
          <cell r="AK92">
            <v>0</v>
          </cell>
          <cell r="AL92">
            <v>999999</v>
          </cell>
          <cell r="AM92">
            <v>275</v>
          </cell>
          <cell r="AN92">
            <v>275</v>
          </cell>
          <cell r="AO92">
            <v>275</v>
          </cell>
          <cell r="AP92">
            <v>20</v>
          </cell>
          <cell r="AQ92">
            <v>151</v>
          </cell>
          <cell r="AR92">
            <v>275</v>
          </cell>
          <cell r="AS92">
            <v>207</v>
          </cell>
          <cell r="BE92">
            <v>0</v>
          </cell>
          <cell r="BG92">
            <v>0</v>
          </cell>
          <cell r="BH92">
            <v>0</v>
          </cell>
          <cell r="BI92">
            <v>0</v>
          </cell>
          <cell r="BJ92">
            <v>0</v>
          </cell>
          <cell r="BK92">
            <v>0</v>
          </cell>
          <cell r="BL92">
            <v>0</v>
          </cell>
          <cell r="BM92">
            <v>0</v>
          </cell>
          <cell r="BN92">
            <v>0</v>
          </cell>
          <cell r="BO92">
            <v>0</v>
          </cell>
          <cell r="BP92">
            <v>0</v>
          </cell>
          <cell r="CA92">
            <v>178778.99999999974</v>
          </cell>
          <cell r="CB92">
            <v>197</v>
          </cell>
          <cell r="CC92">
            <v>275</v>
          </cell>
          <cell r="CD92">
            <v>275</v>
          </cell>
          <cell r="CE92">
            <v>237</v>
          </cell>
          <cell r="CF92">
            <v>275</v>
          </cell>
          <cell r="CG92">
            <v>169</v>
          </cell>
          <cell r="CH92">
            <v>275</v>
          </cell>
          <cell r="CI92">
            <v>275</v>
          </cell>
          <cell r="CJ92">
            <v>275</v>
          </cell>
          <cell r="CV92">
            <v>336.72456575682378</v>
          </cell>
          <cell r="CX92">
            <v>0</v>
          </cell>
          <cell r="CY92">
            <v>0</v>
          </cell>
          <cell r="CZ92">
            <v>0</v>
          </cell>
          <cell r="DA92">
            <v>0</v>
          </cell>
          <cell r="DB92">
            <v>0</v>
          </cell>
          <cell r="DC92">
            <v>0</v>
          </cell>
          <cell r="DD92">
            <v>0</v>
          </cell>
          <cell r="DE92">
            <v>0</v>
          </cell>
          <cell r="DF92">
            <v>0</v>
          </cell>
          <cell r="DG92">
            <v>0</v>
          </cell>
          <cell r="DR92">
            <v>73103</v>
          </cell>
          <cell r="DS92">
            <v>275</v>
          </cell>
          <cell r="DT92">
            <v>275</v>
          </cell>
          <cell r="DU92">
            <v>999999</v>
          </cell>
          <cell r="DV92">
            <v>999999</v>
          </cell>
          <cell r="DW92">
            <v>999999</v>
          </cell>
          <cell r="DX92">
            <v>275</v>
          </cell>
          <cell r="DY92">
            <v>275</v>
          </cell>
          <cell r="DZ92">
            <v>999999</v>
          </cell>
          <cell r="EA92">
            <v>999999</v>
          </cell>
        </row>
        <row r="93">
          <cell r="N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AJ93">
            <v>36</v>
          </cell>
          <cell r="AK93">
            <v>0</v>
          </cell>
          <cell r="AL93">
            <v>999999</v>
          </cell>
          <cell r="AM93">
            <v>274</v>
          </cell>
          <cell r="AN93">
            <v>274</v>
          </cell>
          <cell r="AO93">
            <v>274</v>
          </cell>
          <cell r="AP93">
            <v>19</v>
          </cell>
          <cell r="AQ93">
            <v>150</v>
          </cell>
          <cell r="AR93">
            <v>274</v>
          </cell>
          <cell r="AS93">
            <v>206</v>
          </cell>
          <cell r="BE93">
            <v>0</v>
          </cell>
          <cell r="BG93">
            <v>0</v>
          </cell>
          <cell r="BH93">
            <v>0</v>
          </cell>
          <cell r="BI93">
            <v>0</v>
          </cell>
          <cell r="BJ93">
            <v>0</v>
          </cell>
          <cell r="BK93">
            <v>0</v>
          </cell>
          <cell r="BL93">
            <v>0</v>
          </cell>
          <cell r="BM93">
            <v>0</v>
          </cell>
          <cell r="BN93">
            <v>0</v>
          </cell>
          <cell r="BO93">
            <v>0</v>
          </cell>
          <cell r="BP93">
            <v>0</v>
          </cell>
          <cell r="CA93">
            <v>178306.47769831706</v>
          </cell>
          <cell r="CB93">
            <v>196</v>
          </cell>
          <cell r="CC93">
            <v>274</v>
          </cell>
          <cell r="CD93">
            <v>274</v>
          </cell>
          <cell r="CE93">
            <v>236</v>
          </cell>
          <cell r="CF93">
            <v>274</v>
          </cell>
          <cell r="CG93">
            <v>168</v>
          </cell>
          <cell r="CH93">
            <v>274</v>
          </cell>
          <cell r="CI93">
            <v>274</v>
          </cell>
          <cell r="CJ93">
            <v>274</v>
          </cell>
          <cell r="CV93">
            <v>346.15384615384608</v>
          </cell>
          <cell r="CX93">
            <v>0</v>
          </cell>
          <cell r="CY93">
            <v>0</v>
          </cell>
          <cell r="CZ93">
            <v>0</v>
          </cell>
          <cell r="DA93">
            <v>0</v>
          </cell>
          <cell r="DB93">
            <v>0</v>
          </cell>
          <cell r="DC93">
            <v>0</v>
          </cell>
          <cell r="DD93">
            <v>0</v>
          </cell>
          <cell r="DE93">
            <v>0</v>
          </cell>
          <cell r="DF93">
            <v>0</v>
          </cell>
          <cell r="DG93">
            <v>0</v>
          </cell>
          <cell r="DR93">
            <v>73103</v>
          </cell>
          <cell r="DS93">
            <v>274</v>
          </cell>
          <cell r="DT93">
            <v>274</v>
          </cell>
          <cell r="DU93">
            <v>999999</v>
          </cell>
          <cell r="DV93">
            <v>999999</v>
          </cell>
          <cell r="DW93">
            <v>999999</v>
          </cell>
          <cell r="DX93">
            <v>274</v>
          </cell>
          <cell r="DY93">
            <v>274</v>
          </cell>
          <cell r="DZ93">
            <v>999999</v>
          </cell>
          <cell r="EA93">
            <v>999999</v>
          </cell>
        </row>
        <row r="94">
          <cell r="N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AJ94">
            <v>35</v>
          </cell>
          <cell r="AK94">
            <v>0</v>
          </cell>
          <cell r="AL94">
            <v>999999</v>
          </cell>
          <cell r="AM94">
            <v>273</v>
          </cell>
          <cell r="AN94">
            <v>273</v>
          </cell>
          <cell r="AO94">
            <v>273</v>
          </cell>
          <cell r="AP94">
            <v>18</v>
          </cell>
          <cell r="AQ94">
            <v>149</v>
          </cell>
          <cell r="AR94">
            <v>273</v>
          </cell>
          <cell r="AS94">
            <v>205</v>
          </cell>
          <cell r="BE94">
            <v>0</v>
          </cell>
          <cell r="BG94">
            <v>0</v>
          </cell>
          <cell r="BH94">
            <v>0</v>
          </cell>
          <cell r="BI94">
            <v>0</v>
          </cell>
          <cell r="BJ94">
            <v>0</v>
          </cell>
          <cell r="BK94">
            <v>0</v>
          </cell>
          <cell r="BL94">
            <v>0</v>
          </cell>
          <cell r="BM94">
            <v>0</v>
          </cell>
          <cell r="BN94">
            <v>0</v>
          </cell>
          <cell r="BO94">
            <v>0</v>
          </cell>
          <cell r="BP94">
            <v>0</v>
          </cell>
          <cell r="CA94">
            <v>177833.95539663438</v>
          </cell>
          <cell r="CB94">
            <v>195</v>
          </cell>
          <cell r="CC94">
            <v>273</v>
          </cell>
          <cell r="CD94">
            <v>273</v>
          </cell>
          <cell r="CE94">
            <v>235</v>
          </cell>
          <cell r="CF94">
            <v>273</v>
          </cell>
          <cell r="CG94">
            <v>167</v>
          </cell>
          <cell r="CH94">
            <v>273</v>
          </cell>
          <cell r="CI94">
            <v>273</v>
          </cell>
          <cell r="CJ94">
            <v>273</v>
          </cell>
          <cell r="CV94">
            <v>346.15384615384608</v>
          </cell>
          <cell r="CX94">
            <v>0</v>
          </cell>
          <cell r="CY94">
            <v>0</v>
          </cell>
          <cell r="CZ94">
            <v>0</v>
          </cell>
          <cell r="DA94">
            <v>0</v>
          </cell>
          <cell r="DB94">
            <v>0</v>
          </cell>
          <cell r="DC94">
            <v>0</v>
          </cell>
          <cell r="DD94">
            <v>0</v>
          </cell>
          <cell r="DE94">
            <v>0</v>
          </cell>
          <cell r="DF94">
            <v>0</v>
          </cell>
          <cell r="DG94">
            <v>0</v>
          </cell>
          <cell r="DR94">
            <v>73103</v>
          </cell>
          <cell r="DS94">
            <v>273</v>
          </cell>
          <cell r="DT94">
            <v>273</v>
          </cell>
          <cell r="DU94">
            <v>999999</v>
          </cell>
          <cell r="DV94">
            <v>999999</v>
          </cell>
          <cell r="DW94">
            <v>999999</v>
          </cell>
          <cell r="DX94">
            <v>273</v>
          </cell>
          <cell r="DY94">
            <v>273</v>
          </cell>
          <cell r="DZ94">
            <v>999999</v>
          </cell>
          <cell r="EA94">
            <v>999999</v>
          </cell>
        </row>
        <row r="95">
          <cell r="N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AJ95">
            <v>34</v>
          </cell>
          <cell r="AK95">
            <v>0</v>
          </cell>
          <cell r="AL95">
            <v>999999</v>
          </cell>
          <cell r="AM95">
            <v>272</v>
          </cell>
          <cell r="AN95">
            <v>272</v>
          </cell>
          <cell r="AO95">
            <v>272</v>
          </cell>
          <cell r="AP95">
            <v>17</v>
          </cell>
          <cell r="AQ95">
            <v>148</v>
          </cell>
          <cell r="AR95">
            <v>272</v>
          </cell>
          <cell r="AS95">
            <v>204</v>
          </cell>
          <cell r="BE95">
            <v>0</v>
          </cell>
          <cell r="BG95">
            <v>0</v>
          </cell>
          <cell r="BH95">
            <v>0</v>
          </cell>
          <cell r="BI95">
            <v>0</v>
          </cell>
          <cell r="BJ95">
            <v>0</v>
          </cell>
          <cell r="BK95">
            <v>0</v>
          </cell>
          <cell r="BL95">
            <v>0</v>
          </cell>
          <cell r="BM95">
            <v>0</v>
          </cell>
          <cell r="BN95">
            <v>0</v>
          </cell>
          <cell r="BO95">
            <v>0</v>
          </cell>
          <cell r="BP95">
            <v>0</v>
          </cell>
          <cell r="CA95">
            <v>177361.4330949517</v>
          </cell>
          <cell r="CB95">
            <v>194</v>
          </cell>
          <cell r="CC95">
            <v>272</v>
          </cell>
          <cell r="CD95">
            <v>272</v>
          </cell>
          <cell r="CE95">
            <v>234</v>
          </cell>
          <cell r="CF95">
            <v>272</v>
          </cell>
          <cell r="CG95">
            <v>166</v>
          </cell>
          <cell r="CH95">
            <v>272</v>
          </cell>
          <cell r="CI95">
            <v>272</v>
          </cell>
          <cell r="CJ95">
            <v>272</v>
          </cell>
          <cell r="CV95">
            <v>346.15384615384608</v>
          </cell>
          <cell r="CX95">
            <v>0</v>
          </cell>
          <cell r="CY95">
            <v>0</v>
          </cell>
          <cell r="CZ95">
            <v>0</v>
          </cell>
          <cell r="DA95">
            <v>0</v>
          </cell>
          <cell r="DB95">
            <v>0</v>
          </cell>
          <cell r="DC95">
            <v>0</v>
          </cell>
          <cell r="DD95">
            <v>0</v>
          </cell>
          <cell r="DE95">
            <v>0</v>
          </cell>
          <cell r="DF95">
            <v>0</v>
          </cell>
          <cell r="DG95">
            <v>0</v>
          </cell>
          <cell r="DR95">
            <v>73103</v>
          </cell>
          <cell r="DS95">
            <v>272</v>
          </cell>
          <cell r="DT95">
            <v>272</v>
          </cell>
          <cell r="DU95">
            <v>999999</v>
          </cell>
          <cell r="DV95">
            <v>999999</v>
          </cell>
          <cell r="DW95">
            <v>999999</v>
          </cell>
          <cell r="DX95">
            <v>272</v>
          </cell>
          <cell r="DY95">
            <v>272</v>
          </cell>
          <cell r="DZ95">
            <v>999999</v>
          </cell>
          <cell r="EA95">
            <v>999999</v>
          </cell>
        </row>
        <row r="96">
          <cell r="N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AJ96">
            <v>33</v>
          </cell>
          <cell r="AK96">
            <v>0</v>
          </cell>
          <cell r="AL96">
            <v>999999</v>
          </cell>
          <cell r="AM96">
            <v>271</v>
          </cell>
          <cell r="AN96">
            <v>271</v>
          </cell>
          <cell r="AO96">
            <v>271</v>
          </cell>
          <cell r="AP96">
            <v>16</v>
          </cell>
          <cell r="AQ96">
            <v>147</v>
          </cell>
          <cell r="AR96">
            <v>271</v>
          </cell>
          <cell r="AS96">
            <v>203</v>
          </cell>
          <cell r="BE96">
            <v>0</v>
          </cell>
          <cell r="BG96">
            <v>0</v>
          </cell>
          <cell r="BH96">
            <v>0</v>
          </cell>
          <cell r="BI96">
            <v>0</v>
          </cell>
          <cell r="BJ96">
            <v>0</v>
          </cell>
          <cell r="BK96">
            <v>0</v>
          </cell>
          <cell r="BL96">
            <v>0</v>
          </cell>
          <cell r="BM96">
            <v>0</v>
          </cell>
          <cell r="BN96">
            <v>0</v>
          </cell>
          <cell r="BO96">
            <v>0</v>
          </cell>
          <cell r="BP96">
            <v>0</v>
          </cell>
          <cell r="CA96">
            <v>176888.91079326902</v>
          </cell>
          <cell r="CB96">
            <v>193</v>
          </cell>
          <cell r="CC96">
            <v>271</v>
          </cell>
          <cell r="CD96">
            <v>271</v>
          </cell>
          <cell r="CE96">
            <v>233</v>
          </cell>
          <cell r="CF96">
            <v>271</v>
          </cell>
          <cell r="CG96">
            <v>165</v>
          </cell>
          <cell r="CH96">
            <v>271</v>
          </cell>
          <cell r="CI96">
            <v>271</v>
          </cell>
          <cell r="CJ96">
            <v>271</v>
          </cell>
          <cell r="CV96">
            <v>346.15384615384608</v>
          </cell>
          <cell r="CX96">
            <v>0</v>
          </cell>
          <cell r="CY96">
            <v>0</v>
          </cell>
          <cell r="CZ96">
            <v>0</v>
          </cell>
          <cell r="DA96">
            <v>0</v>
          </cell>
          <cell r="DB96">
            <v>0</v>
          </cell>
          <cell r="DC96">
            <v>0</v>
          </cell>
          <cell r="DD96">
            <v>0</v>
          </cell>
          <cell r="DE96">
            <v>0</v>
          </cell>
          <cell r="DF96">
            <v>0</v>
          </cell>
          <cell r="DG96">
            <v>0</v>
          </cell>
          <cell r="DR96">
            <v>73103</v>
          </cell>
          <cell r="DS96">
            <v>271</v>
          </cell>
          <cell r="DT96">
            <v>271</v>
          </cell>
          <cell r="DU96">
            <v>999999</v>
          </cell>
          <cell r="DV96">
            <v>999999</v>
          </cell>
          <cell r="DW96">
            <v>999999</v>
          </cell>
          <cell r="DX96">
            <v>271</v>
          </cell>
          <cell r="DY96">
            <v>271</v>
          </cell>
          <cell r="DZ96">
            <v>999999</v>
          </cell>
          <cell r="EA96">
            <v>999999</v>
          </cell>
        </row>
        <row r="97">
          <cell r="N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AJ97">
            <v>32</v>
          </cell>
          <cell r="AK97">
            <v>0</v>
          </cell>
          <cell r="AL97">
            <v>999999</v>
          </cell>
          <cell r="AM97">
            <v>270</v>
          </cell>
          <cell r="AN97">
            <v>270</v>
          </cell>
          <cell r="AO97">
            <v>270</v>
          </cell>
          <cell r="AP97">
            <v>15</v>
          </cell>
          <cell r="AQ97">
            <v>146</v>
          </cell>
          <cell r="AR97">
            <v>270</v>
          </cell>
          <cell r="AS97">
            <v>202</v>
          </cell>
          <cell r="BE97">
            <v>0</v>
          </cell>
          <cell r="BG97">
            <v>0</v>
          </cell>
          <cell r="BH97">
            <v>0</v>
          </cell>
          <cell r="BI97">
            <v>0</v>
          </cell>
          <cell r="BJ97">
            <v>0</v>
          </cell>
          <cell r="BK97">
            <v>0</v>
          </cell>
          <cell r="BL97">
            <v>0</v>
          </cell>
          <cell r="BM97">
            <v>0</v>
          </cell>
          <cell r="BN97">
            <v>0</v>
          </cell>
          <cell r="BO97">
            <v>0</v>
          </cell>
          <cell r="BP97">
            <v>0</v>
          </cell>
          <cell r="CA97">
            <v>176416.38849158635</v>
          </cell>
          <cell r="CB97">
            <v>192</v>
          </cell>
          <cell r="CC97">
            <v>270</v>
          </cell>
          <cell r="CD97">
            <v>270</v>
          </cell>
          <cell r="CE97">
            <v>232</v>
          </cell>
          <cell r="CF97">
            <v>270</v>
          </cell>
          <cell r="CG97">
            <v>164</v>
          </cell>
          <cell r="CH97">
            <v>270</v>
          </cell>
          <cell r="CI97">
            <v>270</v>
          </cell>
          <cell r="CJ97">
            <v>270</v>
          </cell>
          <cell r="CV97">
            <v>346.15384615384608</v>
          </cell>
          <cell r="CX97">
            <v>0</v>
          </cell>
          <cell r="CY97">
            <v>0</v>
          </cell>
          <cell r="CZ97">
            <v>0</v>
          </cell>
          <cell r="DA97">
            <v>0</v>
          </cell>
          <cell r="DB97">
            <v>0</v>
          </cell>
          <cell r="DC97">
            <v>0</v>
          </cell>
          <cell r="DD97">
            <v>0</v>
          </cell>
          <cell r="DE97">
            <v>0</v>
          </cell>
          <cell r="DF97">
            <v>0</v>
          </cell>
          <cell r="DG97">
            <v>0</v>
          </cell>
          <cell r="DR97">
            <v>73103</v>
          </cell>
          <cell r="DS97">
            <v>270</v>
          </cell>
          <cell r="DT97">
            <v>270</v>
          </cell>
          <cell r="DU97">
            <v>999999</v>
          </cell>
          <cell r="DV97">
            <v>999999</v>
          </cell>
          <cell r="DW97">
            <v>999999</v>
          </cell>
          <cell r="DX97">
            <v>270</v>
          </cell>
          <cell r="DY97">
            <v>270</v>
          </cell>
          <cell r="DZ97">
            <v>999999</v>
          </cell>
          <cell r="EA97">
            <v>999999</v>
          </cell>
        </row>
        <row r="98">
          <cell r="N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AJ98">
            <v>31</v>
          </cell>
          <cell r="AK98">
            <v>0</v>
          </cell>
          <cell r="AL98">
            <v>999999</v>
          </cell>
          <cell r="AM98">
            <v>269</v>
          </cell>
          <cell r="AN98">
            <v>269</v>
          </cell>
          <cell r="AO98">
            <v>269</v>
          </cell>
          <cell r="AP98">
            <v>14</v>
          </cell>
          <cell r="AQ98">
            <v>145</v>
          </cell>
          <cell r="AR98">
            <v>269</v>
          </cell>
          <cell r="AS98">
            <v>201</v>
          </cell>
          <cell r="BE98">
            <v>0</v>
          </cell>
          <cell r="BG98">
            <v>0</v>
          </cell>
          <cell r="BH98">
            <v>0</v>
          </cell>
          <cell r="BI98">
            <v>0</v>
          </cell>
          <cell r="BJ98">
            <v>0</v>
          </cell>
          <cell r="BK98">
            <v>0</v>
          </cell>
          <cell r="BL98">
            <v>0</v>
          </cell>
          <cell r="BM98">
            <v>0</v>
          </cell>
          <cell r="BN98">
            <v>0</v>
          </cell>
          <cell r="BO98">
            <v>0</v>
          </cell>
          <cell r="BP98">
            <v>0</v>
          </cell>
          <cell r="CA98">
            <v>175943.86618990367</v>
          </cell>
          <cell r="CB98">
            <v>191</v>
          </cell>
          <cell r="CC98">
            <v>269</v>
          </cell>
          <cell r="CD98">
            <v>269</v>
          </cell>
          <cell r="CE98">
            <v>231</v>
          </cell>
          <cell r="CF98">
            <v>269</v>
          </cell>
          <cell r="CG98">
            <v>163</v>
          </cell>
          <cell r="CH98">
            <v>269</v>
          </cell>
          <cell r="CI98">
            <v>269</v>
          </cell>
          <cell r="CJ98">
            <v>269</v>
          </cell>
          <cell r="CV98">
            <v>346.15384615384608</v>
          </cell>
          <cell r="CX98">
            <v>0</v>
          </cell>
          <cell r="CY98">
            <v>0</v>
          </cell>
          <cell r="CZ98">
            <v>0</v>
          </cell>
          <cell r="DA98">
            <v>0</v>
          </cell>
          <cell r="DB98">
            <v>0</v>
          </cell>
          <cell r="DC98">
            <v>0</v>
          </cell>
          <cell r="DD98">
            <v>0</v>
          </cell>
          <cell r="DE98">
            <v>0</v>
          </cell>
          <cell r="DF98">
            <v>0</v>
          </cell>
          <cell r="DG98">
            <v>0</v>
          </cell>
          <cell r="DR98">
            <v>73103</v>
          </cell>
          <cell r="DS98">
            <v>269</v>
          </cell>
          <cell r="DT98">
            <v>269</v>
          </cell>
          <cell r="DU98">
            <v>999999</v>
          </cell>
          <cell r="DV98">
            <v>999999</v>
          </cell>
          <cell r="DW98">
            <v>999999</v>
          </cell>
          <cell r="DX98">
            <v>269</v>
          </cell>
          <cell r="DY98">
            <v>269</v>
          </cell>
          <cell r="DZ98">
            <v>999999</v>
          </cell>
          <cell r="EA98">
            <v>999999</v>
          </cell>
        </row>
        <row r="99">
          <cell r="N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AJ99">
            <v>30</v>
          </cell>
          <cell r="AK99">
            <v>0</v>
          </cell>
          <cell r="AL99">
            <v>999999</v>
          </cell>
          <cell r="AM99">
            <v>268</v>
          </cell>
          <cell r="AN99">
            <v>268</v>
          </cell>
          <cell r="AO99">
            <v>268</v>
          </cell>
          <cell r="AP99">
            <v>13</v>
          </cell>
          <cell r="AQ99">
            <v>144</v>
          </cell>
          <cell r="AR99">
            <v>268</v>
          </cell>
          <cell r="AS99">
            <v>200</v>
          </cell>
          <cell r="BE99">
            <v>0</v>
          </cell>
          <cell r="BG99">
            <v>0</v>
          </cell>
          <cell r="BH99">
            <v>0</v>
          </cell>
          <cell r="BI99">
            <v>0</v>
          </cell>
          <cell r="BJ99">
            <v>0</v>
          </cell>
          <cell r="BK99">
            <v>0</v>
          </cell>
          <cell r="BL99">
            <v>0</v>
          </cell>
          <cell r="BM99">
            <v>0</v>
          </cell>
          <cell r="BN99">
            <v>0</v>
          </cell>
          <cell r="BO99">
            <v>0</v>
          </cell>
          <cell r="BP99">
            <v>0</v>
          </cell>
          <cell r="CA99">
            <v>175471.34388822099</v>
          </cell>
          <cell r="CB99">
            <v>190</v>
          </cell>
          <cell r="CC99">
            <v>268</v>
          </cell>
          <cell r="CD99">
            <v>268</v>
          </cell>
          <cell r="CE99">
            <v>230</v>
          </cell>
          <cell r="CF99">
            <v>268</v>
          </cell>
          <cell r="CG99">
            <v>162</v>
          </cell>
          <cell r="CH99">
            <v>268</v>
          </cell>
          <cell r="CI99">
            <v>268</v>
          </cell>
          <cell r="CJ99">
            <v>268</v>
          </cell>
          <cell r="CV99">
            <v>346.15384615384608</v>
          </cell>
          <cell r="CX99">
            <v>0</v>
          </cell>
          <cell r="CY99">
            <v>0</v>
          </cell>
          <cell r="CZ99">
            <v>0</v>
          </cell>
          <cell r="DA99">
            <v>0</v>
          </cell>
          <cell r="DB99">
            <v>0</v>
          </cell>
          <cell r="DC99">
            <v>0</v>
          </cell>
          <cell r="DD99">
            <v>0</v>
          </cell>
          <cell r="DE99">
            <v>0</v>
          </cell>
          <cell r="DF99">
            <v>0</v>
          </cell>
          <cell r="DG99">
            <v>0</v>
          </cell>
          <cell r="DR99">
            <v>73103</v>
          </cell>
          <cell r="DS99">
            <v>268</v>
          </cell>
          <cell r="DT99">
            <v>268</v>
          </cell>
          <cell r="DU99">
            <v>999999</v>
          </cell>
          <cell r="DV99">
            <v>999999</v>
          </cell>
          <cell r="DW99">
            <v>999999</v>
          </cell>
          <cell r="DX99">
            <v>268</v>
          </cell>
          <cell r="DY99">
            <v>268</v>
          </cell>
          <cell r="DZ99">
            <v>999999</v>
          </cell>
          <cell r="EA99">
            <v>999999</v>
          </cell>
        </row>
        <row r="100">
          <cell r="N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AJ100">
            <v>29</v>
          </cell>
          <cell r="AK100">
            <v>0</v>
          </cell>
          <cell r="AL100">
            <v>999999</v>
          </cell>
          <cell r="AM100">
            <v>267</v>
          </cell>
          <cell r="AN100">
            <v>267</v>
          </cell>
          <cell r="AO100">
            <v>267</v>
          </cell>
          <cell r="AP100">
            <v>12</v>
          </cell>
          <cell r="AQ100">
            <v>143</v>
          </cell>
          <cell r="AR100">
            <v>267</v>
          </cell>
          <cell r="AS100">
            <v>199</v>
          </cell>
          <cell r="BE100">
            <v>0</v>
          </cell>
          <cell r="BG100">
            <v>0</v>
          </cell>
          <cell r="BH100">
            <v>0</v>
          </cell>
          <cell r="BI100">
            <v>0</v>
          </cell>
          <cell r="BJ100">
            <v>0</v>
          </cell>
          <cell r="BK100">
            <v>0</v>
          </cell>
          <cell r="BL100">
            <v>0</v>
          </cell>
          <cell r="BM100">
            <v>0</v>
          </cell>
          <cell r="BN100">
            <v>0</v>
          </cell>
          <cell r="BO100">
            <v>0</v>
          </cell>
          <cell r="BP100">
            <v>0</v>
          </cell>
          <cell r="CA100">
            <v>174998.82158653831</v>
          </cell>
          <cell r="CB100">
            <v>189</v>
          </cell>
          <cell r="CC100">
            <v>267</v>
          </cell>
          <cell r="CD100">
            <v>267</v>
          </cell>
          <cell r="CE100">
            <v>229</v>
          </cell>
          <cell r="CF100">
            <v>267</v>
          </cell>
          <cell r="CG100">
            <v>161</v>
          </cell>
          <cell r="CH100">
            <v>267</v>
          </cell>
          <cell r="CI100">
            <v>267</v>
          </cell>
          <cell r="CJ100">
            <v>267</v>
          </cell>
          <cell r="CV100">
            <v>346.15384615384608</v>
          </cell>
          <cell r="CX100">
            <v>0</v>
          </cell>
          <cell r="CY100">
            <v>0</v>
          </cell>
          <cell r="CZ100">
            <v>0</v>
          </cell>
          <cell r="DA100">
            <v>0</v>
          </cell>
          <cell r="DB100">
            <v>0</v>
          </cell>
          <cell r="DC100">
            <v>0</v>
          </cell>
          <cell r="DD100">
            <v>0</v>
          </cell>
          <cell r="DE100">
            <v>0</v>
          </cell>
          <cell r="DF100">
            <v>0</v>
          </cell>
          <cell r="DG100">
            <v>0</v>
          </cell>
          <cell r="DR100">
            <v>73103</v>
          </cell>
          <cell r="DS100">
            <v>267</v>
          </cell>
          <cell r="DT100">
            <v>267</v>
          </cell>
          <cell r="DU100">
            <v>999999</v>
          </cell>
          <cell r="DV100">
            <v>999999</v>
          </cell>
          <cell r="DW100">
            <v>999999</v>
          </cell>
          <cell r="DX100">
            <v>267</v>
          </cell>
          <cell r="DY100">
            <v>267</v>
          </cell>
          <cell r="DZ100">
            <v>999999</v>
          </cell>
          <cell r="EA100">
            <v>999999</v>
          </cell>
        </row>
        <row r="101">
          <cell r="N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AJ101">
            <v>28</v>
          </cell>
          <cell r="AK101">
            <v>0</v>
          </cell>
          <cell r="AL101">
            <v>999999</v>
          </cell>
          <cell r="AM101">
            <v>266</v>
          </cell>
          <cell r="AN101">
            <v>266</v>
          </cell>
          <cell r="AO101">
            <v>266</v>
          </cell>
          <cell r="AP101">
            <v>11</v>
          </cell>
          <cell r="AQ101">
            <v>142</v>
          </cell>
          <cell r="AR101">
            <v>266</v>
          </cell>
          <cell r="AS101">
            <v>198</v>
          </cell>
          <cell r="BE101">
            <v>0</v>
          </cell>
          <cell r="BG101">
            <v>0</v>
          </cell>
          <cell r="BH101">
            <v>0</v>
          </cell>
          <cell r="BI101">
            <v>0</v>
          </cell>
          <cell r="BJ101">
            <v>0</v>
          </cell>
          <cell r="BK101">
            <v>0</v>
          </cell>
          <cell r="BL101">
            <v>0</v>
          </cell>
          <cell r="BM101">
            <v>0</v>
          </cell>
          <cell r="BN101">
            <v>0</v>
          </cell>
          <cell r="BO101">
            <v>0</v>
          </cell>
          <cell r="BP101">
            <v>0</v>
          </cell>
          <cell r="CA101">
            <v>174526.29928485563</v>
          </cell>
          <cell r="CB101">
            <v>188</v>
          </cell>
          <cell r="CC101">
            <v>266</v>
          </cell>
          <cell r="CD101">
            <v>266</v>
          </cell>
          <cell r="CE101">
            <v>228</v>
          </cell>
          <cell r="CF101">
            <v>266</v>
          </cell>
          <cell r="CG101">
            <v>160</v>
          </cell>
          <cell r="CH101">
            <v>266</v>
          </cell>
          <cell r="CI101">
            <v>266</v>
          </cell>
          <cell r="CJ101">
            <v>266</v>
          </cell>
          <cell r="CV101">
            <v>346.15384615384608</v>
          </cell>
          <cell r="CX101">
            <v>0</v>
          </cell>
          <cell r="CY101">
            <v>0</v>
          </cell>
          <cell r="CZ101">
            <v>0</v>
          </cell>
          <cell r="DA101">
            <v>0</v>
          </cell>
          <cell r="DB101">
            <v>0</v>
          </cell>
          <cell r="DC101">
            <v>0</v>
          </cell>
          <cell r="DD101">
            <v>0</v>
          </cell>
          <cell r="DE101">
            <v>0</v>
          </cell>
          <cell r="DF101">
            <v>0</v>
          </cell>
          <cell r="DG101">
            <v>0</v>
          </cell>
          <cell r="DR101">
            <v>73103</v>
          </cell>
          <cell r="DS101">
            <v>266</v>
          </cell>
          <cell r="DT101">
            <v>266</v>
          </cell>
          <cell r="DU101">
            <v>999999</v>
          </cell>
          <cell r="DV101">
            <v>999999</v>
          </cell>
          <cell r="DW101">
            <v>999999</v>
          </cell>
          <cell r="DX101">
            <v>266</v>
          </cell>
          <cell r="DY101">
            <v>266</v>
          </cell>
          <cell r="DZ101">
            <v>999999</v>
          </cell>
          <cell r="EA101">
            <v>999999</v>
          </cell>
        </row>
        <row r="102">
          <cell r="N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AJ102">
            <v>27</v>
          </cell>
          <cell r="AK102">
            <v>0</v>
          </cell>
          <cell r="AL102">
            <v>999999</v>
          </cell>
          <cell r="AM102">
            <v>265</v>
          </cell>
          <cell r="AN102">
            <v>265</v>
          </cell>
          <cell r="AO102">
            <v>265</v>
          </cell>
          <cell r="AP102">
            <v>10</v>
          </cell>
          <cell r="AQ102">
            <v>141</v>
          </cell>
          <cell r="AR102">
            <v>265</v>
          </cell>
          <cell r="AS102">
            <v>197</v>
          </cell>
          <cell r="BE102">
            <v>0</v>
          </cell>
          <cell r="BG102">
            <v>0</v>
          </cell>
          <cell r="BH102">
            <v>0</v>
          </cell>
          <cell r="BI102">
            <v>0</v>
          </cell>
          <cell r="BJ102">
            <v>0</v>
          </cell>
          <cell r="BK102">
            <v>0</v>
          </cell>
          <cell r="BL102">
            <v>0</v>
          </cell>
          <cell r="BM102">
            <v>0</v>
          </cell>
          <cell r="BN102">
            <v>0</v>
          </cell>
          <cell r="BO102">
            <v>0</v>
          </cell>
          <cell r="BP102">
            <v>0</v>
          </cell>
          <cell r="CA102">
            <v>174053.77698317295</v>
          </cell>
          <cell r="CB102">
            <v>187</v>
          </cell>
          <cell r="CC102">
            <v>265</v>
          </cell>
          <cell r="CD102">
            <v>265</v>
          </cell>
          <cell r="CE102">
            <v>227</v>
          </cell>
          <cell r="CF102">
            <v>265</v>
          </cell>
          <cell r="CG102">
            <v>159</v>
          </cell>
          <cell r="CH102">
            <v>265</v>
          </cell>
          <cell r="CI102">
            <v>265</v>
          </cell>
          <cell r="CJ102">
            <v>265</v>
          </cell>
          <cell r="CV102">
            <v>346.15384615384608</v>
          </cell>
          <cell r="CX102">
            <v>0</v>
          </cell>
          <cell r="CY102">
            <v>0</v>
          </cell>
          <cell r="CZ102">
            <v>0</v>
          </cell>
          <cell r="DA102">
            <v>0</v>
          </cell>
          <cell r="DB102">
            <v>0</v>
          </cell>
          <cell r="DC102">
            <v>0</v>
          </cell>
          <cell r="DD102">
            <v>0</v>
          </cell>
          <cell r="DE102">
            <v>0</v>
          </cell>
          <cell r="DF102">
            <v>0</v>
          </cell>
          <cell r="DG102">
            <v>0</v>
          </cell>
          <cell r="DR102">
            <v>73103</v>
          </cell>
          <cell r="DS102">
            <v>265</v>
          </cell>
          <cell r="DT102">
            <v>265</v>
          </cell>
          <cell r="DU102">
            <v>999999</v>
          </cell>
          <cell r="DV102">
            <v>999999</v>
          </cell>
          <cell r="DW102">
            <v>999999</v>
          </cell>
          <cell r="DX102">
            <v>265</v>
          </cell>
          <cell r="DY102">
            <v>265</v>
          </cell>
          <cell r="DZ102">
            <v>999999</v>
          </cell>
          <cell r="EA102">
            <v>999999</v>
          </cell>
        </row>
        <row r="103">
          <cell r="N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AJ103">
            <v>26</v>
          </cell>
          <cell r="AK103">
            <v>0</v>
          </cell>
          <cell r="AL103">
            <v>999999</v>
          </cell>
          <cell r="AM103">
            <v>264</v>
          </cell>
          <cell r="AN103">
            <v>264</v>
          </cell>
          <cell r="AO103">
            <v>264</v>
          </cell>
          <cell r="AP103">
            <v>9</v>
          </cell>
          <cell r="AQ103">
            <v>140</v>
          </cell>
          <cell r="AR103">
            <v>264</v>
          </cell>
          <cell r="AS103">
            <v>196</v>
          </cell>
          <cell r="BE103">
            <v>0</v>
          </cell>
          <cell r="BG103">
            <v>0</v>
          </cell>
          <cell r="BH103">
            <v>0</v>
          </cell>
          <cell r="BI103">
            <v>0</v>
          </cell>
          <cell r="BJ103">
            <v>0</v>
          </cell>
          <cell r="BK103">
            <v>0</v>
          </cell>
          <cell r="BL103">
            <v>0</v>
          </cell>
          <cell r="BM103">
            <v>0</v>
          </cell>
          <cell r="BN103">
            <v>0</v>
          </cell>
          <cell r="BO103">
            <v>0</v>
          </cell>
          <cell r="BP103">
            <v>0</v>
          </cell>
          <cell r="CA103">
            <v>173581.25468149027</v>
          </cell>
          <cell r="CB103">
            <v>186</v>
          </cell>
          <cell r="CC103">
            <v>264</v>
          </cell>
          <cell r="CD103">
            <v>264</v>
          </cell>
          <cell r="CE103">
            <v>226</v>
          </cell>
          <cell r="CF103">
            <v>264</v>
          </cell>
          <cell r="CG103">
            <v>158</v>
          </cell>
          <cell r="CH103">
            <v>264</v>
          </cell>
          <cell r="CI103">
            <v>264</v>
          </cell>
          <cell r="CJ103">
            <v>264</v>
          </cell>
          <cell r="CV103">
            <v>346.15384615384608</v>
          </cell>
          <cell r="CX103">
            <v>0</v>
          </cell>
          <cell r="CY103">
            <v>0</v>
          </cell>
          <cell r="CZ103">
            <v>0</v>
          </cell>
          <cell r="DA103">
            <v>0</v>
          </cell>
          <cell r="DB103">
            <v>0</v>
          </cell>
          <cell r="DC103">
            <v>0</v>
          </cell>
          <cell r="DD103">
            <v>0</v>
          </cell>
          <cell r="DE103">
            <v>0</v>
          </cell>
          <cell r="DF103">
            <v>0</v>
          </cell>
          <cell r="DG103">
            <v>0</v>
          </cell>
          <cell r="DR103">
            <v>73103</v>
          </cell>
          <cell r="DS103">
            <v>264</v>
          </cell>
          <cell r="DT103">
            <v>264</v>
          </cell>
          <cell r="DU103">
            <v>999999</v>
          </cell>
          <cell r="DV103">
            <v>999999</v>
          </cell>
          <cell r="DW103">
            <v>999999</v>
          </cell>
          <cell r="DX103">
            <v>264</v>
          </cell>
          <cell r="DY103">
            <v>264</v>
          </cell>
          <cell r="DZ103">
            <v>999999</v>
          </cell>
          <cell r="EA103">
            <v>999999</v>
          </cell>
        </row>
        <row r="104">
          <cell r="N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AJ104">
            <v>25</v>
          </cell>
          <cell r="AK104">
            <v>0</v>
          </cell>
          <cell r="AL104">
            <v>999999</v>
          </cell>
          <cell r="AM104">
            <v>263</v>
          </cell>
          <cell r="AN104">
            <v>263</v>
          </cell>
          <cell r="AO104">
            <v>263</v>
          </cell>
          <cell r="AP104">
            <v>8</v>
          </cell>
          <cell r="AQ104">
            <v>139</v>
          </cell>
          <cell r="AR104">
            <v>263</v>
          </cell>
          <cell r="AS104">
            <v>195</v>
          </cell>
          <cell r="BE104">
            <v>0</v>
          </cell>
          <cell r="BG104">
            <v>0</v>
          </cell>
          <cell r="BH104">
            <v>0</v>
          </cell>
          <cell r="BI104">
            <v>0</v>
          </cell>
          <cell r="BJ104">
            <v>0</v>
          </cell>
          <cell r="BK104">
            <v>0</v>
          </cell>
          <cell r="BL104">
            <v>0</v>
          </cell>
          <cell r="BM104">
            <v>0</v>
          </cell>
          <cell r="BN104">
            <v>0</v>
          </cell>
          <cell r="BO104">
            <v>0</v>
          </cell>
          <cell r="BP104">
            <v>0</v>
          </cell>
          <cell r="CA104">
            <v>173108.7323798076</v>
          </cell>
          <cell r="CB104">
            <v>185</v>
          </cell>
          <cell r="CC104">
            <v>263</v>
          </cell>
          <cell r="CD104">
            <v>263</v>
          </cell>
          <cell r="CE104">
            <v>225</v>
          </cell>
          <cell r="CF104">
            <v>263</v>
          </cell>
          <cell r="CG104">
            <v>157</v>
          </cell>
          <cell r="CH104">
            <v>263</v>
          </cell>
          <cell r="CI104">
            <v>263</v>
          </cell>
          <cell r="CJ104">
            <v>263</v>
          </cell>
          <cell r="CV104">
            <v>346.15384615384608</v>
          </cell>
          <cell r="CX104">
            <v>0</v>
          </cell>
          <cell r="CY104">
            <v>0</v>
          </cell>
          <cell r="CZ104">
            <v>0</v>
          </cell>
          <cell r="DA104">
            <v>0</v>
          </cell>
          <cell r="DB104">
            <v>0</v>
          </cell>
          <cell r="DC104">
            <v>0</v>
          </cell>
          <cell r="DD104">
            <v>0</v>
          </cell>
          <cell r="DE104">
            <v>0</v>
          </cell>
          <cell r="DF104">
            <v>0</v>
          </cell>
          <cell r="DG104">
            <v>0</v>
          </cell>
          <cell r="DR104">
            <v>73103</v>
          </cell>
          <cell r="DS104">
            <v>263</v>
          </cell>
          <cell r="DT104">
            <v>263</v>
          </cell>
          <cell r="DU104">
            <v>999999</v>
          </cell>
          <cell r="DV104">
            <v>999999</v>
          </cell>
          <cell r="DW104">
            <v>999999</v>
          </cell>
          <cell r="DX104">
            <v>263</v>
          </cell>
          <cell r="DY104">
            <v>263</v>
          </cell>
          <cell r="DZ104">
            <v>999999</v>
          </cell>
          <cell r="EA104">
            <v>999999</v>
          </cell>
        </row>
        <row r="105">
          <cell r="N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AJ105">
            <v>24</v>
          </cell>
          <cell r="AK105">
            <v>0</v>
          </cell>
          <cell r="AL105">
            <v>999999</v>
          </cell>
          <cell r="AM105">
            <v>262</v>
          </cell>
          <cell r="AN105">
            <v>262</v>
          </cell>
          <cell r="AO105">
            <v>262</v>
          </cell>
          <cell r="AP105">
            <v>7</v>
          </cell>
          <cell r="AQ105">
            <v>138</v>
          </cell>
          <cell r="AR105">
            <v>262</v>
          </cell>
          <cell r="AS105">
            <v>194</v>
          </cell>
          <cell r="BE105">
            <v>0</v>
          </cell>
          <cell r="BG105">
            <v>0</v>
          </cell>
          <cell r="BH105">
            <v>0</v>
          </cell>
          <cell r="BI105">
            <v>0</v>
          </cell>
          <cell r="BJ105">
            <v>0</v>
          </cell>
          <cell r="BK105">
            <v>0</v>
          </cell>
          <cell r="BL105">
            <v>0</v>
          </cell>
          <cell r="BM105">
            <v>0</v>
          </cell>
          <cell r="BN105">
            <v>0</v>
          </cell>
          <cell r="BO105">
            <v>0</v>
          </cell>
          <cell r="BP105">
            <v>0</v>
          </cell>
          <cell r="CA105">
            <v>172636.21007812492</v>
          </cell>
          <cell r="CB105">
            <v>184</v>
          </cell>
          <cell r="CC105">
            <v>262</v>
          </cell>
          <cell r="CD105">
            <v>262</v>
          </cell>
          <cell r="CE105">
            <v>224</v>
          </cell>
          <cell r="CF105">
            <v>262</v>
          </cell>
          <cell r="CG105">
            <v>156</v>
          </cell>
          <cell r="CH105">
            <v>262</v>
          </cell>
          <cell r="CI105">
            <v>262</v>
          </cell>
          <cell r="CJ105">
            <v>262</v>
          </cell>
          <cell r="CV105">
            <v>346.15384615384608</v>
          </cell>
          <cell r="CX105">
            <v>0</v>
          </cell>
          <cell r="CY105">
            <v>0</v>
          </cell>
          <cell r="CZ105">
            <v>0</v>
          </cell>
          <cell r="DA105">
            <v>0</v>
          </cell>
          <cell r="DB105">
            <v>0</v>
          </cell>
          <cell r="DC105">
            <v>0</v>
          </cell>
          <cell r="DD105">
            <v>0</v>
          </cell>
          <cell r="DE105">
            <v>0</v>
          </cell>
          <cell r="DF105">
            <v>0</v>
          </cell>
          <cell r="DG105">
            <v>0</v>
          </cell>
          <cell r="DR105">
            <v>73103</v>
          </cell>
          <cell r="DS105">
            <v>262</v>
          </cell>
          <cell r="DT105">
            <v>262</v>
          </cell>
          <cell r="DU105">
            <v>999999</v>
          </cell>
          <cell r="DV105">
            <v>999999</v>
          </cell>
          <cell r="DW105">
            <v>999999</v>
          </cell>
          <cell r="DX105">
            <v>262</v>
          </cell>
          <cell r="DY105">
            <v>262</v>
          </cell>
          <cell r="DZ105">
            <v>999999</v>
          </cell>
          <cell r="EA105">
            <v>999999</v>
          </cell>
        </row>
        <row r="106">
          <cell r="N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AJ106">
            <v>23</v>
          </cell>
          <cell r="AK106">
            <v>0</v>
          </cell>
          <cell r="AL106">
            <v>999999</v>
          </cell>
          <cell r="AM106">
            <v>261</v>
          </cell>
          <cell r="AN106">
            <v>261</v>
          </cell>
          <cell r="AO106">
            <v>261</v>
          </cell>
          <cell r="AP106">
            <v>6</v>
          </cell>
          <cell r="AQ106">
            <v>137</v>
          </cell>
          <cell r="AR106">
            <v>261</v>
          </cell>
          <cell r="AS106">
            <v>193</v>
          </cell>
          <cell r="BE106">
            <v>0</v>
          </cell>
          <cell r="BG106">
            <v>0</v>
          </cell>
          <cell r="BH106">
            <v>0</v>
          </cell>
          <cell r="BI106">
            <v>0</v>
          </cell>
          <cell r="BJ106">
            <v>0</v>
          </cell>
          <cell r="BK106">
            <v>0</v>
          </cell>
          <cell r="BL106">
            <v>0</v>
          </cell>
          <cell r="BM106">
            <v>0</v>
          </cell>
          <cell r="BN106">
            <v>0</v>
          </cell>
          <cell r="BO106">
            <v>0</v>
          </cell>
          <cell r="BP106">
            <v>0</v>
          </cell>
          <cell r="CA106">
            <v>172163.68777644224</v>
          </cell>
          <cell r="CB106">
            <v>183</v>
          </cell>
          <cell r="CC106">
            <v>261</v>
          </cell>
          <cell r="CD106">
            <v>261</v>
          </cell>
          <cell r="CE106">
            <v>223</v>
          </cell>
          <cell r="CF106">
            <v>261</v>
          </cell>
          <cell r="CG106">
            <v>155</v>
          </cell>
          <cell r="CH106">
            <v>261</v>
          </cell>
          <cell r="CI106">
            <v>261</v>
          </cell>
          <cell r="CJ106">
            <v>261</v>
          </cell>
          <cell r="CV106">
            <v>346.15384615384608</v>
          </cell>
          <cell r="CX106">
            <v>0</v>
          </cell>
          <cell r="CY106">
            <v>0</v>
          </cell>
          <cell r="CZ106">
            <v>0</v>
          </cell>
          <cell r="DA106">
            <v>0</v>
          </cell>
          <cell r="DB106">
            <v>0</v>
          </cell>
          <cell r="DC106">
            <v>0</v>
          </cell>
          <cell r="DD106">
            <v>0</v>
          </cell>
          <cell r="DE106">
            <v>0</v>
          </cell>
          <cell r="DF106">
            <v>0</v>
          </cell>
          <cell r="DG106">
            <v>0</v>
          </cell>
          <cell r="DR106">
            <v>73103</v>
          </cell>
          <cell r="DS106">
            <v>261</v>
          </cell>
          <cell r="DT106">
            <v>261</v>
          </cell>
          <cell r="DU106">
            <v>999999</v>
          </cell>
          <cell r="DV106">
            <v>999999</v>
          </cell>
          <cell r="DW106">
            <v>999999</v>
          </cell>
          <cell r="DX106">
            <v>261</v>
          </cell>
          <cell r="DY106">
            <v>261</v>
          </cell>
          <cell r="DZ106">
            <v>999999</v>
          </cell>
          <cell r="EA106">
            <v>999999</v>
          </cell>
        </row>
        <row r="107">
          <cell r="N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AJ107">
            <v>22</v>
          </cell>
          <cell r="AK107">
            <v>0</v>
          </cell>
          <cell r="AL107">
            <v>999999</v>
          </cell>
          <cell r="AM107">
            <v>260</v>
          </cell>
          <cell r="AN107">
            <v>260</v>
          </cell>
          <cell r="AO107">
            <v>260</v>
          </cell>
          <cell r="AP107">
            <v>5</v>
          </cell>
          <cell r="AQ107">
            <v>136</v>
          </cell>
          <cell r="AR107">
            <v>260</v>
          </cell>
          <cell r="AS107">
            <v>192</v>
          </cell>
          <cell r="BE107">
            <v>0</v>
          </cell>
          <cell r="BG107">
            <v>0</v>
          </cell>
          <cell r="BH107">
            <v>0</v>
          </cell>
          <cell r="BI107">
            <v>0</v>
          </cell>
          <cell r="BJ107">
            <v>0</v>
          </cell>
          <cell r="BK107">
            <v>0</v>
          </cell>
          <cell r="BL107">
            <v>0</v>
          </cell>
          <cell r="BM107">
            <v>0</v>
          </cell>
          <cell r="BN107">
            <v>0</v>
          </cell>
          <cell r="BO107">
            <v>0</v>
          </cell>
          <cell r="BP107">
            <v>0</v>
          </cell>
          <cell r="CA107">
            <v>171691.16547475956</v>
          </cell>
          <cell r="CB107">
            <v>182</v>
          </cell>
          <cell r="CC107">
            <v>260</v>
          </cell>
          <cell r="CD107">
            <v>260</v>
          </cell>
          <cell r="CE107">
            <v>222</v>
          </cell>
          <cell r="CF107">
            <v>260</v>
          </cell>
          <cell r="CG107">
            <v>154</v>
          </cell>
          <cell r="CH107">
            <v>260</v>
          </cell>
          <cell r="CI107">
            <v>260</v>
          </cell>
          <cell r="CJ107">
            <v>260</v>
          </cell>
          <cell r="CV107">
            <v>346.15384615384608</v>
          </cell>
          <cell r="CX107">
            <v>0</v>
          </cell>
          <cell r="CY107">
            <v>0</v>
          </cell>
          <cell r="CZ107">
            <v>0</v>
          </cell>
          <cell r="DA107">
            <v>0</v>
          </cell>
          <cell r="DB107">
            <v>0</v>
          </cell>
          <cell r="DC107">
            <v>0</v>
          </cell>
          <cell r="DD107">
            <v>0</v>
          </cell>
          <cell r="DE107">
            <v>0</v>
          </cell>
          <cell r="DF107">
            <v>0</v>
          </cell>
          <cell r="DG107">
            <v>0</v>
          </cell>
          <cell r="DR107">
            <v>73103</v>
          </cell>
          <cell r="DS107">
            <v>260</v>
          </cell>
          <cell r="DT107">
            <v>260</v>
          </cell>
          <cell r="DU107">
            <v>999999</v>
          </cell>
          <cell r="DV107">
            <v>999999</v>
          </cell>
          <cell r="DW107">
            <v>999999</v>
          </cell>
          <cell r="DX107">
            <v>260</v>
          </cell>
          <cell r="DY107">
            <v>260</v>
          </cell>
          <cell r="DZ107">
            <v>999999</v>
          </cell>
          <cell r="EA107">
            <v>999999</v>
          </cell>
        </row>
        <row r="108">
          <cell r="N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AJ108">
            <v>21</v>
          </cell>
          <cell r="AK108">
            <v>0</v>
          </cell>
          <cell r="AL108">
            <v>999999</v>
          </cell>
          <cell r="AM108">
            <v>259</v>
          </cell>
          <cell r="AN108">
            <v>259</v>
          </cell>
          <cell r="AO108">
            <v>259</v>
          </cell>
          <cell r="AP108">
            <v>4</v>
          </cell>
          <cell r="AQ108">
            <v>135</v>
          </cell>
          <cell r="AR108">
            <v>259</v>
          </cell>
          <cell r="AS108">
            <v>191</v>
          </cell>
          <cell r="BE108">
            <v>0</v>
          </cell>
          <cell r="BG108">
            <v>0</v>
          </cell>
          <cell r="BH108">
            <v>0</v>
          </cell>
          <cell r="BI108">
            <v>0</v>
          </cell>
          <cell r="BJ108">
            <v>0</v>
          </cell>
          <cell r="BK108">
            <v>0</v>
          </cell>
          <cell r="BL108">
            <v>0</v>
          </cell>
          <cell r="BM108">
            <v>0</v>
          </cell>
          <cell r="BN108">
            <v>0</v>
          </cell>
          <cell r="BO108">
            <v>0</v>
          </cell>
          <cell r="BP108">
            <v>0</v>
          </cell>
          <cell r="CA108">
            <v>171218.64317307688</v>
          </cell>
          <cell r="CB108">
            <v>181</v>
          </cell>
          <cell r="CC108">
            <v>259</v>
          </cell>
          <cell r="CD108">
            <v>259</v>
          </cell>
          <cell r="CE108">
            <v>221</v>
          </cell>
          <cell r="CF108">
            <v>259</v>
          </cell>
          <cell r="CG108">
            <v>153</v>
          </cell>
          <cell r="CH108">
            <v>259</v>
          </cell>
          <cell r="CI108">
            <v>259</v>
          </cell>
          <cell r="CJ108">
            <v>259</v>
          </cell>
          <cell r="CV108">
            <v>346.15384615384608</v>
          </cell>
          <cell r="CX108">
            <v>0</v>
          </cell>
          <cell r="CY108">
            <v>0</v>
          </cell>
          <cell r="CZ108">
            <v>0</v>
          </cell>
          <cell r="DA108">
            <v>0</v>
          </cell>
          <cell r="DB108">
            <v>0</v>
          </cell>
          <cell r="DC108">
            <v>0</v>
          </cell>
          <cell r="DD108">
            <v>0</v>
          </cell>
          <cell r="DE108">
            <v>0</v>
          </cell>
          <cell r="DF108">
            <v>0</v>
          </cell>
          <cell r="DG108">
            <v>0</v>
          </cell>
          <cell r="DR108">
            <v>73103</v>
          </cell>
          <cell r="DS108">
            <v>259</v>
          </cell>
          <cell r="DT108">
            <v>259</v>
          </cell>
          <cell r="DU108">
            <v>999999</v>
          </cell>
          <cell r="DV108">
            <v>999999</v>
          </cell>
          <cell r="DW108">
            <v>999999</v>
          </cell>
          <cell r="DX108">
            <v>259</v>
          </cell>
          <cell r="DY108">
            <v>259</v>
          </cell>
          <cell r="DZ108">
            <v>999999</v>
          </cell>
          <cell r="EA108">
            <v>999999</v>
          </cell>
        </row>
        <row r="109">
          <cell r="N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AJ109">
            <v>20</v>
          </cell>
          <cell r="AK109">
            <v>0</v>
          </cell>
          <cell r="AL109">
            <v>999999</v>
          </cell>
          <cell r="AM109">
            <v>258</v>
          </cell>
          <cell r="AN109">
            <v>258</v>
          </cell>
          <cell r="AO109">
            <v>258</v>
          </cell>
          <cell r="AP109">
            <v>3</v>
          </cell>
          <cell r="AQ109">
            <v>134</v>
          </cell>
          <cell r="AR109">
            <v>258</v>
          </cell>
          <cell r="AS109">
            <v>190</v>
          </cell>
          <cell r="BE109">
            <v>0</v>
          </cell>
          <cell r="BG109">
            <v>0</v>
          </cell>
          <cell r="BH109">
            <v>0</v>
          </cell>
          <cell r="BI109">
            <v>0</v>
          </cell>
          <cell r="BJ109">
            <v>0</v>
          </cell>
          <cell r="BK109">
            <v>0</v>
          </cell>
          <cell r="BL109">
            <v>0</v>
          </cell>
          <cell r="BM109">
            <v>0</v>
          </cell>
          <cell r="BN109">
            <v>0</v>
          </cell>
          <cell r="BO109">
            <v>0</v>
          </cell>
          <cell r="BP109">
            <v>0</v>
          </cell>
          <cell r="CA109">
            <v>170746.1208713942</v>
          </cell>
          <cell r="CB109">
            <v>180</v>
          </cell>
          <cell r="CC109">
            <v>258</v>
          </cell>
          <cell r="CD109">
            <v>258</v>
          </cell>
          <cell r="CE109">
            <v>220</v>
          </cell>
          <cell r="CF109">
            <v>258</v>
          </cell>
          <cell r="CG109">
            <v>152</v>
          </cell>
          <cell r="CH109">
            <v>258</v>
          </cell>
          <cell r="CI109">
            <v>258</v>
          </cell>
          <cell r="CJ109">
            <v>258</v>
          </cell>
          <cell r="CV109">
            <v>346.15384615384608</v>
          </cell>
          <cell r="CX109">
            <v>0</v>
          </cell>
          <cell r="CY109">
            <v>0</v>
          </cell>
          <cell r="CZ109">
            <v>0</v>
          </cell>
          <cell r="DA109">
            <v>0</v>
          </cell>
          <cell r="DB109">
            <v>0</v>
          </cell>
          <cell r="DC109">
            <v>0</v>
          </cell>
          <cell r="DD109">
            <v>0</v>
          </cell>
          <cell r="DE109">
            <v>0</v>
          </cell>
          <cell r="DF109">
            <v>0</v>
          </cell>
          <cell r="DG109">
            <v>0</v>
          </cell>
          <cell r="DR109">
            <v>73103</v>
          </cell>
          <cell r="DS109">
            <v>258</v>
          </cell>
          <cell r="DT109">
            <v>258</v>
          </cell>
          <cell r="DU109">
            <v>999999</v>
          </cell>
          <cell r="DV109">
            <v>999999</v>
          </cell>
          <cell r="DW109">
            <v>999999</v>
          </cell>
          <cell r="DX109">
            <v>258</v>
          </cell>
          <cell r="DY109">
            <v>258</v>
          </cell>
          <cell r="DZ109">
            <v>999999</v>
          </cell>
          <cell r="EA109">
            <v>999999</v>
          </cell>
        </row>
        <row r="110">
          <cell r="N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AJ110">
            <v>19</v>
          </cell>
          <cell r="AK110">
            <v>0</v>
          </cell>
          <cell r="AL110">
            <v>999999</v>
          </cell>
          <cell r="AM110">
            <v>257</v>
          </cell>
          <cell r="AN110">
            <v>257</v>
          </cell>
          <cell r="AO110">
            <v>257</v>
          </cell>
          <cell r="AP110">
            <v>2</v>
          </cell>
          <cell r="AQ110">
            <v>133</v>
          </cell>
          <cell r="AR110">
            <v>257</v>
          </cell>
          <cell r="AS110">
            <v>189</v>
          </cell>
          <cell r="BE110">
            <v>0</v>
          </cell>
          <cell r="BG110">
            <v>0</v>
          </cell>
          <cell r="BH110">
            <v>0</v>
          </cell>
          <cell r="BI110">
            <v>0</v>
          </cell>
          <cell r="BJ110">
            <v>0</v>
          </cell>
          <cell r="BK110">
            <v>0</v>
          </cell>
          <cell r="BL110">
            <v>0</v>
          </cell>
          <cell r="BM110">
            <v>0</v>
          </cell>
          <cell r="BN110">
            <v>0</v>
          </cell>
          <cell r="BO110">
            <v>0</v>
          </cell>
          <cell r="BP110">
            <v>0</v>
          </cell>
          <cell r="CA110">
            <v>170273.59856971152</v>
          </cell>
          <cell r="CB110">
            <v>179</v>
          </cell>
          <cell r="CC110">
            <v>257</v>
          </cell>
          <cell r="CD110">
            <v>257</v>
          </cell>
          <cell r="CE110">
            <v>219</v>
          </cell>
          <cell r="CF110">
            <v>257</v>
          </cell>
          <cell r="CG110">
            <v>151</v>
          </cell>
          <cell r="CH110">
            <v>257</v>
          </cell>
          <cell r="CI110">
            <v>257</v>
          </cell>
          <cell r="CJ110">
            <v>257</v>
          </cell>
          <cell r="CV110">
            <v>346.15384615384608</v>
          </cell>
          <cell r="CX110">
            <v>0</v>
          </cell>
          <cell r="CY110">
            <v>0</v>
          </cell>
          <cell r="CZ110">
            <v>0</v>
          </cell>
          <cell r="DA110">
            <v>0</v>
          </cell>
          <cell r="DB110">
            <v>0</v>
          </cell>
          <cell r="DC110">
            <v>0</v>
          </cell>
          <cell r="DD110">
            <v>0</v>
          </cell>
          <cell r="DE110">
            <v>0</v>
          </cell>
          <cell r="DF110">
            <v>0</v>
          </cell>
          <cell r="DG110">
            <v>0</v>
          </cell>
          <cell r="DR110">
            <v>73103</v>
          </cell>
          <cell r="DS110">
            <v>257</v>
          </cell>
          <cell r="DT110">
            <v>257</v>
          </cell>
          <cell r="DU110">
            <v>999999</v>
          </cell>
          <cell r="DV110">
            <v>999999</v>
          </cell>
          <cell r="DW110">
            <v>999999</v>
          </cell>
          <cell r="DX110">
            <v>257</v>
          </cell>
          <cell r="DY110">
            <v>257</v>
          </cell>
          <cell r="DZ110">
            <v>999999</v>
          </cell>
          <cell r="EA110">
            <v>999999</v>
          </cell>
        </row>
        <row r="111">
          <cell r="N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AJ111">
            <v>18</v>
          </cell>
          <cell r="AK111">
            <v>0</v>
          </cell>
          <cell r="AL111">
            <v>999999</v>
          </cell>
          <cell r="AM111">
            <v>256</v>
          </cell>
          <cell r="AN111">
            <v>256</v>
          </cell>
          <cell r="AO111">
            <v>256</v>
          </cell>
          <cell r="AP111">
            <v>1</v>
          </cell>
          <cell r="AQ111">
            <v>132</v>
          </cell>
          <cell r="AR111">
            <v>256</v>
          </cell>
          <cell r="AS111">
            <v>188</v>
          </cell>
          <cell r="BE111">
            <v>0</v>
          </cell>
          <cell r="BG111">
            <v>0</v>
          </cell>
          <cell r="BH111">
            <v>0</v>
          </cell>
          <cell r="BI111">
            <v>0</v>
          </cell>
          <cell r="BJ111">
            <v>0</v>
          </cell>
          <cell r="BK111">
            <v>0</v>
          </cell>
          <cell r="BL111">
            <v>0</v>
          </cell>
          <cell r="BM111">
            <v>0</v>
          </cell>
          <cell r="BN111">
            <v>0</v>
          </cell>
          <cell r="BO111">
            <v>0</v>
          </cell>
          <cell r="BP111">
            <v>0</v>
          </cell>
          <cell r="CA111">
            <v>169801.07626802885</v>
          </cell>
          <cell r="CB111">
            <v>178</v>
          </cell>
          <cell r="CC111">
            <v>256</v>
          </cell>
          <cell r="CD111">
            <v>256</v>
          </cell>
          <cell r="CE111">
            <v>218</v>
          </cell>
          <cell r="CF111">
            <v>256</v>
          </cell>
          <cell r="CG111">
            <v>150</v>
          </cell>
          <cell r="CH111">
            <v>256</v>
          </cell>
          <cell r="CI111">
            <v>256</v>
          </cell>
          <cell r="CJ111">
            <v>256</v>
          </cell>
          <cell r="CV111">
            <v>346.15384615384608</v>
          </cell>
          <cell r="CX111">
            <v>0</v>
          </cell>
          <cell r="CY111">
            <v>0</v>
          </cell>
          <cell r="CZ111">
            <v>0</v>
          </cell>
          <cell r="DA111">
            <v>0</v>
          </cell>
          <cell r="DB111">
            <v>0</v>
          </cell>
          <cell r="DC111">
            <v>0</v>
          </cell>
          <cell r="DD111">
            <v>0</v>
          </cell>
          <cell r="DE111">
            <v>0</v>
          </cell>
          <cell r="DF111">
            <v>0</v>
          </cell>
          <cell r="DG111">
            <v>0</v>
          </cell>
          <cell r="DR111">
            <v>73103</v>
          </cell>
          <cell r="DS111">
            <v>256</v>
          </cell>
          <cell r="DT111">
            <v>256</v>
          </cell>
          <cell r="DU111">
            <v>999999</v>
          </cell>
          <cell r="DV111">
            <v>999999</v>
          </cell>
          <cell r="DW111">
            <v>999999</v>
          </cell>
          <cell r="DX111">
            <v>256</v>
          </cell>
          <cell r="DY111">
            <v>256</v>
          </cell>
          <cell r="DZ111">
            <v>999999</v>
          </cell>
          <cell r="EA111">
            <v>999999</v>
          </cell>
        </row>
        <row r="112">
          <cell r="N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AJ112">
            <v>17</v>
          </cell>
          <cell r="AK112">
            <v>0</v>
          </cell>
          <cell r="AL112">
            <v>999999</v>
          </cell>
          <cell r="AM112">
            <v>255</v>
          </cell>
          <cell r="AN112">
            <v>255</v>
          </cell>
          <cell r="AO112">
            <v>255</v>
          </cell>
          <cell r="AP112">
            <v>0</v>
          </cell>
          <cell r="AQ112">
            <v>131</v>
          </cell>
          <cell r="AR112">
            <v>255</v>
          </cell>
          <cell r="AS112">
            <v>187</v>
          </cell>
          <cell r="BE112">
            <v>0</v>
          </cell>
          <cell r="BG112">
            <v>0</v>
          </cell>
          <cell r="BH112">
            <v>0</v>
          </cell>
          <cell r="BI112">
            <v>0</v>
          </cell>
          <cell r="BJ112">
            <v>0</v>
          </cell>
          <cell r="BK112">
            <v>0</v>
          </cell>
          <cell r="BL112">
            <v>0</v>
          </cell>
          <cell r="BM112">
            <v>0</v>
          </cell>
          <cell r="BN112">
            <v>0</v>
          </cell>
          <cell r="BO112">
            <v>0</v>
          </cell>
          <cell r="BP112">
            <v>0</v>
          </cell>
          <cell r="CA112">
            <v>169328.55396634617</v>
          </cell>
          <cell r="CB112">
            <v>177</v>
          </cell>
          <cell r="CC112">
            <v>255</v>
          </cell>
          <cell r="CD112">
            <v>255</v>
          </cell>
          <cell r="CE112">
            <v>217</v>
          </cell>
          <cell r="CF112">
            <v>255</v>
          </cell>
          <cell r="CG112">
            <v>149</v>
          </cell>
          <cell r="CH112">
            <v>255</v>
          </cell>
          <cell r="CI112">
            <v>255</v>
          </cell>
          <cell r="CJ112">
            <v>255</v>
          </cell>
          <cell r="CV112">
            <v>346.15384615384608</v>
          </cell>
          <cell r="CX112">
            <v>0</v>
          </cell>
          <cell r="CY112">
            <v>0</v>
          </cell>
          <cell r="CZ112">
            <v>0</v>
          </cell>
          <cell r="DA112">
            <v>0</v>
          </cell>
          <cell r="DB112">
            <v>0</v>
          </cell>
          <cell r="DC112">
            <v>0</v>
          </cell>
          <cell r="DD112">
            <v>0</v>
          </cell>
          <cell r="DE112">
            <v>0</v>
          </cell>
          <cell r="DF112">
            <v>0</v>
          </cell>
          <cell r="DG112">
            <v>0</v>
          </cell>
          <cell r="DR112">
            <v>73103</v>
          </cell>
          <cell r="DS112">
            <v>255</v>
          </cell>
          <cell r="DT112">
            <v>255</v>
          </cell>
          <cell r="DU112">
            <v>999999</v>
          </cell>
          <cell r="DV112">
            <v>999999</v>
          </cell>
          <cell r="DW112">
            <v>999999</v>
          </cell>
          <cell r="DX112">
            <v>255</v>
          </cell>
          <cell r="DY112">
            <v>255</v>
          </cell>
          <cell r="DZ112">
            <v>999999</v>
          </cell>
          <cell r="EA112">
            <v>999999</v>
          </cell>
        </row>
        <row r="113">
          <cell r="N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AJ113">
            <v>16</v>
          </cell>
          <cell r="AK113">
            <v>0</v>
          </cell>
          <cell r="AL113">
            <v>999999</v>
          </cell>
          <cell r="AM113">
            <v>254</v>
          </cell>
          <cell r="AN113">
            <v>254</v>
          </cell>
          <cell r="AO113">
            <v>254</v>
          </cell>
          <cell r="AP113">
            <v>0</v>
          </cell>
          <cell r="AQ113">
            <v>130</v>
          </cell>
          <cell r="AR113">
            <v>254</v>
          </cell>
          <cell r="AS113">
            <v>186</v>
          </cell>
          <cell r="BE113">
            <v>0</v>
          </cell>
          <cell r="BG113">
            <v>0</v>
          </cell>
          <cell r="BH113">
            <v>0</v>
          </cell>
          <cell r="BI113">
            <v>0</v>
          </cell>
          <cell r="BJ113">
            <v>0</v>
          </cell>
          <cell r="BK113">
            <v>0</v>
          </cell>
          <cell r="BL113">
            <v>0</v>
          </cell>
          <cell r="BM113">
            <v>0</v>
          </cell>
          <cell r="BN113">
            <v>0</v>
          </cell>
          <cell r="BO113">
            <v>0</v>
          </cell>
          <cell r="BP113">
            <v>0</v>
          </cell>
          <cell r="CA113">
            <v>168856.03166466349</v>
          </cell>
          <cell r="CB113">
            <v>176</v>
          </cell>
          <cell r="CC113">
            <v>254</v>
          </cell>
          <cell r="CD113">
            <v>254</v>
          </cell>
          <cell r="CE113">
            <v>216</v>
          </cell>
          <cell r="CF113">
            <v>254</v>
          </cell>
          <cell r="CG113">
            <v>148</v>
          </cell>
          <cell r="CH113">
            <v>254</v>
          </cell>
          <cell r="CI113">
            <v>254</v>
          </cell>
          <cell r="CJ113">
            <v>254</v>
          </cell>
          <cell r="CV113">
            <v>346.15384615384608</v>
          </cell>
          <cell r="CX113">
            <v>0</v>
          </cell>
          <cell r="CY113">
            <v>0</v>
          </cell>
          <cell r="CZ113">
            <v>0</v>
          </cell>
          <cell r="DA113">
            <v>0</v>
          </cell>
          <cell r="DB113">
            <v>0</v>
          </cell>
          <cell r="DC113">
            <v>0</v>
          </cell>
          <cell r="DD113">
            <v>0</v>
          </cell>
          <cell r="DE113">
            <v>0</v>
          </cell>
          <cell r="DF113">
            <v>0</v>
          </cell>
          <cell r="DG113">
            <v>0</v>
          </cell>
          <cell r="DR113">
            <v>73103</v>
          </cell>
          <cell r="DS113">
            <v>254</v>
          </cell>
          <cell r="DT113">
            <v>254</v>
          </cell>
          <cell r="DU113">
            <v>999999</v>
          </cell>
          <cell r="DV113">
            <v>999999</v>
          </cell>
          <cell r="DW113">
            <v>999999</v>
          </cell>
          <cell r="DX113">
            <v>254</v>
          </cell>
          <cell r="DY113">
            <v>254</v>
          </cell>
          <cell r="DZ113">
            <v>999999</v>
          </cell>
          <cell r="EA113">
            <v>999999</v>
          </cell>
        </row>
        <row r="114">
          <cell r="N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AJ114">
            <v>15</v>
          </cell>
          <cell r="AK114">
            <v>0</v>
          </cell>
          <cell r="AL114">
            <v>999999</v>
          </cell>
          <cell r="AM114">
            <v>253</v>
          </cell>
          <cell r="AN114">
            <v>253</v>
          </cell>
          <cell r="AO114">
            <v>253</v>
          </cell>
          <cell r="AP114">
            <v>0</v>
          </cell>
          <cell r="AQ114">
            <v>129</v>
          </cell>
          <cell r="AR114">
            <v>253</v>
          </cell>
          <cell r="AS114">
            <v>185</v>
          </cell>
          <cell r="BE114">
            <v>0</v>
          </cell>
          <cell r="BG114">
            <v>0</v>
          </cell>
          <cell r="BH114">
            <v>0</v>
          </cell>
          <cell r="BI114">
            <v>0</v>
          </cell>
          <cell r="BJ114">
            <v>0</v>
          </cell>
          <cell r="BK114">
            <v>0</v>
          </cell>
          <cell r="BL114">
            <v>0</v>
          </cell>
          <cell r="BM114">
            <v>0</v>
          </cell>
          <cell r="BN114">
            <v>0</v>
          </cell>
          <cell r="BO114">
            <v>0</v>
          </cell>
          <cell r="BP114">
            <v>0</v>
          </cell>
          <cell r="CA114">
            <v>168383.50936298081</v>
          </cell>
          <cell r="CB114">
            <v>175</v>
          </cell>
          <cell r="CC114">
            <v>253</v>
          </cell>
          <cell r="CD114">
            <v>253</v>
          </cell>
          <cell r="CE114">
            <v>215</v>
          </cell>
          <cell r="CF114">
            <v>253</v>
          </cell>
          <cell r="CG114">
            <v>147</v>
          </cell>
          <cell r="CH114">
            <v>253</v>
          </cell>
          <cell r="CI114">
            <v>253</v>
          </cell>
          <cell r="CJ114">
            <v>253</v>
          </cell>
          <cell r="CV114">
            <v>346.15384615384608</v>
          </cell>
          <cell r="CX114">
            <v>0</v>
          </cell>
          <cell r="CY114">
            <v>0</v>
          </cell>
          <cell r="CZ114">
            <v>0</v>
          </cell>
          <cell r="DA114">
            <v>0</v>
          </cell>
          <cell r="DB114">
            <v>0</v>
          </cell>
          <cell r="DC114">
            <v>0</v>
          </cell>
          <cell r="DD114">
            <v>0</v>
          </cell>
          <cell r="DE114">
            <v>0</v>
          </cell>
          <cell r="DF114">
            <v>0</v>
          </cell>
          <cell r="DG114">
            <v>0</v>
          </cell>
          <cell r="DR114">
            <v>73103</v>
          </cell>
          <cell r="DS114">
            <v>253</v>
          </cell>
          <cell r="DT114">
            <v>253</v>
          </cell>
          <cell r="DU114">
            <v>999999</v>
          </cell>
          <cell r="DV114">
            <v>999999</v>
          </cell>
          <cell r="DW114">
            <v>999999</v>
          </cell>
          <cell r="DX114">
            <v>253</v>
          </cell>
          <cell r="DY114">
            <v>253</v>
          </cell>
          <cell r="DZ114">
            <v>999999</v>
          </cell>
          <cell r="EA114">
            <v>999999</v>
          </cell>
        </row>
        <row r="115">
          <cell r="N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AJ115">
            <v>14</v>
          </cell>
          <cell r="AK115">
            <v>0</v>
          </cell>
          <cell r="AL115">
            <v>999999</v>
          </cell>
          <cell r="AM115">
            <v>252</v>
          </cell>
          <cell r="AN115">
            <v>252</v>
          </cell>
          <cell r="AO115">
            <v>252</v>
          </cell>
          <cell r="AP115">
            <v>0</v>
          </cell>
          <cell r="AQ115">
            <v>128</v>
          </cell>
          <cell r="AR115">
            <v>252</v>
          </cell>
          <cell r="AS115">
            <v>184</v>
          </cell>
          <cell r="BE115">
            <v>0</v>
          </cell>
          <cell r="BG115">
            <v>0</v>
          </cell>
          <cell r="BH115">
            <v>0</v>
          </cell>
          <cell r="BI115">
            <v>0</v>
          </cell>
          <cell r="BJ115">
            <v>0</v>
          </cell>
          <cell r="BK115">
            <v>0</v>
          </cell>
          <cell r="BL115">
            <v>0</v>
          </cell>
          <cell r="BM115">
            <v>0</v>
          </cell>
          <cell r="BN115">
            <v>0</v>
          </cell>
          <cell r="BO115">
            <v>0</v>
          </cell>
          <cell r="BP115">
            <v>0</v>
          </cell>
          <cell r="CA115">
            <v>167910.98706129813</v>
          </cell>
          <cell r="CB115">
            <v>174</v>
          </cell>
          <cell r="CC115">
            <v>252</v>
          </cell>
          <cell r="CD115">
            <v>252</v>
          </cell>
          <cell r="CE115">
            <v>214</v>
          </cell>
          <cell r="CF115">
            <v>252</v>
          </cell>
          <cell r="CG115">
            <v>146</v>
          </cell>
          <cell r="CH115">
            <v>252</v>
          </cell>
          <cell r="CI115">
            <v>252</v>
          </cell>
          <cell r="CJ115">
            <v>252</v>
          </cell>
          <cell r="CV115">
            <v>346.15384615384608</v>
          </cell>
          <cell r="CX115">
            <v>0</v>
          </cell>
          <cell r="CY115">
            <v>0</v>
          </cell>
          <cell r="CZ115">
            <v>0</v>
          </cell>
          <cell r="DA115">
            <v>0</v>
          </cell>
          <cell r="DB115">
            <v>0</v>
          </cell>
          <cell r="DC115">
            <v>0</v>
          </cell>
          <cell r="DD115">
            <v>0</v>
          </cell>
          <cell r="DE115">
            <v>0</v>
          </cell>
          <cell r="DF115">
            <v>0</v>
          </cell>
          <cell r="DG115">
            <v>0</v>
          </cell>
          <cell r="DR115">
            <v>73103</v>
          </cell>
          <cell r="DS115">
            <v>252</v>
          </cell>
          <cell r="DT115">
            <v>252</v>
          </cell>
          <cell r="DU115">
            <v>999999</v>
          </cell>
          <cell r="DV115">
            <v>999999</v>
          </cell>
          <cell r="DW115">
            <v>999999</v>
          </cell>
          <cell r="DX115">
            <v>252</v>
          </cell>
          <cell r="DY115">
            <v>252</v>
          </cell>
          <cell r="DZ115">
            <v>999999</v>
          </cell>
          <cell r="EA115">
            <v>999999</v>
          </cell>
        </row>
        <row r="116">
          <cell r="N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AJ116">
            <v>13</v>
          </cell>
          <cell r="AK116">
            <v>0</v>
          </cell>
          <cell r="AL116">
            <v>999999</v>
          </cell>
          <cell r="AM116">
            <v>251</v>
          </cell>
          <cell r="AN116">
            <v>251</v>
          </cell>
          <cell r="AO116">
            <v>251</v>
          </cell>
          <cell r="AP116">
            <v>0</v>
          </cell>
          <cell r="AQ116">
            <v>127</v>
          </cell>
          <cell r="AR116">
            <v>251</v>
          </cell>
          <cell r="AS116">
            <v>183</v>
          </cell>
          <cell r="BE116">
            <v>0</v>
          </cell>
          <cell r="BG116">
            <v>0</v>
          </cell>
          <cell r="BH116">
            <v>0</v>
          </cell>
          <cell r="BI116">
            <v>0</v>
          </cell>
          <cell r="BJ116">
            <v>0</v>
          </cell>
          <cell r="BK116">
            <v>0</v>
          </cell>
          <cell r="BL116">
            <v>0</v>
          </cell>
          <cell r="BM116">
            <v>0</v>
          </cell>
          <cell r="BN116">
            <v>0</v>
          </cell>
          <cell r="BO116">
            <v>0</v>
          </cell>
          <cell r="BP116">
            <v>0</v>
          </cell>
          <cell r="CA116">
            <v>167438.46475961545</v>
          </cell>
          <cell r="CB116">
            <v>173</v>
          </cell>
          <cell r="CC116">
            <v>251</v>
          </cell>
          <cell r="CD116">
            <v>251</v>
          </cell>
          <cell r="CE116">
            <v>213</v>
          </cell>
          <cell r="CF116">
            <v>251</v>
          </cell>
          <cell r="CG116">
            <v>145</v>
          </cell>
          <cell r="CH116">
            <v>251</v>
          </cell>
          <cell r="CI116">
            <v>251</v>
          </cell>
          <cell r="CJ116">
            <v>251</v>
          </cell>
          <cell r="CV116">
            <v>346.15384615384608</v>
          </cell>
          <cell r="CX116">
            <v>0</v>
          </cell>
          <cell r="CY116">
            <v>0</v>
          </cell>
          <cell r="CZ116">
            <v>0</v>
          </cell>
          <cell r="DA116">
            <v>0</v>
          </cell>
          <cell r="DB116">
            <v>0</v>
          </cell>
          <cell r="DC116">
            <v>0</v>
          </cell>
          <cell r="DD116">
            <v>0</v>
          </cell>
          <cell r="DE116">
            <v>0</v>
          </cell>
          <cell r="DF116">
            <v>0</v>
          </cell>
          <cell r="DG116">
            <v>0</v>
          </cell>
          <cell r="DR116">
            <v>73103</v>
          </cell>
          <cell r="DS116">
            <v>251</v>
          </cell>
          <cell r="DT116">
            <v>251</v>
          </cell>
          <cell r="DU116">
            <v>999999</v>
          </cell>
          <cell r="DV116">
            <v>999999</v>
          </cell>
          <cell r="DW116">
            <v>999999</v>
          </cell>
          <cell r="DX116">
            <v>251</v>
          </cell>
          <cell r="DY116">
            <v>251</v>
          </cell>
          <cell r="DZ116">
            <v>999999</v>
          </cell>
          <cell r="EA116">
            <v>999999</v>
          </cell>
        </row>
        <row r="117">
          <cell r="N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AJ117">
            <v>12</v>
          </cell>
          <cell r="AK117">
            <v>0</v>
          </cell>
          <cell r="AL117">
            <v>999999</v>
          </cell>
          <cell r="AM117">
            <v>250</v>
          </cell>
          <cell r="AN117">
            <v>250</v>
          </cell>
          <cell r="AO117">
            <v>250</v>
          </cell>
          <cell r="AP117">
            <v>0</v>
          </cell>
          <cell r="AQ117">
            <v>126</v>
          </cell>
          <cell r="AR117">
            <v>250</v>
          </cell>
          <cell r="AS117">
            <v>182</v>
          </cell>
          <cell r="BE117">
            <v>0</v>
          </cell>
          <cell r="BG117">
            <v>0</v>
          </cell>
          <cell r="BH117">
            <v>0</v>
          </cell>
          <cell r="BI117">
            <v>0</v>
          </cell>
          <cell r="BJ117">
            <v>0</v>
          </cell>
          <cell r="BK117">
            <v>0</v>
          </cell>
          <cell r="BL117">
            <v>0</v>
          </cell>
          <cell r="BM117">
            <v>0</v>
          </cell>
          <cell r="BN117">
            <v>0</v>
          </cell>
          <cell r="BO117">
            <v>0</v>
          </cell>
          <cell r="BP117">
            <v>0</v>
          </cell>
          <cell r="CA117">
            <v>166965.94245793278</v>
          </cell>
          <cell r="CB117">
            <v>172</v>
          </cell>
          <cell r="CC117">
            <v>250</v>
          </cell>
          <cell r="CD117">
            <v>250</v>
          </cell>
          <cell r="CE117">
            <v>212</v>
          </cell>
          <cell r="CF117">
            <v>250</v>
          </cell>
          <cell r="CG117">
            <v>144</v>
          </cell>
          <cell r="CH117">
            <v>250</v>
          </cell>
          <cell r="CI117">
            <v>250</v>
          </cell>
          <cell r="CJ117">
            <v>250</v>
          </cell>
          <cell r="CV117">
            <v>346.15384615384608</v>
          </cell>
          <cell r="CX117">
            <v>0</v>
          </cell>
          <cell r="CY117">
            <v>0</v>
          </cell>
          <cell r="CZ117">
            <v>0</v>
          </cell>
          <cell r="DA117">
            <v>0</v>
          </cell>
          <cell r="DB117">
            <v>0</v>
          </cell>
          <cell r="DC117">
            <v>0</v>
          </cell>
          <cell r="DD117">
            <v>0</v>
          </cell>
          <cell r="DE117">
            <v>0</v>
          </cell>
          <cell r="DF117">
            <v>0</v>
          </cell>
          <cell r="DG117">
            <v>0</v>
          </cell>
          <cell r="DR117">
            <v>73103</v>
          </cell>
          <cell r="DS117">
            <v>250</v>
          </cell>
          <cell r="DT117">
            <v>250</v>
          </cell>
          <cell r="DU117">
            <v>999999</v>
          </cell>
          <cell r="DV117">
            <v>999999</v>
          </cell>
          <cell r="DW117">
            <v>999999</v>
          </cell>
          <cell r="DX117">
            <v>250</v>
          </cell>
          <cell r="DY117">
            <v>250</v>
          </cell>
          <cell r="DZ117">
            <v>999999</v>
          </cell>
          <cell r="EA117">
            <v>999999</v>
          </cell>
        </row>
        <row r="118">
          <cell r="N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AJ118">
            <v>11</v>
          </cell>
          <cell r="AK118">
            <v>0</v>
          </cell>
          <cell r="AL118">
            <v>999999</v>
          </cell>
          <cell r="AM118">
            <v>249</v>
          </cell>
          <cell r="AN118">
            <v>249</v>
          </cell>
          <cell r="AO118">
            <v>249</v>
          </cell>
          <cell r="AP118">
            <v>0</v>
          </cell>
          <cell r="AQ118">
            <v>125</v>
          </cell>
          <cell r="AR118">
            <v>249</v>
          </cell>
          <cell r="AS118">
            <v>181</v>
          </cell>
          <cell r="BE118">
            <v>0</v>
          </cell>
          <cell r="BG118">
            <v>0</v>
          </cell>
          <cell r="BH118">
            <v>0</v>
          </cell>
          <cell r="BI118">
            <v>0</v>
          </cell>
          <cell r="BJ118">
            <v>0</v>
          </cell>
          <cell r="BK118">
            <v>0</v>
          </cell>
          <cell r="BL118">
            <v>0</v>
          </cell>
          <cell r="BM118">
            <v>0</v>
          </cell>
          <cell r="BN118">
            <v>0</v>
          </cell>
          <cell r="BO118">
            <v>0</v>
          </cell>
          <cell r="BP118">
            <v>0</v>
          </cell>
          <cell r="CA118">
            <v>166493.4201562501</v>
          </cell>
          <cell r="CB118">
            <v>171</v>
          </cell>
          <cell r="CC118">
            <v>249</v>
          </cell>
          <cell r="CD118">
            <v>249</v>
          </cell>
          <cell r="CE118">
            <v>211</v>
          </cell>
          <cell r="CF118">
            <v>249</v>
          </cell>
          <cell r="CG118">
            <v>143</v>
          </cell>
          <cell r="CH118">
            <v>249</v>
          </cell>
          <cell r="CI118">
            <v>249</v>
          </cell>
          <cell r="CJ118">
            <v>249</v>
          </cell>
          <cell r="CV118">
            <v>346.15384615384608</v>
          </cell>
          <cell r="CX118">
            <v>0</v>
          </cell>
          <cell r="CY118">
            <v>0</v>
          </cell>
          <cell r="CZ118">
            <v>0</v>
          </cell>
          <cell r="DA118">
            <v>0</v>
          </cell>
          <cell r="DB118">
            <v>0</v>
          </cell>
          <cell r="DC118">
            <v>0</v>
          </cell>
          <cell r="DD118">
            <v>0</v>
          </cell>
          <cell r="DE118">
            <v>0</v>
          </cell>
          <cell r="DF118">
            <v>0</v>
          </cell>
          <cell r="DG118">
            <v>0</v>
          </cell>
          <cell r="DR118">
            <v>73103</v>
          </cell>
          <cell r="DS118">
            <v>249</v>
          </cell>
          <cell r="DT118">
            <v>249</v>
          </cell>
          <cell r="DU118">
            <v>999999</v>
          </cell>
          <cell r="DV118">
            <v>999999</v>
          </cell>
          <cell r="DW118">
            <v>999999</v>
          </cell>
          <cell r="DX118">
            <v>249</v>
          </cell>
          <cell r="DY118">
            <v>249</v>
          </cell>
          <cell r="DZ118">
            <v>999999</v>
          </cell>
          <cell r="EA118">
            <v>999999</v>
          </cell>
        </row>
        <row r="119">
          <cell r="N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AJ119">
            <v>10</v>
          </cell>
          <cell r="AK119">
            <v>0</v>
          </cell>
          <cell r="AL119">
            <v>999999</v>
          </cell>
          <cell r="AM119">
            <v>248</v>
          </cell>
          <cell r="AN119">
            <v>248</v>
          </cell>
          <cell r="AO119">
            <v>248</v>
          </cell>
          <cell r="AP119">
            <v>0</v>
          </cell>
          <cell r="AQ119">
            <v>124</v>
          </cell>
          <cell r="AR119">
            <v>248</v>
          </cell>
          <cell r="AS119">
            <v>180</v>
          </cell>
          <cell r="BE119">
            <v>0</v>
          </cell>
          <cell r="BG119">
            <v>0</v>
          </cell>
          <cell r="BH119">
            <v>0</v>
          </cell>
          <cell r="BI119">
            <v>0</v>
          </cell>
          <cell r="BJ119">
            <v>0</v>
          </cell>
          <cell r="BK119">
            <v>0</v>
          </cell>
          <cell r="BL119">
            <v>0</v>
          </cell>
          <cell r="BM119">
            <v>0</v>
          </cell>
          <cell r="BN119">
            <v>0</v>
          </cell>
          <cell r="BO119">
            <v>0</v>
          </cell>
          <cell r="BP119">
            <v>0</v>
          </cell>
          <cell r="CA119">
            <v>166020.89785456742</v>
          </cell>
          <cell r="CB119">
            <v>170</v>
          </cell>
          <cell r="CC119">
            <v>248</v>
          </cell>
          <cell r="CD119">
            <v>248</v>
          </cell>
          <cell r="CE119">
            <v>210</v>
          </cell>
          <cell r="CF119">
            <v>248</v>
          </cell>
          <cell r="CG119">
            <v>142</v>
          </cell>
          <cell r="CH119">
            <v>248</v>
          </cell>
          <cell r="CI119">
            <v>248</v>
          </cell>
          <cell r="CJ119">
            <v>248</v>
          </cell>
          <cell r="CV119">
            <v>346.15384615384608</v>
          </cell>
          <cell r="CX119">
            <v>0</v>
          </cell>
          <cell r="CY119">
            <v>0</v>
          </cell>
          <cell r="CZ119">
            <v>0</v>
          </cell>
          <cell r="DA119">
            <v>0</v>
          </cell>
          <cell r="DB119">
            <v>0</v>
          </cell>
          <cell r="DC119">
            <v>0</v>
          </cell>
          <cell r="DD119">
            <v>0</v>
          </cell>
          <cell r="DE119">
            <v>0</v>
          </cell>
          <cell r="DF119">
            <v>0</v>
          </cell>
          <cell r="DG119">
            <v>0</v>
          </cell>
          <cell r="DR119">
            <v>73103</v>
          </cell>
          <cell r="DS119">
            <v>248</v>
          </cell>
          <cell r="DT119">
            <v>248</v>
          </cell>
          <cell r="DU119">
            <v>999999</v>
          </cell>
          <cell r="DV119">
            <v>999999</v>
          </cell>
          <cell r="DW119">
            <v>999999</v>
          </cell>
          <cell r="DX119">
            <v>248</v>
          </cell>
          <cell r="DY119">
            <v>248</v>
          </cell>
          <cell r="DZ119">
            <v>999999</v>
          </cell>
          <cell r="EA119">
            <v>999999</v>
          </cell>
        </row>
        <row r="120">
          <cell r="N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AJ120">
            <v>9</v>
          </cell>
          <cell r="AK120">
            <v>0</v>
          </cell>
          <cell r="AL120">
            <v>999999</v>
          </cell>
          <cell r="AM120">
            <v>247</v>
          </cell>
          <cell r="AN120">
            <v>247</v>
          </cell>
          <cell r="AO120">
            <v>247</v>
          </cell>
          <cell r="AP120">
            <v>0</v>
          </cell>
          <cell r="AQ120">
            <v>123</v>
          </cell>
          <cell r="AR120">
            <v>247</v>
          </cell>
          <cell r="AS120">
            <v>179</v>
          </cell>
          <cell r="BE120">
            <v>0</v>
          </cell>
          <cell r="BG120">
            <v>0</v>
          </cell>
          <cell r="BH120">
            <v>0</v>
          </cell>
          <cell r="BI120">
            <v>0</v>
          </cell>
          <cell r="BJ120">
            <v>0</v>
          </cell>
          <cell r="BK120">
            <v>0</v>
          </cell>
          <cell r="BL120">
            <v>0</v>
          </cell>
          <cell r="BM120">
            <v>0</v>
          </cell>
          <cell r="BN120">
            <v>0</v>
          </cell>
          <cell r="BO120">
            <v>0</v>
          </cell>
          <cell r="BP120">
            <v>0</v>
          </cell>
          <cell r="CA120">
            <v>165548.37555288474</v>
          </cell>
          <cell r="CB120">
            <v>169</v>
          </cell>
          <cell r="CC120">
            <v>247</v>
          </cell>
          <cell r="CD120">
            <v>247</v>
          </cell>
          <cell r="CE120">
            <v>209</v>
          </cell>
          <cell r="CF120">
            <v>247</v>
          </cell>
          <cell r="CG120">
            <v>141</v>
          </cell>
          <cell r="CH120">
            <v>247</v>
          </cell>
          <cell r="CI120">
            <v>247</v>
          </cell>
          <cell r="CJ120">
            <v>247</v>
          </cell>
          <cell r="CV120">
            <v>346.15384615384608</v>
          </cell>
          <cell r="CX120">
            <v>0</v>
          </cell>
          <cell r="CY120">
            <v>0</v>
          </cell>
          <cell r="CZ120">
            <v>0</v>
          </cell>
          <cell r="DA120">
            <v>0</v>
          </cell>
          <cell r="DB120">
            <v>0</v>
          </cell>
          <cell r="DC120">
            <v>0</v>
          </cell>
          <cell r="DD120">
            <v>0</v>
          </cell>
          <cell r="DE120">
            <v>0</v>
          </cell>
          <cell r="DF120">
            <v>0</v>
          </cell>
          <cell r="DG120">
            <v>0</v>
          </cell>
          <cell r="DR120">
            <v>73103</v>
          </cell>
          <cell r="DS120">
            <v>247</v>
          </cell>
          <cell r="DT120">
            <v>247</v>
          </cell>
          <cell r="DU120">
            <v>999999</v>
          </cell>
          <cell r="DV120">
            <v>999999</v>
          </cell>
          <cell r="DW120">
            <v>999999</v>
          </cell>
          <cell r="DX120">
            <v>247</v>
          </cell>
          <cell r="DY120">
            <v>247</v>
          </cell>
          <cell r="DZ120">
            <v>999999</v>
          </cell>
          <cell r="EA120">
            <v>999999</v>
          </cell>
        </row>
        <row r="121">
          <cell r="N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AJ121">
            <v>8</v>
          </cell>
          <cell r="AK121">
            <v>0</v>
          </cell>
          <cell r="AL121">
            <v>999999</v>
          </cell>
          <cell r="AM121">
            <v>246</v>
          </cell>
          <cell r="AN121">
            <v>246</v>
          </cell>
          <cell r="AO121">
            <v>246</v>
          </cell>
          <cell r="AP121">
            <v>0</v>
          </cell>
          <cell r="AQ121">
            <v>122</v>
          </cell>
          <cell r="AR121">
            <v>246</v>
          </cell>
          <cell r="AS121">
            <v>178</v>
          </cell>
          <cell r="BE121">
            <v>0</v>
          </cell>
          <cell r="BG121">
            <v>0</v>
          </cell>
          <cell r="BH121">
            <v>0</v>
          </cell>
          <cell r="BI121">
            <v>0</v>
          </cell>
          <cell r="BJ121">
            <v>0</v>
          </cell>
          <cell r="BK121">
            <v>0</v>
          </cell>
          <cell r="BL121">
            <v>0</v>
          </cell>
          <cell r="BM121">
            <v>0</v>
          </cell>
          <cell r="BN121">
            <v>0</v>
          </cell>
          <cell r="BO121">
            <v>0</v>
          </cell>
          <cell r="BP121">
            <v>0</v>
          </cell>
          <cell r="CA121">
            <v>165075.85325120206</v>
          </cell>
          <cell r="CB121">
            <v>168</v>
          </cell>
          <cell r="CC121">
            <v>246</v>
          </cell>
          <cell r="CD121">
            <v>246</v>
          </cell>
          <cell r="CE121">
            <v>208</v>
          </cell>
          <cell r="CF121">
            <v>246</v>
          </cell>
          <cell r="CG121">
            <v>140</v>
          </cell>
          <cell r="CH121">
            <v>246</v>
          </cell>
          <cell r="CI121">
            <v>246</v>
          </cell>
          <cell r="CJ121">
            <v>246</v>
          </cell>
          <cell r="CV121">
            <v>346.15384615384608</v>
          </cell>
          <cell r="CX121">
            <v>0</v>
          </cell>
          <cell r="CY121">
            <v>0</v>
          </cell>
          <cell r="CZ121">
            <v>0</v>
          </cell>
          <cell r="DA121">
            <v>0</v>
          </cell>
          <cell r="DB121">
            <v>0</v>
          </cell>
          <cell r="DC121">
            <v>0</v>
          </cell>
          <cell r="DD121">
            <v>0</v>
          </cell>
          <cell r="DE121">
            <v>0</v>
          </cell>
          <cell r="DF121">
            <v>0</v>
          </cell>
          <cell r="DG121">
            <v>0</v>
          </cell>
          <cell r="DR121">
            <v>73103</v>
          </cell>
          <cell r="DS121">
            <v>246</v>
          </cell>
          <cell r="DT121">
            <v>246</v>
          </cell>
          <cell r="DU121">
            <v>999999</v>
          </cell>
          <cell r="DV121">
            <v>999999</v>
          </cell>
          <cell r="DW121">
            <v>999999</v>
          </cell>
          <cell r="DX121">
            <v>246</v>
          </cell>
          <cell r="DY121">
            <v>246</v>
          </cell>
          <cell r="DZ121">
            <v>999999</v>
          </cell>
          <cell r="EA121">
            <v>999999</v>
          </cell>
        </row>
        <row r="122">
          <cell r="N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AJ122">
            <v>7</v>
          </cell>
          <cell r="AK122">
            <v>0</v>
          </cell>
          <cell r="AL122">
            <v>999999</v>
          </cell>
          <cell r="AM122">
            <v>245</v>
          </cell>
          <cell r="AN122">
            <v>245</v>
          </cell>
          <cell r="AO122">
            <v>245</v>
          </cell>
          <cell r="AP122">
            <v>0</v>
          </cell>
          <cell r="AQ122">
            <v>121</v>
          </cell>
          <cell r="AR122">
            <v>245</v>
          </cell>
          <cell r="AS122">
            <v>177</v>
          </cell>
          <cell r="BE122">
            <v>0</v>
          </cell>
          <cell r="BG122">
            <v>0</v>
          </cell>
          <cell r="BH122">
            <v>0</v>
          </cell>
          <cell r="BI122">
            <v>0</v>
          </cell>
          <cell r="BJ122">
            <v>0</v>
          </cell>
          <cell r="BK122">
            <v>0</v>
          </cell>
          <cell r="BL122">
            <v>0</v>
          </cell>
          <cell r="BM122">
            <v>0</v>
          </cell>
          <cell r="BN122">
            <v>0</v>
          </cell>
          <cell r="BO122">
            <v>0</v>
          </cell>
          <cell r="BP122">
            <v>0</v>
          </cell>
          <cell r="CA122">
            <v>164603.33094951938</v>
          </cell>
          <cell r="CB122">
            <v>167</v>
          </cell>
          <cell r="CC122">
            <v>245</v>
          </cell>
          <cell r="CD122">
            <v>245</v>
          </cell>
          <cell r="CE122">
            <v>207</v>
          </cell>
          <cell r="CF122">
            <v>245</v>
          </cell>
          <cell r="CG122">
            <v>139</v>
          </cell>
          <cell r="CH122">
            <v>245</v>
          </cell>
          <cell r="CI122">
            <v>245</v>
          </cell>
          <cell r="CJ122">
            <v>245</v>
          </cell>
          <cell r="CV122">
            <v>346.15384615384608</v>
          </cell>
          <cell r="CX122">
            <v>0</v>
          </cell>
          <cell r="CY122">
            <v>0</v>
          </cell>
          <cell r="CZ122">
            <v>0</v>
          </cell>
          <cell r="DA122">
            <v>0</v>
          </cell>
          <cell r="DB122">
            <v>0</v>
          </cell>
          <cell r="DC122">
            <v>0</v>
          </cell>
          <cell r="DD122">
            <v>0</v>
          </cell>
          <cell r="DE122">
            <v>0</v>
          </cell>
          <cell r="DF122">
            <v>0</v>
          </cell>
          <cell r="DG122">
            <v>0</v>
          </cell>
          <cell r="DR122">
            <v>73103</v>
          </cell>
          <cell r="DS122">
            <v>245</v>
          </cell>
          <cell r="DT122">
            <v>245</v>
          </cell>
          <cell r="DU122">
            <v>999999</v>
          </cell>
          <cell r="DV122">
            <v>999999</v>
          </cell>
          <cell r="DW122">
            <v>999999</v>
          </cell>
          <cell r="DX122">
            <v>245</v>
          </cell>
          <cell r="DY122">
            <v>245</v>
          </cell>
          <cell r="DZ122">
            <v>999999</v>
          </cell>
          <cell r="EA122">
            <v>999999</v>
          </cell>
        </row>
        <row r="123">
          <cell r="N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AJ123">
            <v>6</v>
          </cell>
          <cell r="AK123">
            <v>0</v>
          </cell>
          <cell r="AL123">
            <v>999999</v>
          </cell>
          <cell r="AM123">
            <v>244</v>
          </cell>
          <cell r="AN123">
            <v>244</v>
          </cell>
          <cell r="AO123">
            <v>244</v>
          </cell>
          <cell r="AP123">
            <v>0</v>
          </cell>
          <cell r="AQ123">
            <v>120</v>
          </cell>
          <cell r="AR123">
            <v>244</v>
          </cell>
          <cell r="AS123">
            <v>176</v>
          </cell>
          <cell r="BE123">
            <v>0</v>
          </cell>
          <cell r="BG123">
            <v>0</v>
          </cell>
          <cell r="BH123">
            <v>0</v>
          </cell>
          <cell r="BI123">
            <v>0</v>
          </cell>
          <cell r="BJ123">
            <v>0</v>
          </cell>
          <cell r="BK123">
            <v>0</v>
          </cell>
          <cell r="BL123">
            <v>0</v>
          </cell>
          <cell r="BM123">
            <v>0</v>
          </cell>
          <cell r="BN123">
            <v>0</v>
          </cell>
          <cell r="BO123">
            <v>0</v>
          </cell>
          <cell r="BP123">
            <v>0</v>
          </cell>
          <cell r="CA123">
            <v>164156.1404536292</v>
          </cell>
          <cell r="CB123">
            <v>166</v>
          </cell>
          <cell r="CC123">
            <v>244</v>
          </cell>
          <cell r="CD123">
            <v>244</v>
          </cell>
          <cell r="CE123">
            <v>206</v>
          </cell>
          <cell r="CF123">
            <v>244</v>
          </cell>
          <cell r="CG123">
            <v>138</v>
          </cell>
          <cell r="CH123">
            <v>244</v>
          </cell>
          <cell r="CI123">
            <v>244</v>
          </cell>
          <cell r="CJ123">
            <v>244</v>
          </cell>
          <cell r="CV123">
            <v>245.6575682382134</v>
          </cell>
          <cell r="CX123">
            <v>0</v>
          </cell>
          <cell r="CY123">
            <v>0</v>
          </cell>
          <cell r="CZ123">
            <v>0</v>
          </cell>
          <cell r="DA123">
            <v>0</v>
          </cell>
          <cell r="DB123">
            <v>0</v>
          </cell>
          <cell r="DC123">
            <v>0</v>
          </cell>
          <cell r="DD123">
            <v>0</v>
          </cell>
          <cell r="DE123">
            <v>0</v>
          </cell>
          <cell r="DF123">
            <v>0</v>
          </cell>
          <cell r="DG123">
            <v>0</v>
          </cell>
          <cell r="DR123">
            <v>73103</v>
          </cell>
          <cell r="DS123">
            <v>244</v>
          </cell>
          <cell r="DT123">
            <v>244</v>
          </cell>
          <cell r="DU123">
            <v>999999</v>
          </cell>
          <cell r="DV123">
            <v>999999</v>
          </cell>
          <cell r="DW123">
            <v>999999</v>
          </cell>
          <cell r="DX123">
            <v>244</v>
          </cell>
          <cell r="DY123">
            <v>244</v>
          </cell>
          <cell r="DZ123">
            <v>999999</v>
          </cell>
          <cell r="EA123">
            <v>999999</v>
          </cell>
        </row>
        <row r="124">
          <cell r="N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AJ124">
            <v>5</v>
          </cell>
          <cell r="AK124">
            <v>0</v>
          </cell>
          <cell r="AL124">
            <v>999999</v>
          </cell>
          <cell r="AM124">
            <v>243</v>
          </cell>
          <cell r="AN124">
            <v>243</v>
          </cell>
          <cell r="AO124">
            <v>243</v>
          </cell>
          <cell r="AP124">
            <v>0</v>
          </cell>
          <cell r="AQ124">
            <v>119</v>
          </cell>
          <cell r="AR124">
            <v>243</v>
          </cell>
          <cell r="AS124">
            <v>175</v>
          </cell>
          <cell r="BE124">
            <v>0</v>
          </cell>
          <cell r="BG124">
            <v>0</v>
          </cell>
          <cell r="BH124">
            <v>0</v>
          </cell>
          <cell r="BI124">
            <v>0</v>
          </cell>
          <cell r="BJ124">
            <v>0</v>
          </cell>
          <cell r="BK124">
            <v>0</v>
          </cell>
          <cell r="BL124">
            <v>0</v>
          </cell>
          <cell r="BM124">
            <v>0</v>
          </cell>
          <cell r="BN124">
            <v>0</v>
          </cell>
          <cell r="BO124">
            <v>0</v>
          </cell>
          <cell r="BP124">
            <v>0</v>
          </cell>
          <cell r="CA124">
            <v>163708.94995773901</v>
          </cell>
          <cell r="CB124">
            <v>165</v>
          </cell>
          <cell r="CC124">
            <v>243</v>
          </cell>
          <cell r="CD124">
            <v>243</v>
          </cell>
          <cell r="CE124">
            <v>205</v>
          </cell>
          <cell r="CF124">
            <v>243</v>
          </cell>
          <cell r="CG124">
            <v>137</v>
          </cell>
          <cell r="CH124">
            <v>243</v>
          </cell>
          <cell r="CI124">
            <v>243</v>
          </cell>
          <cell r="CJ124">
            <v>243</v>
          </cell>
          <cell r="CV124">
            <v>245.6575682382134</v>
          </cell>
          <cell r="CX124">
            <v>0</v>
          </cell>
          <cell r="CY124">
            <v>0</v>
          </cell>
          <cell r="CZ124">
            <v>0</v>
          </cell>
          <cell r="DA124">
            <v>0</v>
          </cell>
          <cell r="DB124">
            <v>0</v>
          </cell>
          <cell r="DC124">
            <v>0</v>
          </cell>
          <cell r="DD124">
            <v>0</v>
          </cell>
          <cell r="DE124">
            <v>0</v>
          </cell>
          <cell r="DF124">
            <v>0</v>
          </cell>
          <cell r="DG124">
            <v>0</v>
          </cell>
          <cell r="DR124">
            <v>73103</v>
          </cell>
          <cell r="DS124">
            <v>243</v>
          </cell>
          <cell r="DT124">
            <v>243</v>
          </cell>
          <cell r="DU124">
            <v>999999</v>
          </cell>
          <cell r="DV124">
            <v>999999</v>
          </cell>
          <cell r="DW124">
            <v>999999</v>
          </cell>
          <cell r="DX124">
            <v>243</v>
          </cell>
          <cell r="DY124">
            <v>243</v>
          </cell>
          <cell r="DZ124">
            <v>999999</v>
          </cell>
          <cell r="EA124">
            <v>999999</v>
          </cell>
        </row>
        <row r="125">
          <cell r="N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AJ125">
            <v>4</v>
          </cell>
          <cell r="AK125">
            <v>0</v>
          </cell>
          <cell r="AL125">
            <v>999999</v>
          </cell>
          <cell r="AM125">
            <v>242</v>
          </cell>
          <cell r="AN125">
            <v>242</v>
          </cell>
          <cell r="AO125">
            <v>242</v>
          </cell>
          <cell r="AP125">
            <v>0</v>
          </cell>
          <cell r="AQ125">
            <v>118</v>
          </cell>
          <cell r="AR125">
            <v>242</v>
          </cell>
          <cell r="AS125">
            <v>174</v>
          </cell>
          <cell r="BE125">
            <v>0</v>
          </cell>
          <cell r="BG125">
            <v>0</v>
          </cell>
          <cell r="BH125">
            <v>0</v>
          </cell>
          <cell r="BI125">
            <v>0</v>
          </cell>
          <cell r="BJ125">
            <v>0</v>
          </cell>
          <cell r="BK125">
            <v>0</v>
          </cell>
          <cell r="BL125">
            <v>0</v>
          </cell>
          <cell r="BM125">
            <v>0</v>
          </cell>
          <cell r="BN125">
            <v>0</v>
          </cell>
          <cell r="BO125">
            <v>0</v>
          </cell>
          <cell r="BP125">
            <v>0</v>
          </cell>
          <cell r="CA125">
            <v>163261.75946184882</v>
          </cell>
          <cell r="CB125">
            <v>164</v>
          </cell>
          <cell r="CC125">
            <v>242</v>
          </cell>
          <cell r="CD125">
            <v>242</v>
          </cell>
          <cell r="CE125">
            <v>204</v>
          </cell>
          <cell r="CF125">
            <v>242</v>
          </cell>
          <cell r="CG125">
            <v>136</v>
          </cell>
          <cell r="CH125">
            <v>242</v>
          </cell>
          <cell r="CI125">
            <v>242</v>
          </cell>
          <cell r="CJ125">
            <v>242</v>
          </cell>
          <cell r="CV125">
            <v>245.6575682382134</v>
          </cell>
          <cell r="CX125">
            <v>0</v>
          </cell>
          <cell r="CY125">
            <v>0</v>
          </cell>
          <cell r="CZ125">
            <v>0</v>
          </cell>
          <cell r="DA125">
            <v>0</v>
          </cell>
          <cell r="DB125">
            <v>0</v>
          </cell>
          <cell r="DC125">
            <v>0</v>
          </cell>
          <cell r="DD125">
            <v>0</v>
          </cell>
          <cell r="DE125">
            <v>0</v>
          </cell>
          <cell r="DF125">
            <v>0</v>
          </cell>
          <cell r="DG125">
            <v>0</v>
          </cell>
          <cell r="DR125">
            <v>73103</v>
          </cell>
          <cell r="DS125">
            <v>242</v>
          </cell>
          <cell r="DT125">
            <v>242</v>
          </cell>
          <cell r="DU125">
            <v>999999</v>
          </cell>
          <cell r="DV125">
            <v>999999</v>
          </cell>
          <cell r="DW125">
            <v>999999</v>
          </cell>
          <cell r="DX125">
            <v>242</v>
          </cell>
          <cell r="DY125">
            <v>242</v>
          </cell>
          <cell r="DZ125">
            <v>999999</v>
          </cell>
          <cell r="EA125">
            <v>999999</v>
          </cell>
        </row>
        <row r="126">
          <cell r="N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AJ126">
            <v>3</v>
          </cell>
          <cell r="AK126">
            <v>0</v>
          </cell>
          <cell r="AL126">
            <v>999999</v>
          </cell>
          <cell r="AM126">
            <v>241</v>
          </cell>
          <cell r="AN126">
            <v>241</v>
          </cell>
          <cell r="AO126">
            <v>241</v>
          </cell>
          <cell r="AP126">
            <v>0</v>
          </cell>
          <cell r="AQ126">
            <v>117</v>
          </cell>
          <cell r="AR126">
            <v>241</v>
          </cell>
          <cell r="AS126">
            <v>173</v>
          </cell>
          <cell r="BE126">
            <v>0</v>
          </cell>
          <cell r="BG126">
            <v>0</v>
          </cell>
          <cell r="BH126">
            <v>0</v>
          </cell>
          <cell r="BI126">
            <v>0</v>
          </cell>
          <cell r="BJ126">
            <v>0</v>
          </cell>
          <cell r="BK126">
            <v>0</v>
          </cell>
          <cell r="BL126">
            <v>0</v>
          </cell>
          <cell r="BM126">
            <v>0</v>
          </cell>
          <cell r="BN126">
            <v>0</v>
          </cell>
          <cell r="BO126">
            <v>0</v>
          </cell>
          <cell r="BP126">
            <v>0</v>
          </cell>
          <cell r="CA126">
            <v>162814.56896595864</v>
          </cell>
          <cell r="CB126">
            <v>163</v>
          </cell>
          <cell r="CC126">
            <v>241</v>
          </cell>
          <cell r="CD126">
            <v>241</v>
          </cell>
          <cell r="CE126">
            <v>203</v>
          </cell>
          <cell r="CF126">
            <v>241</v>
          </cell>
          <cell r="CG126">
            <v>135</v>
          </cell>
          <cell r="CH126">
            <v>241</v>
          </cell>
          <cell r="CI126">
            <v>241</v>
          </cell>
          <cell r="CJ126">
            <v>241</v>
          </cell>
          <cell r="CV126">
            <v>245.6575682382134</v>
          </cell>
          <cell r="CX126">
            <v>0</v>
          </cell>
          <cell r="CY126">
            <v>0</v>
          </cell>
          <cell r="CZ126">
            <v>0</v>
          </cell>
          <cell r="DA126">
            <v>0</v>
          </cell>
          <cell r="DB126">
            <v>0</v>
          </cell>
          <cell r="DC126">
            <v>0</v>
          </cell>
          <cell r="DD126">
            <v>0</v>
          </cell>
          <cell r="DE126">
            <v>0</v>
          </cell>
          <cell r="DF126">
            <v>0</v>
          </cell>
          <cell r="DG126">
            <v>0</v>
          </cell>
          <cell r="DR126">
            <v>73103</v>
          </cell>
          <cell r="DS126">
            <v>241</v>
          </cell>
          <cell r="DT126">
            <v>241</v>
          </cell>
          <cell r="DU126">
            <v>999999</v>
          </cell>
          <cell r="DV126">
            <v>999999</v>
          </cell>
          <cell r="DW126">
            <v>999999</v>
          </cell>
          <cell r="DX126">
            <v>241</v>
          </cell>
          <cell r="DY126">
            <v>241</v>
          </cell>
          <cell r="DZ126">
            <v>999999</v>
          </cell>
          <cell r="EA126">
            <v>999999</v>
          </cell>
        </row>
        <row r="127">
          <cell r="N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AJ127">
            <v>2</v>
          </cell>
          <cell r="AK127">
            <v>0</v>
          </cell>
          <cell r="AL127">
            <v>999999</v>
          </cell>
          <cell r="AM127">
            <v>240</v>
          </cell>
          <cell r="AN127">
            <v>240</v>
          </cell>
          <cell r="AO127">
            <v>240</v>
          </cell>
          <cell r="AP127">
            <v>0</v>
          </cell>
          <cell r="AQ127">
            <v>116</v>
          </cell>
          <cell r="AR127">
            <v>240</v>
          </cell>
          <cell r="AS127">
            <v>172</v>
          </cell>
          <cell r="BE127">
            <v>0</v>
          </cell>
          <cell r="BG127">
            <v>0</v>
          </cell>
          <cell r="BH127">
            <v>0</v>
          </cell>
          <cell r="BI127">
            <v>0</v>
          </cell>
          <cell r="BJ127">
            <v>0</v>
          </cell>
          <cell r="BK127">
            <v>0</v>
          </cell>
          <cell r="BL127">
            <v>0</v>
          </cell>
          <cell r="BM127">
            <v>0</v>
          </cell>
          <cell r="BN127">
            <v>0</v>
          </cell>
          <cell r="BO127">
            <v>0</v>
          </cell>
          <cell r="BP127">
            <v>0</v>
          </cell>
          <cell r="CA127">
            <v>162367.37847006845</v>
          </cell>
          <cell r="CB127">
            <v>162</v>
          </cell>
          <cell r="CC127">
            <v>240</v>
          </cell>
          <cell r="CD127">
            <v>240</v>
          </cell>
          <cell r="CE127">
            <v>202</v>
          </cell>
          <cell r="CF127">
            <v>240</v>
          </cell>
          <cell r="CG127">
            <v>134</v>
          </cell>
          <cell r="CH127">
            <v>240</v>
          </cell>
          <cell r="CI127">
            <v>240</v>
          </cell>
          <cell r="CJ127">
            <v>240</v>
          </cell>
          <cell r="CV127">
            <v>245.6575682382134</v>
          </cell>
          <cell r="CX127">
            <v>0</v>
          </cell>
          <cell r="CY127">
            <v>0</v>
          </cell>
          <cell r="CZ127">
            <v>0</v>
          </cell>
          <cell r="DA127">
            <v>0</v>
          </cell>
          <cell r="DB127">
            <v>0</v>
          </cell>
          <cell r="DC127">
            <v>0</v>
          </cell>
          <cell r="DD127">
            <v>0</v>
          </cell>
          <cell r="DE127">
            <v>0</v>
          </cell>
          <cell r="DF127">
            <v>0</v>
          </cell>
          <cell r="DG127">
            <v>0</v>
          </cell>
          <cell r="DR127">
            <v>73103</v>
          </cell>
          <cell r="DS127">
            <v>240</v>
          </cell>
          <cell r="DT127">
            <v>240</v>
          </cell>
          <cell r="DU127">
            <v>999999</v>
          </cell>
          <cell r="DV127">
            <v>999999</v>
          </cell>
          <cell r="DW127">
            <v>999999</v>
          </cell>
          <cell r="DX127">
            <v>240</v>
          </cell>
          <cell r="DY127">
            <v>240</v>
          </cell>
          <cell r="DZ127">
            <v>999999</v>
          </cell>
          <cell r="EA127">
            <v>999999</v>
          </cell>
        </row>
        <row r="128">
          <cell r="N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AJ128">
            <v>1</v>
          </cell>
          <cell r="AK128">
            <v>0</v>
          </cell>
          <cell r="AL128">
            <v>999999</v>
          </cell>
          <cell r="AM128">
            <v>239</v>
          </cell>
          <cell r="AN128">
            <v>239</v>
          </cell>
          <cell r="AO128">
            <v>239</v>
          </cell>
          <cell r="AP128">
            <v>0</v>
          </cell>
          <cell r="AQ128">
            <v>115</v>
          </cell>
          <cell r="AR128">
            <v>239</v>
          </cell>
          <cell r="AS128">
            <v>171</v>
          </cell>
          <cell r="BE128">
            <v>0</v>
          </cell>
          <cell r="BG128">
            <v>0</v>
          </cell>
          <cell r="BH128">
            <v>0</v>
          </cell>
          <cell r="BI128">
            <v>0</v>
          </cell>
          <cell r="BJ128">
            <v>0</v>
          </cell>
          <cell r="BK128">
            <v>0</v>
          </cell>
          <cell r="BL128">
            <v>0</v>
          </cell>
          <cell r="BM128">
            <v>0</v>
          </cell>
          <cell r="BN128">
            <v>0</v>
          </cell>
          <cell r="BO128">
            <v>0</v>
          </cell>
          <cell r="BP128">
            <v>0</v>
          </cell>
          <cell r="CA128">
            <v>161920.18797417826</v>
          </cell>
          <cell r="CB128">
            <v>161</v>
          </cell>
          <cell r="CC128">
            <v>239</v>
          </cell>
          <cell r="CD128">
            <v>239</v>
          </cell>
          <cell r="CE128">
            <v>201</v>
          </cell>
          <cell r="CF128">
            <v>239</v>
          </cell>
          <cell r="CG128">
            <v>133</v>
          </cell>
          <cell r="CH128">
            <v>239</v>
          </cell>
          <cell r="CI128">
            <v>239</v>
          </cell>
          <cell r="CJ128">
            <v>239</v>
          </cell>
          <cell r="CV128">
            <v>245.6575682382134</v>
          </cell>
          <cell r="CX128">
            <v>0</v>
          </cell>
          <cell r="CY128">
            <v>0</v>
          </cell>
          <cell r="CZ128">
            <v>0</v>
          </cell>
          <cell r="DA128">
            <v>0</v>
          </cell>
          <cell r="DB128">
            <v>0</v>
          </cell>
          <cell r="DC128">
            <v>0</v>
          </cell>
          <cell r="DD128">
            <v>0</v>
          </cell>
          <cell r="DE128">
            <v>0</v>
          </cell>
          <cell r="DF128">
            <v>0</v>
          </cell>
          <cell r="DG128">
            <v>0</v>
          </cell>
          <cell r="DR128">
            <v>73103</v>
          </cell>
          <cell r="DS128">
            <v>239</v>
          </cell>
          <cell r="DT128">
            <v>239</v>
          </cell>
          <cell r="DU128">
            <v>999999</v>
          </cell>
          <cell r="DV128">
            <v>999999</v>
          </cell>
          <cell r="DW128">
            <v>999999</v>
          </cell>
          <cell r="DX128">
            <v>239</v>
          </cell>
          <cell r="DY128">
            <v>239</v>
          </cell>
          <cell r="DZ128">
            <v>999999</v>
          </cell>
          <cell r="EA128">
            <v>999999</v>
          </cell>
        </row>
        <row r="129">
          <cell r="N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AJ129">
            <v>0</v>
          </cell>
          <cell r="AK129">
            <v>0</v>
          </cell>
          <cell r="AL129">
            <v>999999</v>
          </cell>
          <cell r="AM129">
            <v>238</v>
          </cell>
          <cell r="AN129">
            <v>238</v>
          </cell>
          <cell r="AO129">
            <v>238</v>
          </cell>
          <cell r="AP129">
            <v>0</v>
          </cell>
          <cell r="AQ129">
            <v>114</v>
          </cell>
          <cell r="AR129">
            <v>238</v>
          </cell>
          <cell r="AS129">
            <v>170</v>
          </cell>
          <cell r="BE129">
            <v>0</v>
          </cell>
          <cell r="BG129">
            <v>0</v>
          </cell>
          <cell r="BH129">
            <v>0</v>
          </cell>
          <cell r="BI129">
            <v>0</v>
          </cell>
          <cell r="BJ129">
            <v>0</v>
          </cell>
          <cell r="BK129">
            <v>0</v>
          </cell>
          <cell r="BL129">
            <v>0</v>
          </cell>
          <cell r="BM129">
            <v>0</v>
          </cell>
          <cell r="BN129">
            <v>0</v>
          </cell>
          <cell r="BO129">
            <v>0</v>
          </cell>
          <cell r="BP129">
            <v>0</v>
          </cell>
          <cell r="CA129">
            <v>161472.99747828807</v>
          </cell>
          <cell r="CB129">
            <v>160</v>
          </cell>
          <cell r="CC129">
            <v>238</v>
          </cell>
          <cell r="CD129">
            <v>238</v>
          </cell>
          <cell r="CE129">
            <v>200</v>
          </cell>
          <cell r="CF129">
            <v>238</v>
          </cell>
          <cell r="CG129">
            <v>132</v>
          </cell>
          <cell r="CH129">
            <v>238</v>
          </cell>
          <cell r="CI129">
            <v>238</v>
          </cell>
          <cell r="CJ129">
            <v>238</v>
          </cell>
          <cell r="CV129">
            <v>245.6575682382134</v>
          </cell>
          <cell r="CX129">
            <v>0</v>
          </cell>
          <cell r="CY129">
            <v>0</v>
          </cell>
          <cell r="CZ129">
            <v>0</v>
          </cell>
          <cell r="DA129">
            <v>0</v>
          </cell>
          <cell r="DB129">
            <v>0</v>
          </cell>
          <cell r="DC129">
            <v>0</v>
          </cell>
          <cell r="DD129">
            <v>0</v>
          </cell>
          <cell r="DE129">
            <v>0</v>
          </cell>
          <cell r="DF129">
            <v>0</v>
          </cell>
          <cell r="DG129">
            <v>0</v>
          </cell>
          <cell r="DR129">
            <v>73103</v>
          </cell>
          <cell r="DS129">
            <v>238</v>
          </cell>
          <cell r="DT129">
            <v>238</v>
          </cell>
          <cell r="DU129">
            <v>999999</v>
          </cell>
          <cell r="DV129">
            <v>999999</v>
          </cell>
          <cell r="DW129">
            <v>999999</v>
          </cell>
          <cell r="DX129">
            <v>238</v>
          </cell>
          <cell r="DY129">
            <v>238</v>
          </cell>
          <cell r="DZ129">
            <v>999999</v>
          </cell>
          <cell r="EA129">
            <v>999999</v>
          </cell>
        </row>
        <row r="130">
          <cell r="N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AJ130">
            <v>0</v>
          </cell>
          <cell r="AK130">
            <v>0</v>
          </cell>
          <cell r="AL130">
            <v>999999</v>
          </cell>
          <cell r="AM130">
            <v>237</v>
          </cell>
          <cell r="AN130">
            <v>237</v>
          </cell>
          <cell r="AO130">
            <v>237</v>
          </cell>
          <cell r="AP130">
            <v>0</v>
          </cell>
          <cell r="AQ130">
            <v>113</v>
          </cell>
          <cell r="AR130">
            <v>237</v>
          </cell>
          <cell r="AS130">
            <v>169</v>
          </cell>
          <cell r="BE130">
            <v>0</v>
          </cell>
          <cell r="BG130">
            <v>0</v>
          </cell>
          <cell r="BH130">
            <v>0</v>
          </cell>
          <cell r="BI130">
            <v>0</v>
          </cell>
          <cell r="BJ130">
            <v>0</v>
          </cell>
          <cell r="BK130">
            <v>0</v>
          </cell>
          <cell r="BL130">
            <v>0</v>
          </cell>
          <cell r="BM130">
            <v>0</v>
          </cell>
          <cell r="BN130">
            <v>0</v>
          </cell>
          <cell r="BO130">
            <v>0</v>
          </cell>
          <cell r="BP130">
            <v>0</v>
          </cell>
          <cell r="CA130">
            <v>161025.80698239789</v>
          </cell>
          <cell r="CB130">
            <v>159</v>
          </cell>
          <cell r="CC130">
            <v>237</v>
          </cell>
          <cell r="CD130">
            <v>237</v>
          </cell>
          <cell r="CE130">
            <v>199</v>
          </cell>
          <cell r="CF130">
            <v>237</v>
          </cell>
          <cell r="CG130">
            <v>131</v>
          </cell>
          <cell r="CH130">
            <v>237</v>
          </cell>
          <cell r="CI130">
            <v>237</v>
          </cell>
          <cell r="CJ130">
            <v>237</v>
          </cell>
          <cell r="CV130">
            <v>245.6575682382134</v>
          </cell>
          <cell r="CX130">
            <v>0</v>
          </cell>
          <cell r="CY130">
            <v>0</v>
          </cell>
          <cell r="CZ130">
            <v>0</v>
          </cell>
          <cell r="DA130">
            <v>0</v>
          </cell>
          <cell r="DB130">
            <v>0</v>
          </cell>
          <cell r="DC130">
            <v>0</v>
          </cell>
          <cell r="DD130">
            <v>0</v>
          </cell>
          <cell r="DE130">
            <v>0</v>
          </cell>
          <cell r="DF130">
            <v>0</v>
          </cell>
          <cell r="DG130">
            <v>0</v>
          </cell>
          <cell r="DR130">
            <v>73103</v>
          </cell>
          <cell r="DS130">
            <v>237</v>
          </cell>
          <cell r="DT130">
            <v>237</v>
          </cell>
          <cell r="DU130">
            <v>999999</v>
          </cell>
          <cell r="DV130">
            <v>999999</v>
          </cell>
          <cell r="DW130">
            <v>999999</v>
          </cell>
          <cell r="DX130">
            <v>237</v>
          </cell>
          <cell r="DY130">
            <v>237</v>
          </cell>
          <cell r="DZ130">
            <v>999999</v>
          </cell>
          <cell r="EA130">
            <v>999999</v>
          </cell>
        </row>
        <row r="131">
          <cell r="N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AJ131">
            <v>0</v>
          </cell>
          <cell r="AK131">
            <v>0</v>
          </cell>
          <cell r="AL131">
            <v>999999</v>
          </cell>
          <cell r="AM131">
            <v>236</v>
          </cell>
          <cell r="AN131">
            <v>236</v>
          </cell>
          <cell r="AO131">
            <v>236</v>
          </cell>
          <cell r="AP131">
            <v>0</v>
          </cell>
          <cell r="AQ131">
            <v>112</v>
          </cell>
          <cell r="AR131">
            <v>236</v>
          </cell>
          <cell r="AS131">
            <v>168</v>
          </cell>
          <cell r="BE131">
            <v>0</v>
          </cell>
          <cell r="BG131">
            <v>0</v>
          </cell>
          <cell r="BH131">
            <v>0</v>
          </cell>
          <cell r="BI131">
            <v>0</v>
          </cell>
          <cell r="BJ131">
            <v>0</v>
          </cell>
          <cell r="BK131">
            <v>0</v>
          </cell>
          <cell r="BL131">
            <v>0</v>
          </cell>
          <cell r="BM131">
            <v>0</v>
          </cell>
          <cell r="BN131">
            <v>0</v>
          </cell>
          <cell r="BO131">
            <v>0</v>
          </cell>
          <cell r="BP131">
            <v>0</v>
          </cell>
          <cell r="CA131">
            <v>160578.6164865077</v>
          </cell>
          <cell r="CB131">
            <v>158</v>
          </cell>
          <cell r="CC131">
            <v>236</v>
          </cell>
          <cell r="CD131">
            <v>236</v>
          </cell>
          <cell r="CE131">
            <v>198</v>
          </cell>
          <cell r="CF131">
            <v>236</v>
          </cell>
          <cell r="CG131">
            <v>130</v>
          </cell>
          <cell r="CH131">
            <v>236</v>
          </cell>
          <cell r="CI131">
            <v>236</v>
          </cell>
          <cell r="CJ131">
            <v>236</v>
          </cell>
          <cell r="CV131">
            <v>245.6575682382134</v>
          </cell>
          <cell r="CX131">
            <v>0</v>
          </cell>
          <cell r="CY131">
            <v>0</v>
          </cell>
          <cell r="CZ131">
            <v>0</v>
          </cell>
          <cell r="DA131">
            <v>0</v>
          </cell>
          <cell r="DB131">
            <v>0</v>
          </cell>
          <cell r="DC131">
            <v>0</v>
          </cell>
          <cell r="DD131">
            <v>0</v>
          </cell>
          <cell r="DE131">
            <v>0</v>
          </cell>
          <cell r="DF131">
            <v>0</v>
          </cell>
          <cell r="DG131">
            <v>0</v>
          </cell>
          <cell r="DR131">
            <v>73103</v>
          </cell>
          <cell r="DS131">
            <v>236</v>
          </cell>
          <cell r="DT131">
            <v>236</v>
          </cell>
          <cell r="DU131">
            <v>999999</v>
          </cell>
          <cell r="DV131">
            <v>999999</v>
          </cell>
          <cell r="DW131">
            <v>999999</v>
          </cell>
          <cell r="DX131">
            <v>236</v>
          </cell>
          <cell r="DY131">
            <v>236</v>
          </cell>
          <cell r="DZ131">
            <v>999999</v>
          </cell>
          <cell r="EA131">
            <v>999999</v>
          </cell>
        </row>
        <row r="132">
          <cell r="N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V132">
            <v>0</v>
          </cell>
          <cell r="W132">
            <v>0</v>
          </cell>
          <cell r="X132">
            <v>0</v>
          </cell>
          <cell r="Y132">
            <v>0</v>
          </cell>
          <cell r="AJ132">
            <v>0</v>
          </cell>
          <cell r="AK132">
            <v>0</v>
          </cell>
          <cell r="AL132">
            <v>999999</v>
          </cell>
          <cell r="AM132">
            <v>235</v>
          </cell>
          <cell r="AN132">
            <v>235</v>
          </cell>
          <cell r="AO132">
            <v>235</v>
          </cell>
          <cell r="AP132">
            <v>0</v>
          </cell>
          <cell r="AQ132">
            <v>111</v>
          </cell>
          <cell r="AR132">
            <v>235</v>
          </cell>
          <cell r="AS132">
            <v>167</v>
          </cell>
          <cell r="BE132">
            <v>0</v>
          </cell>
          <cell r="BG132">
            <v>0</v>
          </cell>
          <cell r="BH132">
            <v>0</v>
          </cell>
          <cell r="BI132">
            <v>0</v>
          </cell>
          <cell r="BJ132">
            <v>0</v>
          </cell>
          <cell r="BK132">
            <v>0</v>
          </cell>
          <cell r="BL132">
            <v>0</v>
          </cell>
          <cell r="BM132">
            <v>0</v>
          </cell>
          <cell r="BN132">
            <v>0</v>
          </cell>
          <cell r="BO132">
            <v>0</v>
          </cell>
          <cell r="BP132">
            <v>0</v>
          </cell>
          <cell r="CA132">
            <v>160131.42599061751</v>
          </cell>
          <cell r="CB132">
            <v>157</v>
          </cell>
          <cell r="CC132">
            <v>235</v>
          </cell>
          <cell r="CD132">
            <v>235</v>
          </cell>
          <cell r="CE132">
            <v>197</v>
          </cell>
          <cell r="CF132">
            <v>235</v>
          </cell>
          <cell r="CG132">
            <v>129</v>
          </cell>
          <cell r="CH132">
            <v>235</v>
          </cell>
          <cell r="CI132">
            <v>235</v>
          </cell>
          <cell r="CJ132">
            <v>235</v>
          </cell>
          <cell r="CV132">
            <v>245.6575682382134</v>
          </cell>
          <cell r="CX132">
            <v>0</v>
          </cell>
          <cell r="CY132">
            <v>0</v>
          </cell>
          <cell r="CZ132">
            <v>0</v>
          </cell>
          <cell r="DA132">
            <v>0</v>
          </cell>
          <cell r="DB132">
            <v>0</v>
          </cell>
          <cell r="DC132">
            <v>0</v>
          </cell>
          <cell r="DD132">
            <v>0</v>
          </cell>
          <cell r="DE132">
            <v>0</v>
          </cell>
          <cell r="DF132">
            <v>0</v>
          </cell>
          <cell r="DG132">
            <v>0</v>
          </cell>
          <cell r="DR132">
            <v>73103</v>
          </cell>
          <cell r="DS132">
            <v>235</v>
          </cell>
          <cell r="DT132">
            <v>235</v>
          </cell>
          <cell r="DU132">
            <v>999999</v>
          </cell>
          <cell r="DV132">
            <v>999999</v>
          </cell>
          <cell r="DW132">
            <v>999999</v>
          </cell>
          <cell r="DX132">
            <v>235</v>
          </cell>
          <cell r="DY132">
            <v>235</v>
          </cell>
          <cell r="DZ132">
            <v>999999</v>
          </cell>
          <cell r="EA132">
            <v>999999</v>
          </cell>
        </row>
        <row r="133">
          <cell r="N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AJ133">
            <v>0</v>
          </cell>
          <cell r="AK133">
            <v>0</v>
          </cell>
          <cell r="AL133">
            <v>999999</v>
          </cell>
          <cell r="AM133">
            <v>234</v>
          </cell>
          <cell r="AN133">
            <v>234</v>
          </cell>
          <cell r="AO133">
            <v>234</v>
          </cell>
          <cell r="AP133">
            <v>0</v>
          </cell>
          <cell r="AQ133">
            <v>110</v>
          </cell>
          <cell r="AR133">
            <v>234</v>
          </cell>
          <cell r="AS133">
            <v>166</v>
          </cell>
          <cell r="BE133">
            <v>0</v>
          </cell>
          <cell r="BG133">
            <v>0</v>
          </cell>
          <cell r="BH133">
            <v>0</v>
          </cell>
          <cell r="BI133">
            <v>0</v>
          </cell>
          <cell r="BJ133">
            <v>0</v>
          </cell>
          <cell r="BK133">
            <v>0</v>
          </cell>
          <cell r="BL133">
            <v>0</v>
          </cell>
          <cell r="BM133">
            <v>0</v>
          </cell>
          <cell r="BN133">
            <v>0</v>
          </cell>
          <cell r="BO133">
            <v>0</v>
          </cell>
          <cell r="BP133">
            <v>0</v>
          </cell>
          <cell r="CA133">
            <v>159684.23549472733</v>
          </cell>
          <cell r="CB133">
            <v>156</v>
          </cell>
          <cell r="CC133">
            <v>234</v>
          </cell>
          <cell r="CD133">
            <v>234</v>
          </cell>
          <cell r="CE133">
            <v>196</v>
          </cell>
          <cell r="CF133">
            <v>234</v>
          </cell>
          <cell r="CG133">
            <v>128</v>
          </cell>
          <cell r="CH133">
            <v>234</v>
          </cell>
          <cell r="CI133">
            <v>234</v>
          </cell>
          <cell r="CJ133">
            <v>234</v>
          </cell>
          <cell r="CV133">
            <v>245.6575682382134</v>
          </cell>
          <cell r="CX133">
            <v>0</v>
          </cell>
          <cell r="CY133">
            <v>0</v>
          </cell>
          <cell r="CZ133">
            <v>0</v>
          </cell>
          <cell r="DA133">
            <v>0</v>
          </cell>
          <cell r="DB133">
            <v>0</v>
          </cell>
          <cell r="DC133">
            <v>0</v>
          </cell>
          <cell r="DD133">
            <v>0</v>
          </cell>
          <cell r="DE133">
            <v>0</v>
          </cell>
          <cell r="DF133">
            <v>0</v>
          </cell>
          <cell r="DG133">
            <v>0</v>
          </cell>
          <cell r="DR133">
            <v>73103</v>
          </cell>
          <cell r="DS133">
            <v>234</v>
          </cell>
          <cell r="DT133">
            <v>234</v>
          </cell>
          <cell r="DU133">
            <v>999999</v>
          </cell>
          <cell r="DV133">
            <v>999999</v>
          </cell>
          <cell r="DW133">
            <v>999999</v>
          </cell>
          <cell r="DX133">
            <v>234</v>
          </cell>
          <cell r="DY133">
            <v>234</v>
          </cell>
          <cell r="DZ133">
            <v>999999</v>
          </cell>
          <cell r="EA133">
            <v>999999</v>
          </cell>
        </row>
        <row r="134">
          <cell r="N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AJ134">
            <v>0</v>
          </cell>
          <cell r="AK134">
            <v>0</v>
          </cell>
          <cell r="AL134">
            <v>999999</v>
          </cell>
          <cell r="AM134">
            <v>233</v>
          </cell>
          <cell r="AN134">
            <v>233</v>
          </cell>
          <cell r="AO134">
            <v>233</v>
          </cell>
          <cell r="AP134">
            <v>0</v>
          </cell>
          <cell r="AQ134">
            <v>109</v>
          </cell>
          <cell r="AR134">
            <v>233</v>
          </cell>
          <cell r="AS134">
            <v>165</v>
          </cell>
          <cell r="BE134">
            <v>0</v>
          </cell>
          <cell r="BG134">
            <v>0</v>
          </cell>
          <cell r="BH134">
            <v>0</v>
          </cell>
          <cell r="BI134">
            <v>0</v>
          </cell>
          <cell r="BJ134">
            <v>0</v>
          </cell>
          <cell r="BK134">
            <v>0</v>
          </cell>
          <cell r="BL134">
            <v>0</v>
          </cell>
          <cell r="BM134">
            <v>0</v>
          </cell>
          <cell r="BN134">
            <v>0</v>
          </cell>
          <cell r="BO134">
            <v>0</v>
          </cell>
          <cell r="BP134">
            <v>0</v>
          </cell>
          <cell r="CA134">
            <v>159237.04499883714</v>
          </cell>
          <cell r="CB134">
            <v>155</v>
          </cell>
          <cell r="CC134">
            <v>233</v>
          </cell>
          <cell r="CD134">
            <v>233</v>
          </cell>
          <cell r="CE134">
            <v>195</v>
          </cell>
          <cell r="CF134">
            <v>233</v>
          </cell>
          <cell r="CG134">
            <v>127</v>
          </cell>
          <cell r="CH134">
            <v>233</v>
          </cell>
          <cell r="CI134">
            <v>233</v>
          </cell>
          <cell r="CJ134">
            <v>233</v>
          </cell>
          <cell r="CV134">
            <v>245.6575682382134</v>
          </cell>
          <cell r="CX134">
            <v>0</v>
          </cell>
          <cell r="CY134">
            <v>0</v>
          </cell>
          <cell r="CZ134">
            <v>0</v>
          </cell>
          <cell r="DA134">
            <v>0</v>
          </cell>
          <cell r="DB134">
            <v>0</v>
          </cell>
          <cell r="DC134">
            <v>0</v>
          </cell>
          <cell r="DD134">
            <v>0</v>
          </cell>
          <cell r="DE134">
            <v>0</v>
          </cell>
          <cell r="DF134">
            <v>0</v>
          </cell>
          <cell r="DG134">
            <v>0</v>
          </cell>
          <cell r="DR134">
            <v>73103</v>
          </cell>
          <cell r="DS134">
            <v>233</v>
          </cell>
          <cell r="DT134">
            <v>233</v>
          </cell>
          <cell r="DU134">
            <v>999999</v>
          </cell>
          <cell r="DV134">
            <v>999999</v>
          </cell>
          <cell r="DW134">
            <v>999999</v>
          </cell>
          <cell r="DX134">
            <v>233</v>
          </cell>
          <cell r="DY134">
            <v>233</v>
          </cell>
          <cell r="DZ134">
            <v>999999</v>
          </cell>
          <cell r="EA134">
            <v>999999</v>
          </cell>
        </row>
        <row r="135">
          <cell r="N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AJ135">
            <v>0</v>
          </cell>
          <cell r="AK135">
            <v>0</v>
          </cell>
          <cell r="AL135">
            <v>999999</v>
          </cell>
          <cell r="AM135">
            <v>232</v>
          </cell>
          <cell r="AN135">
            <v>232</v>
          </cell>
          <cell r="AO135">
            <v>232</v>
          </cell>
          <cell r="AP135">
            <v>0</v>
          </cell>
          <cell r="AQ135">
            <v>108</v>
          </cell>
          <cell r="AR135">
            <v>232</v>
          </cell>
          <cell r="AS135">
            <v>164</v>
          </cell>
          <cell r="BE135">
            <v>0</v>
          </cell>
          <cell r="BG135">
            <v>0</v>
          </cell>
          <cell r="BH135">
            <v>0</v>
          </cell>
          <cell r="BI135">
            <v>0</v>
          </cell>
          <cell r="BJ135">
            <v>0</v>
          </cell>
          <cell r="BK135">
            <v>0</v>
          </cell>
          <cell r="BL135">
            <v>0</v>
          </cell>
          <cell r="BM135">
            <v>0</v>
          </cell>
          <cell r="BN135">
            <v>0</v>
          </cell>
          <cell r="BO135">
            <v>0</v>
          </cell>
          <cell r="BP135">
            <v>0</v>
          </cell>
          <cell r="CA135">
            <v>158789.85450294695</v>
          </cell>
          <cell r="CB135">
            <v>154</v>
          </cell>
          <cell r="CC135">
            <v>232</v>
          </cell>
          <cell r="CD135">
            <v>232</v>
          </cell>
          <cell r="CE135">
            <v>194</v>
          </cell>
          <cell r="CF135">
            <v>232</v>
          </cell>
          <cell r="CG135">
            <v>126</v>
          </cell>
          <cell r="CH135">
            <v>232</v>
          </cell>
          <cell r="CI135">
            <v>232</v>
          </cell>
          <cell r="CJ135">
            <v>232</v>
          </cell>
          <cell r="CV135">
            <v>245.6575682382134</v>
          </cell>
          <cell r="CX135">
            <v>0</v>
          </cell>
          <cell r="CY135">
            <v>0</v>
          </cell>
          <cell r="CZ135">
            <v>0</v>
          </cell>
          <cell r="DA135">
            <v>0</v>
          </cell>
          <cell r="DB135">
            <v>0</v>
          </cell>
          <cell r="DC135">
            <v>0</v>
          </cell>
          <cell r="DD135">
            <v>0</v>
          </cell>
          <cell r="DE135">
            <v>0</v>
          </cell>
          <cell r="DF135">
            <v>0</v>
          </cell>
          <cell r="DG135">
            <v>0</v>
          </cell>
          <cell r="DR135">
            <v>73103</v>
          </cell>
          <cell r="DS135">
            <v>232</v>
          </cell>
          <cell r="DT135">
            <v>232</v>
          </cell>
          <cell r="DU135">
            <v>999999</v>
          </cell>
          <cell r="DV135">
            <v>999999</v>
          </cell>
          <cell r="DW135">
            <v>999999</v>
          </cell>
          <cell r="DX135">
            <v>232</v>
          </cell>
          <cell r="DY135">
            <v>232</v>
          </cell>
          <cell r="DZ135">
            <v>999999</v>
          </cell>
          <cell r="EA135">
            <v>999999</v>
          </cell>
        </row>
        <row r="136">
          <cell r="N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AJ136">
            <v>0</v>
          </cell>
          <cell r="AK136">
            <v>0</v>
          </cell>
          <cell r="AL136">
            <v>999999</v>
          </cell>
          <cell r="AM136">
            <v>231</v>
          </cell>
          <cell r="AN136">
            <v>231</v>
          </cell>
          <cell r="AO136">
            <v>231</v>
          </cell>
          <cell r="AP136">
            <v>0</v>
          </cell>
          <cell r="AQ136">
            <v>107</v>
          </cell>
          <cell r="AR136">
            <v>231</v>
          </cell>
          <cell r="AS136">
            <v>163</v>
          </cell>
          <cell r="BE136">
            <v>0</v>
          </cell>
          <cell r="BG136">
            <v>0</v>
          </cell>
          <cell r="BH136">
            <v>0</v>
          </cell>
          <cell r="BI136">
            <v>0</v>
          </cell>
          <cell r="BJ136">
            <v>0</v>
          </cell>
          <cell r="BK136">
            <v>0</v>
          </cell>
          <cell r="BL136">
            <v>0</v>
          </cell>
          <cell r="BM136">
            <v>0</v>
          </cell>
          <cell r="BN136">
            <v>0</v>
          </cell>
          <cell r="BO136">
            <v>0</v>
          </cell>
          <cell r="BP136">
            <v>0</v>
          </cell>
          <cell r="CA136">
            <v>158342.66400705677</v>
          </cell>
          <cell r="CB136">
            <v>153</v>
          </cell>
          <cell r="CC136">
            <v>231</v>
          </cell>
          <cell r="CD136">
            <v>231</v>
          </cell>
          <cell r="CE136">
            <v>193</v>
          </cell>
          <cell r="CF136">
            <v>231</v>
          </cell>
          <cell r="CG136">
            <v>125</v>
          </cell>
          <cell r="CH136">
            <v>231</v>
          </cell>
          <cell r="CI136">
            <v>231</v>
          </cell>
          <cell r="CJ136">
            <v>231</v>
          </cell>
          <cell r="CV136">
            <v>245.6575682382134</v>
          </cell>
          <cell r="CX136">
            <v>0</v>
          </cell>
          <cell r="CY136">
            <v>0</v>
          </cell>
          <cell r="CZ136">
            <v>0</v>
          </cell>
          <cell r="DA136">
            <v>0</v>
          </cell>
          <cell r="DB136">
            <v>0</v>
          </cell>
          <cell r="DC136">
            <v>0</v>
          </cell>
          <cell r="DD136">
            <v>0</v>
          </cell>
          <cell r="DE136">
            <v>0</v>
          </cell>
          <cell r="DF136">
            <v>0</v>
          </cell>
          <cell r="DG136">
            <v>0</v>
          </cell>
          <cell r="DR136">
            <v>73103</v>
          </cell>
          <cell r="DS136">
            <v>231</v>
          </cell>
          <cell r="DT136">
            <v>231</v>
          </cell>
          <cell r="DU136">
            <v>999999</v>
          </cell>
          <cell r="DV136">
            <v>999999</v>
          </cell>
          <cell r="DW136">
            <v>999999</v>
          </cell>
          <cell r="DX136">
            <v>231</v>
          </cell>
          <cell r="DY136">
            <v>231</v>
          </cell>
          <cell r="DZ136">
            <v>999999</v>
          </cell>
          <cell r="EA136">
            <v>999999</v>
          </cell>
        </row>
        <row r="137">
          <cell r="N137">
            <v>0</v>
          </cell>
          <cell r="P137">
            <v>0</v>
          </cell>
          <cell r="Q137">
            <v>0</v>
          </cell>
          <cell r="R137">
            <v>0</v>
          </cell>
          <cell r="S137">
            <v>0</v>
          </cell>
          <cell r="T137">
            <v>0</v>
          </cell>
          <cell r="U137">
            <v>0</v>
          </cell>
          <cell r="V137">
            <v>0</v>
          </cell>
          <cell r="W137">
            <v>0</v>
          </cell>
          <cell r="X137">
            <v>0</v>
          </cell>
          <cell r="Y137">
            <v>0</v>
          </cell>
          <cell r="AJ137">
            <v>0</v>
          </cell>
          <cell r="AK137">
            <v>0</v>
          </cell>
          <cell r="AL137">
            <v>999999</v>
          </cell>
          <cell r="AM137">
            <v>230</v>
          </cell>
          <cell r="AN137">
            <v>230</v>
          </cell>
          <cell r="AO137">
            <v>230</v>
          </cell>
          <cell r="AP137">
            <v>0</v>
          </cell>
          <cell r="AQ137">
            <v>106</v>
          </cell>
          <cell r="AR137">
            <v>230</v>
          </cell>
          <cell r="AS137">
            <v>162</v>
          </cell>
          <cell r="BE137">
            <v>0</v>
          </cell>
          <cell r="BG137">
            <v>0</v>
          </cell>
          <cell r="BH137">
            <v>0</v>
          </cell>
          <cell r="BI137">
            <v>0</v>
          </cell>
          <cell r="BJ137">
            <v>0</v>
          </cell>
          <cell r="BK137">
            <v>0</v>
          </cell>
          <cell r="BL137">
            <v>0</v>
          </cell>
          <cell r="BM137">
            <v>0</v>
          </cell>
          <cell r="BN137">
            <v>0</v>
          </cell>
          <cell r="BO137">
            <v>0</v>
          </cell>
          <cell r="BP137">
            <v>0</v>
          </cell>
          <cell r="CA137">
            <v>157895.47351116658</v>
          </cell>
          <cell r="CB137">
            <v>152</v>
          </cell>
          <cell r="CC137">
            <v>230</v>
          </cell>
          <cell r="CD137">
            <v>230</v>
          </cell>
          <cell r="CE137">
            <v>192</v>
          </cell>
          <cell r="CF137">
            <v>230</v>
          </cell>
          <cell r="CG137">
            <v>124</v>
          </cell>
          <cell r="CH137">
            <v>230</v>
          </cell>
          <cell r="CI137">
            <v>230</v>
          </cell>
          <cell r="CJ137">
            <v>230</v>
          </cell>
          <cell r="CV137">
            <v>245.6575682382134</v>
          </cell>
          <cell r="CX137">
            <v>0</v>
          </cell>
          <cell r="CY137">
            <v>0</v>
          </cell>
          <cell r="CZ137">
            <v>0</v>
          </cell>
          <cell r="DA137">
            <v>0</v>
          </cell>
          <cell r="DB137">
            <v>0</v>
          </cell>
          <cell r="DC137">
            <v>0</v>
          </cell>
          <cell r="DD137">
            <v>0</v>
          </cell>
          <cell r="DE137">
            <v>0</v>
          </cell>
          <cell r="DF137">
            <v>0</v>
          </cell>
          <cell r="DG137">
            <v>0</v>
          </cell>
          <cell r="DR137">
            <v>73103</v>
          </cell>
          <cell r="DS137">
            <v>230</v>
          </cell>
          <cell r="DT137">
            <v>230</v>
          </cell>
          <cell r="DU137">
            <v>999999</v>
          </cell>
          <cell r="DV137">
            <v>999999</v>
          </cell>
          <cell r="DW137">
            <v>999999</v>
          </cell>
          <cell r="DX137">
            <v>230</v>
          </cell>
          <cell r="DY137">
            <v>230</v>
          </cell>
          <cell r="DZ137">
            <v>999999</v>
          </cell>
          <cell r="EA137">
            <v>999999</v>
          </cell>
        </row>
        <row r="138">
          <cell r="N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  <cell r="W138">
            <v>0</v>
          </cell>
          <cell r="X138">
            <v>0</v>
          </cell>
          <cell r="Y138">
            <v>0</v>
          </cell>
          <cell r="AJ138">
            <v>0</v>
          </cell>
          <cell r="AK138">
            <v>0</v>
          </cell>
          <cell r="AL138">
            <v>999999</v>
          </cell>
          <cell r="AM138">
            <v>229</v>
          </cell>
          <cell r="AN138">
            <v>229</v>
          </cell>
          <cell r="AO138">
            <v>229</v>
          </cell>
          <cell r="AP138">
            <v>0</v>
          </cell>
          <cell r="AQ138">
            <v>105</v>
          </cell>
          <cell r="AR138">
            <v>229</v>
          </cell>
          <cell r="AS138">
            <v>161</v>
          </cell>
          <cell r="BE138">
            <v>0</v>
          </cell>
          <cell r="BG138">
            <v>0</v>
          </cell>
          <cell r="BH138">
            <v>0</v>
          </cell>
          <cell r="BI138">
            <v>0</v>
          </cell>
          <cell r="BJ138">
            <v>0</v>
          </cell>
          <cell r="BK138">
            <v>0</v>
          </cell>
          <cell r="BL138">
            <v>0</v>
          </cell>
          <cell r="BM138">
            <v>0</v>
          </cell>
          <cell r="BN138">
            <v>0</v>
          </cell>
          <cell r="BO138">
            <v>0</v>
          </cell>
          <cell r="BP138">
            <v>0</v>
          </cell>
          <cell r="CA138">
            <v>157448.28301527639</v>
          </cell>
          <cell r="CB138">
            <v>151</v>
          </cell>
          <cell r="CC138">
            <v>229</v>
          </cell>
          <cell r="CD138">
            <v>229</v>
          </cell>
          <cell r="CE138">
            <v>191</v>
          </cell>
          <cell r="CF138">
            <v>229</v>
          </cell>
          <cell r="CG138">
            <v>123</v>
          </cell>
          <cell r="CH138">
            <v>229</v>
          </cell>
          <cell r="CI138">
            <v>229</v>
          </cell>
          <cell r="CJ138">
            <v>229</v>
          </cell>
          <cell r="CV138">
            <v>245.6575682382134</v>
          </cell>
          <cell r="CX138">
            <v>0</v>
          </cell>
          <cell r="CY138">
            <v>0</v>
          </cell>
          <cell r="CZ138">
            <v>0</v>
          </cell>
          <cell r="DA138">
            <v>0</v>
          </cell>
          <cell r="DB138">
            <v>0</v>
          </cell>
          <cell r="DC138">
            <v>0</v>
          </cell>
          <cell r="DD138">
            <v>0</v>
          </cell>
          <cell r="DE138">
            <v>0</v>
          </cell>
          <cell r="DF138">
            <v>0</v>
          </cell>
          <cell r="DG138">
            <v>0</v>
          </cell>
          <cell r="DR138">
            <v>73103</v>
          </cell>
          <cell r="DS138">
            <v>229</v>
          </cell>
          <cell r="DT138">
            <v>229</v>
          </cell>
          <cell r="DU138">
            <v>999999</v>
          </cell>
          <cell r="DV138">
            <v>999999</v>
          </cell>
          <cell r="DW138">
            <v>999999</v>
          </cell>
          <cell r="DX138">
            <v>229</v>
          </cell>
          <cell r="DY138">
            <v>229</v>
          </cell>
          <cell r="DZ138">
            <v>999999</v>
          </cell>
          <cell r="EA138">
            <v>999999</v>
          </cell>
        </row>
        <row r="139">
          <cell r="N139">
            <v>0</v>
          </cell>
          <cell r="P139">
            <v>0</v>
          </cell>
          <cell r="Q139">
            <v>0</v>
          </cell>
          <cell r="R139">
            <v>0</v>
          </cell>
          <cell r="S139">
            <v>0</v>
          </cell>
          <cell r="T139">
            <v>0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>
            <v>0</v>
          </cell>
          <cell r="AJ139">
            <v>0</v>
          </cell>
          <cell r="AK139">
            <v>0</v>
          </cell>
          <cell r="AL139">
            <v>999999</v>
          </cell>
          <cell r="AM139">
            <v>228</v>
          </cell>
          <cell r="AN139">
            <v>228</v>
          </cell>
          <cell r="AO139">
            <v>228</v>
          </cell>
          <cell r="AP139">
            <v>0</v>
          </cell>
          <cell r="AQ139">
            <v>104</v>
          </cell>
          <cell r="AR139">
            <v>228</v>
          </cell>
          <cell r="AS139">
            <v>160</v>
          </cell>
          <cell r="BE139">
            <v>0</v>
          </cell>
          <cell r="BG139">
            <v>0</v>
          </cell>
          <cell r="BH139">
            <v>0</v>
          </cell>
          <cell r="BI139">
            <v>0</v>
          </cell>
          <cell r="BJ139">
            <v>0</v>
          </cell>
          <cell r="BK139">
            <v>0</v>
          </cell>
          <cell r="BL139">
            <v>0</v>
          </cell>
          <cell r="BM139">
            <v>0</v>
          </cell>
          <cell r="BN139">
            <v>0</v>
          </cell>
          <cell r="BO139">
            <v>0</v>
          </cell>
          <cell r="BP139">
            <v>0</v>
          </cell>
          <cell r="CA139">
            <v>157001.09251938621</v>
          </cell>
          <cell r="CB139">
            <v>150</v>
          </cell>
          <cell r="CC139">
            <v>228</v>
          </cell>
          <cell r="CD139">
            <v>228</v>
          </cell>
          <cell r="CE139">
            <v>190</v>
          </cell>
          <cell r="CF139">
            <v>228</v>
          </cell>
          <cell r="CG139">
            <v>122</v>
          </cell>
          <cell r="CH139">
            <v>228</v>
          </cell>
          <cell r="CI139">
            <v>228</v>
          </cell>
          <cell r="CJ139">
            <v>228</v>
          </cell>
          <cell r="CV139">
            <v>245.6575682382134</v>
          </cell>
          <cell r="CX139">
            <v>0</v>
          </cell>
          <cell r="CY139">
            <v>0</v>
          </cell>
          <cell r="CZ139">
            <v>0</v>
          </cell>
          <cell r="DA139">
            <v>0</v>
          </cell>
          <cell r="DB139">
            <v>0</v>
          </cell>
          <cell r="DC139">
            <v>0</v>
          </cell>
          <cell r="DD139">
            <v>0</v>
          </cell>
          <cell r="DE139">
            <v>0</v>
          </cell>
          <cell r="DF139">
            <v>0</v>
          </cell>
          <cell r="DG139">
            <v>0</v>
          </cell>
          <cell r="DR139">
            <v>73103</v>
          </cell>
          <cell r="DS139">
            <v>228</v>
          </cell>
          <cell r="DT139">
            <v>228</v>
          </cell>
          <cell r="DU139">
            <v>999999</v>
          </cell>
          <cell r="DV139">
            <v>999999</v>
          </cell>
          <cell r="DW139">
            <v>999999</v>
          </cell>
          <cell r="DX139">
            <v>228</v>
          </cell>
          <cell r="DY139">
            <v>228</v>
          </cell>
          <cell r="DZ139">
            <v>999999</v>
          </cell>
          <cell r="EA139">
            <v>999999</v>
          </cell>
        </row>
        <row r="140">
          <cell r="N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0</v>
          </cell>
          <cell r="T140">
            <v>0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  <cell r="AJ140">
            <v>0</v>
          </cell>
          <cell r="AK140">
            <v>0</v>
          </cell>
          <cell r="AL140">
            <v>999999</v>
          </cell>
          <cell r="AM140">
            <v>227</v>
          </cell>
          <cell r="AN140">
            <v>227</v>
          </cell>
          <cell r="AO140">
            <v>227</v>
          </cell>
          <cell r="AP140">
            <v>0</v>
          </cell>
          <cell r="AQ140">
            <v>103</v>
          </cell>
          <cell r="AR140">
            <v>227</v>
          </cell>
          <cell r="AS140">
            <v>159</v>
          </cell>
          <cell r="BE140">
            <v>0</v>
          </cell>
          <cell r="BG140">
            <v>0</v>
          </cell>
          <cell r="BH140">
            <v>0</v>
          </cell>
          <cell r="BI140">
            <v>0</v>
          </cell>
          <cell r="BJ140">
            <v>0</v>
          </cell>
          <cell r="BK140">
            <v>0</v>
          </cell>
          <cell r="BL140">
            <v>0</v>
          </cell>
          <cell r="BM140">
            <v>0</v>
          </cell>
          <cell r="BN140">
            <v>0</v>
          </cell>
          <cell r="BO140">
            <v>0</v>
          </cell>
          <cell r="BP140">
            <v>0</v>
          </cell>
          <cell r="CA140">
            <v>156553.90202349602</v>
          </cell>
          <cell r="CB140">
            <v>149</v>
          </cell>
          <cell r="CC140">
            <v>227</v>
          </cell>
          <cell r="CD140">
            <v>227</v>
          </cell>
          <cell r="CE140">
            <v>189</v>
          </cell>
          <cell r="CF140">
            <v>227</v>
          </cell>
          <cell r="CG140">
            <v>121</v>
          </cell>
          <cell r="CH140">
            <v>227</v>
          </cell>
          <cell r="CI140">
            <v>227</v>
          </cell>
          <cell r="CJ140">
            <v>227</v>
          </cell>
          <cell r="CV140">
            <v>245.6575682382134</v>
          </cell>
          <cell r="CX140">
            <v>0</v>
          </cell>
          <cell r="CY140">
            <v>0</v>
          </cell>
          <cell r="CZ140">
            <v>0</v>
          </cell>
          <cell r="DA140">
            <v>0</v>
          </cell>
          <cell r="DB140">
            <v>0</v>
          </cell>
          <cell r="DC140">
            <v>0</v>
          </cell>
          <cell r="DD140">
            <v>0</v>
          </cell>
          <cell r="DE140">
            <v>0</v>
          </cell>
          <cell r="DF140">
            <v>0</v>
          </cell>
          <cell r="DG140">
            <v>0</v>
          </cell>
          <cell r="DR140">
            <v>73103</v>
          </cell>
          <cell r="DS140">
            <v>227</v>
          </cell>
          <cell r="DT140">
            <v>227</v>
          </cell>
          <cell r="DU140">
            <v>999999</v>
          </cell>
          <cell r="DV140">
            <v>999999</v>
          </cell>
          <cell r="DW140">
            <v>999999</v>
          </cell>
          <cell r="DX140">
            <v>227</v>
          </cell>
          <cell r="DY140">
            <v>227</v>
          </cell>
          <cell r="DZ140">
            <v>999999</v>
          </cell>
          <cell r="EA140">
            <v>999999</v>
          </cell>
        </row>
        <row r="141">
          <cell r="N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  <cell r="T141">
            <v>0</v>
          </cell>
          <cell r="U141">
            <v>0</v>
          </cell>
          <cell r="V141">
            <v>0</v>
          </cell>
          <cell r="W141">
            <v>0</v>
          </cell>
          <cell r="X141">
            <v>0</v>
          </cell>
          <cell r="Y141">
            <v>0</v>
          </cell>
          <cell r="AJ141">
            <v>0</v>
          </cell>
          <cell r="AK141">
            <v>0</v>
          </cell>
          <cell r="AL141">
            <v>999999</v>
          </cell>
          <cell r="AM141">
            <v>226</v>
          </cell>
          <cell r="AN141">
            <v>226</v>
          </cell>
          <cell r="AO141">
            <v>226</v>
          </cell>
          <cell r="AP141">
            <v>0</v>
          </cell>
          <cell r="AQ141">
            <v>102</v>
          </cell>
          <cell r="AR141">
            <v>226</v>
          </cell>
          <cell r="AS141">
            <v>158</v>
          </cell>
          <cell r="BE141">
            <v>0</v>
          </cell>
          <cell r="BG141">
            <v>0</v>
          </cell>
          <cell r="BH141">
            <v>0</v>
          </cell>
          <cell r="BI141">
            <v>0</v>
          </cell>
          <cell r="BJ141">
            <v>0</v>
          </cell>
          <cell r="BK141">
            <v>0</v>
          </cell>
          <cell r="BL141">
            <v>0</v>
          </cell>
          <cell r="BM141">
            <v>0</v>
          </cell>
          <cell r="BN141">
            <v>0</v>
          </cell>
          <cell r="BO141">
            <v>0</v>
          </cell>
          <cell r="BP141">
            <v>0</v>
          </cell>
          <cell r="CA141">
            <v>156106.71152760583</v>
          </cell>
          <cell r="CB141">
            <v>148</v>
          </cell>
          <cell r="CC141">
            <v>226</v>
          </cell>
          <cell r="CD141">
            <v>226</v>
          </cell>
          <cell r="CE141">
            <v>188</v>
          </cell>
          <cell r="CF141">
            <v>226</v>
          </cell>
          <cell r="CG141">
            <v>120</v>
          </cell>
          <cell r="CH141">
            <v>226</v>
          </cell>
          <cell r="CI141">
            <v>226</v>
          </cell>
          <cell r="CJ141">
            <v>226</v>
          </cell>
          <cell r="CV141">
            <v>245.6575682382134</v>
          </cell>
          <cell r="CX141">
            <v>0</v>
          </cell>
          <cell r="CY141">
            <v>0</v>
          </cell>
          <cell r="CZ141">
            <v>0</v>
          </cell>
          <cell r="DA141">
            <v>0</v>
          </cell>
          <cell r="DB141">
            <v>0</v>
          </cell>
          <cell r="DC141">
            <v>0</v>
          </cell>
          <cell r="DD141">
            <v>0</v>
          </cell>
          <cell r="DE141">
            <v>0</v>
          </cell>
          <cell r="DF141">
            <v>0</v>
          </cell>
          <cell r="DG141">
            <v>0</v>
          </cell>
          <cell r="DR141">
            <v>73103</v>
          </cell>
          <cell r="DS141">
            <v>226</v>
          </cell>
          <cell r="DT141">
            <v>226</v>
          </cell>
          <cell r="DU141">
            <v>999999</v>
          </cell>
          <cell r="DV141">
            <v>999999</v>
          </cell>
          <cell r="DW141">
            <v>999999</v>
          </cell>
          <cell r="DX141">
            <v>226</v>
          </cell>
          <cell r="DY141">
            <v>226</v>
          </cell>
          <cell r="DZ141">
            <v>999999</v>
          </cell>
          <cell r="EA141">
            <v>999999</v>
          </cell>
        </row>
        <row r="142">
          <cell r="N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AJ142">
            <v>0</v>
          </cell>
          <cell r="AK142">
            <v>0</v>
          </cell>
          <cell r="AL142">
            <v>999999</v>
          </cell>
          <cell r="AM142">
            <v>225</v>
          </cell>
          <cell r="AN142">
            <v>225</v>
          </cell>
          <cell r="AO142">
            <v>225</v>
          </cell>
          <cell r="AP142">
            <v>0</v>
          </cell>
          <cell r="AQ142">
            <v>101</v>
          </cell>
          <cell r="AR142">
            <v>225</v>
          </cell>
          <cell r="AS142">
            <v>157</v>
          </cell>
          <cell r="BE142">
            <v>0</v>
          </cell>
          <cell r="BG142">
            <v>0</v>
          </cell>
          <cell r="BH142">
            <v>0</v>
          </cell>
          <cell r="BI142">
            <v>0</v>
          </cell>
          <cell r="BJ142">
            <v>0</v>
          </cell>
          <cell r="BK142">
            <v>0</v>
          </cell>
          <cell r="BL142">
            <v>0</v>
          </cell>
          <cell r="BM142">
            <v>0</v>
          </cell>
          <cell r="BN142">
            <v>0</v>
          </cell>
          <cell r="BO142">
            <v>0</v>
          </cell>
          <cell r="BP142">
            <v>0</v>
          </cell>
          <cell r="CA142">
            <v>155659.52103171565</v>
          </cell>
          <cell r="CB142">
            <v>147</v>
          </cell>
          <cell r="CC142">
            <v>225</v>
          </cell>
          <cell r="CD142">
            <v>225</v>
          </cell>
          <cell r="CE142">
            <v>187</v>
          </cell>
          <cell r="CF142">
            <v>225</v>
          </cell>
          <cell r="CG142">
            <v>119</v>
          </cell>
          <cell r="CH142">
            <v>225</v>
          </cell>
          <cell r="CI142">
            <v>225</v>
          </cell>
          <cell r="CJ142">
            <v>225</v>
          </cell>
          <cell r="CV142">
            <v>245.6575682382134</v>
          </cell>
          <cell r="CX142">
            <v>0</v>
          </cell>
          <cell r="CY142">
            <v>0</v>
          </cell>
          <cell r="CZ142">
            <v>0</v>
          </cell>
          <cell r="DA142">
            <v>0</v>
          </cell>
          <cell r="DB142">
            <v>0</v>
          </cell>
          <cell r="DC142">
            <v>0</v>
          </cell>
          <cell r="DD142">
            <v>0</v>
          </cell>
          <cell r="DE142">
            <v>0</v>
          </cell>
          <cell r="DF142">
            <v>0</v>
          </cell>
          <cell r="DG142">
            <v>0</v>
          </cell>
          <cell r="DR142">
            <v>73103</v>
          </cell>
          <cell r="DS142">
            <v>225</v>
          </cell>
          <cell r="DT142">
            <v>225</v>
          </cell>
          <cell r="DU142">
            <v>999999</v>
          </cell>
          <cell r="DV142">
            <v>999999</v>
          </cell>
          <cell r="DW142">
            <v>999999</v>
          </cell>
          <cell r="DX142">
            <v>225</v>
          </cell>
          <cell r="DY142">
            <v>225</v>
          </cell>
          <cell r="DZ142">
            <v>999999</v>
          </cell>
          <cell r="EA142">
            <v>999999</v>
          </cell>
        </row>
        <row r="143">
          <cell r="N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AJ143">
            <v>0</v>
          </cell>
          <cell r="AK143">
            <v>0</v>
          </cell>
          <cell r="AL143">
            <v>999999</v>
          </cell>
          <cell r="AM143">
            <v>224</v>
          </cell>
          <cell r="AN143">
            <v>224</v>
          </cell>
          <cell r="AO143">
            <v>224</v>
          </cell>
          <cell r="AP143">
            <v>0</v>
          </cell>
          <cell r="AQ143">
            <v>100</v>
          </cell>
          <cell r="AR143">
            <v>224</v>
          </cell>
          <cell r="AS143">
            <v>156</v>
          </cell>
          <cell r="BE143">
            <v>0</v>
          </cell>
          <cell r="BG143">
            <v>0</v>
          </cell>
          <cell r="BH143">
            <v>0</v>
          </cell>
          <cell r="BI143">
            <v>0</v>
          </cell>
          <cell r="BJ143">
            <v>0</v>
          </cell>
          <cell r="BK143">
            <v>0</v>
          </cell>
          <cell r="BL143">
            <v>0</v>
          </cell>
          <cell r="BM143">
            <v>0</v>
          </cell>
          <cell r="BN143">
            <v>0</v>
          </cell>
          <cell r="BO143">
            <v>0</v>
          </cell>
          <cell r="BP143">
            <v>0</v>
          </cell>
          <cell r="CA143">
            <v>155212.33053582546</v>
          </cell>
          <cell r="CB143">
            <v>146</v>
          </cell>
          <cell r="CC143">
            <v>224</v>
          </cell>
          <cell r="CD143">
            <v>224</v>
          </cell>
          <cell r="CE143">
            <v>186</v>
          </cell>
          <cell r="CF143">
            <v>224</v>
          </cell>
          <cell r="CG143">
            <v>118</v>
          </cell>
          <cell r="CH143">
            <v>224</v>
          </cell>
          <cell r="CI143">
            <v>224</v>
          </cell>
          <cell r="CJ143">
            <v>224</v>
          </cell>
          <cell r="CV143">
            <v>245.6575682382134</v>
          </cell>
          <cell r="CX143">
            <v>0</v>
          </cell>
          <cell r="CY143">
            <v>0</v>
          </cell>
          <cell r="CZ143">
            <v>0</v>
          </cell>
          <cell r="DA143">
            <v>0</v>
          </cell>
          <cell r="DB143">
            <v>0</v>
          </cell>
          <cell r="DC143">
            <v>0</v>
          </cell>
          <cell r="DD143">
            <v>0</v>
          </cell>
          <cell r="DE143">
            <v>0</v>
          </cell>
          <cell r="DF143">
            <v>0</v>
          </cell>
          <cell r="DG143">
            <v>0</v>
          </cell>
          <cell r="DR143">
            <v>73103</v>
          </cell>
          <cell r="DS143">
            <v>224</v>
          </cell>
          <cell r="DT143">
            <v>224</v>
          </cell>
          <cell r="DU143">
            <v>999999</v>
          </cell>
          <cell r="DV143">
            <v>999999</v>
          </cell>
          <cell r="DW143">
            <v>999999</v>
          </cell>
          <cell r="DX143">
            <v>224</v>
          </cell>
          <cell r="DY143">
            <v>224</v>
          </cell>
          <cell r="DZ143">
            <v>999999</v>
          </cell>
          <cell r="EA143">
            <v>999999</v>
          </cell>
        </row>
        <row r="144">
          <cell r="N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AJ144">
            <v>0</v>
          </cell>
          <cell r="AK144">
            <v>0</v>
          </cell>
          <cell r="AL144">
            <v>999999</v>
          </cell>
          <cell r="AM144">
            <v>223</v>
          </cell>
          <cell r="AN144">
            <v>223</v>
          </cell>
          <cell r="AO144">
            <v>223</v>
          </cell>
          <cell r="AP144">
            <v>0</v>
          </cell>
          <cell r="AQ144">
            <v>99</v>
          </cell>
          <cell r="AR144">
            <v>223</v>
          </cell>
          <cell r="AS144">
            <v>155</v>
          </cell>
          <cell r="BE144">
            <v>0</v>
          </cell>
          <cell r="BG144">
            <v>0</v>
          </cell>
          <cell r="BH144">
            <v>0</v>
          </cell>
          <cell r="BI144">
            <v>0</v>
          </cell>
          <cell r="BJ144">
            <v>0</v>
          </cell>
          <cell r="BK144">
            <v>0</v>
          </cell>
          <cell r="BL144">
            <v>0</v>
          </cell>
          <cell r="BM144">
            <v>0</v>
          </cell>
          <cell r="BN144">
            <v>0</v>
          </cell>
          <cell r="BO144">
            <v>0</v>
          </cell>
          <cell r="BP144">
            <v>0</v>
          </cell>
          <cell r="CA144">
            <v>154765.14003993527</v>
          </cell>
          <cell r="CB144">
            <v>145</v>
          </cell>
          <cell r="CC144">
            <v>223</v>
          </cell>
          <cell r="CD144">
            <v>223</v>
          </cell>
          <cell r="CE144">
            <v>185</v>
          </cell>
          <cell r="CF144">
            <v>223</v>
          </cell>
          <cell r="CG144">
            <v>117</v>
          </cell>
          <cell r="CH144">
            <v>223</v>
          </cell>
          <cell r="CI144">
            <v>223</v>
          </cell>
          <cell r="CJ144">
            <v>223</v>
          </cell>
          <cell r="CV144">
            <v>245.6575682382134</v>
          </cell>
          <cell r="CX144">
            <v>0</v>
          </cell>
          <cell r="CY144">
            <v>0</v>
          </cell>
          <cell r="CZ144">
            <v>0</v>
          </cell>
          <cell r="DA144">
            <v>0</v>
          </cell>
          <cell r="DB144">
            <v>0</v>
          </cell>
          <cell r="DC144">
            <v>0</v>
          </cell>
          <cell r="DD144">
            <v>0</v>
          </cell>
          <cell r="DE144">
            <v>0</v>
          </cell>
          <cell r="DF144">
            <v>0</v>
          </cell>
          <cell r="DG144">
            <v>0</v>
          </cell>
          <cell r="DR144">
            <v>73103</v>
          </cell>
          <cell r="DS144">
            <v>223</v>
          </cell>
          <cell r="DT144">
            <v>223</v>
          </cell>
          <cell r="DU144">
            <v>999999</v>
          </cell>
          <cell r="DV144">
            <v>999999</v>
          </cell>
          <cell r="DW144">
            <v>999999</v>
          </cell>
          <cell r="DX144">
            <v>223</v>
          </cell>
          <cell r="DY144">
            <v>223</v>
          </cell>
          <cell r="DZ144">
            <v>999999</v>
          </cell>
          <cell r="EA144">
            <v>999999</v>
          </cell>
        </row>
        <row r="145">
          <cell r="N145">
            <v>0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  <cell r="T145">
            <v>0</v>
          </cell>
          <cell r="U145">
            <v>0</v>
          </cell>
          <cell r="V145">
            <v>0</v>
          </cell>
          <cell r="W145">
            <v>0</v>
          </cell>
          <cell r="X145">
            <v>0</v>
          </cell>
          <cell r="Y145">
            <v>0</v>
          </cell>
          <cell r="AJ145">
            <v>0</v>
          </cell>
          <cell r="AK145">
            <v>0</v>
          </cell>
          <cell r="AL145">
            <v>999999</v>
          </cell>
          <cell r="AM145">
            <v>222</v>
          </cell>
          <cell r="AN145">
            <v>222</v>
          </cell>
          <cell r="AO145">
            <v>222</v>
          </cell>
          <cell r="AP145">
            <v>0</v>
          </cell>
          <cell r="AQ145">
            <v>98</v>
          </cell>
          <cell r="AR145">
            <v>222</v>
          </cell>
          <cell r="AS145">
            <v>154</v>
          </cell>
          <cell r="BE145">
            <v>0</v>
          </cell>
          <cell r="BG145">
            <v>0</v>
          </cell>
          <cell r="BH145">
            <v>0</v>
          </cell>
          <cell r="BI145">
            <v>0</v>
          </cell>
          <cell r="BJ145">
            <v>0</v>
          </cell>
          <cell r="BK145">
            <v>0</v>
          </cell>
          <cell r="BL145">
            <v>0</v>
          </cell>
          <cell r="BM145">
            <v>0</v>
          </cell>
          <cell r="BN145">
            <v>0</v>
          </cell>
          <cell r="BO145">
            <v>0</v>
          </cell>
          <cell r="BP145">
            <v>0</v>
          </cell>
          <cell r="CA145">
            <v>154317.94954404508</v>
          </cell>
          <cell r="CB145">
            <v>144</v>
          </cell>
          <cell r="CC145">
            <v>222</v>
          </cell>
          <cell r="CD145">
            <v>222</v>
          </cell>
          <cell r="CE145">
            <v>184</v>
          </cell>
          <cell r="CF145">
            <v>222</v>
          </cell>
          <cell r="CG145">
            <v>116</v>
          </cell>
          <cell r="CH145">
            <v>222</v>
          </cell>
          <cell r="CI145">
            <v>222</v>
          </cell>
          <cell r="CJ145">
            <v>222</v>
          </cell>
          <cell r="CV145">
            <v>245.6575682382134</v>
          </cell>
          <cell r="CX145">
            <v>0</v>
          </cell>
          <cell r="CY145">
            <v>0</v>
          </cell>
          <cell r="CZ145">
            <v>0</v>
          </cell>
          <cell r="DA145">
            <v>0</v>
          </cell>
          <cell r="DB145">
            <v>0</v>
          </cell>
          <cell r="DC145">
            <v>0</v>
          </cell>
          <cell r="DD145">
            <v>0</v>
          </cell>
          <cell r="DE145">
            <v>0</v>
          </cell>
          <cell r="DF145">
            <v>0</v>
          </cell>
          <cell r="DG145">
            <v>0</v>
          </cell>
          <cell r="DR145">
            <v>73103</v>
          </cell>
          <cell r="DS145">
            <v>222</v>
          </cell>
          <cell r="DT145">
            <v>222</v>
          </cell>
          <cell r="DU145">
            <v>999999</v>
          </cell>
          <cell r="DV145">
            <v>999999</v>
          </cell>
          <cell r="DW145">
            <v>999999</v>
          </cell>
          <cell r="DX145">
            <v>222</v>
          </cell>
          <cell r="DY145">
            <v>222</v>
          </cell>
          <cell r="DZ145">
            <v>999999</v>
          </cell>
          <cell r="EA145">
            <v>999999</v>
          </cell>
        </row>
        <row r="146">
          <cell r="N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AJ146">
            <v>0</v>
          </cell>
          <cell r="AK146">
            <v>0</v>
          </cell>
          <cell r="AL146">
            <v>999999</v>
          </cell>
          <cell r="AM146">
            <v>221</v>
          </cell>
          <cell r="AN146">
            <v>221</v>
          </cell>
          <cell r="AO146">
            <v>221</v>
          </cell>
          <cell r="AP146">
            <v>0</v>
          </cell>
          <cell r="AQ146">
            <v>97</v>
          </cell>
          <cell r="AR146">
            <v>221</v>
          </cell>
          <cell r="AS146">
            <v>153</v>
          </cell>
          <cell r="BE146">
            <v>0</v>
          </cell>
          <cell r="BG146">
            <v>0</v>
          </cell>
          <cell r="BH146">
            <v>0</v>
          </cell>
          <cell r="BI146">
            <v>0</v>
          </cell>
          <cell r="BJ146">
            <v>0</v>
          </cell>
          <cell r="BK146">
            <v>0</v>
          </cell>
          <cell r="BL146">
            <v>0</v>
          </cell>
          <cell r="BM146">
            <v>0</v>
          </cell>
          <cell r="BN146">
            <v>0</v>
          </cell>
          <cell r="BO146">
            <v>0</v>
          </cell>
          <cell r="BP146">
            <v>0</v>
          </cell>
          <cell r="CA146">
            <v>153870.7590481549</v>
          </cell>
          <cell r="CB146">
            <v>143</v>
          </cell>
          <cell r="CC146">
            <v>221</v>
          </cell>
          <cell r="CD146">
            <v>221</v>
          </cell>
          <cell r="CE146">
            <v>183</v>
          </cell>
          <cell r="CF146">
            <v>221</v>
          </cell>
          <cell r="CG146">
            <v>115</v>
          </cell>
          <cell r="CH146">
            <v>221</v>
          </cell>
          <cell r="CI146">
            <v>221</v>
          </cell>
          <cell r="CJ146">
            <v>221</v>
          </cell>
          <cell r="CV146">
            <v>245.6575682382134</v>
          </cell>
          <cell r="CX146">
            <v>0</v>
          </cell>
          <cell r="CY146">
            <v>0</v>
          </cell>
          <cell r="CZ146">
            <v>0</v>
          </cell>
          <cell r="DA146">
            <v>0</v>
          </cell>
          <cell r="DB146">
            <v>0</v>
          </cell>
          <cell r="DC146">
            <v>0</v>
          </cell>
          <cell r="DD146">
            <v>0</v>
          </cell>
          <cell r="DE146">
            <v>0</v>
          </cell>
          <cell r="DF146">
            <v>0</v>
          </cell>
          <cell r="DG146">
            <v>0</v>
          </cell>
          <cell r="DR146">
            <v>73103</v>
          </cell>
          <cell r="DS146">
            <v>221</v>
          </cell>
          <cell r="DT146">
            <v>221</v>
          </cell>
          <cell r="DU146">
            <v>999999</v>
          </cell>
          <cell r="DV146">
            <v>999999</v>
          </cell>
          <cell r="DW146">
            <v>999999</v>
          </cell>
          <cell r="DX146">
            <v>221</v>
          </cell>
          <cell r="DY146">
            <v>221</v>
          </cell>
          <cell r="DZ146">
            <v>999999</v>
          </cell>
          <cell r="EA146">
            <v>999999</v>
          </cell>
        </row>
        <row r="147">
          <cell r="N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AJ147">
            <v>0</v>
          </cell>
          <cell r="AK147">
            <v>0</v>
          </cell>
          <cell r="AL147">
            <v>999999</v>
          </cell>
          <cell r="AM147">
            <v>220</v>
          </cell>
          <cell r="AN147">
            <v>220</v>
          </cell>
          <cell r="AO147">
            <v>220</v>
          </cell>
          <cell r="AP147">
            <v>0</v>
          </cell>
          <cell r="AQ147">
            <v>96</v>
          </cell>
          <cell r="AR147">
            <v>220</v>
          </cell>
          <cell r="AS147">
            <v>152</v>
          </cell>
          <cell r="BE147">
            <v>0</v>
          </cell>
          <cell r="BG147">
            <v>0</v>
          </cell>
          <cell r="BH147">
            <v>0</v>
          </cell>
          <cell r="BI147">
            <v>0</v>
          </cell>
          <cell r="BJ147">
            <v>0</v>
          </cell>
          <cell r="BK147">
            <v>0</v>
          </cell>
          <cell r="BL147">
            <v>0</v>
          </cell>
          <cell r="BM147">
            <v>0</v>
          </cell>
          <cell r="BN147">
            <v>0</v>
          </cell>
          <cell r="BO147">
            <v>0</v>
          </cell>
          <cell r="BP147">
            <v>0</v>
          </cell>
          <cell r="CA147">
            <v>153423.56855226471</v>
          </cell>
          <cell r="CB147">
            <v>142</v>
          </cell>
          <cell r="CC147">
            <v>220</v>
          </cell>
          <cell r="CD147">
            <v>220</v>
          </cell>
          <cell r="CE147">
            <v>182</v>
          </cell>
          <cell r="CF147">
            <v>220</v>
          </cell>
          <cell r="CG147">
            <v>114</v>
          </cell>
          <cell r="CH147">
            <v>220</v>
          </cell>
          <cell r="CI147">
            <v>220</v>
          </cell>
          <cell r="CJ147">
            <v>220</v>
          </cell>
          <cell r="CV147">
            <v>245.6575682382134</v>
          </cell>
          <cell r="CX147">
            <v>0</v>
          </cell>
          <cell r="CY147">
            <v>0</v>
          </cell>
          <cell r="CZ147">
            <v>0</v>
          </cell>
          <cell r="DA147">
            <v>0</v>
          </cell>
          <cell r="DB147">
            <v>0</v>
          </cell>
          <cell r="DC147">
            <v>0</v>
          </cell>
          <cell r="DD147">
            <v>0</v>
          </cell>
          <cell r="DE147">
            <v>0</v>
          </cell>
          <cell r="DF147">
            <v>0</v>
          </cell>
          <cell r="DG147">
            <v>0</v>
          </cell>
          <cell r="DR147">
            <v>73103</v>
          </cell>
          <cell r="DS147">
            <v>220</v>
          </cell>
          <cell r="DT147">
            <v>220</v>
          </cell>
          <cell r="DU147">
            <v>999999</v>
          </cell>
          <cell r="DV147">
            <v>999999</v>
          </cell>
          <cell r="DW147">
            <v>999999</v>
          </cell>
          <cell r="DX147">
            <v>220</v>
          </cell>
          <cell r="DY147">
            <v>220</v>
          </cell>
          <cell r="DZ147">
            <v>999999</v>
          </cell>
          <cell r="EA147">
            <v>999999</v>
          </cell>
        </row>
        <row r="148">
          <cell r="N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AJ148">
            <v>0</v>
          </cell>
          <cell r="AK148">
            <v>0</v>
          </cell>
          <cell r="AL148">
            <v>999999</v>
          </cell>
          <cell r="AM148">
            <v>219</v>
          </cell>
          <cell r="AN148">
            <v>219</v>
          </cell>
          <cell r="AO148">
            <v>219</v>
          </cell>
          <cell r="AP148">
            <v>0</v>
          </cell>
          <cell r="AQ148">
            <v>95</v>
          </cell>
          <cell r="AR148">
            <v>219</v>
          </cell>
          <cell r="AS148">
            <v>151</v>
          </cell>
          <cell r="BE148">
            <v>0</v>
          </cell>
          <cell r="BG148">
            <v>0</v>
          </cell>
          <cell r="BH148">
            <v>0</v>
          </cell>
          <cell r="BI148">
            <v>0</v>
          </cell>
          <cell r="BJ148">
            <v>0</v>
          </cell>
          <cell r="BK148">
            <v>0</v>
          </cell>
          <cell r="BL148">
            <v>0</v>
          </cell>
          <cell r="BM148">
            <v>0</v>
          </cell>
          <cell r="BN148">
            <v>0</v>
          </cell>
          <cell r="BO148">
            <v>0</v>
          </cell>
          <cell r="BP148">
            <v>0</v>
          </cell>
          <cell r="CA148">
            <v>152976.37805637452</v>
          </cell>
          <cell r="CB148">
            <v>141</v>
          </cell>
          <cell r="CC148">
            <v>219</v>
          </cell>
          <cell r="CD148">
            <v>219</v>
          </cell>
          <cell r="CE148">
            <v>181</v>
          </cell>
          <cell r="CF148">
            <v>219</v>
          </cell>
          <cell r="CG148">
            <v>113</v>
          </cell>
          <cell r="CH148">
            <v>219</v>
          </cell>
          <cell r="CI148">
            <v>219</v>
          </cell>
          <cell r="CJ148">
            <v>219</v>
          </cell>
          <cell r="CV148">
            <v>245.6575682382134</v>
          </cell>
          <cell r="CX148">
            <v>0</v>
          </cell>
          <cell r="CY148">
            <v>0</v>
          </cell>
          <cell r="CZ148">
            <v>0</v>
          </cell>
          <cell r="DA148">
            <v>0</v>
          </cell>
          <cell r="DB148">
            <v>0</v>
          </cell>
          <cell r="DC148">
            <v>0</v>
          </cell>
          <cell r="DD148">
            <v>0</v>
          </cell>
          <cell r="DE148">
            <v>0</v>
          </cell>
          <cell r="DF148">
            <v>0</v>
          </cell>
          <cell r="DG148">
            <v>0</v>
          </cell>
          <cell r="DR148">
            <v>73103</v>
          </cell>
          <cell r="DS148">
            <v>219</v>
          </cell>
          <cell r="DT148">
            <v>219</v>
          </cell>
          <cell r="DU148">
            <v>999999</v>
          </cell>
          <cell r="DV148">
            <v>999999</v>
          </cell>
          <cell r="DW148">
            <v>999999</v>
          </cell>
          <cell r="DX148">
            <v>219</v>
          </cell>
          <cell r="DY148">
            <v>219</v>
          </cell>
          <cell r="DZ148">
            <v>999999</v>
          </cell>
          <cell r="EA148">
            <v>999999</v>
          </cell>
        </row>
        <row r="149">
          <cell r="N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V149">
            <v>0</v>
          </cell>
          <cell r="W149">
            <v>0</v>
          </cell>
          <cell r="X149">
            <v>0</v>
          </cell>
          <cell r="Y149">
            <v>0</v>
          </cell>
          <cell r="AJ149">
            <v>0</v>
          </cell>
          <cell r="AK149">
            <v>0</v>
          </cell>
          <cell r="AL149">
            <v>999999</v>
          </cell>
          <cell r="AM149">
            <v>218</v>
          </cell>
          <cell r="AN149">
            <v>218</v>
          </cell>
          <cell r="AO149">
            <v>218</v>
          </cell>
          <cell r="AP149">
            <v>0</v>
          </cell>
          <cell r="AQ149">
            <v>94</v>
          </cell>
          <cell r="AR149">
            <v>218</v>
          </cell>
          <cell r="AS149">
            <v>150</v>
          </cell>
          <cell r="BE149">
            <v>0</v>
          </cell>
          <cell r="BG149">
            <v>0</v>
          </cell>
          <cell r="BH149">
            <v>0</v>
          </cell>
          <cell r="BI149">
            <v>0</v>
          </cell>
          <cell r="BJ149">
            <v>0</v>
          </cell>
          <cell r="BK149">
            <v>0</v>
          </cell>
          <cell r="BL149">
            <v>0</v>
          </cell>
          <cell r="BM149">
            <v>0</v>
          </cell>
          <cell r="BN149">
            <v>0</v>
          </cell>
          <cell r="BO149">
            <v>0</v>
          </cell>
          <cell r="BP149">
            <v>0</v>
          </cell>
          <cell r="CA149">
            <v>152529.18756048434</v>
          </cell>
          <cell r="CB149">
            <v>140</v>
          </cell>
          <cell r="CC149">
            <v>218</v>
          </cell>
          <cell r="CD149">
            <v>218</v>
          </cell>
          <cell r="CE149">
            <v>180</v>
          </cell>
          <cell r="CF149">
            <v>218</v>
          </cell>
          <cell r="CG149">
            <v>112</v>
          </cell>
          <cell r="CH149">
            <v>218</v>
          </cell>
          <cell r="CI149">
            <v>218</v>
          </cell>
          <cell r="CJ149">
            <v>218</v>
          </cell>
          <cell r="CV149">
            <v>245.6575682382134</v>
          </cell>
          <cell r="CX149">
            <v>0</v>
          </cell>
          <cell r="CY149">
            <v>0</v>
          </cell>
          <cell r="CZ149">
            <v>0</v>
          </cell>
          <cell r="DA149">
            <v>0</v>
          </cell>
          <cell r="DB149">
            <v>0</v>
          </cell>
          <cell r="DC149">
            <v>0</v>
          </cell>
          <cell r="DD149">
            <v>0</v>
          </cell>
          <cell r="DE149">
            <v>0</v>
          </cell>
          <cell r="DF149">
            <v>0</v>
          </cell>
          <cell r="DG149">
            <v>0</v>
          </cell>
          <cell r="DR149">
            <v>73103</v>
          </cell>
          <cell r="DS149">
            <v>218</v>
          </cell>
          <cell r="DT149">
            <v>218</v>
          </cell>
          <cell r="DU149">
            <v>999999</v>
          </cell>
          <cell r="DV149">
            <v>999999</v>
          </cell>
          <cell r="DW149">
            <v>999999</v>
          </cell>
          <cell r="DX149">
            <v>218</v>
          </cell>
          <cell r="DY149">
            <v>218</v>
          </cell>
          <cell r="DZ149">
            <v>999999</v>
          </cell>
          <cell r="EA149">
            <v>999999</v>
          </cell>
        </row>
        <row r="150">
          <cell r="N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V150">
            <v>0</v>
          </cell>
          <cell r="W150">
            <v>0</v>
          </cell>
          <cell r="X150">
            <v>0</v>
          </cell>
          <cell r="Y150">
            <v>0</v>
          </cell>
          <cell r="AJ150">
            <v>0</v>
          </cell>
          <cell r="AK150">
            <v>0</v>
          </cell>
          <cell r="AL150">
            <v>999999</v>
          </cell>
          <cell r="AM150">
            <v>217</v>
          </cell>
          <cell r="AN150">
            <v>217</v>
          </cell>
          <cell r="AO150">
            <v>217</v>
          </cell>
          <cell r="AP150">
            <v>0</v>
          </cell>
          <cell r="AQ150">
            <v>93</v>
          </cell>
          <cell r="AR150">
            <v>217</v>
          </cell>
          <cell r="AS150">
            <v>149</v>
          </cell>
          <cell r="BE150">
            <v>0</v>
          </cell>
          <cell r="BG150">
            <v>0</v>
          </cell>
          <cell r="BH150">
            <v>0</v>
          </cell>
          <cell r="BI150">
            <v>0</v>
          </cell>
          <cell r="BJ150">
            <v>0</v>
          </cell>
          <cell r="BK150">
            <v>0</v>
          </cell>
          <cell r="BL150">
            <v>0</v>
          </cell>
          <cell r="BM150">
            <v>0</v>
          </cell>
          <cell r="BN150">
            <v>0</v>
          </cell>
          <cell r="BO150">
            <v>0</v>
          </cell>
          <cell r="BP150">
            <v>0</v>
          </cell>
          <cell r="CA150">
            <v>152081.99706459415</v>
          </cell>
          <cell r="CB150">
            <v>139</v>
          </cell>
          <cell r="CC150">
            <v>217</v>
          </cell>
          <cell r="CD150">
            <v>217</v>
          </cell>
          <cell r="CE150">
            <v>179</v>
          </cell>
          <cell r="CF150">
            <v>217</v>
          </cell>
          <cell r="CG150">
            <v>111</v>
          </cell>
          <cell r="CH150">
            <v>217</v>
          </cell>
          <cell r="CI150">
            <v>217</v>
          </cell>
          <cell r="CJ150">
            <v>217</v>
          </cell>
          <cell r="CV150">
            <v>245.6575682382134</v>
          </cell>
          <cell r="CX150">
            <v>0</v>
          </cell>
          <cell r="CY150">
            <v>0</v>
          </cell>
          <cell r="CZ150">
            <v>0</v>
          </cell>
          <cell r="DA150">
            <v>0</v>
          </cell>
          <cell r="DB150">
            <v>0</v>
          </cell>
          <cell r="DC150">
            <v>0</v>
          </cell>
          <cell r="DD150">
            <v>0</v>
          </cell>
          <cell r="DE150">
            <v>0</v>
          </cell>
          <cell r="DF150">
            <v>0</v>
          </cell>
          <cell r="DG150">
            <v>0</v>
          </cell>
          <cell r="DR150">
            <v>73103</v>
          </cell>
          <cell r="DS150">
            <v>217</v>
          </cell>
          <cell r="DT150">
            <v>217</v>
          </cell>
          <cell r="DU150">
            <v>999999</v>
          </cell>
          <cell r="DV150">
            <v>999999</v>
          </cell>
          <cell r="DW150">
            <v>999999</v>
          </cell>
          <cell r="DX150">
            <v>217</v>
          </cell>
          <cell r="DY150">
            <v>217</v>
          </cell>
          <cell r="DZ150">
            <v>999999</v>
          </cell>
          <cell r="EA150">
            <v>999999</v>
          </cell>
        </row>
        <row r="151">
          <cell r="N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AJ151">
            <v>0</v>
          </cell>
          <cell r="AK151">
            <v>0</v>
          </cell>
          <cell r="AL151">
            <v>999999</v>
          </cell>
          <cell r="AM151">
            <v>216</v>
          </cell>
          <cell r="AN151">
            <v>216</v>
          </cell>
          <cell r="AO151">
            <v>216</v>
          </cell>
          <cell r="AP151">
            <v>0</v>
          </cell>
          <cell r="AQ151">
            <v>92</v>
          </cell>
          <cell r="AR151">
            <v>216</v>
          </cell>
          <cell r="AS151">
            <v>148</v>
          </cell>
          <cell r="BE151">
            <v>0</v>
          </cell>
          <cell r="BG151">
            <v>0</v>
          </cell>
          <cell r="BH151">
            <v>0</v>
          </cell>
          <cell r="BI151">
            <v>0</v>
          </cell>
          <cell r="BJ151">
            <v>0</v>
          </cell>
          <cell r="BK151">
            <v>0</v>
          </cell>
          <cell r="BL151">
            <v>0</v>
          </cell>
          <cell r="BM151">
            <v>0</v>
          </cell>
          <cell r="BN151">
            <v>0</v>
          </cell>
          <cell r="BO151">
            <v>0</v>
          </cell>
          <cell r="BP151">
            <v>0</v>
          </cell>
          <cell r="CA151">
            <v>151634.80656870396</v>
          </cell>
          <cell r="CB151">
            <v>138</v>
          </cell>
          <cell r="CC151">
            <v>216</v>
          </cell>
          <cell r="CD151">
            <v>216</v>
          </cell>
          <cell r="CE151">
            <v>178</v>
          </cell>
          <cell r="CF151">
            <v>216</v>
          </cell>
          <cell r="CG151">
            <v>110</v>
          </cell>
          <cell r="CH151">
            <v>216</v>
          </cell>
          <cell r="CI151">
            <v>216</v>
          </cell>
          <cell r="CJ151">
            <v>216</v>
          </cell>
          <cell r="CV151">
            <v>245.6575682382134</v>
          </cell>
          <cell r="CX151">
            <v>0</v>
          </cell>
          <cell r="CY151">
            <v>0</v>
          </cell>
          <cell r="CZ151">
            <v>0</v>
          </cell>
          <cell r="DA151">
            <v>0</v>
          </cell>
          <cell r="DB151">
            <v>0</v>
          </cell>
          <cell r="DC151">
            <v>0</v>
          </cell>
          <cell r="DD151">
            <v>0</v>
          </cell>
          <cell r="DE151">
            <v>0</v>
          </cell>
          <cell r="DF151">
            <v>0</v>
          </cell>
          <cell r="DG151">
            <v>0</v>
          </cell>
          <cell r="DR151">
            <v>73103</v>
          </cell>
          <cell r="DS151">
            <v>216</v>
          </cell>
          <cell r="DT151">
            <v>216</v>
          </cell>
          <cell r="DU151">
            <v>999999</v>
          </cell>
          <cell r="DV151">
            <v>999999</v>
          </cell>
          <cell r="DW151">
            <v>999999</v>
          </cell>
          <cell r="DX151">
            <v>216</v>
          </cell>
          <cell r="DY151">
            <v>216</v>
          </cell>
          <cell r="DZ151">
            <v>999999</v>
          </cell>
          <cell r="EA151">
            <v>999999</v>
          </cell>
        </row>
        <row r="152">
          <cell r="N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  <cell r="T152">
            <v>0</v>
          </cell>
          <cell r="U152">
            <v>0</v>
          </cell>
          <cell r="V152">
            <v>0</v>
          </cell>
          <cell r="W152">
            <v>0</v>
          </cell>
          <cell r="X152">
            <v>0</v>
          </cell>
          <cell r="Y152">
            <v>0</v>
          </cell>
          <cell r="AJ152">
            <v>0</v>
          </cell>
          <cell r="AK152">
            <v>0</v>
          </cell>
          <cell r="AL152">
            <v>999999</v>
          </cell>
          <cell r="AM152">
            <v>215</v>
          </cell>
          <cell r="AN152">
            <v>215</v>
          </cell>
          <cell r="AO152">
            <v>215</v>
          </cell>
          <cell r="AP152">
            <v>0</v>
          </cell>
          <cell r="AQ152">
            <v>91</v>
          </cell>
          <cell r="AR152">
            <v>215</v>
          </cell>
          <cell r="AS152">
            <v>147</v>
          </cell>
          <cell r="BE152">
            <v>0</v>
          </cell>
          <cell r="BG152">
            <v>0</v>
          </cell>
          <cell r="BH152">
            <v>0</v>
          </cell>
          <cell r="BI152">
            <v>0</v>
          </cell>
          <cell r="BJ152">
            <v>0</v>
          </cell>
          <cell r="BK152">
            <v>0</v>
          </cell>
          <cell r="BL152">
            <v>0</v>
          </cell>
          <cell r="BM152">
            <v>0</v>
          </cell>
          <cell r="BN152">
            <v>0</v>
          </cell>
          <cell r="BO152">
            <v>0</v>
          </cell>
          <cell r="BP152">
            <v>0</v>
          </cell>
          <cell r="CA152">
            <v>151187.61607281378</v>
          </cell>
          <cell r="CB152">
            <v>137</v>
          </cell>
          <cell r="CC152">
            <v>215</v>
          </cell>
          <cell r="CD152">
            <v>215</v>
          </cell>
          <cell r="CE152">
            <v>177</v>
          </cell>
          <cell r="CF152">
            <v>215</v>
          </cell>
          <cell r="CG152">
            <v>109</v>
          </cell>
          <cell r="CH152">
            <v>215</v>
          </cell>
          <cell r="CI152">
            <v>215</v>
          </cell>
          <cell r="CJ152">
            <v>215</v>
          </cell>
          <cell r="CV152">
            <v>245.6575682382134</v>
          </cell>
          <cell r="CX152">
            <v>0</v>
          </cell>
          <cell r="CY152">
            <v>0</v>
          </cell>
          <cell r="CZ152">
            <v>0</v>
          </cell>
          <cell r="DA152">
            <v>0</v>
          </cell>
          <cell r="DB152">
            <v>0</v>
          </cell>
          <cell r="DC152">
            <v>0</v>
          </cell>
          <cell r="DD152">
            <v>0</v>
          </cell>
          <cell r="DE152">
            <v>0</v>
          </cell>
          <cell r="DF152">
            <v>0</v>
          </cell>
          <cell r="DG152">
            <v>0</v>
          </cell>
          <cell r="DR152">
            <v>73103</v>
          </cell>
          <cell r="DS152">
            <v>215</v>
          </cell>
          <cell r="DT152">
            <v>215</v>
          </cell>
          <cell r="DU152">
            <v>999999</v>
          </cell>
          <cell r="DV152">
            <v>999999</v>
          </cell>
          <cell r="DW152">
            <v>999999</v>
          </cell>
          <cell r="DX152">
            <v>215</v>
          </cell>
          <cell r="DY152">
            <v>215</v>
          </cell>
          <cell r="DZ152">
            <v>999999</v>
          </cell>
          <cell r="EA152">
            <v>999999</v>
          </cell>
        </row>
        <row r="153">
          <cell r="N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  <cell r="T153">
            <v>0</v>
          </cell>
          <cell r="U153">
            <v>0</v>
          </cell>
          <cell r="V153">
            <v>0</v>
          </cell>
          <cell r="W153">
            <v>0</v>
          </cell>
          <cell r="X153">
            <v>0</v>
          </cell>
          <cell r="Y153">
            <v>0</v>
          </cell>
          <cell r="AJ153">
            <v>0</v>
          </cell>
          <cell r="AK153">
            <v>0</v>
          </cell>
          <cell r="AL153">
            <v>999999</v>
          </cell>
          <cell r="AM153">
            <v>214</v>
          </cell>
          <cell r="AN153">
            <v>214</v>
          </cell>
          <cell r="AO153">
            <v>214</v>
          </cell>
          <cell r="AP153">
            <v>0</v>
          </cell>
          <cell r="AQ153">
            <v>90</v>
          </cell>
          <cell r="AR153">
            <v>214</v>
          </cell>
          <cell r="AS153">
            <v>146</v>
          </cell>
          <cell r="BE153">
            <v>0</v>
          </cell>
          <cell r="BG153">
            <v>0</v>
          </cell>
          <cell r="BH153">
            <v>0</v>
          </cell>
          <cell r="BI153">
            <v>0</v>
          </cell>
          <cell r="BJ153">
            <v>0</v>
          </cell>
          <cell r="BK153">
            <v>0</v>
          </cell>
          <cell r="BL153">
            <v>0</v>
          </cell>
          <cell r="BM153">
            <v>0</v>
          </cell>
          <cell r="BN153">
            <v>0</v>
          </cell>
          <cell r="BO153">
            <v>0</v>
          </cell>
          <cell r="BP153">
            <v>0</v>
          </cell>
          <cell r="CA153">
            <v>150740.42557692359</v>
          </cell>
          <cell r="CB153">
            <v>136</v>
          </cell>
          <cell r="CC153">
            <v>214</v>
          </cell>
          <cell r="CD153">
            <v>214</v>
          </cell>
          <cell r="CE153">
            <v>176</v>
          </cell>
          <cell r="CF153">
            <v>214</v>
          </cell>
          <cell r="CG153">
            <v>108</v>
          </cell>
          <cell r="CH153">
            <v>214</v>
          </cell>
          <cell r="CI153">
            <v>214</v>
          </cell>
          <cell r="CJ153">
            <v>214</v>
          </cell>
          <cell r="CV153">
            <v>245.6575682382134</v>
          </cell>
          <cell r="CX153">
            <v>0</v>
          </cell>
          <cell r="CY153">
            <v>0</v>
          </cell>
          <cell r="CZ153">
            <v>0</v>
          </cell>
          <cell r="DA153">
            <v>0</v>
          </cell>
          <cell r="DB153">
            <v>0</v>
          </cell>
          <cell r="DC153">
            <v>0</v>
          </cell>
          <cell r="DD153">
            <v>0</v>
          </cell>
          <cell r="DE153">
            <v>0</v>
          </cell>
          <cell r="DF153">
            <v>0</v>
          </cell>
          <cell r="DG153">
            <v>0</v>
          </cell>
          <cell r="DR153">
            <v>73103</v>
          </cell>
          <cell r="DS153">
            <v>214</v>
          </cell>
          <cell r="DT153">
            <v>214</v>
          </cell>
          <cell r="DU153">
            <v>999999</v>
          </cell>
          <cell r="DV153">
            <v>999999</v>
          </cell>
          <cell r="DW153">
            <v>999999</v>
          </cell>
          <cell r="DX153">
            <v>214</v>
          </cell>
          <cell r="DY153">
            <v>214</v>
          </cell>
          <cell r="DZ153">
            <v>999999</v>
          </cell>
          <cell r="EA153">
            <v>999999</v>
          </cell>
        </row>
        <row r="154">
          <cell r="N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0</v>
          </cell>
          <cell r="V154">
            <v>0</v>
          </cell>
          <cell r="W154">
            <v>0</v>
          </cell>
          <cell r="X154">
            <v>0</v>
          </cell>
          <cell r="Y154">
            <v>0</v>
          </cell>
          <cell r="AJ154">
            <v>0</v>
          </cell>
          <cell r="AK154">
            <v>0</v>
          </cell>
          <cell r="AL154">
            <v>999999</v>
          </cell>
          <cell r="AM154">
            <v>213</v>
          </cell>
          <cell r="AN154">
            <v>213</v>
          </cell>
          <cell r="AO154">
            <v>213</v>
          </cell>
          <cell r="AP154">
            <v>0</v>
          </cell>
          <cell r="AQ154">
            <v>89</v>
          </cell>
          <cell r="AR154">
            <v>213</v>
          </cell>
          <cell r="AS154">
            <v>145</v>
          </cell>
          <cell r="BE154">
            <v>0</v>
          </cell>
          <cell r="BG154">
            <v>0</v>
          </cell>
          <cell r="BH154">
            <v>0</v>
          </cell>
          <cell r="BI154">
            <v>0</v>
          </cell>
          <cell r="BJ154">
            <v>0</v>
          </cell>
          <cell r="BK154">
            <v>0</v>
          </cell>
          <cell r="BL154">
            <v>0</v>
          </cell>
          <cell r="BM154">
            <v>0</v>
          </cell>
          <cell r="BN154">
            <v>0</v>
          </cell>
          <cell r="BO154">
            <v>0</v>
          </cell>
          <cell r="BP154">
            <v>0</v>
          </cell>
          <cell r="CA154">
            <v>150263.75370886803</v>
          </cell>
          <cell r="CB154">
            <v>135</v>
          </cell>
          <cell r="CC154">
            <v>213</v>
          </cell>
          <cell r="CD154">
            <v>213</v>
          </cell>
          <cell r="CE154">
            <v>175</v>
          </cell>
          <cell r="CF154">
            <v>213</v>
          </cell>
          <cell r="CG154">
            <v>107</v>
          </cell>
          <cell r="CH154">
            <v>213</v>
          </cell>
          <cell r="CI154">
            <v>213</v>
          </cell>
          <cell r="CJ154">
            <v>213</v>
          </cell>
          <cell r="CV154">
            <v>288.46153846153851</v>
          </cell>
          <cell r="CX154">
            <v>0</v>
          </cell>
          <cell r="CY154">
            <v>0</v>
          </cell>
          <cell r="CZ154">
            <v>0</v>
          </cell>
          <cell r="DA154">
            <v>0</v>
          </cell>
          <cell r="DB154">
            <v>0</v>
          </cell>
          <cell r="DC154">
            <v>0</v>
          </cell>
          <cell r="DD154">
            <v>0</v>
          </cell>
          <cell r="DE154">
            <v>0</v>
          </cell>
          <cell r="DF154">
            <v>0</v>
          </cell>
          <cell r="DG154">
            <v>0</v>
          </cell>
          <cell r="DR154">
            <v>73103</v>
          </cell>
          <cell r="DS154">
            <v>213</v>
          </cell>
          <cell r="DT154">
            <v>213</v>
          </cell>
          <cell r="DU154">
            <v>999999</v>
          </cell>
          <cell r="DV154">
            <v>999999</v>
          </cell>
          <cell r="DW154">
            <v>999999</v>
          </cell>
          <cell r="DX154">
            <v>213</v>
          </cell>
          <cell r="DY154">
            <v>213</v>
          </cell>
          <cell r="DZ154">
            <v>999999</v>
          </cell>
          <cell r="EA154">
            <v>999999</v>
          </cell>
        </row>
        <row r="155">
          <cell r="N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AJ155">
            <v>0</v>
          </cell>
          <cell r="AK155">
            <v>0</v>
          </cell>
          <cell r="AL155">
            <v>999999</v>
          </cell>
          <cell r="AM155">
            <v>212</v>
          </cell>
          <cell r="AN155">
            <v>212</v>
          </cell>
          <cell r="AO155">
            <v>212</v>
          </cell>
          <cell r="AP155">
            <v>0</v>
          </cell>
          <cell r="AQ155">
            <v>88</v>
          </cell>
          <cell r="AR155">
            <v>212</v>
          </cell>
          <cell r="AS155">
            <v>144</v>
          </cell>
          <cell r="BE155">
            <v>0</v>
          </cell>
          <cell r="BG155">
            <v>0</v>
          </cell>
          <cell r="BH155">
            <v>0</v>
          </cell>
          <cell r="BI155">
            <v>0</v>
          </cell>
          <cell r="BJ155">
            <v>0</v>
          </cell>
          <cell r="BK155">
            <v>0</v>
          </cell>
          <cell r="BL155">
            <v>0</v>
          </cell>
          <cell r="BM155">
            <v>0</v>
          </cell>
          <cell r="BN155">
            <v>0</v>
          </cell>
          <cell r="BO155">
            <v>0</v>
          </cell>
          <cell r="BP155">
            <v>0</v>
          </cell>
          <cell r="CA155">
            <v>149787.08184081246</v>
          </cell>
          <cell r="CB155">
            <v>134</v>
          </cell>
          <cell r="CC155">
            <v>212</v>
          </cell>
          <cell r="CD155">
            <v>212</v>
          </cell>
          <cell r="CE155">
            <v>174</v>
          </cell>
          <cell r="CF155">
            <v>212</v>
          </cell>
          <cell r="CG155">
            <v>106</v>
          </cell>
          <cell r="CH155">
            <v>212</v>
          </cell>
          <cell r="CI155">
            <v>212</v>
          </cell>
          <cell r="CJ155">
            <v>212</v>
          </cell>
          <cell r="CV155">
            <v>288.46153846153851</v>
          </cell>
          <cell r="CX155">
            <v>0</v>
          </cell>
          <cell r="CY155">
            <v>0</v>
          </cell>
          <cell r="CZ155">
            <v>0</v>
          </cell>
          <cell r="DA155">
            <v>0</v>
          </cell>
          <cell r="DB155">
            <v>0</v>
          </cell>
          <cell r="DC155">
            <v>0</v>
          </cell>
          <cell r="DD155">
            <v>0</v>
          </cell>
          <cell r="DE155">
            <v>0</v>
          </cell>
          <cell r="DF155">
            <v>0</v>
          </cell>
          <cell r="DG155">
            <v>0</v>
          </cell>
          <cell r="DR155">
            <v>73103</v>
          </cell>
          <cell r="DS155">
            <v>212</v>
          </cell>
          <cell r="DT155">
            <v>212</v>
          </cell>
          <cell r="DU155">
            <v>999999</v>
          </cell>
          <cell r="DV155">
            <v>999999</v>
          </cell>
          <cell r="DW155">
            <v>999999</v>
          </cell>
          <cell r="DX155">
            <v>212</v>
          </cell>
          <cell r="DY155">
            <v>212</v>
          </cell>
          <cell r="DZ155">
            <v>999999</v>
          </cell>
          <cell r="EA155">
            <v>999999</v>
          </cell>
        </row>
        <row r="156">
          <cell r="N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AJ156">
            <v>0</v>
          </cell>
          <cell r="AK156">
            <v>0</v>
          </cell>
          <cell r="AL156">
            <v>999999</v>
          </cell>
          <cell r="AM156">
            <v>211</v>
          </cell>
          <cell r="AN156">
            <v>211</v>
          </cell>
          <cell r="AO156">
            <v>211</v>
          </cell>
          <cell r="AP156">
            <v>0</v>
          </cell>
          <cell r="AQ156">
            <v>87</v>
          </cell>
          <cell r="AR156">
            <v>211</v>
          </cell>
          <cell r="AS156">
            <v>143</v>
          </cell>
          <cell r="BE156">
            <v>0</v>
          </cell>
          <cell r="BG156">
            <v>0</v>
          </cell>
          <cell r="BH156">
            <v>0</v>
          </cell>
          <cell r="BI156">
            <v>0</v>
          </cell>
          <cell r="BJ156">
            <v>0</v>
          </cell>
          <cell r="BK156">
            <v>0</v>
          </cell>
          <cell r="BL156">
            <v>0</v>
          </cell>
          <cell r="BM156">
            <v>0</v>
          </cell>
          <cell r="BN156">
            <v>0</v>
          </cell>
          <cell r="BO156">
            <v>0</v>
          </cell>
          <cell r="BP156">
            <v>0</v>
          </cell>
          <cell r="CA156">
            <v>149310.4099727569</v>
          </cell>
          <cell r="CB156">
            <v>133</v>
          </cell>
          <cell r="CC156">
            <v>211</v>
          </cell>
          <cell r="CD156">
            <v>211</v>
          </cell>
          <cell r="CE156">
            <v>173</v>
          </cell>
          <cell r="CF156">
            <v>211</v>
          </cell>
          <cell r="CG156">
            <v>105</v>
          </cell>
          <cell r="CH156">
            <v>211</v>
          </cell>
          <cell r="CI156">
            <v>211</v>
          </cell>
          <cell r="CJ156">
            <v>211</v>
          </cell>
          <cell r="CV156">
            <v>288.46153846153851</v>
          </cell>
          <cell r="CX156">
            <v>0</v>
          </cell>
          <cell r="CY156">
            <v>0</v>
          </cell>
          <cell r="CZ156">
            <v>0</v>
          </cell>
          <cell r="DA156">
            <v>0</v>
          </cell>
          <cell r="DB156">
            <v>0</v>
          </cell>
          <cell r="DC156">
            <v>0</v>
          </cell>
          <cell r="DD156">
            <v>0</v>
          </cell>
          <cell r="DE156">
            <v>0</v>
          </cell>
          <cell r="DF156">
            <v>0</v>
          </cell>
          <cell r="DG156">
            <v>0</v>
          </cell>
          <cell r="DR156">
            <v>73103</v>
          </cell>
          <cell r="DS156">
            <v>211</v>
          </cell>
          <cell r="DT156">
            <v>211</v>
          </cell>
          <cell r="DU156">
            <v>999999</v>
          </cell>
          <cell r="DV156">
            <v>999999</v>
          </cell>
          <cell r="DW156">
            <v>999999</v>
          </cell>
          <cell r="DX156">
            <v>211</v>
          </cell>
          <cell r="DY156">
            <v>211</v>
          </cell>
          <cell r="DZ156">
            <v>999999</v>
          </cell>
          <cell r="EA156">
            <v>999999</v>
          </cell>
        </row>
        <row r="157">
          <cell r="N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AJ157">
            <v>0</v>
          </cell>
          <cell r="AK157">
            <v>0</v>
          </cell>
          <cell r="AL157">
            <v>999999</v>
          </cell>
          <cell r="AM157">
            <v>210</v>
          </cell>
          <cell r="AN157">
            <v>210</v>
          </cell>
          <cell r="AO157">
            <v>210</v>
          </cell>
          <cell r="AP157">
            <v>0</v>
          </cell>
          <cell r="AQ157">
            <v>86</v>
          </cell>
          <cell r="AR157">
            <v>210</v>
          </cell>
          <cell r="AS157">
            <v>142</v>
          </cell>
          <cell r="BE157">
            <v>0</v>
          </cell>
          <cell r="BG157">
            <v>0</v>
          </cell>
          <cell r="BH157">
            <v>0</v>
          </cell>
          <cell r="BI157">
            <v>0</v>
          </cell>
          <cell r="BJ157">
            <v>0</v>
          </cell>
          <cell r="BK157">
            <v>0</v>
          </cell>
          <cell r="BL157">
            <v>0</v>
          </cell>
          <cell r="BM157">
            <v>0</v>
          </cell>
          <cell r="BN157">
            <v>0</v>
          </cell>
          <cell r="BO157">
            <v>0</v>
          </cell>
          <cell r="BP157">
            <v>0</v>
          </cell>
          <cell r="CA157">
            <v>148833.73810470133</v>
          </cell>
          <cell r="CB157">
            <v>132</v>
          </cell>
          <cell r="CC157">
            <v>210</v>
          </cell>
          <cell r="CD157">
            <v>210</v>
          </cell>
          <cell r="CE157">
            <v>172</v>
          </cell>
          <cell r="CF157">
            <v>210</v>
          </cell>
          <cell r="CG157">
            <v>104</v>
          </cell>
          <cell r="CH157">
            <v>210</v>
          </cell>
          <cell r="CI157">
            <v>210</v>
          </cell>
          <cell r="CJ157">
            <v>210</v>
          </cell>
          <cell r="CV157">
            <v>288.46153846153851</v>
          </cell>
          <cell r="CX157">
            <v>0</v>
          </cell>
          <cell r="CY157">
            <v>0</v>
          </cell>
          <cell r="CZ157">
            <v>0</v>
          </cell>
          <cell r="DA157">
            <v>0</v>
          </cell>
          <cell r="DB157">
            <v>0</v>
          </cell>
          <cell r="DC157">
            <v>0</v>
          </cell>
          <cell r="DD157">
            <v>0</v>
          </cell>
          <cell r="DE157">
            <v>0</v>
          </cell>
          <cell r="DF157">
            <v>0</v>
          </cell>
          <cell r="DG157">
            <v>0</v>
          </cell>
          <cell r="DR157">
            <v>73103</v>
          </cell>
          <cell r="DS157">
            <v>210</v>
          </cell>
          <cell r="DT157">
            <v>210</v>
          </cell>
          <cell r="DU157">
            <v>999999</v>
          </cell>
          <cell r="DV157">
            <v>999999</v>
          </cell>
          <cell r="DW157">
            <v>999999</v>
          </cell>
          <cell r="DX157">
            <v>210</v>
          </cell>
          <cell r="DY157">
            <v>210</v>
          </cell>
          <cell r="DZ157">
            <v>999999</v>
          </cell>
          <cell r="EA157">
            <v>999999</v>
          </cell>
        </row>
        <row r="158">
          <cell r="N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AJ158">
            <v>0</v>
          </cell>
          <cell r="AK158">
            <v>0</v>
          </cell>
          <cell r="AL158">
            <v>999999</v>
          </cell>
          <cell r="AM158">
            <v>209</v>
          </cell>
          <cell r="AN158">
            <v>209</v>
          </cell>
          <cell r="AO158">
            <v>209</v>
          </cell>
          <cell r="AP158">
            <v>0</v>
          </cell>
          <cell r="AQ158">
            <v>85</v>
          </cell>
          <cell r="AR158">
            <v>209</v>
          </cell>
          <cell r="AS158">
            <v>141</v>
          </cell>
          <cell r="BE158">
            <v>0</v>
          </cell>
          <cell r="BG158">
            <v>0</v>
          </cell>
          <cell r="BH158">
            <v>0</v>
          </cell>
          <cell r="BI158">
            <v>0</v>
          </cell>
          <cell r="BJ158">
            <v>0</v>
          </cell>
          <cell r="BK158">
            <v>0</v>
          </cell>
          <cell r="BL158">
            <v>0</v>
          </cell>
          <cell r="BM158">
            <v>0</v>
          </cell>
          <cell r="BN158">
            <v>0</v>
          </cell>
          <cell r="BO158">
            <v>0</v>
          </cell>
          <cell r="BP158">
            <v>0</v>
          </cell>
          <cell r="CA158">
            <v>148357.06623664577</v>
          </cell>
          <cell r="CB158">
            <v>131</v>
          </cell>
          <cell r="CC158">
            <v>209</v>
          </cell>
          <cell r="CD158">
            <v>209</v>
          </cell>
          <cell r="CE158">
            <v>171</v>
          </cell>
          <cell r="CF158">
            <v>209</v>
          </cell>
          <cell r="CG158">
            <v>103</v>
          </cell>
          <cell r="CH158">
            <v>209</v>
          </cell>
          <cell r="CI158">
            <v>209</v>
          </cell>
          <cell r="CJ158">
            <v>209</v>
          </cell>
          <cell r="CV158">
            <v>288.46153846153851</v>
          </cell>
          <cell r="CX158">
            <v>0</v>
          </cell>
          <cell r="CY158">
            <v>0</v>
          </cell>
          <cell r="CZ158">
            <v>0</v>
          </cell>
          <cell r="DA158">
            <v>0</v>
          </cell>
          <cell r="DB158">
            <v>0</v>
          </cell>
          <cell r="DC158">
            <v>0</v>
          </cell>
          <cell r="DD158">
            <v>0</v>
          </cell>
          <cell r="DE158">
            <v>0</v>
          </cell>
          <cell r="DF158">
            <v>0</v>
          </cell>
          <cell r="DG158">
            <v>0</v>
          </cell>
          <cell r="DR158">
            <v>73103</v>
          </cell>
          <cell r="DS158">
            <v>209</v>
          </cell>
          <cell r="DT158">
            <v>209</v>
          </cell>
          <cell r="DU158">
            <v>999999</v>
          </cell>
          <cell r="DV158">
            <v>999999</v>
          </cell>
          <cell r="DW158">
            <v>999999</v>
          </cell>
          <cell r="DX158">
            <v>209</v>
          </cell>
          <cell r="DY158">
            <v>209</v>
          </cell>
          <cell r="DZ158">
            <v>999999</v>
          </cell>
          <cell r="EA158">
            <v>999999</v>
          </cell>
        </row>
        <row r="159">
          <cell r="N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V159">
            <v>0</v>
          </cell>
          <cell r="W159">
            <v>0</v>
          </cell>
          <cell r="X159">
            <v>0</v>
          </cell>
          <cell r="Y159">
            <v>0</v>
          </cell>
          <cell r="AJ159">
            <v>0</v>
          </cell>
          <cell r="AK159">
            <v>0</v>
          </cell>
          <cell r="AL159">
            <v>999999</v>
          </cell>
          <cell r="AM159">
            <v>208</v>
          </cell>
          <cell r="AN159">
            <v>208</v>
          </cell>
          <cell r="AO159">
            <v>208</v>
          </cell>
          <cell r="AP159">
            <v>0</v>
          </cell>
          <cell r="AQ159">
            <v>84</v>
          </cell>
          <cell r="AR159">
            <v>208</v>
          </cell>
          <cell r="AS159">
            <v>140</v>
          </cell>
          <cell r="BE159">
            <v>0</v>
          </cell>
          <cell r="BG159">
            <v>0</v>
          </cell>
          <cell r="BH159">
            <v>0</v>
          </cell>
          <cell r="BI159">
            <v>0</v>
          </cell>
          <cell r="BJ159">
            <v>0</v>
          </cell>
          <cell r="BK159">
            <v>0</v>
          </cell>
          <cell r="BL159">
            <v>0</v>
          </cell>
          <cell r="BM159">
            <v>0</v>
          </cell>
          <cell r="BN159">
            <v>0</v>
          </cell>
          <cell r="BO159">
            <v>0</v>
          </cell>
          <cell r="BP159">
            <v>0</v>
          </cell>
          <cell r="CA159">
            <v>147880.3943685902</v>
          </cell>
          <cell r="CB159">
            <v>130</v>
          </cell>
          <cell r="CC159">
            <v>208</v>
          </cell>
          <cell r="CD159">
            <v>208</v>
          </cell>
          <cell r="CE159">
            <v>170</v>
          </cell>
          <cell r="CF159">
            <v>208</v>
          </cell>
          <cell r="CG159">
            <v>102</v>
          </cell>
          <cell r="CH159">
            <v>208</v>
          </cell>
          <cell r="CI159">
            <v>208</v>
          </cell>
          <cell r="CJ159">
            <v>208</v>
          </cell>
          <cell r="CV159">
            <v>288.46153846153851</v>
          </cell>
          <cell r="CX159">
            <v>0</v>
          </cell>
          <cell r="CY159">
            <v>0</v>
          </cell>
          <cell r="CZ159">
            <v>0</v>
          </cell>
          <cell r="DA159">
            <v>0</v>
          </cell>
          <cell r="DB159">
            <v>0</v>
          </cell>
          <cell r="DC159">
            <v>0</v>
          </cell>
          <cell r="DD159">
            <v>0</v>
          </cell>
          <cell r="DE159">
            <v>0</v>
          </cell>
          <cell r="DF159">
            <v>0</v>
          </cell>
          <cell r="DG159">
            <v>0</v>
          </cell>
          <cell r="DR159">
            <v>73103</v>
          </cell>
          <cell r="DS159">
            <v>208</v>
          </cell>
          <cell r="DT159">
            <v>208</v>
          </cell>
          <cell r="DU159">
            <v>999999</v>
          </cell>
          <cell r="DV159">
            <v>999999</v>
          </cell>
          <cell r="DW159">
            <v>999999</v>
          </cell>
          <cell r="DX159">
            <v>208</v>
          </cell>
          <cell r="DY159">
            <v>208</v>
          </cell>
          <cell r="DZ159">
            <v>999999</v>
          </cell>
          <cell r="EA159">
            <v>999999</v>
          </cell>
        </row>
        <row r="160">
          <cell r="N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AJ160">
            <v>0</v>
          </cell>
          <cell r="AK160">
            <v>0</v>
          </cell>
          <cell r="AL160">
            <v>999999</v>
          </cell>
          <cell r="AM160">
            <v>207</v>
          </cell>
          <cell r="AN160">
            <v>207</v>
          </cell>
          <cell r="AO160">
            <v>207</v>
          </cell>
          <cell r="AP160">
            <v>0</v>
          </cell>
          <cell r="AQ160">
            <v>83</v>
          </cell>
          <cell r="AR160">
            <v>207</v>
          </cell>
          <cell r="AS160">
            <v>139</v>
          </cell>
          <cell r="BE160">
            <v>0</v>
          </cell>
          <cell r="BG160">
            <v>0</v>
          </cell>
          <cell r="BH160">
            <v>0</v>
          </cell>
          <cell r="BI160">
            <v>0</v>
          </cell>
          <cell r="BJ160">
            <v>0</v>
          </cell>
          <cell r="BK160">
            <v>0</v>
          </cell>
          <cell r="BL160">
            <v>0</v>
          </cell>
          <cell r="BM160">
            <v>0</v>
          </cell>
          <cell r="BN160">
            <v>0</v>
          </cell>
          <cell r="BO160">
            <v>0</v>
          </cell>
          <cell r="BP160">
            <v>0</v>
          </cell>
          <cell r="CA160">
            <v>147403.72250053464</v>
          </cell>
          <cell r="CB160">
            <v>129</v>
          </cell>
          <cell r="CC160">
            <v>207</v>
          </cell>
          <cell r="CD160">
            <v>207</v>
          </cell>
          <cell r="CE160">
            <v>169</v>
          </cell>
          <cell r="CF160">
            <v>207</v>
          </cell>
          <cell r="CG160">
            <v>101</v>
          </cell>
          <cell r="CH160">
            <v>207</v>
          </cell>
          <cell r="CI160">
            <v>207</v>
          </cell>
          <cell r="CJ160">
            <v>207</v>
          </cell>
          <cell r="CV160">
            <v>288.46153846153851</v>
          </cell>
          <cell r="CX160">
            <v>0</v>
          </cell>
          <cell r="CY160">
            <v>0</v>
          </cell>
          <cell r="CZ160">
            <v>0</v>
          </cell>
          <cell r="DA160">
            <v>0</v>
          </cell>
          <cell r="DB160">
            <v>0</v>
          </cell>
          <cell r="DC160">
            <v>0</v>
          </cell>
          <cell r="DD160">
            <v>0</v>
          </cell>
          <cell r="DE160">
            <v>0</v>
          </cell>
          <cell r="DF160">
            <v>0</v>
          </cell>
          <cell r="DG160">
            <v>0</v>
          </cell>
          <cell r="DR160">
            <v>73103</v>
          </cell>
          <cell r="DS160">
            <v>207</v>
          </cell>
          <cell r="DT160">
            <v>207</v>
          </cell>
          <cell r="DU160">
            <v>999999</v>
          </cell>
          <cell r="DV160">
            <v>999999</v>
          </cell>
          <cell r="DW160">
            <v>999999</v>
          </cell>
          <cell r="DX160">
            <v>207</v>
          </cell>
          <cell r="DY160">
            <v>207</v>
          </cell>
          <cell r="DZ160">
            <v>999999</v>
          </cell>
          <cell r="EA160">
            <v>999999</v>
          </cell>
        </row>
        <row r="161">
          <cell r="N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AJ161">
            <v>0</v>
          </cell>
          <cell r="AK161">
            <v>0</v>
          </cell>
          <cell r="AL161">
            <v>999999</v>
          </cell>
          <cell r="AM161">
            <v>206</v>
          </cell>
          <cell r="AN161">
            <v>206</v>
          </cell>
          <cell r="AO161">
            <v>206</v>
          </cell>
          <cell r="AP161">
            <v>0</v>
          </cell>
          <cell r="AQ161">
            <v>82</v>
          </cell>
          <cell r="AR161">
            <v>206</v>
          </cell>
          <cell r="AS161">
            <v>138</v>
          </cell>
          <cell r="BE161">
            <v>0</v>
          </cell>
          <cell r="BG161">
            <v>0</v>
          </cell>
          <cell r="BH161">
            <v>0</v>
          </cell>
          <cell r="BI161">
            <v>0</v>
          </cell>
          <cell r="BJ161">
            <v>0</v>
          </cell>
          <cell r="BK161">
            <v>0</v>
          </cell>
          <cell r="BL161">
            <v>0</v>
          </cell>
          <cell r="BM161">
            <v>0</v>
          </cell>
          <cell r="BN161">
            <v>0</v>
          </cell>
          <cell r="BO161">
            <v>0</v>
          </cell>
          <cell r="BP161">
            <v>0</v>
          </cell>
          <cell r="CA161">
            <v>146927.05063247908</v>
          </cell>
          <cell r="CB161">
            <v>128</v>
          </cell>
          <cell r="CC161">
            <v>206</v>
          </cell>
          <cell r="CD161">
            <v>206</v>
          </cell>
          <cell r="CE161">
            <v>168</v>
          </cell>
          <cell r="CF161">
            <v>206</v>
          </cell>
          <cell r="CG161">
            <v>100</v>
          </cell>
          <cell r="CH161">
            <v>206</v>
          </cell>
          <cell r="CI161">
            <v>206</v>
          </cell>
          <cell r="CJ161">
            <v>206</v>
          </cell>
          <cell r="CV161">
            <v>288.46153846153851</v>
          </cell>
          <cell r="CX161">
            <v>0</v>
          </cell>
          <cell r="CY161">
            <v>0</v>
          </cell>
          <cell r="CZ161">
            <v>0</v>
          </cell>
          <cell r="DA161">
            <v>0</v>
          </cell>
          <cell r="DB161">
            <v>0</v>
          </cell>
          <cell r="DC161">
            <v>0</v>
          </cell>
          <cell r="DD161">
            <v>0</v>
          </cell>
          <cell r="DE161">
            <v>0</v>
          </cell>
          <cell r="DF161">
            <v>0</v>
          </cell>
          <cell r="DG161">
            <v>0</v>
          </cell>
          <cell r="DR161">
            <v>73103</v>
          </cell>
          <cell r="DS161">
            <v>206</v>
          </cell>
          <cell r="DT161">
            <v>206</v>
          </cell>
          <cell r="DU161">
            <v>999999</v>
          </cell>
          <cell r="DV161">
            <v>999999</v>
          </cell>
          <cell r="DW161">
            <v>999999</v>
          </cell>
          <cell r="DX161">
            <v>206</v>
          </cell>
          <cell r="DY161">
            <v>206</v>
          </cell>
          <cell r="DZ161">
            <v>999999</v>
          </cell>
          <cell r="EA161">
            <v>999999</v>
          </cell>
        </row>
        <row r="162">
          <cell r="N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AJ162">
            <v>0</v>
          </cell>
          <cell r="AK162">
            <v>0</v>
          </cell>
          <cell r="AL162">
            <v>999999</v>
          </cell>
          <cell r="AM162">
            <v>205</v>
          </cell>
          <cell r="AN162">
            <v>205</v>
          </cell>
          <cell r="AO162">
            <v>205</v>
          </cell>
          <cell r="AP162">
            <v>0</v>
          </cell>
          <cell r="AQ162">
            <v>81</v>
          </cell>
          <cell r="AR162">
            <v>205</v>
          </cell>
          <cell r="AS162">
            <v>137</v>
          </cell>
          <cell r="BE162">
            <v>0</v>
          </cell>
          <cell r="BG162">
            <v>0</v>
          </cell>
          <cell r="BH162">
            <v>0</v>
          </cell>
          <cell r="BI162">
            <v>0</v>
          </cell>
          <cell r="BJ162">
            <v>0</v>
          </cell>
          <cell r="BK162">
            <v>0</v>
          </cell>
          <cell r="BL162">
            <v>0</v>
          </cell>
          <cell r="BM162">
            <v>0</v>
          </cell>
          <cell r="BN162">
            <v>0</v>
          </cell>
          <cell r="BO162">
            <v>0</v>
          </cell>
          <cell r="BP162">
            <v>0</v>
          </cell>
          <cell r="CA162">
            <v>146450.37876442351</v>
          </cell>
          <cell r="CB162">
            <v>127</v>
          </cell>
          <cell r="CC162">
            <v>205</v>
          </cell>
          <cell r="CD162">
            <v>205</v>
          </cell>
          <cell r="CE162">
            <v>167</v>
          </cell>
          <cell r="CF162">
            <v>205</v>
          </cell>
          <cell r="CG162">
            <v>99</v>
          </cell>
          <cell r="CH162">
            <v>205</v>
          </cell>
          <cell r="CI162">
            <v>205</v>
          </cell>
          <cell r="CJ162">
            <v>205</v>
          </cell>
          <cell r="CV162">
            <v>288.46153846153851</v>
          </cell>
          <cell r="CX162">
            <v>0</v>
          </cell>
          <cell r="CY162">
            <v>0</v>
          </cell>
          <cell r="CZ162">
            <v>0</v>
          </cell>
          <cell r="DA162">
            <v>0</v>
          </cell>
          <cell r="DB162">
            <v>0</v>
          </cell>
          <cell r="DC162">
            <v>0</v>
          </cell>
          <cell r="DD162">
            <v>0</v>
          </cell>
          <cell r="DE162">
            <v>0</v>
          </cell>
          <cell r="DF162">
            <v>0</v>
          </cell>
          <cell r="DG162">
            <v>0</v>
          </cell>
          <cell r="DR162">
            <v>73103</v>
          </cell>
          <cell r="DS162">
            <v>205</v>
          </cell>
          <cell r="DT162">
            <v>205</v>
          </cell>
          <cell r="DU162">
            <v>999999</v>
          </cell>
          <cell r="DV162">
            <v>999999</v>
          </cell>
          <cell r="DW162">
            <v>999999</v>
          </cell>
          <cell r="DX162">
            <v>205</v>
          </cell>
          <cell r="DY162">
            <v>205</v>
          </cell>
          <cell r="DZ162">
            <v>999999</v>
          </cell>
          <cell r="EA162">
            <v>999999</v>
          </cell>
        </row>
        <row r="163">
          <cell r="N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AJ163">
            <v>0</v>
          </cell>
          <cell r="AK163">
            <v>0</v>
          </cell>
          <cell r="AL163">
            <v>999999</v>
          </cell>
          <cell r="AM163">
            <v>204</v>
          </cell>
          <cell r="AN163">
            <v>204</v>
          </cell>
          <cell r="AO163">
            <v>204</v>
          </cell>
          <cell r="AP163">
            <v>0</v>
          </cell>
          <cell r="AQ163">
            <v>80</v>
          </cell>
          <cell r="AR163">
            <v>204</v>
          </cell>
          <cell r="AS163">
            <v>136</v>
          </cell>
          <cell r="BE163">
            <v>0</v>
          </cell>
          <cell r="BG163">
            <v>0</v>
          </cell>
          <cell r="BH163">
            <v>0</v>
          </cell>
          <cell r="BI163">
            <v>0</v>
          </cell>
          <cell r="BJ163">
            <v>0</v>
          </cell>
          <cell r="BK163">
            <v>0</v>
          </cell>
          <cell r="BL163">
            <v>0</v>
          </cell>
          <cell r="BM163">
            <v>0</v>
          </cell>
          <cell r="BN163">
            <v>0</v>
          </cell>
          <cell r="BO163">
            <v>0</v>
          </cell>
          <cell r="BP163">
            <v>0</v>
          </cell>
          <cell r="CA163">
            <v>145973.70689636795</v>
          </cell>
          <cell r="CB163">
            <v>126</v>
          </cell>
          <cell r="CC163">
            <v>204</v>
          </cell>
          <cell r="CD163">
            <v>204</v>
          </cell>
          <cell r="CE163">
            <v>166</v>
          </cell>
          <cell r="CF163">
            <v>204</v>
          </cell>
          <cell r="CG163">
            <v>98</v>
          </cell>
          <cell r="CH163">
            <v>204</v>
          </cell>
          <cell r="CI163">
            <v>204</v>
          </cell>
          <cell r="CJ163">
            <v>204</v>
          </cell>
          <cell r="CV163">
            <v>288.46153846153851</v>
          </cell>
          <cell r="CX163">
            <v>0</v>
          </cell>
          <cell r="CY163">
            <v>0</v>
          </cell>
          <cell r="CZ163">
            <v>0</v>
          </cell>
          <cell r="DA163">
            <v>0</v>
          </cell>
          <cell r="DB163">
            <v>0</v>
          </cell>
          <cell r="DC163">
            <v>0</v>
          </cell>
          <cell r="DD163">
            <v>0</v>
          </cell>
          <cell r="DE163">
            <v>0</v>
          </cell>
          <cell r="DF163">
            <v>0</v>
          </cell>
          <cell r="DG163">
            <v>0</v>
          </cell>
          <cell r="DR163">
            <v>73103</v>
          </cell>
          <cell r="DS163">
            <v>204</v>
          </cell>
          <cell r="DT163">
            <v>204</v>
          </cell>
          <cell r="DU163">
            <v>999999</v>
          </cell>
          <cell r="DV163">
            <v>999999</v>
          </cell>
          <cell r="DW163">
            <v>999999</v>
          </cell>
          <cell r="DX163">
            <v>204</v>
          </cell>
          <cell r="DY163">
            <v>204</v>
          </cell>
          <cell r="DZ163">
            <v>999999</v>
          </cell>
          <cell r="EA163">
            <v>999999</v>
          </cell>
        </row>
        <row r="164">
          <cell r="N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AJ164">
            <v>0</v>
          </cell>
          <cell r="AK164">
            <v>0</v>
          </cell>
          <cell r="AL164">
            <v>999999</v>
          </cell>
          <cell r="AM164">
            <v>203</v>
          </cell>
          <cell r="AN164">
            <v>203</v>
          </cell>
          <cell r="AO164">
            <v>203</v>
          </cell>
          <cell r="AP164">
            <v>0</v>
          </cell>
          <cell r="AQ164">
            <v>79</v>
          </cell>
          <cell r="AR164">
            <v>203</v>
          </cell>
          <cell r="AS164">
            <v>135</v>
          </cell>
          <cell r="BE164">
            <v>0</v>
          </cell>
          <cell r="BG164">
            <v>0</v>
          </cell>
          <cell r="BH164">
            <v>0</v>
          </cell>
          <cell r="BI164">
            <v>0</v>
          </cell>
          <cell r="BJ164">
            <v>0</v>
          </cell>
          <cell r="BK164">
            <v>0</v>
          </cell>
          <cell r="BL164">
            <v>0</v>
          </cell>
          <cell r="BM164">
            <v>0</v>
          </cell>
          <cell r="BN164">
            <v>0</v>
          </cell>
          <cell r="BO164">
            <v>0</v>
          </cell>
          <cell r="BP164">
            <v>0</v>
          </cell>
          <cell r="CA164">
            <v>145497.03502831238</v>
          </cell>
          <cell r="CB164">
            <v>125</v>
          </cell>
          <cell r="CC164">
            <v>203</v>
          </cell>
          <cell r="CD164">
            <v>203</v>
          </cell>
          <cell r="CE164">
            <v>165</v>
          </cell>
          <cell r="CF164">
            <v>203</v>
          </cell>
          <cell r="CG164">
            <v>97</v>
          </cell>
          <cell r="CH164">
            <v>203</v>
          </cell>
          <cell r="CI164">
            <v>203</v>
          </cell>
          <cell r="CJ164">
            <v>203</v>
          </cell>
          <cell r="CV164">
            <v>288.46153846153851</v>
          </cell>
          <cell r="CX164">
            <v>0</v>
          </cell>
          <cell r="CY164">
            <v>0</v>
          </cell>
          <cell r="CZ164">
            <v>0</v>
          </cell>
          <cell r="DA164">
            <v>0</v>
          </cell>
          <cell r="DB164">
            <v>0</v>
          </cell>
          <cell r="DC164">
            <v>0</v>
          </cell>
          <cell r="DD164">
            <v>0</v>
          </cell>
          <cell r="DE164">
            <v>0</v>
          </cell>
          <cell r="DF164">
            <v>0</v>
          </cell>
          <cell r="DG164">
            <v>0</v>
          </cell>
          <cell r="DR164">
            <v>73103</v>
          </cell>
          <cell r="DS164">
            <v>203</v>
          </cell>
          <cell r="DT164">
            <v>203</v>
          </cell>
          <cell r="DU164">
            <v>999999</v>
          </cell>
          <cell r="DV164">
            <v>999999</v>
          </cell>
          <cell r="DW164">
            <v>999999</v>
          </cell>
          <cell r="DX164">
            <v>203</v>
          </cell>
          <cell r="DY164">
            <v>203</v>
          </cell>
          <cell r="DZ164">
            <v>999999</v>
          </cell>
          <cell r="EA164">
            <v>999999</v>
          </cell>
        </row>
        <row r="165">
          <cell r="N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AJ165">
            <v>0</v>
          </cell>
          <cell r="AK165">
            <v>0</v>
          </cell>
          <cell r="AL165">
            <v>999999</v>
          </cell>
          <cell r="AM165">
            <v>202</v>
          </cell>
          <cell r="AN165">
            <v>202</v>
          </cell>
          <cell r="AO165">
            <v>202</v>
          </cell>
          <cell r="AP165">
            <v>0</v>
          </cell>
          <cell r="AQ165">
            <v>78</v>
          </cell>
          <cell r="AR165">
            <v>202</v>
          </cell>
          <cell r="AS165">
            <v>134</v>
          </cell>
          <cell r="BE165">
            <v>0</v>
          </cell>
          <cell r="BG165">
            <v>0</v>
          </cell>
          <cell r="BH165">
            <v>0</v>
          </cell>
          <cell r="BI165">
            <v>0</v>
          </cell>
          <cell r="BJ165">
            <v>0</v>
          </cell>
          <cell r="BK165">
            <v>0</v>
          </cell>
          <cell r="BL165">
            <v>0</v>
          </cell>
          <cell r="BM165">
            <v>0</v>
          </cell>
          <cell r="BN165">
            <v>0</v>
          </cell>
          <cell r="BO165">
            <v>0</v>
          </cell>
          <cell r="BP165">
            <v>0</v>
          </cell>
          <cell r="CA165">
            <v>145020.36316025682</v>
          </cell>
          <cell r="CB165">
            <v>124</v>
          </cell>
          <cell r="CC165">
            <v>202</v>
          </cell>
          <cell r="CD165">
            <v>202</v>
          </cell>
          <cell r="CE165">
            <v>164</v>
          </cell>
          <cell r="CF165">
            <v>202</v>
          </cell>
          <cell r="CG165">
            <v>96</v>
          </cell>
          <cell r="CH165">
            <v>202</v>
          </cell>
          <cell r="CI165">
            <v>202</v>
          </cell>
          <cell r="CJ165">
            <v>202</v>
          </cell>
          <cell r="CV165">
            <v>288.46153846153851</v>
          </cell>
          <cell r="CX165">
            <v>0</v>
          </cell>
          <cell r="CY165">
            <v>0</v>
          </cell>
          <cell r="CZ165">
            <v>0</v>
          </cell>
          <cell r="DA165">
            <v>0</v>
          </cell>
          <cell r="DB165">
            <v>0</v>
          </cell>
          <cell r="DC165">
            <v>0</v>
          </cell>
          <cell r="DD165">
            <v>0</v>
          </cell>
          <cell r="DE165">
            <v>0</v>
          </cell>
          <cell r="DF165">
            <v>0</v>
          </cell>
          <cell r="DG165">
            <v>0</v>
          </cell>
          <cell r="DR165">
            <v>73103</v>
          </cell>
          <cell r="DS165">
            <v>202</v>
          </cell>
          <cell r="DT165">
            <v>202</v>
          </cell>
          <cell r="DU165">
            <v>999999</v>
          </cell>
          <cell r="DV165">
            <v>999999</v>
          </cell>
          <cell r="DW165">
            <v>999999</v>
          </cell>
          <cell r="DX165">
            <v>202</v>
          </cell>
          <cell r="DY165">
            <v>202</v>
          </cell>
          <cell r="DZ165">
            <v>999999</v>
          </cell>
          <cell r="EA165">
            <v>999999</v>
          </cell>
        </row>
        <row r="166">
          <cell r="N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AJ166">
            <v>0</v>
          </cell>
          <cell r="AK166">
            <v>0</v>
          </cell>
          <cell r="AL166">
            <v>999999</v>
          </cell>
          <cell r="AM166">
            <v>201</v>
          </cell>
          <cell r="AN166">
            <v>201</v>
          </cell>
          <cell r="AO166">
            <v>201</v>
          </cell>
          <cell r="AP166">
            <v>0</v>
          </cell>
          <cell r="AQ166">
            <v>77</v>
          </cell>
          <cell r="AR166">
            <v>201</v>
          </cell>
          <cell r="AS166">
            <v>133</v>
          </cell>
          <cell r="BE166">
            <v>0</v>
          </cell>
          <cell r="BG166">
            <v>0</v>
          </cell>
          <cell r="BH166">
            <v>0</v>
          </cell>
          <cell r="BI166">
            <v>0</v>
          </cell>
          <cell r="BJ166">
            <v>0</v>
          </cell>
          <cell r="BK166">
            <v>0</v>
          </cell>
          <cell r="BL166">
            <v>0</v>
          </cell>
          <cell r="BM166">
            <v>0</v>
          </cell>
          <cell r="BN166">
            <v>0</v>
          </cell>
          <cell r="BO166">
            <v>0</v>
          </cell>
          <cell r="BP166">
            <v>0</v>
          </cell>
          <cell r="CA166">
            <v>144543.69129220126</v>
          </cell>
          <cell r="CB166">
            <v>123</v>
          </cell>
          <cell r="CC166">
            <v>201</v>
          </cell>
          <cell r="CD166">
            <v>201</v>
          </cell>
          <cell r="CE166">
            <v>163</v>
          </cell>
          <cell r="CF166">
            <v>201</v>
          </cell>
          <cell r="CG166">
            <v>95</v>
          </cell>
          <cell r="CH166">
            <v>201</v>
          </cell>
          <cell r="CI166">
            <v>201</v>
          </cell>
          <cell r="CJ166">
            <v>201</v>
          </cell>
          <cell r="CV166">
            <v>288.46153846153851</v>
          </cell>
          <cell r="CX166">
            <v>0</v>
          </cell>
          <cell r="CY166">
            <v>0</v>
          </cell>
          <cell r="CZ166">
            <v>0</v>
          </cell>
          <cell r="DA166">
            <v>0</v>
          </cell>
          <cell r="DB166">
            <v>0</v>
          </cell>
          <cell r="DC166">
            <v>0</v>
          </cell>
          <cell r="DD166">
            <v>0</v>
          </cell>
          <cell r="DE166">
            <v>0</v>
          </cell>
          <cell r="DF166">
            <v>0</v>
          </cell>
          <cell r="DG166">
            <v>0</v>
          </cell>
          <cell r="DR166">
            <v>73103</v>
          </cell>
          <cell r="DS166">
            <v>201</v>
          </cell>
          <cell r="DT166">
            <v>201</v>
          </cell>
          <cell r="DU166">
            <v>999999</v>
          </cell>
          <cell r="DV166">
            <v>999999</v>
          </cell>
          <cell r="DW166">
            <v>999999</v>
          </cell>
          <cell r="DX166">
            <v>201</v>
          </cell>
          <cell r="DY166">
            <v>201</v>
          </cell>
          <cell r="DZ166">
            <v>999999</v>
          </cell>
          <cell r="EA166">
            <v>999999</v>
          </cell>
        </row>
        <row r="167">
          <cell r="N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AJ167">
            <v>0</v>
          </cell>
          <cell r="AK167">
            <v>0</v>
          </cell>
          <cell r="AL167">
            <v>999999</v>
          </cell>
          <cell r="AM167">
            <v>200</v>
          </cell>
          <cell r="AN167">
            <v>200</v>
          </cell>
          <cell r="AO167">
            <v>200</v>
          </cell>
          <cell r="AP167">
            <v>0</v>
          </cell>
          <cell r="AQ167">
            <v>76</v>
          </cell>
          <cell r="AR167">
            <v>200</v>
          </cell>
          <cell r="AS167">
            <v>132</v>
          </cell>
          <cell r="BE167">
            <v>0</v>
          </cell>
          <cell r="BG167">
            <v>0</v>
          </cell>
          <cell r="BH167">
            <v>0</v>
          </cell>
          <cell r="BI167">
            <v>0</v>
          </cell>
          <cell r="BJ167">
            <v>0</v>
          </cell>
          <cell r="BK167">
            <v>0</v>
          </cell>
          <cell r="BL167">
            <v>0</v>
          </cell>
          <cell r="BM167">
            <v>0</v>
          </cell>
          <cell r="BN167">
            <v>0</v>
          </cell>
          <cell r="BO167">
            <v>0</v>
          </cell>
          <cell r="BP167">
            <v>0</v>
          </cell>
          <cell r="CA167">
            <v>144067.01942414569</v>
          </cell>
          <cell r="CB167">
            <v>122</v>
          </cell>
          <cell r="CC167">
            <v>200</v>
          </cell>
          <cell r="CD167">
            <v>200</v>
          </cell>
          <cell r="CE167">
            <v>162</v>
          </cell>
          <cell r="CF167">
            <v>200</v>
          </cell>
          <cell r="CG167">
            <v>94</v>
          </cell>
          <cell r="CH167">
            <v>200</v>
          </cell>
          <cell r="CI167">
            <v>200</v>
          </cell>
          <cell r="CJ167">
            <v>200</v>
          </cell>
          <cell r="CV167">
            <v>288.46153846153851</v>
          </cell>
          <cell r="CX167">
            <v>0</v>
          </cell>
          <cell r="CY167">
            <v>0</v>
          </cell>
          <cell r="CZ167">
            <v>0</v>
          </cell>
          <cell r="DA167">
            <v>0</v>
          </cell>
          <cell r="DB167">
            <v>0</v>
          </cell>
          <cell r="DC167">
            <v>0</v>
          </cell>
          <cell r="DD167">
            <v>0</v>
          </cell>
          <cell r="DE167">
            <v>0</v>
          </cell>
          <cell r="DF167">
            <v>0</v>
          </cell>
          <cell r="DG167">
            <v>0</v>
          </cell>
          <cell r="DR167">
            <v>73103</v>
          </cell>
          <cell r="DS167">
            <v>200</v>
          </cell>
          <cell r="DT167">
            <v>200</v>
          </cell>
          <cell r="DU167">
            <v>999999</v>
          </cell>
          <cell r="DV167">
            <v>999999</v>
          </cell>
          <cell r="DW167">
            <v>999999</v>
          </cell>
          <cell r="DX167">
            <v>200</v>
          </cell>
          <cell r="DY167">
            <v>200</v>
          </cell>
          <cell r="DZ167">
            <v>999999</v>
          </cell>
          <cell r="EA167">
            <v>999999</v>
          </cell>
        </row>
        <row r="168">
          <cell r="N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AJ168">
            <v>0</v>
          </cell>
          <cell r="AK168">
            <v>0</v>
          </cell>
          <cell r="AL168">
            <v>999999</v>
          </cell>
          <cell r="AM168">
            <v>199</v>
          </cell>
          <cell r="AN168">
            <v>199</v>
          </cell>
          <cell r="AO168">
            <v>199</v>
          </cell>
          <cell r="AP168">
            <v>0</v>
          </cell>
          <cell r="AQ168">
            <v>75</v>
          </cell>
          <cell r="AR168">
            <v>199</v>
          </cell>
          <cell r="AS168">
            <v>131</v>
          </cell>
          <cell r="BE168">
            <v>0</v>
          </cell>
          <cell r="BG168">
            <v>0</v>
          </cell>
          <cell r="BH168">
            <v>0</v>
          </cell>
          <cell r="BI168">
            <v>0</v>
          </cell>
          <cell r="BJ168">
            <v>0</v>
          </cell>
          <cell r="BK168">
            <v>0</v>
          </cell>
          <cell r="BL168">
            <v>0</v>
          </cell>
          <cell r="BM168">
            <v>0</v>
          </cell>
          <cell r="BN168">
            <v>0</v>
          </cell>
          <cell r="BO168">
            <v>0</v>
          </cell>
          <cell r="BP168">
            <v>0</v>
          </cell>
          <cell r="CA168">
            <v>143590.34755609013</v>
          </cell>
          <cell r="CB168">
            <v>121</v>
          </cell>
          <cell r="CC168">
            <v>199</v>
          </cell>
          <cell r="CD168">
            <v>199</v>
          </cell>
          <cell r="CE168">
            <v>161</v>
          </cell>
          <cell r="CF168">
            <v>199</v>
          </cell>
          <cell r="CG168">
            <v>93</v>
          </cell>
          <cell r="CH168">
            <v>199</v>
          </cell>
          <cell r="CI168">
            <v>199</v>
          </cell>
          <cell r="CJ168">
            <v>199</v>
          </cell>
          <cell r="CV168">
            <v>288.46153846153851</v>
          </cell>
          <cell r="CX168">
            <v>0</v>
          </cell>
          <cell r="CY168">
            <v>0</v>
          </cell>
          <cell r="CZ168">
            <v>0</v>
          </cell>
          <cell r="DA168">
            <v>0</v>
          </cell>
          <cell r="DB168">
            <v>0</v>
          </cell>
          <cell r="DC168">
            <v>0</v>
          </cell>
          <cell r="DD168">
            <v>0</v>
          </cell>
          <cell r="DE168">
            <v>0</v>
          </cell>
          <cell r="DF168">
            <v>0</v>
          </cell>
          <cell r="DG168">
            <v>0</v>
          </cell>
          <cell r="DR168">
            <v>73103</v>
          </cell>
          <cell r="DS168">
            <v>199</v>
          </cell>
          <cell r="DT168">
            <v>199</v>
          </cell>
          <cell r="DU168">
            <v>999999</v>
          </cell>
          <cell r="DV168">
            <v>999999</v>
          </cell>
          <cell r="DW168">
            <v>999999</v>
          </cell>
          <cell r="DX168">
            <v>199</v>
          </cell>
          <cell r="DY168">
            <v>199</v>
          </cell>
          <cell r="DZ168">
            <v>999999</v>
          </cell>
          <cell r="EA168">
            <v>999999</v>
          </cell>
        </row>
        <row r="169">
          <cell r="N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AJ169">
            <v>0</v>
          </cell>
          <cell r="AK169">
            <v>0</v>
          </cell>
          <cell r="AL169">
            <v>999999</v>
          </cell>
          <cell r="AM169">
            <v>198</v>
          </cell>
          <cell r="AN169">
            <v>198</v>
          </cell>
          <cell r="AO169">
            <v>198</v>
          </cell>
          <cell r="AP169">
            <v>0</v>
          </cell>
          <cell r="AQ169">
            <v>74</v>
          </cell>
          <cell r="AR169">
            <v>198</v>
          </cell>
          <cell r="AS169">
            <v>130</v>
          </cell>
          <cell r="BE169">
            <v>0</v>
          </cell>
          <cell r="BG169">
            <v>0</v>
          </cell>
          <cell r="BH169">
            <v>0</v>
          </cell>
          <cell r="BI169">
            <v>0</v>
          </cell>
          <cell r="BJ169">
            <v>0</v>
          </cell>
          <cell r="BK169">
            <v>0</v>
          </cell>
          <cell r="BL169">
            <v>0</v>
          </cell>
          <cell r="BM169">
            <v>0</v>
          </cell>
          <cell r="BN169">
            <v>0</v>
          </cell>
          <cell r="BO169">
            <v>0</v>
          </cell>
          <cell r="BP169">
            <v>0</v>
          </cell>
          <cell r="CA169">
            <v>143113.67568803456</v>
          </cell>
          <cell r="CB169">
            <v>120</v>
          </cell>
          <cell r="CC169">
            <v>198</v>
          </cell>
          <cell r="CD169">
            <v>198</v>
          </cell>
          <cell r="CE169">
            <v>160</v>
          </cell>
          <cell r="CF169">
            <v>198</v>
          </cell>
          <cell r="CG169">
            <v>92</v>
          </cell>
          <cell r="CH169">
            <v>198</v>
          </cell>
          <cell r="CI169">
            <v>198</v>
          </cell>
          <cell r="CJ169">
            <v>198</v>
          </cell>
          <cell r="CV169">
            <v>288.46153846153851</v>
          </cell>
          <cell r="CX169">
            <v>0</v>
          </cell>
          <cell r="CY169">
            <v>0</v>
          </cell>
          <cell r="CZ169">
            <v>0</v>
          </cell>
          <cell r="DA169">
            <v>0</v>
          </cell>
          <cell r="DB169">
            <v>0</v>
          </cell>
          <cell r="DC169">
            <v>0</v>
          </cell>
          <cell r="DD169">
            <v>0</v>
          </cell>
          <cell r="DE169">
            <v>0</v>
          </cell>
          <cell r="DF169">
            <v>0</v>
          </cell>
          <cell r="DG169">
            <v>0</v>
          </cell>
          <cell r="DR169">
            <v>73103</v>
          </cell>
          <cell r="DS169">
            <v>198</v>
          </cell>
          <cell r="DT169">
            <v>198</v>
          </cell>
          <cell r="DU169">
            <v>999999</v>
          </cell>
          <cell r="DV169">
            <v>999999</v>
          </cell>
          <cell r="DW169">
            <v>999999</v>
          </cell>
          <cell r="DX169">
            <v>198</v>
          </cell>
          <cell r="DY169">
            <v>198</v>
          </cell>
          <cell r="DZ169">
            <v>999999</v>
          </cell>
          <cell r="EA169">
            <v>999999</v>
          </cell>
        </row>
        <row r="170">
          <cell r="N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AJ170">
            <v>0</v>
          </cell>
          <cell r="AK170">
            <v>0</v>
          </cell>
          <cell r="AL170">
            <v>999999</v>
          </cell>
          <cell r="AM170">
            <v>197</v>
          </cell>
          <cell r="AN170">
            <v>197</v>
          </cell>
          <cell r="AO170">
            <v>197</v>
          </cell>
          <cell r="AP170">
            <v>0</v>
          </cell>
          <cell r="AQ170">
            <v>73</v>
          </cell>
          <cell r="AR170">
            <v>197</v>
          </cell>
          <cell r="AS170">
            <v>129</v>
          </cell>
          <cell r="BE170">
            <v>0</v>
          </cell>
          <cell r="BG170">
            <v>0</v>
          </cell>
          <cell r="BH170">
            <v>0</v>
          </cell>
          <cell r="BI170">
            <v>0</v>
          </cell>
          <cell r="BJ170">
            <v>0</v>
          </cell>
          <cell r="BK170">
            <v>0</v>
          </cell>
          <cell r="BL170">
            <v>0</v>
          </cell>
          <cell r="BM170">
            <v>0</v>
          </cell>
          <cell r="BN170">
            <v>0</v>
          </cell>
          <cell r="BO170">
            <v>0</v>
          </cell>
          <cell r="BP170">
            <v>0</v>
          </cell>
          <cell r="CA170">
            <v>142637.003819979</v>
          </cell>
          <cell r="CB170">
            <v>119</v>
          </cell>
          <cell r="CC170">
            <v>197</v>
          </cell>
          <cell r="CD170">
            <v>197</v>
          </cell>
          <cell r="CE170">
            <v>159</v>
          </cell>
          <cell r="CF170">
            <v>197</v>
          </cell>
          <cell r="CG170">
            <v>91</v>
          </cell>
          <cell r="CH170">
            <v>197</v>
          </cell>
          <cell r="CI170">
            <v>197</v>
          </cell>
          <cell r="CJ170">
            <v>197</v>
          </cell>
          <cell r="CV170">
            <v>288.46153846153851</v>
          </cell>
          <cell r="CX170">
            <v>0</v>
          </cell>
          <cell r="CY170">
            <v>0</v>
          </cell>
          <cell r="CZ170">
            <v>0</v>
          </cell>
          <cell r="DA170">
            <v>0</v>
          </cell>
          <cell r="DB170">
            <v>0</v>
          </cell>
          <cell r="DC170">
            <v>0</v>
          </cell>
          <cell r="DD170">
            <v>0</v>
          </cell>
          <cell r="DE170">
            <v>0</v>
          </cell>
          <cell r="DF170">
            <v>0</v>
          </cell>
          <cell r="DG170">
            <v>0</v>
          </cell>
          <cell r="DR170">
            <v>73103</v>
          </cell>
          <cell r="DS170">
            <v>197</v>
          </cell>
          <cell r="DT170">
            <v>197</v>
          </cell>
          <cell r="DU170">
            <v>999999</v>
          </cell>
          <cell r="DV170">
            <v>999999</v>
          </cell>
          <cell r="DW170">
            <v>999999</v>
          </cell>
          <cell r="DX170">
            <v>197</v>
          </cell>
          <cell r="DY170">
            <v>197</v>
          </cell>
          <cell r="DZ170">
            <v>999999</v>
          </cell>
          <cell r="EA170">
            <v>999999</v>
          </cell>
        </row>
        <row r="171">
          <cell r="N171">
            <v>0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AJ171">
            <v>0</v>
          </cell>
          <cell r="AK171">
            <v>0</v>
          </cell>
          <cell r="AL171">
            <v>999999</v>
          </cell>
          <cell r="AM171">
            <v>196</v>
          </cell>
          <cell r="AN171">
            <v>196</v>
          </cell>
          <cell r="AO171">
            <v>196</v>
          </cell>
          <cell r="AP171">
            <v>0</v>
          </cell>
          <cell r="AQ171">
            <v>72</v>
          </cell>
          <cell r="AR171">
            <v>196</v>
          </cell>
          <cell r="AS171">
            <v>128</v>
          </cell>
          <cell r="BE171">
            <v>0</v>
          </cell>
          <cell r="BG171">
            <v>0</v>
          </cell>
          <cell r="BH171">
            <v>0</v>
          </cell>
          <cell r="BI171">
            <v>0</v>
          </cell>
          <cell r="BJ171">
            <v>0</v>
          </cell>
          <cell r="BK171">
            <v>0</v>
          </cell>
          <cell r="BL171">
            <v>0</v>
          </cell>
          <cell r="BM171">
            <v>0</v>
          </cell>
          <cell r="BN171">
            <v>0</v>
          </cell>
          <cell r="BO171">
            <v>0</v>
          </cell>
          <cell r="BP171">
            <v>0</v>
          </cell>
          <cell r="CA171">
            <v>142160.33195192344</v>
          </cell>
          <cell r="CB171">
            <v>118</v>
          </cell>
          <cell r="CC171">
            <v>196</v>
          </cell>
          <cell r="CD171">
            <v>196</v>
          </cell>
          <cell r="CE171">
            <v>158</v>
          </cell>
          <cell r="CF171">
            <v>196</v>
          </cell>
          <cell r="CG171">
            <v>90</v>
          </cell>
          <cell r="CH171">
            <v>196</v>
          </cell>
          <cell r="CI171">
            <v>196</v>
          </cell>
          <cell r="CJ171">
            <v>196</v>
          </cell>
          <cell r="CV171">
            <v>288.46153846153851</v>
          </cell>
          <cell r="CX171">
            <v>0</v>
          </cell>
          <cell r="CY171">
            <v>0</v>
          </cell>
          <cell r="CZ171">
            <v>0</v>
          </cell>
          <cell r="DA171">
            <v>0</v>
          </cell>
          <cell r="DB171">
            <v>0</v>
          </cell>
          <cell r="DC171">
            <v>0</v>
          </cell>
          <cell r="DD171">
            <v>0</v>
          </cell>
          <cell r="DE171">
            <v>0</v>
          </cell>
          <cell r="DF171">
            <v>0</v>
          </cell>
          <cell r="DG171">
            <v>0</v>
          </cell>
          <cell r="DR171">
            <v>73103</v>
          </cell>
          <cell r="DS171">
            <v>196</v>
          </cell>
          <cell r="DT171">
            <v>196</v>
          </cell>
          <cell r="DU171">
            <v>999999</v>
          </cell>
          <cell r="DV171">
            <v>999999</v>
          </cell>
          <cell r="DW171">
            <v>999999</v>
          </cell>
          <cell r="DX171">
            <v>196</v>
          </cell>
          <cell r="DY171">
            <v>196</v>
          </cell>
          <cell r="DZ171">
            <v>999999</v>
          </cell>
          <cell r="EA171">
            <v>999999</v>
          </cell>
        </row>
        <row r="172">
          <cell r="N172">
            <v>0</v>
          </cell>
          <cell r="P172">
            <v>0</v>
          </cell>
          <cell r="Q172">
            <v>0</v>
          </cell>
          <cell r="R172">
            <v>0</v>
          </cell>
          <cell r="S172">
            <v>0</v>
          </cell>
          <cell r="T172">
            <v>0</v>
          </cell>
          <cell r="U172">
            <v>0</v>
          </cell>
          <cell r="V172">
            <v>0</v>
          </cell>
          <cell r="W172">
            <v>0</v>
          </cell>
          <cell r="X172">
            <v>0</v>
          </cell>
          <cell r="Y172">
            <v>0</v>
          </cell>
          <cell r="AJ172">
            <v>0</v>
          </cell>
          <cell r="AK172">
            <v>0</v>
          </cell>
          <cell r="AL172">
            <v>999999</v>
          </cell>
          <cell r="AM172">
            <v>195</v>
          </cell>
          <cell r="AN172">
            <v>195</v>
          </cell>
          <cell r="AO172">
            <v>195</v>
          </cell>
          <cell r="AP172">
            <v>0</v>
          </cell>
          <cell r="AQ172">
            <v>71</v>
          </cell>
          <cell r="AR172">
            <v>195</v>
          </cell>
          <cell r="AS172">
            <v>127</v>
          </cell>
          <cell r="BE172">
            <v>0</v>
          </cell>
          <cell r="BG172">
            <v>0</v>
          </cell>
          <cell r="BH172">
            <v>0</v>
          </cell>
          <cell r="BI172">
            <v>0</v>
          </cell>
          <cell r="BJ172">
            <v>0</v>
          </cell>
          <cell r="BK172">
            <v>0</v>
          </cell>
          <cell r="BL172">
            <v>0</v>
          </cell>
          <cell r="BM172">
            <v>0</v>
          </cell>
          <cell r="BN172">
            <v>0</v>
          </cell>
          <cell r="BO172">
            <v>0</v>
          </cell>
          <cell r="BP172">
            <v>0</v>
          </cell>
          <cell r="CA172">
            <v>141683.66008386787</v>
          </cell>
          <cell r="CB172">
            <v>117</v>
          </cell>
          <cell r="CC172">
            <v>195</v>
          </cell>
          <cell r="CD172">
            <v>195</v>
          </cell>
          <cell r="CE172">
            <v>157</v>
          </cell>
          <cell r="CF172">
            <v>195</v>
          </cell>
          <cell r="CG172">
            <v>89</v>
          </cell>
          <cell r="CH172">
            <v>195</v>
          </cell>
          <cell r="CI172">
            <v>195</v>
          </cell>
          <cell r="CJ172">
            <v>195</v>
          </cell>
          <cell r="CV172">
            <v>288.46153846153851</v>
          </cell>
          <cell r="CX172">
            <v>0</v>
          </cell>
          <cell r="CY172">
            <v>0</v>
          </cell>
          <cell r="CZ172">
            <v>0</v>
          </cell>
          <cell r="DA172">
            <v>0</v>
          </cell>
          <cell r="DB172">
            <v>0</v>
          </cell>
          <cell r="DC172">
            <v>0</v>
          </cell>
          <cell r="DD172">
            <v>0</v>
          </cell>
          <cell r="DE172">
            <v>0</v>
          </cell>
          <cell r="DF172">
            <v>0</v>
          </cell>
          <cell r="DG172">
            <v>0</v>
          </cell>
          <cell r="DR172">
            <v>73103</v>
          </cell>
          <cell r="DS172">
            <v>195</v>
          </cell>
          <cell r="DT172">
            <v>195</v>
          </cell>
          <cell r="DU172">
            <v>999999</v>
          </cell>
          <cell r="DV172">
            <v>999999</v>
          </cell>
          <cell r="DW172">
            <v>999999</v>
          </cell>
          <cell r="DX172">
            <v>195</v>
          </cell>
          <cell r="DY172">
            <v>195</v>
          </cell>
          <cell r="DZ172">
            <v>999999</v>
          </cell>
          <cell r="EA172">
            <v>999999</v>
          </cell>
        </row>
        <row r="173">
          <cell r="N173">
            <v>0</v>
          </cell>
          <cell r="P173">
            <v>0</v>
          </cell>
          <cell r="Q173">
            <v>0</v>
          </cell>
          <cell r="R173">
            <v>0</v>
          </cell>
          <cell r="S173">
            <v>0</v>
          </cell>
          <cell r="T173">
            <v>0</v>
          </cell>
          <cell r="U173">
            <v>0</v>
          </cell>
          <cell r="V173">
            <v>0</v>
          </cell>
          <cell r="W173">
            <v>0</v>
          </cell>
          <cell r="X173">
            <v>0</v>
          </cell>
          <cell r="Y173">
            <v>0</v>
          </cell>
          <cell r="AJ173">
            <v>0</v>
          </cell>
          <cell r="AK173">
            <v>0</v>
          </cell>
          <cell r="AL173">
            <v>999999</v>
          </cell>
          <cell r="AM173">
            <v>194</v>
          </cell>
          <cell r="AN173">
            <v>194</v>
          </cell>
          <cell r="AO173">
            <v>194</v>
          </cell>
          <cell r="AP173">
            <v>0</v>
          </cell>
          <cell r="AQ173">
            <v>70</v>
          </cell>
          <cell r="AR173">
            <v>194</v>
          </cell>
          <cell r="AS173">
            <v>126</v>
          </cell>
          <cell r="BE173">
            <v>0</v>
          </cell>
          <cell r="BG173">
            <v>0</v>
          </cell>
          <cell r="BH173">
            <v>0</v>
          </cell>
          <cell r="BI173">
            <v>0</v>
          </cell>
          <cell r="BJ173">
            <v>0</v>
          </cell>
          <cell r="BK173">
            <v>0</v>
          </cell>
          <cell r="BL173">
            <v>0</v>
          </cell>
          <cell r="BM173">
            <v>0</v>
          </cell>
          <cell r="BN173">
            <v>0</v>
          </cell>
          <cell r="BO173">
            <v>0</v>
          </cell>
          <cell r="BP173">
            <v>0</v>
          </cell>
          <cell r="CA173">
            <v>141206.98821581231</v>
          </cell>
          <cell r="CB173">
            <v>116</v>
          </cell>
          <cell r="CC173">
            <v>194</v>
          </cell>
          <cell r="CD173">
            <v>194</v>
          </cell>
          <cell r="CE173">
            <v>156</v>
          </cell>
          <cell r="CF173">
            <v>194</v>
          </cell>
          <cell r="CG173">
            <v>88</v>
          </cell>
          <cell r="CH173">
            <v>194</v>
          </cell>
          <cell r="CI173">
            <v>194</v>
          </cell>
          <cell r="CJ173">
            <v>194</v>
          </cell>
          <cell r="CV173">
            <v>288.46153846153851</v>
          </cell>
          <cell r="CX173">
            <v>0</v>
          </cell>
          <cell r="CY173">
            <v>0</v>
          </cell>
          <cell r="CZ173">
            <v>0</v>
          </cell>
          <cell r="DA173">
            <v>0</v>
          </cell>
          <cell r="DB173">
            <v>0</v>
          </cell>
          <cell r="DC173">
            <v>0</v>
          </cell>
          <cell r="DD173">
            <v>0</v>
          </cell>
          <cell r="DE173">
            <v>0</v>
          </cell>
          <cell r="DF173">
            <v>0</v>
          </cell>
          <cell r="DG173">
            <v>0</v>
          </cell>
          <cell r="DR173">
            <v>73103</v>
          </cell>
          <cell r="DS173">
            <v>194</v>
          </cell>
          <cell r="DT173">
            <v>194</v>
          </cell>
          <cell r="DU173">
            <v>999999</v>
          </cell>
          <cell r="DV173">
            <v>999999</v>
          </cell>
          <cell r="DW173">
            <v>999999</v>
          </cell>
          <cell r="DX173">
            <v>194</v>
          </cell>
          <cell r="DY173">
            <v>194</v>
          </cell>
          <cell r="DZ173">
            <v>999999</v>
          </cell>
          <cell r="EA173">
            <v>999999</v>
          </cell>
        </row>
        <row r="174">
          <cell r="N174">
            <v>0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  <cell r="T174">
            <v>0</v>
          </cell>
          <cell r="U174">
            <v>0</v>
          </cell>
          <cell r="V174">
            <v>0</v>
          </cell>
          <cell r="W174">
            <v>0</v>
          </cell>
          <cell r="X174">
            <v>0</v>
          </cell>
          <cell r="Y174">
            <v>0</v>
          </cell>
          <cell r="AJ174">
            <v>0</v>
          </cell>
          <cell r="AK174">
            <v>0</v>
          </cell>
          <cell r="AL174">
            <v>999999</v>
          </cell>
          <cell r="AM174">
            <v>193</v>
          </cell>
          <cell r="AN174">
            <v>193</v>
          </cell>
          <cell r="AO174">
            <v>193</v>
          </cell>
          <cell r="AP174">
            <v>0</v>
          </cell>
          <cell r="AQ174">
            <v>69</v>
          </cell>
          <cell r="AR174">
            <v>193</v>
          </cell>
          <cell r="AS174">
            <v>125</v>
          </cell>
          <cell r="BE174">
            <v>0</v>
          </cell>
          <cell r="BG174">
            <v>0</v>
          </cell>
          <cell r="BH174">
            <v>0</v>
          </cell>
          <cell r="BI174">
            <v>0</v>
          </cell>
          <cell r="BJ174">
            <v>0</v>
          </cell>
          <cell r="BK174">
            <v>0</v>
          </cell>
          <cell r="BL174">
            <v>0</v>
          </cell>
          <cell r="BM174">
            <v>0</v>
          </cell>
          <cell r="BN174">
            <v>0</v>
          </cell>
          <cell r="BO174">
            <v>0</v>
          </cell>
          <cell r="BP174">
            <v>0</v>
          </cell>
          <cell r="CA174">
            <v>140730.31634775674</v>
          </cell>
          <cell r="CB174">
            <v>115</v>
          </cell>
          <cell r="CC174">
            <v>193</v>
          </cell>
          <cell r="CD174">
            <v>193</v>
          </cell>
          <cell r="CE174">
            <v>155</v>
          </cell>
          <cell r="CF174">
            <v>193</v>
          </cell>
          <cell r="CG174">
            <v>87</v>
          </cell>
          <cell r="CH174">
            <v>193</v>
          </cell>
          <cell r="CI174">
            <v>193</v>
          </cell>
          <cell r="CJ174">
            <v>193</v>
          </cell>
          <cell r="CV174">
            <v>288.46153846153851</v>
          </cell>
          <cell r="CX174">
            <v>0</v>
          </cell>
          <cell r="CY174">
            <v>0</v>
          </cell>
          <cell r="CZ174">
            <v>0</v>
          </cell>
          <cell r="DA174">
            <v>0</v>
          </cell>
          <cell r="DB174">
            <v>0</v>
          </cell>
          <cell r="DC174">
            <v>0</v>
          </cell>
          <cell r="DD174">
            <v>0</v>
          </cell>
          <cell r="DE174">
            <v>0</v>
          </cell>
          <cell r="DF174">
            <v>0</v>
          </cell>
          <cell r="DG174">
            <v>0</v>
          </cell>
          <cell r="DR174">
            <v>73103</v>
          </cell>
          <cell r="DS174">
            <v>193</v>
          </cell>
          <cell r="DT174">
            <v>193</v>
          </cell>
          <cell r="DU174">
            <v>999999</v>
          </cell>
          <cell r="DV174">
            <v>999999</v>
          </cell>
          <cell r="DW174">
            <v>999999</v>
          </cell>
          <cell r="DX174">
            <v>193</v>
          </cell>
          <cell r="DY174">
            <v>193</v>
          </cell>
          <cell r="DZ174">
            <v>999999</v>
          </cell>
          <cell r="EA174">
            <v>999999</v>
          </cell>
        </row>
        <row r="175">
          <cell r="N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AJ175">
            <v>0</v>
          </cell>
          <cell r="AK175">
            <v>0</v>
          </cell>
          <cell r="AL175">
            <v>999999</v>
          </cell>
          <cell r="AM175">
            <v>192</v>
          </cell>
          <cell r="AN175">
            <v>192</v>
          </cell>
          <cell r="AO175">
            <v>192</v>
          </cell>
          <cell r="AP175">
            <v>0</v>
          </cell>
          <cell r="AQ175">
            <v>68</v>
          </cell>
          <cell r="AR175">
            <v>192</v>
          </cell>
          <cell r="AS175">
            <v>124</v>
          </cell>
          <cell r="BE175">
            <v>0</v>
          </cell>
          <cell r="BG175">
            <v>0</v>
          </cell>
          <cell r="BH175">
            <v>0</v>
          </cell>
          <cell r="BI175">
            <v>0</v>
          </cell>
          <cell r="BJ175">
            <v>0</v>
          </cell>
          <cell r="BK175">
            <v>0</v>
          </cell>
          <cell r="BL175">
            <v>0</v>
          </cell>
          <cell r="BM175">
            <v>0</v>
          </cell>
          <cell r="BN175">
            <v>0</v>
          </cell>
          <cell r="BO175">
            <v>0</v>
          </cell>
          <cell r="BP175">
            <v>0</v>
          </cell>
          <cell r="CA175">
            <v>140253.64447970118</v>
          </cell>
          <cell r="CB175">
            <v>114</v>
          </cell>
          <cell r="CC175">
            <v>192</v>
          </cell>
          <cell r="CD175">
            <v>192</v>
          </cell>
          <cell r="CE175">
            <v>154</v>
          </cell>
          <cell r="CF175">
            <v>192</v>
          </cell>
          <cell r="CG175">
            <v>86</v>
          </cell>
          <cell r="CH175">
            <v>192</v>
          </cell>
          <cell r="CI175">
            <v>192</v>
          </cell>
          <cell r="CJ175">
            <v>192</v>
          </cell>
          <cell r="CV175">
            <v>288.46153846153851</v>
          </cell>
          <cell r="CX175">
            <v>0</v>
          </cell>
          <cell r="CY175">
            <v>0</v>
          </cell>
          <cell r="CZ175">
            <v>0</v>
          </cell>
          <cell r="DA175">
            <v>0</v>
          </cell>
          <cell r="DB175">
            <v>0</v>
          </cell>
          <cell r="DC175">
            <v>0</v>
          </cell>
          <cell r="DD175">
            <v>0</v>
          </cell>
          <cell r="DE175">
            <v>0</v>
          </cell>
          <cell r="DF175">
            <v>0</v>
          </cell>
          <cell r="DG175">
            <v>0</v>
          </cell>
          <cell r="DR175">
            <v>73103</v>
          </cell>
          <cell r="DS175">
            <v>192</v>
          </cell>
          <cell r="DT175">
            <v>192</v>
          </cell>
          <cell r="DU175">
            <v>999999</v>
          </cell>
          <cell r="DV175">
            <v>999999</v>
          </cell>
          <cell r="DW175">
            <v>999999</v>
          </cell>
          <cell r="DX175">
            <v>192</v>
          </cell>
          <cell r="DY175">
            <v>192</v>
          </cell>
          <cell r="DZ175">
            <v>999999</v>
          </cell>
          <cell r="EA175">
            <v>999999</v>
          </cell>
        </row>
        <row r="176">
          <cell r="N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AJ176">
            <v>0</v>
          </cell>
          <cell r="AK176">
            <v>0</v>
          </cell>
          <cell r="AL176">
            <v>999999</v>
          </cell>
          <cell r="AM176">
            <v>191</v>
          </cell>
          <cell r="AN176">
            <v>191</v>
          </cell>
          <cell r="AO176">
            <v>191</v>
          </cell>
          <cell r="AP176">
            <v>0</v>
          </cell>
          <cell r="AQ176">
            <v>67</v>
          </cell>
          <cell r="AR176">
            <v>191</v>
          </cell>
          <cell r="AS176">
            <v>123</v>
          </cell>
          <cell r="BE176">
            <v>0</v>
          </cell>
          <cell r="BG176">
            <v>0</v>
          </cell>
          <cell r="BH176">
            <v>0</v>
          </cell>
          <cell r="BI176">
            <v>0</v>
          </cell>
          <cell r="BJ176">
            <v>0</v>
          </cell>
          <cell r="BK176">
            <v>0</v>
          </cell>
          <cell r="BL176">
            <v>0</v>
          </cell>
          <cell r="BM176">
            <v>0</v>
          </cell>
          <cell r="BN176">
            <v>0</v>
          </cell>
          <cell r="BO176">
            <v>0</v>
          </cell>
          <cell r="BP176">
            <v>0</v>
          </cell>
          <cell r="CA176">
            <v>139776.97261164561</v>
          </cell>
          <cell r="CB176">
            <v>113</v>
          </cell>
          <cell r="CC176">
            <v>191</v>
          </cell>
          <cell r="CD176">
            <v>191</v>
          </cell>
          <cell r="CE176">
            <v>153</v>
          </cell>
          <cell r="CF176">
            <v>191</v>
          </cell>
          <cell r="CG176">
            <v>85</v>
          </cell>
          <cell r="CH176">
            <v>191</v>
          </cell>
          <cell r="CI176">
            <v>191</v>
          </cell>
          <cell r="CJ176">
            <v>191</v>
          </cell>
          <cell r="CV176">
            <v>288.46153846153851</v>
          </cell>
          <cell r="CX176">
            <v>0</v>
          </cell>
          <cell r="CY176">
            <v>0</v>
          </cell>
          <cell r="CZ176">
            <v>0</v>
          </cell>
          <cell r="DA176">
            <v>0</v>
          </cell>
          <cell r="DB176">
            <v>0</v>
          </cell>
          <cell r="DC176">
            <v>0</v>
          </cell>
          <cell r="DD176">
            <v>0</v>
          </cell>
          <cell r="DE176">
            <v>0</v>
          </cell>
          <cell r="DF176">
            <v>0</v>
          </cell>
          <cell r="DG176">
            <v>0</v>
          </cell>
          <cell r="DR176">
            <v>73103</v>
          </cell>
          <cell r="DS176">
            <v>191</v>
          </cell>
          <cell r="DT176">
            <v>191</v>
          </cell>
          <cell r="DU176">
            <v>999999</v>
          </cell>
          <cell r="DV176">
            <v>999999</v>
          </cell>
          <cell r="DW176">
            <v>999999</v>
          </cell>
          <cell r="DX176">
            <v>191</v>
          </cell>
          <cell r="DY176">
            <v>191</v>
          </cell>
          <cell r="DZ176">
            <v>999999</v>
          </cell>
          <cell r="EA176">
            <v>999999</v>
          </cell>
        </row>
        <row r="177">
          <cell r="N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AJ177">
            <v>0</v>
          </cell>
          <cell r="AK177">
            <v>0</v>
          </cell>
          <cell r="AL177">
            <v>999999</v>
          </cell>
          <cell r="AM177">
            <v>190</v>
          </cell>
          <cell r="AN177">
            <v>190</v>
          </cell>
          <cell r="AO177">
            <v>190</v>
          </cell>
          <cell r="AP177">
            <v>0</v>
          </cell>
          <cell r="AQ177">
            <v>66</v>
          </cell>
          <cell r="AR177">
            <v>190</v>
          </cell>
          <cell r="AS177">
            <v>122</v>
          </cell>
          <cell r="BE177">
            <v>0</v>
          </cell>
          <cell r="BG177">
            <v>0</v>
          </cell>
          <cell r="BH177">
            <v>0</v>
          </cell>
          <cell r="BI177">
            <v>0</v>
          </cell>
          <cell r="BJ177">
            <v>0</v>
          </cell>
          <cell r="BK177">
            <v>0</v>
          </cell>
          <cell r="BL177">
            <v>0</v>
          </cell>
          <cell r="BM177">
            <v>0</v>
          </cell>
          <cell r="BN177">
            <v>0</v>
          </cell>
          <cell r="BO177">
            <v>0</v>
          </cell>
          <cell r="BP177">
            <v>0</v>
          </cell>
          <cell r="CA177">
            <v>139300.30074359005</v>
          </cell>
          <cell r="CB177">
            <v>112</v>
          </cell>
          <cell r="CC177">
            <v>190</v>
          </cell>
          <cell r="CD177">
            <v>190</v>
          </cell>
          <cell r="CE177">
            <v>152</v>
          </cell>
          <cell r="CF177">
            <v>190</v>
          </cell>
          <cell r="CG177">
            <v>84</v>
          </cell>
          <cell r="CH177">
            <v>190</v>
          </cell>
          <cell r="CI177">
            <v>190</v>
          </cell>
          <cell r="CJ177">
            <v>190</v>
          </cell>
          <cell r="CV177">
            <v>288.46153846153851</v>
          </cell>
          <cell r="CX177">
            <v>0</v>
          </cell>
          <cell r="CY177">
            <v>0</v>
          </cell>
          <cell r="CZ177">
            <v>0</v>
          </cell>
          <cell r="DA177">
            <v>0</v>
          </cell>
          <cell r="DB177">
            <v>0</v>
          </cell>
          <cell r="DC177">
            <v>0</v>
          </cell>
          <cell r="DD177">
            <v>0</v>
          </cell>
          <cell r="DE177">
            <v>0</v>
          </cell>
          <cell r="DF177">
            <v>0</v>
          </cell>
          <cell r="DG177">
            <v>0</v>
          </cell>
          <cell r="DR177">
            <v>73103</v>
          </cell>
          <cell r="DS177">
            <v>190</v>
          </cell>
          <cell r="DT177">
            <v>190</v>
          </cell>
          <cell r="DU177">
            <v>999999</v>
          </cell>
          <cell r="DV177">
            <v>999999</v>
          </cell>
          <cell r="DW177">
            <v>999999</v>
          </cell>
          <cell r="DX177">
            <v>190</v>
          </cell>
          <cell r="DY177">
            <v>190</v>
          </cell>
          <cell r="DZ177">
            <v>999999</v>
          </cell>
          <cell r="EA177">
            <v>999999</v>
          </cell>
        </row>
        <row r="178">
          <cell r="N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AJ178">
            <v>0</v>
          </cell>
          <cell r="AK178">
            <v>0</v>
          </cell>
          <cell r="AL178">
            <v>999999</v>
          </cell>
          <cell r="AM178">
            <v>189</v>
          </cell>
          <cell r="AN178">
            <v>189</v>
          </cell>
          <cell r="AO178">
            <v>189</v>
          </cell>
          <cell r="AP178">
            <v>0</v>
          </cell>
          <cell r="AQ178">
            <v>65</v>
          </cell>
          <cell r="AR178">
            <v>189</v>
          </cell>
          <cell r="AS178">
            <v>121</v>
          </cell>
          <cell r="BE178">
            <v>0</v>
          </cell>
          <cell r="BG178">
            <v>0</v>
          </cell>
          <cell r="BH178">
            <v>0</v>
          </cell>
          <cell r="BI178">
            <v>0</v>
          </cell>
          <cell r="BJ178">
            <v>0</v>
          </cell>
          <cell r="BK178">
            <v>0</v>
          </cell>
          <cell r="BL178">
            <v>0</v>
          </cell>
          <cell r="BM178">
            <v>0</v>
          </cell>
          <cell r="BN178">
            <v>0</v>
          </cell>
          <cell r="BO178">
            <v>0</v>
          </cell>
          <cell r="BP178">
            <v>0</v>
          </cell>
          <cell r="CA178">
            <v>138823.62887553449</v>
          </cell>
          <cell r="CB178">
            <v>111</v>
          </cell>
          <cell r="CC178">
            <v>189</v>
          </cell>
          <cell r="CD178">
            <v>189</v>
          </cell>
          <cell r="CE178">
            <v>151</v>
          </cell>
          <cell r="CF178">
            <v>189</v>
          </cell>
          <cell r="CG178">
            <v>83</v>
          </cell>
          <cell r="CH178">
            <v>189</v>
          </cell>
          <cell r="CI178">
            <v>189</v>
          </cell>
          <cell r="CJ178">
            <v>189</v>
          </cell>
          <cell r="CV178">
            <v>288.46153846153851</v>
          </cell>
          <cell r="CX178">
            <v>0</v>
          </cell>
          <cell r="CY178">
            <v>0</v>
          </cell>
          <cell r="CZ178">
            <v>0</v>
          </cell>
          <cell r="DA178">
            <v>0</v>
          </cell>
          <cell r="DB178">
            <v>0</v>
          </cell>
          <cell r="DC178">
            <v>0</v>
          </cell>
          <cell r="DD178">
            <v>0</v>
          </cell>
          <cell r="DE178">
            <v>0</v>
          </cell>
          <cell r="DF178">
            <v>0</v>
          </cell>
          <cell r="DG178">
            <v>0</v>
          </cell>
          <cell r="DR178">
            <v>73103</v>
          </cell>
          <cell r="DS178">
            <v>189</v>
          </cell>
          <cell r="DT178">
            <v>189</v>
          </cell>
          <cell r="DU178">
            <v>999999</v>
          </cell>
          <cell r="DV178">
            <v>999999</v>
          </cell>
          <cell r="DW178">
            <v>999999</v>
          </cell>
          <cell r="DX178">
            <v>189</v>
          </cell>
          <cell r="DY178">
            <v>189</v>
          </cell>
          <cell r="DZ178">
            <v>999999</v>
          </cell>
          <cell r="EA178">
            <v>999999</v>
          </cell>
        </row>
        <row r="179">
          <cell r="N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AJ179">
            <v>0</v>
          </cell>
          <cell r="AK179">
            <v>0</v>
          </cell>
          <cell r="AL179">
            <v>999999</v>
          </cell>
          <cell r="AM179">
            <v>188</v>
          </cell>
          <cell r="AN179">
            <v>188</v>
          </cell>
          <cell r="AO179">
            <v>188</v>
          </cell>
          <cell r="AP179">
            <v>0</v>
          </cell>
          <cell r="AQ179">
            <v>64</v>
          </cell>
          <cell r="AR179">
            <v>188</v>
          </cell>
          <cell r="AS179">
            <v>120</v>
          </cell>
          <cell r="BE179">
            <v>0</v>
          </cell>
          <cell r="BG179">
            <v>0</v>
          </cell>
          <cell r="BH179">
            <v>0</v>
          </cell>
          <cell r="BI179">
            <v>0</v>
          </cell>
          <cell r="BJ179">
            <v>0</v>
          </cell>
          <cell r="BK179">
            <v>0</v>
          </cell>
          <cell r="BL179">
            <v>0</v>
          </cell>
          <cell r="BM179">
            <v>0</v>
          </cell>
          <cell r="BN179">
            <v>0</v>
          </cell>
          <cell r="BO179">
            <v>0</v>
          </cell>
          <cell r="BP179">
            <v>0</v>
          </cell>
          <cell r="CA179">
            <v>138346.95700747892</v>
          </cell>
          <cell r="CB179">
            <v>110</v>
          </cell>
          <cell r="CC179">
            <v>188</v>
          </cell>
          <cell r="CD179">
            <v>188</v>
          </cell>
          <cell r="CE179">
            <v>150</v>
          </cell>
          <cell r="CF179">
            <v>188</v>
          </cell>
          <cell r="CG179">
            <v>82</v>
          </cell>
          <cell r="CH179">
            <v>188</v>
          </cell>
          <cell r="CI179">
            <v>188</v>
          </cell>
          <cell r="CJ179">
            <v>188</v>
          </cell>
          <cell r="CV179">
            <v>288.46153846153851</v>
          </cell>
          <cell r="CX179">
            <v>0</v>
          </cell>
          <cell r="CY179">
            <v>0</v>
          </cell>
          <cell r="CZ179">
            <v>0</v>
          </cell>
          <cell r="DA179">
            <v>0</v>
          </cell>
          <cell r="DB179">
            <v>0</v>
          </cell>
          <cell r="DC179">
            <v>0</v>
          </cell>
          <cell r="DD179">
            <v>0</v>
          </cell>
          <cell r="DE179">
            <v>0</v>
          </cell>
          <cell r="DF179">
            <v>0</v>
          </cell>
          <cell r="DG179">
            <v>0</v>
          </cell>
          <cell r="DR179">
            <v>73103</v>
          </cell>
          <cell r="DS179">
            <v>188</v>
          </cell>
          <cell r="DT179">
            <v>188</v>
          </cell>
          <cell r="DU179">
            <v>999999</v>
          </cell>
          <cell r="DV179">
            <v>999999</v>
          </cell>
          <cell r="DW179">
            <v>999999</v>
          </cell>
          <cell r="DX179">
            <v>188</v>
          </cell>
          <cell r="DY179">
            <v>188</v>
          </cell>
          <cell r="DZ179">
            <v>999999</v>
          </cell>
          <cell r="EA179">
            <v>999999</v>
          </cell>
        </row>
        <row r="180">
          <cell r="N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AJ180">
            <v>0</v>
          </cell>
          <cell r="AK180">
            <v>0</v>
          </cell>
          <cell r="AL180">
            <v>999999</v>
          </cell>
          <cell r="AM180">
            <v>187</v>
          </cell>
          <cell r="AN180">
            <v>187</v>
          </cell>
          <cell r="AO180">
            <v>187</v>
          </cell>
          <cell r="AP180">
            <v>0</v>
          </cell>
          <cell r="AQ180">
            <v>63</v>
          </cell>
          <cell r="AR180">
            <v>187</v>
          </cell>
          <cell r="AS180">
            <v>119</v>
          </cell>
          <cell r="BE180">
            <v>0</v>
          </cell>
          <cell r="BG180">
            <v>0</v>
          </cell>
          <cell r="BH180">
            <v>0</v>
          </cell>
          <cell r="BI180">
            <v>0</v>
          </cell>
          <cell r="BJ180">
            <v>0</v>
          </cell>
          <cell r="BK180">
            <v>0</v>
          </cell>
          <cell r="BL180">
            <v>0</v>
          </cell>
          <cell r="BM180">
            <v>0</v>
          </cell>
          <cell r="BN180">
            <v>0</v>
          </cell>
          <cell r="BO180">
            <v>0</v>
          </cell>
          <cell r="BP180">
            <v>0</v>
          </cell>
          <cell r="CA180">
            <v>137870.28513942336</v>
          </cell>
          <cell r="CB180">
            <v>109</v>
          </cell>
          <cell r="CC180">
            <v>187</v>
          </cell>
          <cell r="CD180">
            <v>187</v>
          </cell>
          <cell r="CE180">
            <v>149</v>
          </cell>
          <cell r="CF180">
            <v>187</v>
          </cell>
          <cell r="CG180">
            <v>81</v>
          </cell>
          <cell r="CH180">
            <v>187</v>
          </cell>
          <cell r="CI180">
            <v>187</v>
          </cell>
          <cell r="CJ180">
            <v>187</v>
          </cell>
          <cell r="CV180">
            <v>288.46153846153851</v>
          </cell>
          <cell r="CX180">
            <v>0</v>
          </cell>
          <cell r="CY180">
            <v>0</v>
          </cell>
          <cell r="CZ180">
            <v>0</v>
          </cell>
          <cell r="DA180">
            <v>0</v>
          </cell>
          <cell r="DB180">
            <v>0</v>
          </cell>
          <cell r="DC180">
            <v>0</v>
          </cell>
          <cell r="DD180">
            <v>0</v>
          </cell>
          <cell r="DE180">
            <v>0</v>
          </cell>
          <cell r="DF180">
            <v>0</v>
          </cell>
          <cell r="DG180">
            <v>0</v>
          </cell>
          <cell r="DR180">
            <v>73103</v>
          </cell>
          <cell r="DS180">
            <v>187</v>
          </cell>
          <cell r="DT180">
            <v>187</v>
          </cell>
          <cell r="DU180">
            <v>999999</v>
          </cell>
          <cell r="DV180">
            <v>999999</v>
          </cell>
          <cell r="DW180">
            <v>999999</v>
          </cell>
          <cell r="DX180">
            <v>187</v>
          </cell>
          <cell r="DY180">
            <v>187</v>
          </cell>
          <cell r="DZ180">
            <v>999999</v>
          </cell>
          <cell r="EA180">
            <v>999999</v>
          </cell>
        </row>
        <row r="181">
          <cell r="N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AJ181">
            <v>0</v>
          </cell>
          <cell r="AK181">
            <v>0</v>
          </cell>
          <cell r="AL181">
            <v>999999</v>
          </cell>
          <cell r="AM181">
            <v>186</v>
          </cell>
          <cell r="AN181">
            <v>186</v>
          </cell>
          <cell r="AO181">
            <v>186</v>
          </cell>
          <cell r="AP181">
            <v>0</v>
          </cell>
          <cell r="AQ181">
            <v>62</v>
          </cell>
          <cell r="AR181">
            <v>186</v>
          </cell>
          <cell r="AS181">
            <v>118</v>
          </cell>
          <cell r="BE181">
            <v>0</v>
          </cell>
          <cell r="BG181">
            <v>0</v>
          </cell>
          <cell r="BH181">
            <v>0</v>
          </cell>
          <cell r="BI181">
            <v>0</v>
          </cell>
          <cell r="BJ181">
            <v>0</v>
          </cell>
          <cell r="BK181">
            <v>0</v>
          </cell>
          <cell r="BL181">
            <v>0</v>
          </cell>
          <cell r="BM181">
            <v>0</v>
          </cell>
          <cell r="BN181">
            <v>0</v>
          </cell>
          <cell r="BO181">
            <v>0</v>
          </cell>
          <cell r="BP181">
            <v>0</v>
          </cell>
          <cell r="CA181">
            <v>137393.61327136779</v>
          </cell>
          <cell r="CB181">
            <v>108</v>
          </cell>
          <cell r="CC181">
            <v>186</v>
          </cell>
          <cell r="CD181">
            <v>186</v>
          </cell>
          <cell r="CE181">
            <v>148</v>
          </cell>
          <cell r="CF181">
            <v>186</v>
          </cell>
          <cell r="CG181">
            <v>80</v>
          </cell>
          <cell r="CH181">
            <v>186</v>
          </cell>
          <cell r="CI181">
            <v>186</v>
          </cell>
          <cell r="CJ181">
            <v>186</v>
          </cell>
          <cell r="CV181">
            <v>288.46153846153851</v>
          </cell>
          <cell r="CX181">
            <v>0</v>
          </cell>
          <cell r="CY181">
            <v>0</v>
          </cell>
          <cell r="CZ181">
            <v>0</v>
          </cell>
          <cell r="DA181">
            <v>0</v>
          </cell>
          <cell r="DB181">
            <v>0</v>
          </cell>
          <cell r="DC181">
            <v>0</v>
          </cell>
          <cell r="DD181">
            <v>0</v>
          </cell>
          <cell r="DE181">
            <v>0</v>
          </cell>
          <cell r="DF181">
            <v>0</v>
          </cell>
          <cell r="DG181">
            <v>0</v>
          </cell>
          <cell r="DR181">
            <v>73103</v>
          </cell>
          <cell r="DS181">
            <v>186</v>
          </cell>
          <cell r="DT181">
            <v>186</v>
          </cell>
          <cell r="DU181">
            <v>999999</v>
          </cell>
          <cell r="DV181">
            <v>999999</v>
          </cell>
          <cell r="DW181">
            <v>999999</v>
          </cell>
          <cell r="DX181">
            <v>186</v>
          </cell>
          <cell r="DY181">
            <v>186</v>
          </cell>
          <cell r="DZ181">
            <v>999999</v>
          </cell>
          <cell r="EA181">
            <v>999999</v>
          </cell>
        </row>
        <row r="182">
          <cell r="N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AJ182">
            <v>0</v>
          </cell>
          <cell r="AK182">
            <v>0</v>
          </cell>
          <cell r="AL182">
            <v>999999</v>
          </cell>
          <cell r="AM182">
            <v>185</v>
          </cell>
          <cell r="AN182">
            <v>185</v>
          </cell>
          <cell r="AO182">
            <v>185</v>
          </cell>
          <cell r="AP182">
            <v>0</v>
          </cell>
          <cell r="AQ182">
            <v>61</v>
          </cell>
          <cell r="AR182">
            <v>185</v>
          </cell>
          <cell r="AS182">
            <v>117</v>
          </cell>
          <cell r="BE182">
            <v>0</v>
          </cell>
          <cell r="BG182">
            <v>0</v>
          </cell>
          <cell r="BH182">
            <v>0</v>
          </cell>
          <cell r="BI182">
            <v>0</v>
          </cell>
          <cell r="BJ182">
            <v>0</v>
          </cell>
          <cell r="BK182">
            <v>0</v>
          </cell>
          <cell r="BL182">
            <v>0</v>
          </cell>
          <cell r="BM182">
            <v>0</v>
          </cell>
          <cell r="BN182">
            <v>0</v>
          </cell>
          <cell r="BO182">
            <v>0</v>
          </cell>
          <cell r="BP182">
            <v>0</v>
          </cell>
          <cell r="CA182">
            <v>136916.94140331223</v>
          </cell>
          <cell r="CB182">
            <v>107</v>
          </cell>
          <cell r="CC182">
            <v>185</v>
          </cell>
          <cell r="CD182">
            <v>185</v>
          </cell>
          <cell r="CE182">
            <v>147</v>
          </cell>
          <cell r="CF182">
            <v>185</v>
          </cell>
          <cell r="CG182">
            <v>79</v>
          </cell>
          <cell r="CH182">
            <v>185</v>
          </cell>
          <cell r="CI182">
            <v>185</v>
          </cell>
          <cell r="CJ182">
            <v>185</v>
          </cell>
          <cell r="CV182">
            <v>288.46153846153851</v>
          </cell>
          <cell r="CX182">
            <v>0</v>
          </cell>
          <cell r="CY182">
            <v>0</v>
          </cell>
          <cell r="CZ182">
            <v>0</v>
          </cell>
          <cell r="DA182">
            <v>0</v>
          </cell>
          <cell r="DB182">
            <v>0</v>
          </cell>
          <cell r="DC182">
            <v>0</v>
          </cell>
          <cell r="DD182">
            <v>0</v>
          </cell>
          <cell r="DE182">
            <v>0</v>
          </cell>
          <cell r="DF182">
            <v>0</v>
          </cell>
          <cell r="DG182">
            <v>0</v>
          </cell>
          <cell r="DR182">
            <v>73103</v>
          </cell>
          <cell r="DS182">
            <v>185</v>
          </cell>
          <cell r="DT182">
            <v>185</v>
          </cell>
          <cell r="DU182">
            <v>999999</v>
          </cell>
          <cell r="DV182">
            <v>999999</v>
          </cell>
          <cell r="DW182">
            <v>999999</v>
          </cell>
          <cell r="DX182">
            <v>185</v>
          </cell>
          <cell r="DY182">
            <v>185</v>
          </cell>
          <cell r="DZ182">
            <v>999999</v>
          </cell>
          <cell r="EA182">
            <v>999999</v>
          </cell>
        </row>
        <row r="183">
          <cell r="N183">
            <v>0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  <cell r="T183">
            <v>0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AJ183">
            <v>0</v>
          </cell>
          <cell r="AK183">
            <v>0</v>
          </cell>
          <cell r="AL183">
            <v>999999</v>
          </cell>
          <cell r="AM183">
            <v>184</v>
          </cell>
          <cell r="AN183">
            <v>184</v>
          </cell>
          <cell r="AO183">
            <v>184</v>
          </cell>
          <cell r="AP183">
            <v>0</v>
          </cell>
          <cell r="AQ183">
            <v>60</v>
          </cell>
          <cell r="AR183">
            <v>184</v>
          </cell>
          <cell r="AS183">
            <v>116</v>
          </cell>
          <cell r="BE183">
            <v>0</v>
          </cell>
          <cell r="BG183">
            <v>0</v>
          </cell>
          <cell r="BH183">
            <v>0</v>
          </cell>
          <cell r="BI183">
            <v>0</v>
          </cell>
          <cell r="BJ183">
            <v>0</v>
          </cell>
          <cell r="BK183">
            <v>0</v>
          </cell>
          <cell r="BL183">
            <v>0</v>
          </cell>
          <cell r="BM183">
            <v>0</v>
          </cell>
          <cell r="BN183">
            <v>0</v>
          </cell>
          <cell r="BO183">
            <v>0</v>
          </cell>
          <cell r="BP183">
            <v>0</v>
          </cell>
          <cell r="CA183">
            <v>136440.26953525667</v>
          </cell>
          <cell r="CB183">
            <v>106</v>
          </cell>
          <cell r="CC183">
            <v>184</v>
          </cell>
          <cell r="CD183">
            <v>184</v>
          </cell>
          <cell r="CE183">
            <v>146</v>
          </cell>
          <cell r="CF183">
            <v>184</v>
          </cell>
          <cell r="CG183">
            <v>78</v>
          </cell>
          <cell r="CH183">
            <v>184</v>
          </cell>
          <cell r="CI183">
            <v>184</v>
          </cell>
          <cell r="CJ183">
            <v>184</v>
          </cell>
          <cell r="CV183">
            <v>288.46153846153851</v>
          </cell>
          <cell r="CX183">
            <v>0</v>
          </cell>
          <cell r="CY183">
            <v>0</v>
          </cell>
          <cell r="CZ183">
            <v>0</v>
          </cell>
          <cell r="DA183">
            <v>0</v>
          </cell>
          <cell r="DB183">
            <v>0</v>
          </cell>
          <cell r="DC183">
            <v>0</v>
          </cell>
          <cell r="DD183">
            <v>0</v>
          </cell>
          <cell r="DE183">
            <v>0</v>
          </cell>
          <cell r="DF183">
            <v>0</v>
          </cell>
          <cell r="DG183">
            <v>0</v>
          </cell>
          <cell r="DR183">
            <v>73103</v>
          </cell>
          <cell r="DS183">
            <v>184</v>
          </cell>
          <cell r="DT183">
            <v>184</v>
          </cell>
          <cell r="DU183">
            <v>999999</v>
          </cell>
          <cell r="DV183">
            <v>999999</v>
          </cell>
          <cell r="DW183">
            <v>999999</v>
          </cell>
          <cell r="DX183">
            <v>184</v>
          </cell>
          <cell r="DY183">
            <v>184</v>
          </cell>
          <cell r="DZ183">
            <v>999999</v>
          </cell>
          <cell r="EA183">
            <v>999999</v>
          </cell>
        </row>
        <row r="184">
          <cell r="N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AJ184">
            <v>0</v>
          </cell>
          <cell r="AK184">
            <v>0</v>
          </cell>
          <cell r="AL184">
            <v>999999</v>
          </cell>
          <cell r="AM184">
            <v>183</v>
          </cell>
          <cell r="AN184">
            <v>183</v>
          </cell>
          <cell r="AO184">
            <v>183</v>
          </cell>
          <cell r="AP184">
            <v>0</v>
          </cell>
          <cell r="AQ184">
            <v>59</v>
          </cell>
          <cell r="AR184">
            <v>183</v>
          </cell>
          <cell r="AS184">
            <v>115</v>
          </cell>
          <cell r="BE184">
            <v>0</v>
          </cell>
          <cell r="BG184">
            <v>0</v>
          </cell>
          <cell r="BH184">
            <v>0</v>
          </cell>
          <cell r="BI184">
            <v>0</v>
          </cell>
          <cell r="BJ184">
            <v>0</v>
          </cell>
          <cell r="BK184">
            <v>0</v>
          </cell>
          <cell r="BL184">
            <v>0</v>
          </cell>
          <cell r="BM184">
            <v>0</v>
          </cell>
          <cell r="BN184">
            <v>0</v>
          </cell>
          <cell r="BO184">
            <v>0</v>
          </cell>
          <cell r="BP184">
            <v>0</v>
          </cell>
          <cell r="CA184">
            <v>135983.6168496694</v>
          </cell>
          <cell r="CB184">
            <v>105</v>
          </cell>
          <cell r="CC184">
            <v>183</v>
          </cell>
          <cell r="CD184">
            <v>183</v>
          </cell>
          <cell r="CE184">
            <v>145</v>
          </cell>
          <cell r="CF184">
            <v>183</v>
          </cell>
          <cell r="CG184">
            <v>77</v>
          </cell>
          <cell r="CH184">
            <v>183</v>
          </cell>
          <cell r="CI184">
            <v>183</v>
          </cell>
          <cell r="CJ184">
            <v>183</v>
          </cell>
          <cell r="CV184">
            <v>262.03473945409428</v>
          </cell>
          <cell r="CX184">
            <v>0</v>
          </cell>
          <cell r="CY184">
            <v>0</v>
          </cell>
          <cell r="CZ184">
            <v>0</v>
          </cell>
          <cell r="DA184">
            <v>0</v>
          </cell>
          <cell r="DB184">
            <v>0</v>
          </cell>
          <cell r="DC184">
            <v>0</v>
          </cell>
          <cell r="DD184">
            <v>0</v>
          </cell>
          <cell r="DE184">
            <v>0</v>
          </cell>
          <cell r="DF184">
            <v>0</v>
          </cell>
          <cell r="DG184">
            <v>0</v>
          </cell>
          <cell r="DR184">
            <v>73103</v>
          </cell>
          <cell r="DS184">
            <v>183</v>
          </cell>
          <cell r="DT184">
            <v>183</v>
          </cell>
          <cell r="DU184">
            <v>999999</v>
          </cell>
          <cell r="DV184">
            <v>999999</v>
          </cell>
          <cell r="DW184">
            <v>999999</v>
          </cell>
          <cell r="DX184">
            <v>183</v>
          </cell>
          <cell r="DY184">
            <v>183</v>
          </cell>
          <cell r="DZ184">
            <v>999999</v>
          </cell>
          <cell r="EA184">
            <v>999999</v>
          </cell>
        </row>
        <row r="185">
          <cell r="N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AJ185">
            <v>0</v>
          </cell>
          <cell r="AK185">
            <v>0</v>
          </cell>
          <cell r="AL185">
            <v>999999</v>
          </cell>
          <cell r="AM185">
            <v>182</v>
          </cell>
          <cell r="AN185">
            <v>182</v>
          </cell>
          <cell r="AO185">
            <v>182</v>
          </cell>
          <cell r="AP185">
            <v>0</v>
          </cell>
          <cell r="AQ185">
            <v>58</v>
          </cell>
          <cell r="AR185">
            <v>182</v>
          </cell>
          <cell r="AS185">
            <v>114</v>
          </cell>
          <cell r="BE185">
            <v>0</v>
          </cell>
          <cell r="BG185">
            <v>0</v>
          </cell>
          <cell r="BH185">
            <v>0</v>
          </cell>
          <cell r="BI185">
            <v>0</v>
          </cell>
          <cell r="BJ185">
            <v>0</v>
          </cell>
          <cell r="BK185">
            <v>0</v>
          </cell>
          <cell r="BL185">
            <v>0</v>
          </cell>
          <cell r="BM185">
            <v>0</v>
          </cell>
          <cell r="BN185">
            <v>0</v>
          </cell>
          <cell r="BO185">
            <v>0</v>
          </cell>
          <cell r="BP185">
            <v>0</v>
          </cell>
          <cell r="CA185">
            <v>135526.96416408214</v>
          </cell>
          <cell r="CB185">
            <v>104</v>
          </cell>
          <cell r="CC185">
            <v>182</v>
          </cell>
          <cell r="CD185">
            <v>182</v>
          </cell>
          <cell r="CE185">
            <v>144</v>
          </cell>
          <cell r="CF185">
            <v>182</v>
          </cell>
          <cell r="CG185">
            <v>76</v>
          </cell>
          <cell r="CH185">
            <v>182</v>
          </cell>
          <cell r="CI185">
            <v>182</v>
          </cell>
          <cell r="CJ185">
            <v>182</v>
          </cell>
          <cell r="CV185">
            <v>262.03473945409428</v>
          </cell>
          <cell r="CX185">
            <v>0</v>
          </cell>
          <cell r="CY185">
            <v>0</v>
          </cell>
          <cell r="CZ185">
            <v>0</v>
          </cell>
          <cell r="DA185">
            <v>0</v>
          </cell>
          <cell r="DB185">
            <v>0</v>
          </cell>
          <cell r="DC185">
            <v>0</v>
          </cell>
          <cell r="DD185">
            <v>0</v>
          </cell>
          <cell r="DE185">
            <v>0</v>
          </cell>
          <cell r="DF185">
            <v>0</v>
          </cell>
          <cell r="DG185">
            <v>0</v>
          </cell>
          <cell r="DR185">
            <v>73103</v>
          </cell>
          <cell r="DS185">
            <v>182</v>
          </cell>
          <cell r="DT185">
            <v>182</v>
          </cell>
          <cell r="DU185">
            <v>999999</v>
          </cell>
          <cell r="DV185">
            <v>999999</v>
          </cell>
          <cell r="DW185">
            <v>999999</v>
          </cell>
          <cell r="DX185">
            <v>182</v>
          </cell>
          <cell r="DY185">
            <v>182</v>
          </cell>
          <cell r="DZ185">
            <v>999999</v>
          </cell>
          <cell r="EA185">
            <v>999999</v>
          </cell>
        </row>
        <row r="186">
          <cell r="N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AJ186">
            <v>0</v>
          </cell>
          <cell r="AK186">
            <v>0</v>
          </cell>
          <cell r="AL186">
            <v>999999</v>
          </cell>
          <cell r="AM186">
            <v>181</v>
          </cell>
          <cell r="AN186">
            <v>181</v>
          </cell>
          <cell r="AO186">
            <v>181</v>
          </cell>
          <cell r="AP186">
            <v>0</v>
          </cell>
          <cell r="AQ186">
            <v>57</v>
          </cell>
          <cell r="AR186">
            <v>181</v>
          </cell>
          <cell r="AS186">
            <v>113</v>
          </cell>
          <cell r="BE186">
            <v>0</v>
          </cell>
          <cell r="BG186">
            <v>0</v>
          </cell>
          <cell r="BH186">
            <v>0</v>
          </cell>
          <cell r="BI186">
            <v>0</v>
          </cell>
          <cell r="BJ186">
            <v>0</v>
          </cell>
          <cell r="BK186">
            <v>0</v>
          </cell>
          <cell r="BL186">
            <v>0</v>
          </cell>
          <cell r="BM186">
            <v>0</v>
          </cell>
          <cell r="BN186">
            <v>0</v>
          </cell>
          <cell r="BO186">
            <v>0</v>
          </cell>
          <cell r="BP186">
            <v>0</v>
          </cell>
          <cell r="CA186">
            <v>135070.31147849487</v>
          </cell>
          <cell r="CB186">
            <v>103</v>
          </cell>
          <cell r="CC186">
            <v>181</v>
          </cell>
          <cell r="CD186">
            <v>181</v>
          </cell>
          <cell r="CE186">
            <v>143</v>
          </cell>
          <cell r="CF186">
            <v>181</v>
          </cell>
          <cell r="CG186">
            <v>75</v>
          </cell>
          <cell r="CH186">
            <v>181</v>
          </cell>
          <cell r="CI186">
            <v>181</v>
          </cell>
          <cell r="CJ186">
            <v>181</v>
          </cell>
          <cell r="CV186">
            <v>262.03473945409428</v>
          </cell>
          <cell r="CX186">
            <v>0</v>
          </cell>
          <cell r="CY186">
            <v>0</v>
          </cell>
          <cell r="CZ186">
            <v>0</v>
          </cell>
          <cell r="DA186">
            <v>0</v>
          </cell>
          <cell r="DB186">
            <v>0</v>
          </cell>
          <cell r="DC186">
            <v>0</v>
          </cell>
          <cell r="DD186">
            <v>0</v>
          </cell>
          <cell r="DE186">
            <v>0</v>
          </cell>
          <cell r="DF186">
            <v>0</v>
          </cell>
          <cell r="DG186">
            <v>0</v>
          </cell>
          <cell r="DR186">
            <v>73103</v>
          </cell>
          <cell r="DS186">
            <v>181</v>
          </cell>
          <cell r="DT186">
            <v>181</v>
          </cell>
          <cell r="DU186">
            <v>999999</v>
          </cell>
          <cell r="DV186">
            <v>999999</v>
          </cell>
          <cell r="DW186">
            <v>999999</v>
          </cell>
          <cell r="DX186">
            <v>181</v>
          </cell>
          <cell r="DY186">
            <v>181</v>
          </cell>
          <cell r="DZ186">
            <v>999999</v>
          </cell>
          <cell r="EA186">
            <v>999999</v>
          </cell>
        </row>
        <row r="187">
          <cell r="N187">
            <v>0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AJ187">
            <v>0</v>
          </cell>
          <cell r="AK187">
            <v>0</v>
          </cell>
          <cell r="AL187">
            <v>999999</v>
          </cell>
          <cell r="AM187">
            <v>180</v>
          </cell>
          <cell r="AN187">
            <v>180</v>
          </cell>
          <cell r="AO187">
            <v>180</v>
          </cell>
          <cell r="AP187">
            <v>0</v>
          </cell>
          <cell r="AQ187">
            <v>56</v>
          </cell>
          <cell r="AR187">
            <v>180</v>
          </cell>
          <cell r="AS187">
            <v>112</v>
          </cell>
          <cell r="BE187">
            <v>0</v>
          </cell>
          <cell r="BG187">
            <v>0</v>
          </cell>
          <cell r="BH187">
            <v>0</v>
          </cell>
          <cell r="BI187">
            <v>0</v>
          </cell>
          <cell r="BJ187">
            <v>0</v>
          </cell>
          <cell r="BK187">
            <v>0</v>
          </cell>
          <cell r="BL187">
            <v>0</v>
          </cell>
          <cell r="BM187">
            <v>0</v>
          </cell>
          <cell r="BN187">
            <v>0</v>
          </cell>
          <cell r="BO187">
            <v>0</v>
          </cell>
          <cell r="BP187">
            <v>0</v>
          </cell>
          <cell r="CA187">
            <v>134613.6587929076</v>
          </cell>
          <cell r="CB187">
            <v>102</v>
          </cell>
          <cell r="CC187">
            <v>180</v>
          </cell>
          <cell r="CD187">
            <v>180</v>
          </cell>
          <cell r="CE187">
            <v>142</v>
          </cell>
          <cell r="CF187">
            <v>180</v>
          </cell>
          <cell r="CG187">
            <v>74</v>
          </cell>
          <cell r="CH187">
            <v>180</v>
          </cell>
          <cell r="CI187">
            <v>180</v>
          </cell>
          <cell r="CJ187">
            <v>180</v>
          </cell>
          <cell r="CV187">
            <v>262.03473945409428</v>
          </cell>
          <cell r="CX187">
            <v>0</v>
          </cell>
          <cell r="CY187">
            <v>0</v>
          </cell>
          <cell r="CZ187">
            <v>0</v>
          </cell>
          <cell r="DA187">
            <v>0</v>
          </cell>
          <cell r="DB187">
            <v>0</v>
          </cell>
          <cell r="DC187">
            <v>0</v>
          </cell>
          <cell r="DD187">
            <v>0</v>
          </cell>
          <cell r="DE187">
            <v>0</v>
          </cell>
          <cell r="DF187">
            <v>0</v>
          </cell>
          <cell r="DG187">
            <v>0</v>
          </cell>
          <cell r="DR187">
            <v>73103</v>
          </cell>
          <cell r="DS187">
            <v>180</v>
          </cell>
          <cell r="DT187">
            <v>180</v>
          </cell>
          <cell r="DU187">
            <v>999999</v>
          </cell>
          <cell r="DV187">
            <v>999999</v>
          </cell>
          <cell r="DW187">
            <v>999999</v>
          </cell>
          <cell r="DX187">
            <v>180</v>
          </cell>
          <cell r="DY187">
            <v>180</v>
          </cell>
          <cell r="DZ187">
            <v>999999</v>
          </cell>
          <cell r="EA187">
            <v>999999</v>
          </cell>
        </row>
        <row r="188">
          <cell r="N188">
            <v>0</v>
          </cell>
          <cell r="P188">
            <v>0</v>
          </cell>
          <cell r="Q188">
            <v>0</v>
          </cell>
          <cell r="R188">
            <v>0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AJ188">
            <v>0</v>
          </cell>
          <cell r="AK188">
            <v>0</v>
          </cell>
          <cell r="AL188">
            <v>999999</v>
          </cell>
          <cell r="AM188">
            <v>179</v>
          </cell>
          <cell r="AN188">
            <v>179</v>
          </cell>
          <cell r="AO188">
            <v>179</v>
          </cell>
          <cell r="AP188">
            <v>0</v>
          </cell>
          <cell r="AQ188">
            <v>55</v>
          </cell>
          <cell r="AR188">
            <v>179</v>
          </cell>
          <cell r="AS188">
            <v>111</v>
          </cell>
          <cell r="BE188">
            <v>0</v>
          </cell>
          <cell r="BG188">
            <v>0</v>
          </cell>
          <cell r="BH188">
            <v>0</v>
          </cell>
          <cell r="BI188">
            <v>0</v>
          </cell>
          <cell r="BJ188">
            <v>0</v>
          </cell>
          <cell r="BK188">
            <v>0</v>
          </cell>
          <cell r="BL188">
            <v>0</v>
          </cell>
          <cell r="BM188">
            <v>0</v>
          </cell>
          <cell r="BN188">
            <v>0</v>
          </cell>
          <cell r="BO188">
            <v>0</v>
          </cell>
          <cell r="BP188">
            <v>0</v>
          </cell>
          <cell r="CA188">
            <v>134157.00610732034</v>
          </cell>
          <cell r="CB188">
            <v>101</v>
          </cell>
          <cell r="CC188">
            <v>179</v>
          </cell>
          <cell r="CD188">
            <v>179</v>
          </cell>
          <cell r="CE188">
            <v>141</v>
          </cell>
          <cell r="CF188">
            <v>179</v>
          </cell>
          <cell r="CG188">
            <v>73</v>
          </cell>
          <cell r="CH188">
            <v>179</v>
          </cell>
          <cell r="CI188">
            <v>179</v>
          </cell>
          <cell r="CJ188">
            <v>179</v>
          </cell>
          <cell r="CV188">
            <v>262.03473945409428</v>
          </cell>
          <cell r="CX188">
            <v>0</v>
          </cell>
          <cell r="CY188">
            <v>0</v>
          </cell>
          <cell r="CZ188">
            <v>0</v>
          </cell>
          <cell r="DA188">
            <v>0</v>
          </cell>
          <cell r="DB188">
            <v>0</v>
          </cell>
          <cell r="DC188">
            <v>0</v>
          </cell>
          <cell r="DD188">
            <v>0</v>
          </cell>
          <cell r="DE188">
            <v>0</v>
          </cell>
          <cell r="DF188">
            <v>0</v>
          </cell>
          <cell r="DG188">
            <v>0</v>
          </cell>
          <cell r="DR188">
            <v>73103</v>
          </cell>
          <cell r="DS188">
            <v>179</v>
          </cell>
          <cell r="DT188">
            <v>179</v>
          </cell>
          <cell r="DU188">
            <v>999999</v>
          </cell>
          <cell r="DV188">
            <v>999999</v>
          </cell>
          <cell r="DW188">
            <v>999999</v>
          </cell>
          <cell r="DX188">
            <v>179</v>
          </cell>
          <cell r="DY188">
            <v>179</v>
          </cell>
          <cell r="DZ188">
            <v>999999</v>
          </cell>
          <cell r="EA188">
            <v>999999</v>
          </cell>
        </row>
        <row r="189">
          <cell r="N189">
            <v>0</v>
          </cell>
          <cell r="P189">
            <v>0</v>
          </cell>
          <cell r="Q189">
            <v>0</v>
          </cell>
          <cell r="R189">
            <v>0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AJ189">
            <v>0</v>
          </cell>
          <cell r="AK189">
            <v>0</v>
          </cell>
          <cell r="AL189">
            <v>999999</v>
          </cell>
          <cell r="AM189">
            <v>178</v>
          </cell>
          <cell r="AN189">
            <v>178</v>
          </cell>
          <cell r="AO189">
            <v>178</v>
          </cell>
          <cell r="AP189">
            <v>0</v>
          </cell>
          <cell r="AQ189">
            <v>54</v>
          </cell>
          <cell r="AR189">
            <v>178</v>
          </cell>
          <cell r="AS189">
            <v>110</v>
          </cell>
          <cell r="BE189">
            <v>0</v>
          </cell>
          <cell r="BG189">
            <v>0</v>
          </cell>
          <cell r="BH189">
            <v>0</v>
          </cell>
          <cell r="BI189">
            <v>0</v>
          </cell>
          <cell r="BJ189">
            <v>0</v>
          </cell>
          <cell r="BK189">
            <v>0</v>
          </cell>
          <cell r="BL189">
            <v>0</v>
          </cell>
          <cell r="BM189">
            <v>0</v>
          </cell>
          <cell r="BN189">
            <v>0</v>
          </cell>
          <cell r="BO189">
            <v>0</v>
          </cell>
          <cell r="BP189">
            <v>0</v>
          </cell>
          <cell r="CA189">
            <v>133700.35342173307</v>
          </cell>
          <cell r="CB189">
            <v>100</v>
          </cell>
          <cell r="CC189">
            <v>178</v>
          </cell>
          <cell r="CD189">
            <v>178</v>
          </cell>
          <cell r="CE189">
            <v>140</v>
          </cell>
          <cell r="CF189">
            <v>178</v>
          </cell>
          <cell r="CG189">
            <v>72</v>
          </cell>
          <cell r="CH189">
            <v>178</v>
          </cell>
          <cell r="CI189">
            <v>178</v>
          </cell>
          <cell r="CJ189">
            <v>178</v>
          </cell>
          <cell r="CV189">
            <v>262.03473945409428</v>
          </cell>
          <cell r="CX189">
            <v>0</v>
          </cell>
          <cell r="CY189">
            <v>0</v>
          </cell>
          <cell r="CZ189">
            <v>0</v>
          </cell>
          <cell r="DA189">
            <v>0</v>
          </cell>
          <cell r="DB189">
            <v>0</v>
          </cell>
          <cell r="DC189">
            <v>0</v>
          </cell>
          <cell r="DD189">
            <v>0</v>
          </cell>
          <cell r="DE189">
            <v>0</v>
          </cell>
          <cell r="DF189">
            <v>0</v>
          </cell>
          <cell r="DG189">
            <v>0</v>
          </cell>
          <cell r="DR189">
            <v>73103</v>
          </cell>
          <cell r="DS189">
            <v>178</v>
          </cell>
          <cell r="DT189">
            <v>178</v>
          </cell>
          <cell r="DU189">
            <v>999999</v>
          </cell>
          <cell r="DV189">
            <v>999999</v>
          </cell>
          <cell r="DW189">
            <v>999999</v>
          </cell>
          <cell r="DX189">
            <v>178</v>
          </cell>
          <cell r="DY189">
            <v>178</v>
          </cell>
          <cell r="DZ189">
            <v>999999</v>
          </cell>
          <cell r="EA189">
            <v>999999</v>
          </cell>
        </row>
        <row r="190">
          <cell r="N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AJ190">
            <v>0</v>
          </cell>
          <cell r="AK190">
            <v>0</v>
          </cell>
          <cell r="AL190">
            <v>999999</v>
          </cell>
          <cell r="AM190">
            <v>177</v>
          </cell>
          <cell r="AN190">
            <v>177</v>
          </cell>
          <cell r="AO190">
            <v>177</v>
          </cell>
          <cell r="AP190">
            <v>0</v>
          </cell>
          <cell r="AQ190">
            <v>53</v>
          </cell>
          <cell r="AR190">
            <v>177</v>
          </cell>
          <cell r="AS190">
            <v>109</v>
          </cell>
          <cell r="BE190">
            <v>0</v>
          </cell>
          <cell r="BG190">
            <v>0</v>
          </cell>
          <cell r="BH190">
            <v>0</v>
          </cell>
          <cell r="BI190">
            <v>0</v>
          </cell>
          <cell r="BJ190">
            <v>0</v>
          </cell>
          <cell r="BK190">
            <v>0</v>
          </cell>
          <cell r="BL190">
            <v>0</v>
          </cell>
          <cell r="BM190">
            <v>0</v>
          </cell>
          <cell r="BN190">
            <v>0</v>
          </cell>
          <cell r="BO190">
            <v>0</v>
          </cell>
          <cell r="BP190">
            <v>0</v>
          </cell>
          <cell r="CA190">
            <v>133243.70073614581</v>
          </cell>
          <cell r="CB190">
            <v>99</v>
          </cell>
          <cell r="CC190">
            <v>177</v>
          </cell>
          <cell r="CD190">
            <v>177</v>
          </cell>
          <cell r="CE190">
            <v>139</v>
          </cell>
          <cell r="CF190">
            <v>177</v>
          </cell>
          <cell r="CG190">
            <v>71</v>
          </cell>
          <cell r="CH190">
            <v>177</v>
          </cell>
          <cell r="CI190">
            <v>177</v>
          </cell>
          <cell r="CJ190">
            <v>177</v>
          </cell>
          <cell r="CV190">
            <v>262.03473945409428</v>
          </cell>
          <cell r="CX190">
            <v>0</v>
          </cell>
          <cell r="CY190">
            <v>0</v>
          </cell>
          <cell r="CZ190">
            <v>0</v>
          </cell>
          <cell r="DA190">
            <v>0</v>
          </cell>
          <cell r="DB190">
            <v>0</v>
          </cell>
          <cell r="DC190">
            <v>0</v>
          </cell>
          <cell r="DD190">
            <v>0</v>
          </cell>
          <cell r="DE190">
            <v>0</v>
          </cell>
          <cell r="DF190">
            <v>0</v>
          </cell>
          <cell r="DG190">
            <v>0</v>
          </cell>
          <cell r="DR190">
            <v>73103</v>
          </cell>
          <cell r="DS190">
            <v>177</v>
          </cell>
          <cell r="DT190">
            <v>177</v>
          </cell>
          <cell r="DU190">
            <v>999999</v>
          </cell>
          <cell r="DV190">
            <v>999999</v>
          </cell>
          <cell r="DW190">
            <v>999999</v>
          </cell>
          <cell r="DX190">
            <v>177</v>
          </cell>
          <cell r="DY190">
            <v>177</v>
          </cell>
          <cell r="DZ190">
            <v>999999</v>
          </cell>
          <cell r="EA190">
            <v>999999</v>
          </cell>
        </row>
        <row r="191">
          <cell r="N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AJ191">
            <v>0</v>
          </cell>
          <cell r="AK191">
            <v>0</v>
          </cell>
          <cell r="AL191">
            <v>999999</v>
          </cell>
          <cell r="AM191">
            <v>176</v>
          </cell>
          <cell r="AN191">
            <v>176</v>
          </cell>
          <cell r="AO191">
            <v>176</v>
          </cell>
          <cell r="AP191">
            <v>0</v>
          </cell>
          <cell r="AQ191">
            <v>52</v>
          </cell>
          <cell r="AR191">
            <v>176</v>
          </cell>
          <cell r="AS191">
            <v>108</v>
          </cell>
          <cell r="BE191">
            <v>0</v>
          </cell>
          <cell r="BG191">
            <v>0</v>
          </cell>
          <cell r="BH191">
            <v>0</v>
          </cell>
          <cell r="BI191">
            <v>0</v>
          </cell>
          <cell r="BJ191">
            <v>0</v>
          </cell>
          <cell r="BK191">
            <v>0</v>
          </cell>
          <cell r="BL191">
            <v>0</v>
          </cell>
          <cell r="BM191">
            <v>0</v>
          </cell>
          <cell r="BN191">
            <v>0</v>
          </cell>
          <cell r="BO191">
            <v>0</v>
          </cell>
          <cell r="BP191">
            <v>0</v>
          </cell>
          <cell r="CA191">
            <v>132787.04805055854</v>
          </cell>
          <cell r="CB191">
            <v>98</v>
          </cell>
          <cell r="CC191">
            <v>176</v>
          </cell>
          <cell r="CD191">
            <v>176</v>
          </cell>
          <cell r="CE191">
            <v>138</v>
          </cell>
          <cell r="CF191">
            <v>176</v>
          </cell>
          <cell r="CG191">
            <v>70</v>
          </cell>
          <cell r="CH191">
            <v>176</v>
          </cell>
          <cell r="CI191">
            <v>176</v>
          </cell>
          <cell r="CJ191">
            <v>176</v>
          </cell>
          <cell r="CV191">
            <v>262.03473945409428</v>
          </cell>
          <cell r="CX191">
            <v>0</v>
          </cell>
          <cell r="CY191">
            <v>0</v>
          </cell>
          <cell r="CZ191">
            <v>0</v>
          </cell>
          <cell r="DA191">
            <v>0</v>
          </cell>
          <cell r="DB191">
            <v>0</v>
          </cell>
          <cell r="DC191">
            <v>0</v>
          </cell>
          <cell r="DD191">
            <v>0</v>
          </cell>
          <cell r="DE191">
            <v>0</v>
          </cell>
          <cell r="DF191">
            <v>0</v>
          </cell>
          <cell r="DG191">
            <v>0</v>
          </cell>
          <cell r="DR191">
            <v>73103</v>
          </cell>
          <cell r="DS191">
            <v>176</v>
          </cell>
          <cell r="DT191">
            <v>176</v>
          </cell>
          <cell r="DU191">
            <v>999999</v>
          </cell>
          <cell r="DV191">
            <v>999999</v>
          </cell>
          <cell r="DW191">
            <v>999999</v>
          </cell>
          <cell r="DX191">
            <v>176</v>
          </cell>
          <cell r="DY191">
            <v>176</v>
          </cell>
          <cell r="DZ191">
            <v>999999</v>
          </cell>
          <cell r="EA191">
            <v>999999</v>
          </cell>
        </row>
        <row r="192">
          <cell r="N192">
            <v>0</v>
          </cell>
          <cell r="P192">
            <v>0</v>
          </cell>
          <cell r="Q192">
            <v>0</v>
          </cell>
          <cell r="R192">
            <v>0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AJ192">
            <v>0</v>
          </cell>
          <cell r="AK192">
            <v>0</v>
          </cell>
          <cell r="AL192">
            <v>999999</v>
          </cell>
          <cell r="AM192">
            <v>175</v>
          </cell>
          <cell r="AN192">
            <v>175</v>
          </cell>
          <cell r="AO192">
            <v>175</v>
          </cell>
          <cell r="AP192">
            <v>0</v>
          </cell>
          <cell r="AQ192">
            <v>51</v>
          </cell>
          <cell r="AR192">
            <v>175</v>
          </cell>
          <cell r="AS192">
            <v>107</v>
          </cell>
          <cell r="BE192">
            <v>0</v>
          </cell>
          <cell r="BG192">
            <v>0</v>
          </cell>
          <cell r="BH192">
            <v>0</v>
          </cell>
          <cell r="BI192">
            <v>0</v>
          </cell>
          <cell r="BJ192">
            <v>0</v>
          </cell>
          <cell r="BK192">
            <v>0</v>
          </cell>
          <cell r="BL192">
            <v>0</v>
          </cell>
          <cell r="BM192">
            <v>0</v>
          </cell>
          <cell r="BN192">
            <v>0</v>
          </cell>
          <cell r="BO192">
            <v>0</v>
          </cell>
          <cell r="BP192">
            <v>0</v>
          </cell>
          <cell r="CA192">
            <v>132330.39536497128</v>
          </cell>
          <cell r="CB192">
            <v>97</v>
          </cell>
          <cell r="CC192">
            <v>175</v>
          </cell>
          <cell r="CD192">
            <v>175</v>
          </cell>
          <cell r="CE192">
            <v>137</v>
          </cell>
          <cell r="CF192">
            <v>175</v>
          </cell>
          <cell r="CG192">
            <v>69</v>
          </cell>
          <cell r="CH192">
            <v>175</v>
          </cell>
          <cell r="CI192">
            <v>175</v>
          </cell>
          <cell r="CJ192">
            <v>175</v>
          </cell>
          <cell r="CV192">
            <v>262.03473945409428</v>
          </cell>
          <cell r="CX192">
            <v>0</v>
          </cell>
          <cell r="CY192">
            <v>0</v>
          </cell>
          <cell r="CZ192">
            <v>0</v>
          </cell>
          <cell r="DA192">
            <v>0</v>
          </cell>
          <cell r="DB192">
            <v>0</v>
          </cell>
          <cell r="DC192">
            <v>0</v>
          </cell>
          <cell r="DD192">
            <v>0</v>
          </cell>
          <cell r="DE192">
            <v>0</v>
          </cell>
          <cell r="DF192">
            <v>0</v>
          </cell>
          <cell r="DG192">
            <v>0</v>
          </cell>
          <cell r="DR192">
            <v>73103</v>
          </cell>
          <cell r="DS192">
            <v>175</v>
          </cell>
          <cell r="DT192">
            <v>175</v>
          </cell>
          <cell r="DU192">
            <v>999999</v>
          </cell>
          <cell r="DV192">
            <v>999999</v>
          </cell>
          <cell r="DW192">
            <v>999999</v>
          </cell>
          <cell r="DX192">
            <v>175</v>
          </cell>
          <cell r="DY192">
            <v>175</v>
          </cell>
          <cell r="DZ192">
            <v>999999</v>
          </cell>
          <cell r="EA192">
            <v>999999</v>
          </cell>
        </row>
        <row r="193">
          <cell r="N193">
            <v>0</v>
          </cell>
          <cell r="P193">
            <v>0</v>
          </cell>
          <cell r="Q193">
            <v>0</v>
          </cell>
          <cell r="R193">
            <v>0</v>
          </cell>
          <cell r="S193">
            <v>0</v>
          </cell>
          <cell r="T193">
            <v>0</v>
          </cell>
          <cell r="U193">
            <v>0</v>
          </cell>
          <cell r="V193">
            <v>0</v>
          </cell>
          <cell r="W193">
            <v>0</v>
          </cell>
          <cell r="X193">
            <v>0</v>
          </cell>
          <cell r="Y193">
            <v>0</v>
          </cell>
          <cell r="AJ193">
            <v>0</v>
          </cell>
          <cell r="AK193">
            <v>0</v>
          </cell>
          <cell r="AL193">
            <v>999999</v>
          </cell>
          <cell r="AM193">
            <v>174</v>
          </cell>
          <cell r="AN193">
            <v>174</v>
          </cell>
          <cell r="AO193">
            <v>174</v>
          </cell>
          <cell r="AP193">
            <v>0</v>
          </cell>
          <cell r="AQ193">
            <v>50</v>
          </cell>
          <cell r="AR193">
            <v>174</v>
          </cell>
          <cell r="AS193">
            <v>106</v>
          </cell>
          <cell r="BE193">
            <v>0</v>
          </cell>
          <cell r="BG193">
            <v>0</v>
          </cell>
          <cell r="BH193">
            <v>0</v>
          </cell>
          <cell r="BI193">
            <v>0</v>
          </cell>
          <cell r="BJ193">
            <v>0</v>
          </cell>
          <cell r="BK193">
            <v>0</v>
          </cell>
          <cell r="BL193">
            <v>0</v>
          </cell>
          <cell r="BM193">
            <v>0</v>
          </cell>
          <cell r="BN193">
            <v>0</v>
          </cell>
          <cell r="BO193">
            <v>0</v>
          </cell>
          <cell r="BP193">
            <v>0</v>
          </cell>
          <cell r="CA193">
            <v>131873.74267938401</v>
          </cell>
          <cell r="CB193">
            <v>96</v>
          </cell>
          <cell r="CC193">
            <v>174</v>
          </cell>
          <cell r="CD193">
            <v>174</v>
          </cell>
          <cell r="CE193">
            <v>136</v>
          </cell>
          <cell r="CF193">
            <v>174</v>
          </cell>
          <cell r="CG193">
            <v>68</v>
          </cell>
          <cell r="CH193">
            <v>174</v>
          </cell>
          <cell r="CI193">
            <v>174</v>
          </cell>
          <cell r="CJ193">
            <v>174</v>
          </cell>
          <cell r="CV193">
            <v>262.03473945409428</v>
          </cell>
          <cell r="CX193">
            <v>0</v>
          </cell>
          <cell r="CY193">
            <v>0</v>
          </cell>
          <cell r="CZ193">
            <v>0</v>
          </cell>
          <cell r="DA193">
            <v>0</v>
          </cell>
          <cell r="DB193">
            <v>0</v>
          </cell>
          <cell r="DC193">
            <v>0</v>
          </cell>
          <cell r="DD193">
            <v>0</v>
          </cell>
          <cell r="DE193">
            <v>0</v>
          </cell>
          <cell r="DF193">
            <v>0</v>
          </cell>
          <cell r="DG193">
            <v>0</v>
          </cell>
          <cell r="DR193">
            <v>73103</v>
          </cell>
          <cell r="DS193">
            <v>174</v>
          </cell>
          <cell r="DT193">
            <v>174</v>
          </cell>
          <cell r="DU193">
            <v>999999</v>
          </cell>
          <cell r="DV193">
            <v>999999</v>
          </cell>
          <cell r="DW193">
            <v>999999</v>
          </cell>
          <cell r="DX193">
            <v>174</v>
          </cell>
          <cell r="DY193">
            <v>174</v>
          </cell>
          <cell r="DZ193">
            <v>999999</v>
          </cell>
          <cell r="EA193">
            <v>999999</v>
          </cell>
        </row>
        <row r="194">
          <cell r="N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AJ194">
            <v>0</v>
          </cell>
          <cell r="AK194">
            <v>0</v>
          </cell>
          <cell r="AL194">
            <v>999999</v>
          </cell>
          <cell r="AM194">
            <v>173</v>
          </cell>
          <cell r="AN194">
            <v>173</v>
          </cell>
          <cell r="AO194">
            <v>173</v>
          </cell>
          <cell r="AP194">
            <v>0</v>
          </cell>
          <cell r="AQ194">
            <v>49</v>
          </cell>
          <cell r="AR194">
            <v>173</v>
          </cell>
          <cell r="AS194">
            <v>105</v>
          </cell>
          <cell r="BE194">
            <v>0</v>
          </cell>
          <cell r="BG194">
            <v>0</v>
          </cell>
          <cell r="BH194">
            <v>0</v>
          </cell>
          <cell r="BI194">
            <v>0</v>
          </cell>
          <cell r="BJ194">
            <v>0</v>
          </cell>
          <cell r="BK194">
            <v>0</v>
          </cell>
          <cell r="BL194">
            <v>0</v>
          </cell>
          <cell r="BM194">
            <v>0</v>
          </cell>
          <cell r="BN194">
            <v>0</v>
          </cell>
          <cell r="BO194">
            <v>0</v>
          </cell>
          <cell r="BP194">
            <v>0</v>
          </cell>
          <cell r="CA194">
            <v>131417.08999379675</v>
          </cell>
          <cell r="CB194">
            <v>95</v>
          </cell>
          <cell r="CC194">
            <v>173</v>
          </cell>
          <cell r="CD194">
            <v>173</v>
          </cell>
          <cell r="CE194">
            <v>135</v>
          </cell>
          <cell r="CF194">
            <v>173</v>
          </cell>
          <cell r="CG194">
            <v>67</v>
          </cell>
          <cell r="CH194">
            <v>173</v>
          </cell>
          <cell r="CI194">
            <v>173</v>
          </cell>
          <cell r="CJ194">
            <v>173</v>
          </cell>
          <cell r="CV194">
            <v>262.03473945409428</v>
          </cell>
          <cell r="CX194">
            <v>0</v>
          </cell>
          <cell r="CY194">
            <v>0</v>
          </cell>
          <cell r="CZ194">
            <v>0</v>
          </cell>
          <cell r="DA194">
            <v>0</v>
          </cell>
          <cell r="DB194">
            <v>0</v>
          </cell>
          <cell r="DC194">
            <v>0</v>
          </cell>
          <cell r="DD194">
            <v>0</v>
          </cell>
          <cell r="DE194">
            <v>0</v>
          </cell>
          <cell r="DF194">
            <v>0</v>
          </cell>
          <cell r="DG194">
            <v>0</v>
          </cell>
          <cell r="DR194">
            <v>73103</v>
          </cell>
          <cell r="DS194">
            <v>173</v>
          </cell>
          <cell r="DT194">
            <v>173</v>
          </cell>
          <cell r="DU194">
            <v>999999</v>
          </cell>
          <cell r="DV194">
            <v>999999</v>
          </cell>
          <cell r="DW194">
            <v>999999</v>
          </cell>
          <cell r="DX194">
            <v>173</v>
          </cell>
          <cell r="DY194">
            <v>173</v>
          </cell>
          <cell r="DZ194">
            <v>999999</v>
          </cell>
          <cell r="EA194">
            <v>999999</v>
          </cell>
        </row>
        <row r="195">
          <cell r="N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AJ195">
            <v>0</v>
          </cell>
          <cell r="AK195">
            <v>0</v>
          </cell>
          <cell r="AL195">
            <v>999999</v>
          </cell>
          <cell r="AM195">
            <v>172</v>
          </cell>
          <cell r="AN195">
            <v>172</v>
          </cell>
          <cell r="AO195">
            <v>172</v>
          </cell>
          <cell r="AP195">
            <v>0</v>
          </cell>
          <cell r="AQ195">
            <v>48</v>
          </cell>
          <cell r="AR195">
            <v>172</v>
          </cell>
          <cell r="AS195">
            <v>104</v>
          </cell>
          <cell r="BE195">
            <v>0</v>
          </cell>
          <cell r="BG195">
            <v>0</v>
          </cell>
          <cell r="BH195">
            <v>0</v>
          </cell>
          <cell r="BI195">
            <v>0</v>
          </cell>
          <cell r="BJ195">
            <v>0</v>
          </cell>
          <cell r="BK195">
            <v>0</v>
          </cell>
          <cell r="BL195">
            <v>0</v>
          </cell>
          <cell r="BM195">
            <v>0</v>
          </cell>
          <cell r="BN195">
            <v>0</v>
          </cell>
          <cell r="BO195">
            <v>0</v>
          </cell>
          <cell r="BP195">
            <v>0</v>
          </cell>
          <cell r="CA195">
            <v>130960.43730820948</v>
          </cell>
          <cell r="CB195">
            <v>94</v>
          </cell>
          <cell r="CC195">
            <v>172</v>
          </cell>
          <cell r="CD195">
            <v>172</v>
          </cell>
          <cell r="CE195">
            <v>134</v>
          </cell>
          <cell r="CF195">
            <v>172</v>
          </cell>
          <cell r="CG195">
            <v>66</v>
          </cell>
          <cell r="CH195">
            <v>172</v>
          </cell>
          <cell r="CI195">
            <v>172</v>
          </cell>
          <cell r="CJ195">
            <v>172</v>
          </cell>
          <cell r="CV195">
            <v>262.03473945409428</v>
          </cell>
          <cell r="CX195">
            <v>0</v>
          </cell>
          <cell r="CY195">
            <v>0</v>
          </cell>
          <cell r="CZ195">
            <v>0</v>
          </cell>
          <cell r="DA195">
            <v>0</v>
          </cell>
          <cell r="DB195">
            <v>0</v>
          </cell>
          <cell r="DC195">
            <v>0</v>
          </cell>
          <cell r="DD195">
            <v>0</v>
          </cell>
          <cell r="DE195">
            <v>0</v>
          </cell>
          <cell r="DF195">
            <v>0</v>
          </cell>
          <cell r="DG195">
            <v>0</v>
          </cell>
          <cell r="DR195">
            <v>73103</v>
          </cell>
          <cell r="DS195">
            <v>172</v>
          </cell>
          <cell r="DT195">
            <v>172</v>
          </cell>
          <cell r="DU195">
            <v>999999</v>
          </cell>
          <cell r="DV195">
            <v>999999</v>
          </cell>
          <cell r="DW195">
            <v>999999</v>
          </cell>
          <cell r="DX195">
            <v>172</v>
          </cell>
          <cell r="DY195">
            <v>172</v>
          </cell>
          <cell r="DZ195">
            <v>999999</v>
          </cell>
          <cell r="EA195">
            <v>999999</v>
          </cell>
        </row>
        <row r="196">
          <cell r="N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AJ196">
            <v>0</v>
          </cell>
          <cell r="AK196">
            <v>0</v>
          </cell>
          <cell r="AL196">
            <v>999999</v>
          </cell>
          <cell r="AM196">
            <v>171</v>
          </cell>
          <cell r="AN196">
            <v>171</v>
          </cell>
          <cell r="AO196">
            <v>171</v>
          </cell>
          <cell r="AP196">
            <v>0</v>
          </cell>
          <cell r="AQ196">
            <v>47</v>
          </cell>
          <cell r="AR196">
            <v>171</v>
          </cell>
          <cell r="AS196">
            <v>103</v>
          </cell>
          <cell r="BE196">
            <v>0</v>
          </cell>
          <cell r="BG196">
            <v>0</v>
          </cell>
          <cell r="BH196">
            <v>0</v>
          </cell>
          <cell r="BI196">
            <v>0</v>
          </cell>
          <cell r="BJ196">
            <v>0</v>
          </cell>
          <cell r="BK196">
            <v>0</v>
          </cell>
          <cell r="BL196">
            <v>0</v>
          </cell>
          <cell r="BM196">
            <v>0</v>
          </cell>
          <cell r="BN196">
            <v>0</v>
          </cell>
          <cell r="BO196">
            <v>0</v>
          </cell>
          <cell r="BP196">
            <v>0</v>
          </cell>
          <cell r="CA196">
            <v>130503.78462262222</v>
          </cell>
          <cell r="CB196">
            <v>93</v>
          </cell>
          <cell r="CC196">
            <v>171</v>
          </cell>
          <cell r="CD196">
            <v>171</v>
          </cell>
          <cell r="CE196">
            <v>133</v>
          </cell>
          <cell r="CF196">
            <v>171</v>
          </cell>
          <cell r="CG196">
            <v>65</v>
          </cell>
          <cell r="CH196">
            <v>171</v>
          </cell>
          <cell r="CI196">
            <v>171</v>
          </cell>
          <cell r="CJ196">
            <v>171</v>
          </cell>
          <cell r="CV196">
            <v>262.03473945409428</v>
          </cell>
          <cell r="CX196">
            <v>0</v>
          </cell>
          <cell r="CY196">
            <v>0</v>
          </cell>
          <cell r="CZ196">
            <v>0</v>
          </cell>
          <cell r="DA196">
            <v>0</v>
          </cell>
          <cell r="DB196">
            <v>0</v>
          </cell>
          <cell r="DC196">
            <v>0</v>
          </cell>
          <cell r="DD196">
            <v>0</v>
          </cell>
          <cell r="DE196">
            <v>0</v>
          </cell>
          <cell r="DF196">
            <v>0</v>
          </cell>
          <cell r="DG196">
            <v>0</v>
          </cell>
          <cell r="DR196">
            <v>73103</v>
          </cell>
          <cell r="DS196">
            <v>171</v>
          </cell>
          <cell r="DT196">
            <v>171</v>
          </cell>
          <cell r="DU196">
            <v>999999</v>
          </cell>
          <cell r="DV196">
            <v>999999</v>
          </cell>
          <cell r="DW196">
            <v>999999</v>
          </cell>
          <cell r="DX196">
            <v>171</v>
          </cell>
          <cell r="DY196">
            <v>171</v>
          </cell>
          <cell r="DZ196">
            <v>999999</v>
          </cell>
          <cell r="EA196">
            <v>999999</v>
          </cell>
        </row>
        <row r="197">
          <cell r="N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0</v>
          </cell>
          <cell r="X197">
            <v>0</v>
          </cell>
          <cell r="Y197">
            <v>0</v>
          </cell>
          <cell r="AJ197">
            <v>0</v>
          </cell>
          <cell r="AK197">
            <v>0</v>
          </cell>
          <cell r="AL197">
            <v>999999</v>
          </cell>
          <cell r="AM197">
            <v>170</v>
          </cell>
          <cell r="AN197">
            <v>170</v>
          </cell>
          <cell r="AO197">
            <v>170</v>
          </cell>
          <cell r="AP197">
            <v>0</v>
          </cell>
          <cell r="AQ197">
            <v>46</v>
          </cell>
          <cell r="AR197">
            <v>170</v>
          </cell>
          <cell r="AS197">
            <v>102</v>
          </cell>
          <cell r="BE197">
            <v>0</v>
          </cell>
          <cell r="BG197">
            <v>0</v>
          </cell>
          <cell r="BH197">
            <v>0</v>
          </cell>
          <cell r="BI197">
            <v>0</v>
          </cell>
          <cell r="BJ197">
            <v>0</v>
          </cell>
          <cell r="BK197">
            <v>0</v>
          </cell>
          <cell r="BL197">
            <v>0</v>
          </cell>
          <cell r="BM197">
            <v>0</v>
          </cell>
          <cell r="BN197">
            <v>0</v>
          </cell>
          <cell r="BO197">
            <v>0</v>
          </cell>
          <cell r="BP197">
            <v>0</v>
          </cell>
          <cell r="CA197">
            <v>130047.13193703495</v>
          </cell>
          <cell r="CB197">
            <v>92</v>
          </cell>
          <cell r="CC197">
            <v>170</v>
          </cell>
          <cell r="CD197">
            <v>170</v>
          </cell>
          <cell r="CE197">
            <v>132</v>
          </cell>
          <cell r="CF197">
            <v>170</v>
          </cell>
          <cell r="CG197">
            <v>64</v>
          </cell>
          <cell r="CH197">
            <v>170</v>
          </cell>
          <cell r="CI197">
            <v>170</v>
          </cell>
          <cell r="CJ197">
            <v>170</v>
          </cell>
          <cell r="CV197">
            <v>262.03473945409428</v>
          </cell>
          <cell r="CX197">
            <v>0</v>
          </cell>
          <cell r="CY197">
            <v>0</v>
          </cell>
          <cell r="CZ197">
            <v>0</v>
          </cell>
          <cell r="DA197">
            <v>0</v>
          </cell>
          <cell r="DB197">
            <v>0</v>
          </cell>
          <cell r="DC197">
            <v>0</v>
          </cell>
          <cell r="DD197">
            <v>0</v>
          </cell>
          <cell r="DE197">
            <v>0</v>
          </cell>
          <cell r="DF197">
            <v>0</v>
          </cell>
          <cell r="DG197">
            <v>0</v>
          </cell>
          <cell r="DR197">
            <v>73103</v>
          </cell>
          <cell r="DS197">
            <v>170</v>
          </cell>
          <cell r="DT197">
            <v>170</v>
          </cell>
          <cell r="DU197">
            <v>999999</v>
          </cell>
          <cell r="DV197">
            <v>999999</v>
          </cell>
          <cell r="DW197">
            <v>999999</v>
          </cell>
          <cell r="DX197">
            <v>170</v>
          </cell>
          <cell r="DY197">
            <v>170</v>
          </cell>
          <cell r="DZ197">
            <v>999999</v>
          </cell>
          <cell r="EA197">
            <v>999999</v>
          </cell>
        </row>
        <row r="198">
          <cell r="N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AJ198">
            <v>0</v>
          </cell>
          <cell r="AK198">
            <v>0</v>
          </cell>
          <cell r="AL198">
            <v>999999</v>
          </cell>
          <cell r="AM198">
            <v>169</v>
          </cell>
          <cell r="AN198">
            <v>169</v>
          </cell>
          <cell r="AO198">
            <v>169</v>
          </cell>
          <cell r="AP198">
            <v>0</v>
          </cell>
          <cell r="AQ198">
            <v>45</v>
          </cell>
          <cell r="AR198">
            <v>169</v>
          </cell>
          <cell r="AS198">
            <v>101</v>
          </cell>
          <cell r="BE198">
            <v>0</v>
          </cell>
          <cell r="BG198">
            <v>0</v>
          </cell>
          <cell r="BH198">
            <v>0</v>
          </cell>
          <cell r="BI198">
            <v>0</v>
          </cell>
          <cell r="BJ198">
            <v>0</v>
          </cell>
          <cell r="BK198">
            <v>0</v>
          </cell>
          <cell r="BL198">
            <v>0</v>
          </cell>
          <cell r="BM198">
            <v>0</v>
          </cell>
          <cell r="BN198">
            <v>0</v>
          </cell>
          <cell r="BO198">
            <v>0</v>
          </cell>
          <cell r="BP198">
            <v>0</v>
          </cell>
          <cell r="CA198">
            <v>129590.47925144769</v>
          </cell>
          <cell r="CB198">
            <v>91</v>
          </cell>
          <cell r="CC198">
            <v>169</v>
          </cell>
          <cell r="CD198">
            <v>169</v>
          </cell>
          <cell r="CE198">
            <v>131</v>
          </cell>
          <cell r="CF198">
            <v>169</v>
          </cell>
          <cell r="CG198">
            <v>63</v>
          </cell>
          <cell r="CH198">
            <v>169</v>
          </cell>
          <cell r="CI198">
            <v>169</v>
          </cell>
          <cell r="CJ198">
            <v>169</v>
          </cell>
          <cell r="CV198">
            <v>262.03473945409428</v>
          </cell>
          <cell r="CX198">
            <v>0</v>
          </cell>
          <cell r="CY198">
            <v>0</v>
          </cell>
          <cell r="CZ198">
            <v>0</v>
          </cell>
          <cell r="DA198">
            <v>0</v>
          </cell>
          <cell r="DB198">
            <v>0</v>
          </cell>
          <cell r="DC198">
            <v>0</v>
          </cell>
          <cell r="DD198">
            <v>0</v>
          </cell>
          <cell r="DE198">
            <v>0</v>
          </cell>
          <cell r="DF198">
            <v>0</v>
          </cell>
          <cell r="DG198">
            <v>0</v>
          </cell>
          <cell r="DR198">
            <v>73103</v>
          </cell>
          <cell r="DS198">
            <v>169</v>
          </cell>
          <cell r="DT198">
            <v>169</v>
          </cell>
          <cell r="DU198">
            <v>999999</v>
          </cell>
          <cell r="DV198">
            <v>999999</v>
          </cell>
          <cell r="DW198">
            <v>999999</v>
          </cell>
          <cell r="DX198">
            <v>169</v>
          </cell>
          <cell r="DY198">
            <v>169</v>
          </cell>
          <cell r="DZ198">
            <v>999999</v>
          </cell>
          <cell r="EA198">
            <v>999999</v>
          </cell>
        </row>
        <row r="199">
          <cell r="N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AJ199">
            <v>0</v>
          </cell>
          <cell r="AK199">
            <v>0</v>
          </cell>
          <cell r="AL199">
            <v>999999</v>
          </cell>
          <cell r="AM199">
            <v>168</v>
          </cell>
          <cell r="AN199">
            <v>168</v>
          </cell>
          <cell r="AO199">
            <v>168</v>
          </cell>
          <cell r="AP199">
            <v>0</v>
          </cell>
          <cell r="AQ199">
            <v>44</v>
          </cell>
          <cell r="AR199">
            <v>168</v>
          </cell>
          <cell r="AS199">
            <v>100</v>
          </cell>
          <cell r="BE199">
            <v>0</v>
          </cell>
          <cell r="BG199">
            <v>0</v>
          </cell>
          <cell r="BH199">
            <v>0</v>
          </cell>
          <cell r="BI199">
            <v>0</v>
          </cell>
          <cell r="BJ199">
            <v>0</v>
          </cell>
          <cell r="BK199">
            <v>0</v>
          </cell>
          <cell r="BL199">
            <v>0</v>
          </cell>
          <cell r="BM199">
            <v>0</v>
          </cell>
          <cell r="BN199">
            <v>0</v>
          </cell>
          <cell r="BO199">
            <v>0</v>
          </cell>
          <cell r="BP199">
            <v>0</v>
          </cell>
          <cell r="CA199">
            <v>129133.82656586042</v>
          </cell>
          <cell r="CB199">
            <v>90</v>
          </cell>
          <cell r="CC199">
            <v>168</v>
          </cell>
          <cell r="CD199">
            <v>168</v>
          </cell>
          <cell r="CE199">
            <v>130</v>
          </cell>
          <cell r="CF199">
            <v>168</v>
          </cell>
          <cell r="CG199">
            <v>62</v>
          </cell>
          <cell r="CH199">
            <v>168</v>
          </cell>
          <cell r="CI199">
            <v>168</v>
          </cell>
          <cell r="CJ199">
            <v>168</v>
          </cell>
          <cell r="CV199">
            <v>262.03473945409428</v>
          </cell>
          <cell r="CX199">
            <v>0</v>
          </cell>
          <cell r="CY199">
            <v>0</v>
          </cell>
          <cell r="CZ199">
            <v>0</v>
          </cell>
          <cell r="DA199">
            <v>0</v>
          </cell>
          <cell r="DB199">
            <v>0</v>
          </cell>
          <cell r="DC199">
            <v>0</v>
          </cell>
          <cell r="DD199">
            <v>0</v>
          </cell>
          <cell r="DE199">
            <v>0</v>
          </cell>
          <cell r="DF199">
            <v>0</v>
          </cell>
          <cell r="DG199">
            <v>0</v>
          </cell>
          <cell r="DR199">
            <v>73103</v>
          </cell>
          <cell r="DS199">
            <v>168</v>
          </cell>
          <cell r="DT199">
            <v>168</v>
          </cell>
          <cell r="DU199">
            <v>999999</v>
          </cell>
          <cell r="DV199">
            <v>999999</v>
          </cell>
          <cell r="DW199">
            <v>999999</v>
          </cell>
          <cell r="DX199">
            <v>168</v>
          </cell>
          <cell r="DY199">
            <v>168</v>
          </cell>
          <cell r="DZ199">
            <v>999999</v>
          </cell>
          <cell r="EA199">
            <v>999999</v>
          </cell>
        </row>
        <row r="200">
          <cell r="N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AJ200">
            <v>0</v>
          </cell>
          <cell r="AK200">
            <v>0</v>
          </cell>
          <cell r="AL200">
            <v>999999</v>
          </cell>
          <cell r="AM200">
            <v>167</v>
          </cell>
          <cell r="AN200">
            <v>167</v>
          </cell>
          <cell r="AO200">
            <v>167</v>
          </cell>
          <cell r="AP200">
            <v>0</v>
          </cell>
          <cell r="AQ200">
            <v>43</v>
          </cell>
          <cell r="AR200">
            <v>167</v>
          </cell>
          <cell r="AS200">
            <v>99</v>
          </cell>
          <cell r="BE200">
            <v>0</v>
          </cell>
          <cell r="BG200">
            <v>0</v>
          </cell>
          <cell r="BH200">
            <v>0</v>
          </cell>
          <cell r="BI200">
            <v>0</v>
          </cell>
          <cell r="BJ200">
            <v>0</v>
          </cell>
          <cell r="BK200">
            <v>0</v>
          </cell>
          <cell r="BL200">
            <v>0</v>
          </cell>
          <cell r="BM200">
            <v>0</v>
          </cell>
          <cell r="BN200">
            <v>0</v>
          </cell>
          <cell r="BO200">
            <v>0</v>
          </cell>
          <cell r="BP200">
            <v>0</v>
          </cell>
          <cell r="CA200">
            <v>128677.17388027316</v>
          </cell>
          <cell r="CB200">
            <v>89</v>
          </cell>
          <cell r="CC200">
            <v>167</v>
          </cell>
          <cell r="CD200">
            <v>167</v>
          </cell>
          <cell r="CE200">
            <v>129</v>
          </cell>
          <cell r="CF200">
            <v>167</v>
          </cell>
          <cell r="CG200">
            <v>61</v>
          </cell>
          <cell r="CH200">
            <v>167</v>
          </cell>
          <cell r="CI200">
            <v>167</v>
          </cell>
          <cell r="CJ200">
            <v>167</v>
          </cell>
          <cell r="CV200">
            <v>262.03473945409428</v>
          </cell>
          <cell r="CX200">
            <v>0</v>
          </cell>
          <cell r="CY200">
            <v>0</v>
          </cell>
          <cell r="CZ200">
            <v>0</v>
          </cell>
          <cell r="DA200">
            <v>0</v>
          </cell>
          <cell r="DB200">
            <v>0</v>
          </cell>
          <cell r="DC200">
            <v>0</v>
          </cell>
          <cell r="DD200">
            <v>0</v>
          </cell>
          <cell r="DE200">
            <v>0</v>
          </cell>
          <cell r="DF200">
            <v>0</v>
          </cell>
          <cell r="DG200">
            <v>0</v>
          </cell>
          <cell r="DR200">
            <v>73103</v>
          </cell>
          <cell r="DS200">
            <v>167</v>
          </cell>
          <cell r="DT200">
            <v>167</v>
          </cell>
          <cell r="DU200">
            <v>999999</v>
          </cell>
          <cell r="DV200">
            <v>999999</v>
          </cell>
          <cell r="DW200">
            <v>999999</v>
          </cell>
          <cell r="DX200">
            <v>167</v>
          </cell>
          <cell r="DY200">
            <v>167</v>
          </cell>
          <cell r="DZ200">
            <v>999999</v>
          </cell>
          <cell r="EA200">
            <v>999999</v>
          </cell>
        </row>
        <row r="201">
          <cell r="N201">
            <v>0</v>
          </cell>
          <cell r="P201">
            <v>0</v>
          </cell>
          <cell r="Q201">
            <v>0</v>
          </cell>
          <cell r="R201">
            <v>0</v>
          </cell>
          <cell r="S201">
            <v>0</v>
          </cell>
          <cell r="T201">
            <v>0</v>
          </cell>
          <cell r="U201">
            <v>0</v>
          </cell>
          <cell r="V201">
            <v>0</v>
          </cell>
          <cell r="W201">
            <v>0</v>
          </cell>
          <cell r="X201">
            <v>0</v>
          </cell>
          <cell r="Y201">
            <v>0</v>
          </cell>
          <cell r="AJ201">
            <v>0</v>
          </cell>
          <cell r="AK201">
            <v>0</v>
          </cell>
          <cell r="AL201">
            <v>999999</v>
          </cell>
          <cell r="AM201">
            <v>166</v>
          </cell>
          <cell r="AN201">
            <v>166</v>
          </cell>
          <cell r="AO201">
            <v>166</v>
          </cell>
          <cell r="AP201">
            <v>0</v>
          </cell>
          <cell r="AQ201">
            <v>42</v>
          </cell>
          <cell r="AR201">
            <v>166</v>
          </cell>
          <cell r="AS201">
            <v>98</v>
          </cell>
          <cell r="BE201">
            <v>0</v>
          </cell>
          <cell r="BG201">
            <v>0</v>
          </cell>
          <cell r="BH201">
            <v>0</v>
          </cell>
          <cell r="BI201">
            <v>0</v>
          </cell>
          <cell r="BJ201">
            <v>0</v>
          </cell>
          <cell r="BK201">
            <v>0</v>
          </cell>
          <cell r="BL201">
            <v>0</v>
          </cell>
          <cell r="BM201">
            <v>0</v>
          </cell>
          <cell r="BN201">
            <v>0</v>
          </cell>
          <cell r="BO201">
            <v>0</v>
          </cell>
          <cell r="BP201">
            <v>0</v>
          </cell>
          <cell r="CA201">
            <v>128220.52119468589</v>
          </cell>
          <cell r="CB201">
            <v>88</v>
          </cell>
          <cell r="CC201">
            <v>166</v>
          </cell>
          <cell r="CD201">
            <v>166</v>
          </cell>
          <cell r="CE201">
            <v>128</v>
          </cell>
          <cell r="CF201">
            <v>166</v>
          </cell>
          <cell r="CG201">
            <v>60</v>
          </cell>
          <cell r="CH201">
            <v>166</v>
          </cell>
          <cell r="CI201">
            <v>166</v>
          </cell>
          <cell r="CJ201">
            <v>166</v>
          </cell>
          <cell r="CV201">
            <v>262.03473945409428</v>
          </cell>
          <cell r="CX201">
            <v>0</v>
          </cell>
          <cell r="CY201">
            <v>0</v>
          </cell>
          <cell r="CZ201">
            <v>0</v>
          </cell>
          <cell r="DA201">
            <v>0</v>
          </cell>
          <cell r="DB201">
            <v>0</v>
          </cell>
          <cell r="DC201">
            <v>0</v>
          </cell>
          <cell r="DD201">
            <v>0</v>
          </cell>
          <cell r="DE201">
            <v>0</v>
          </cell>
          <cell r="DF201">
            <v>0</v>
          </cell>
          <cell r="DG201">
            <v>0</v>
          </cell>
          <cell r="DR201">
            <v>73103</v>
          </cell>
          <cell r="DS201">
            <v>166</v>
          </cell>
          <cell r="DT201">
            <v>166</v>
          </cell>
          <cell r="DU201">
            <v>999999</v>
          </cell>
          <cell r="DV201">
            <v>999999</v>
          </cell>
          <cell r="DW201">
            <v>999999</v>
          </cell>
          <cell r="DX201">
            <v>166</v>
          </cell>
          <cell r="DY201">
            <v>166</v>
          </cell>
          <cell r="DZ201">
            <v>999999</v>
          </cell>
          <cell r="EA201">
            <v>999999</v>
          </cell>
        </row>
        <row r="202">
          <cell r="N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AJ202">
            <v>0</v>
          </cell>
          <cell r="AK202">
            <v>0</v>
          </cell>
          <cell r="AL202">
            <v>999999</v>
          </cell>
          <cell r="AM202">
            <v>165</v>
          </cell>
          <cell r="AN202">
            <v>165</v>
          </cell>
          <cell r="AO202">
            <v>165</v>
          </cell>
          <cell r="AP202">
            <v>0</v>
          </cell>
          <cell r="AQ202">
            <v>41</v>
          </cell>
          <cell r="AR202">
            <v>165</v>
          </cell>
          <cell r="AS202">
            <v>97</v>
          </cell>
          <cell r="BE202">
            <v>0</v>
          </cell>
          <cell r="BG202">
            <v>0</v>
          </cell>
          <cell r="BH202">
            <v>0</v>
          </cell>
          <cell r="BI202">
            <v>0</v>
          </cell>
          <cell r="BJ202">
            <v>0</v>
          </cell>
          <cell r="BK202">
            <v>0</v>
          </cell>
          <cell r="BL202">
            <v>0</v>
          </cell>
          <cell r="BM202">
            <v>0</v>
          </cell>
          <cell r="BN202">
            <v>0</v>
          </cell>
          <cell r="BO202">
            <v>0</v>
          </cell>
          <cell r="BP202">
            <v>0</v>
          </cell>
          <cell r="CA202">
            <v>127763.86850909863</v>
          </cell>
          <cell r="CB202">
            <v>87</v>
          </cell>
          <cell r="CC202">
            <v>165</v>
          </cell>
          <cell r="CD202">
            <v>165</v>
          </cell>
          <cell r="CE202">
            <v>127</v>
          </cell>
          <cell r="CF202">
            <v>165</v>
          </cell>
          <cell r="CG202">
            <v>59</v>
          </cell>
          <cell r="CH202">
            <v>165</v>
          </cell>
          <cell r="CI202">
            <v>165</v>
          </cell>
          <cell r="CJ202">
            <v>165</v>
          </cell>
          <cell r="CV202">
            <v>262.03473945409428</v>
          </cell>
          <cell r="CX202">
            <v>0</v>
          </cell>
          <cell r="CY202">
            <v>0</v>
          </cell>
          <cell r="CZ202">
            <v>0</v>
          </cell>
          <cell r="DA202">
            <v>0</v>
          </cell>
          <cell r="DB202">
            <v>0</v>
          </cell>
          <cell r="DC202">
            <v>0</v>
          </cell>
          <cell r="DD202">
            <v>0</v>
          </cell>
          <cell r="DE202">
            <v>0</v>
          </cell>
          <cell r="DF202">
            <v>0</v>
          </cell>
          <cell r="DG202">
            <v>0</v>
          </cell>
          <cell r="DR202">
            <v>73103</v>
          </cell>
          <cell r="DS202">
            <v>165</v>
          </cell>
          <cell r="DT202">
            <v>165</v>
          </cell>
          <cell r="DU202">
            <v>999999</v>
          </cell>
          <cell r="DV202">
            <v>999999</v>
          </cell>
          <cell r="DW202">
            <v>999999</v>
          </cell>
          <cell r="DX202">
            <v>165</v>
          </cell>
          <cell r="DY202">
            <v>165</v>
          </cell>
          <cell r="DZ202">
            <v>999999</v>
          </cell>
          <cell r="EA202">
            <v>999999</v>
          </cell>
        </row>
        <row r="203">
          <cell r="N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AJ203">
            <v>0</v>
          </cell>
          <cell r="AK203">
            <v>0</v>
          </cell>
          <cell r="AL203">
            <v>999999</v>
          </cell>
          <cell r="AM203">
            <v>164</v>
          </cell>
          <cell r="AN203">
            <v>164</v>
          </cell>
          <cell r="AO203">
            <v>164</v>
          </cell>
          <cell r="AP203">
            <v>0</v>
          </cell>
          <cell r="AQ203">
            <v>40</v>
          </cell>
          <cell r="AR203">
            <v>164</v>
          </cell>
          <cell r="AS203">
            <v>96</v>
          </cell>
          <cell r="BE203">
            <v>0</v>
          </cell>
          <cell r="BG203">
            <v>0</v>
          </cell>
          <cell r="BH203">
            <v>0</v>
          </cell>
          <cell r="BI203">
            <v>0</v>
          </cell>
          <cell r="BJ203">
            <v>0</v>
          </cell>
          <cell r="BK203">
            <v>0</v>
          </cell>
          <cell r="BL203">
            <v>0</v>
          </cell>
          <cell r="BM203">
            <v>0</v>
          </cell>
          <cell r="BN203">
            <v>0</v>
          </cell>
          <cell r="BO203">
            <v>0</v>
          </cell>
          <cell r="BP203">
            <v>0</v>
          </cell>
          <cell r="CA203">
            <v>127307.21582351136</v>
          </cell>
          <cell r="CB203">
            <v>86</v>
          </cell>
          <cell r="CC203">
            <v>164</v>
          </cell>
          <cell r="CD203">
            <v>164</v>
          </cell>
          <cell r="CE203">
            <v>126</v>
          </cell>
          <cell r="CF203">
            <v>164</v>
          </cell>
          <cell r="CG203">
            <v>58</v>
          </cell>
          <cell r="CH203">
            <v>164</v>
          </cell>
          <cell r="CI203">
            <v>164</v>
          </cell>
          <cell r="CJ203">
            <v>164</v>
          </cell>
          <cell r="CV203">
            <v>262.03473945409428</v>
          </cell>
          <cell r="CX203">
            <v>0</v>
          </cell>
          <cell r="CY203">
            <v>0</v>
          </cell>
          <cell r="CZ203">
            <v>0</v>
          </cell>
          <cell r="DA203">
            <v>0</v>
          </cell>
          <cell r="DB203">
            <v>0</v>
          </cell>
          <cell r="DC203">
            <v>0</v>
          </cell>
          <cell r="DD203">
            <v>0</v>
          </cell>
          <cell r="DE203">
            <v>0</v>
          </cell>
          <cell r="DF203">
            <v>0</v>
          </cell>
          <cell r="DG203">
            <v>0</v>
          </cell>
          <cell r="DR203">
            <v>73103</v>
          </cell>
          <cell r="DS203">
            <v>164</v>
          </cell>
          <cell r="DT203">
            <v>164</v>
          </cell>
          <cell r="DU203">
            <v>999999</v>
          </cell>
          <cell r="DV203">
            <v>999999</v>
          </cell>
          <cell r="DW203">
            <v>999999</v>
          </cell>
          <cell r="DX203">
            <v>164</v>
          </cell>
          <cell r="DY203">
            <v>164</v>
          </cell>
          <cell r="DZ203">
            <v>999999</v>
          </cell>
          <cell r="EA203">
            <v>999999</v>
          </cell>
        </row>
        <row r="204">
          <cell r="N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AJ204">
            <v>0</v>
          </cell>
          <cell r="AK204">
            <v>0</v>
          </cell>
          <cell r="AL204">
            <v>999999</v>
          </cell>
          <cell r="AM204">
            <v>163</v>
          </cell>
          <cell r="AN204">
            <v>163</v>
          </cell>
          <cell r="AO204">
            <v>163</v>
          </cell>
          <cell r="AP204">
            <v>0</v>
          </cell>
          <cell r="AQ204">
            <v>39</v>
          </cell>
          <cell r="AR204">
            <v>163</v>
          </cell>
          <cell r="AS204">
            <v>95</v>
          </cell>
          <cell r="BE204">
            <v>0</v>
          </cell>
          <cell r="BG204">
            <v>0</v>
          </cell>
          <cell r="BH204">
            <v>0</v>
          </cell>
          <cell r="BI204">
            <v>0</v>
          </cell>
          <cell r="BJ204">
            <v>0</v>
          </cell>
          <cell r="BK204">
            <v>0</v>
          </cell>
          <cell r="BL204">
            <v>0</v>
          </cell>
          <cell r="BM204">
            <v>0</v>
          </cell>
          <cell r="BN204">
            <v>0</v>
          </cell>
          <cell r="BO204">
            <v>0</v>
          </cell>
          <cell r="BP204">
            <v>0</v>
          </cell>
          <cell r="CA204">
            <v>126850.56313792409</v>
          </cell>
          <cell r="CB204">
            <v>85</v>
          </cell>
          <cell r="CC204">
            <v>163</v>
          </cell>
          <cell r="CD204">
            <v>163</v>
          </cell>
          <cell r="CE204">
            <v>125</v>
          </cell>
          <cell r="CF204">
            <v>163</v>
          </cell>
          <cell r="CG204">
            <v>57</v>
          </cell>
          <cell r="CH204">
            <v>163</v>
          </cell>
          <cell r="CI204">
            <v>163</v>
          </cell>
          <cell r="CJ204">
            <v>163</v>
          </cell>
          <cell r="CV204">
            <v>262.03473945409428</v>
          </cell>
          <cell r="CX204">
            <v>0</v>
          </cell>
          <cell r="CY204">
            <v>0</v>
          </cell>
          <cell r="CZ204">
            <v>0</v>
          </cell>
          <cell r="DA204">
            <v>0</v>
          </cell>
          <cell r="DB204">
            <v>0</v>
          </cell>
          <cell r="DC204">
            <v>0</v>
          </cell>
          <cell r="DD204">
            <v>0</v>
          </cell>
          <cell r="DE204">
            <v>0</v>
          </cell>
          <cell r="DF204">
            <v>0</v>
          </cell>
          <cell r="DG204">
            <v>0</v>
          </cell>
          <cell r="DR204">
            <v>73103</v>
          </cell>
          <cell r="DS204">
            <v>163</v>
          </cell>
          <cell r="DT204">
            <v>163</v>
          </cell>
          <cell r="DU204">
            <v>999999</v>
          </cell>
          <cell r="DV204">
            <v>999999</v>
          </cell>
          <cell r="DW204">
            <v>999999</v>
          </cell>
          <cell r="DX204">
            <v>163</v>
          </cell>
          <cell r="DY204">
            <v>163</v>
          </cell>
          <cell r="DZ204">
            <v>999999</v>
          </cell>
          <cell r="EA204">
            <v>999999</v>
          </cell>
        </row>
        <row r="205">
          <cell r="N205">
            <v>0</v>
          </cell>
          <cell r="P205">
            <v>0</v>
          </cell>
          <cell r="Q205">
            <v>0</v>
          </cell>
          <cell r="R205">
            <v>0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Y205">
            <v>0</v>
          </cell>
          <cell r="AJ205">
            <v>0</v>
          </cell>
          <cell r="AK205">
            <v>0</v>
          </cell>
          <cell r="AL205">
            <v>999999</v>
          </cell>
          <cell r="AM205">
            <v>162</v>
          </cell>
          <cell r="AN205">
            <v>162</v>
          </cell>
          <cell r="AO205">
            <v>162</v>
          </cell>
          <cell r="AP205">
            <v>0</v>
          </cell>
          <cell r="AQ205">
            <v>38</v>
          </cell>
          <cell r="AR205">
            <v>162</v>
          </cell>
          <cell r="AS205">
            <v>94</v>
          </cell>
          <cell r="BE205">
            <v>0</v>
          </cell>
          <cell r="BG205">
            <v>0</v>
          </cell>
          <cell r="BH205">
            <v>0</v>
          </cell>
          <cell r="BI205">
            <v>0</v>
          </cell>
          <cell r="BJ205">
            <v>0</v>
          </cell>
          <cell r="BK205">
            <v>0</v>
          </cell>
          <cell r="BL205">
            <v>0</v>
          </cell>
          <cell r="BM205">
            <v>0</v>
          </cell>
          <cell r="BN205">
            <v>0</v>
          </cell>
          <cell r="BO205">
            <v>0</v>
          </cell>
          <cell r="BP205">
            <v>0</v>
          </cell>
          <cell r="CA205">
            <v>126393.91045233683</v>
          </cell>
          <cell r="CB205">
            <v>84</v>
          </cell>
          <cell r="CC205">
            <v>162</v>
          </cell>
          <cell r="CD205">
            <v>162</v>
          </cell>
          <cell r="CE205">
            <v>124</v>
          </cell>
          <cell r="CF205">
            <v>162</v>
          </cell>
          <cell r="CG205">
            <v>56</v>
          </cell>
          <cell r="CH205">
            <v>162</v>
          </cell>
          <cell r="CI205">
            <v>162</v>
          </cell>
          <cell r="CJ205">
            <v>162</v>
          </cell>
          <cell r="CV205">
            <v>262.03473945409428</v>
          </cell>
          <cell r="CX205">
            <v>0</v>
          </cell>
          <cell r="CY205">
            <v>0</v>
          </cell>
          <cell r="CZ205">
            <v>0</v>
          </cell>
          <cell r="DA205">
            <v>0</v>
          </cell>
          <cell r="DB205">
            <v>0</v>
          </cell>
          <cell r="DC205">
            <v>0</v>
          </cell>
          <cell r="DD205">
            <v>0</v>
          </cell>
          <cell r="DE205">
            <v>0</v>
          </cell>
          <cell r="DF205">
            <v>0</v>
          </cell>
          <cell r="DG205">
            <v>0</v>
          </cell>
          <cell r="DR205">
            <v>73103</v>
          </cell>
          <cell r="DS205">
            <v>162</v>
          </cell>
          <cell r="DT205">
            <v>162</v>
          </cell>
          <cell r="DU205">
            <v>999999</v>
          </cell>
          <cell r="DV205">
            <v>999999</v>
          </cell>
          <cell r="DW205">
            <v>999999</v>
          </cell>
          <cell r="DX205">
            <v>162</v>
          </cell>
          <cell r="DY205">
            <v>162</v>
          </cell>
          <cell r="DZ205">
            <v>999999</v>
          </cell>
          <cell r="EA205">
            <v>999999</v>
          </cell>
        </row>
        <row r="206">
          <cell r="N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AJ206">
            <v>0</v>
          </cell>
          <cell r="AK206">
            <v>0</v>
          </cell>
          <cell r="AL206">
            <v>999999</v>
          </cell>
          <cell r="AM206">
            <v>161</v>
          </cell>
          <cell r="AN206">
            <v>161</v>
          </cell>
          <cell r="AO206">
            <v>161</v>
          </cell>
          <cell r="AP206">
            <v>0</v>
          </cell>
          <cell r="AQ206">
            <v>37</v>
          </cell>
          <cell r="AR206">
            <v>161</v>
          </cell>
          <cell r="AS206">
            <v>93</v>
          </cell>
          <cell r="BE206">
            <v>0</v>
          </cell>
          <cell r="BG206">
            <v>0</v>
          </cell>
          <cell r="BH206">
            <v>0</v>
          </cell>
          <cell r="BI206">
            <v>0</v>
          </cell>
          <cell r="BJ206">
            <v>0</v>
          </cell>
          <cell r="BK206">
            <v>0</v>
          </cell>
          <cell r="BL206">
            <v>0</v>
          </cell>
          <cell r="BM206">
            <v>0</v>
          </cell>
          <cell r="BN206">
            <v>0</v>
          </cell>
          <cell r="BO206">
            <v>0</v>
          </cell>
          <cell r="BP206">
            <v>0</v>
          </cell>
          <cell r="CA206">
            <v>125937.25776674956</v>
          </cell>
          <cell r="CB206">
            <v>83</v>
          </cell>
          <cell r="CC206">
            <v>161</v>
          </cell>
          <cell r="CD206">
            <v>161</v>
          </cell>
          <cell r="CE206">
            <v>123</v>
          </cell>
          <cell r="CF206">
            <v>161</v>
          </cell>
          <cell r="CG206">
            <v>55</v>
          </cell>
          <cell r="CH206">
            <v>161</v>
          </cell>
          <cell r="CI206">
            <v>161</v>
          </cell>
          <cell r="CJ206">
            <v>161</v>
          </cell>
          <cell r="CV206">
            <v>262.03473945409428</v>
          </cell>
          <cell r="CX206">
            <v>0</v>
          </cell>
          <cell r="CY206">
            <v>0</v>
          </cell>
          <cell r="CZ206">
            <v>0</v>
          </cell>
          <cell r="DA206">
            <v>0</v>
          </cell>
          <cell r="DB206">
            <v>0</v>
          </cell>
          <cell r="DC206">
            <v>0</v>
          </cell>
          <cell r="DD206">
            <v>0</v>
          </cell>
          <cell r="DE206">
            <v>0</v>
          </cell>
          <cell r="DF206">
            <v>0</v>
          </cell>
          <cell r="DG206">
            <v>0</v>
          </cell>
          <cell r="DR206">
            <v>73103</v>
          </cell>
          <cell r="DS206">
            <v>161</v>
          </cell>
          <cell r="DT206">
            <v>161</v>
          </cell>
          <cell r="DU206">
            <v>999999</v>
          </cell>
          <cell r="DV206">
            <v>999999</v>
          </cell>
          <cell r="DW206">
            <v>999999</v>
          </cell>
          <cell r="DX206">
            <v>161</v>
          </cell>
          <cell r="DY206">
            <v>161</v>
          </cell>
          <cell r="DZ206">
            <v>999999</v>
          </cell>
          <cell r="EA206">
            <v>999999</v>
          </cell>
        </row>
        <row r="207">
          <cell r="N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AJ207">
            <v>0</v>
          </cell>
          <cell r="AK207">
            <v>0</v>
          </cell>
          <cell r="AL207">
            <v>999999</v>
          </cell>
          <cell r="AM207">
            <v>160</v>
          </cell>
          <cell r="AN207">
            <v>160</v>
          </cell>
          <cell r="AO207">
            <v>160</v>
          </cell>
          <cell r="AP207">
            <v>0</v>
          </cell>
          <cell r="AQ207">
            <v>36</v>
          </cell>
          <cell r="AR207">
            <v>160</v>
          </cell>
          <cell r="AS207">
            <v>92</v>
          </cell>
          <cell r="BE207">
            <v>0</v>
          </cell>
          <cell r="BG207">
            <v>0</v>
          </cell>
          <cell r="BH207">
            <v>0</v>
          </cell>
          <cell r="BI207">
            <v>0</v>
          </cell>
          <cell r="BJ207">
            <v>0</v>
          </cell>
          <cell r="BK207">
            <v>0</v>
          </cell>
          <cell r="BL207">
            <v>0</v>
          </cell>
          <cell r="BM207">
            <v>0</v>
          </cell>
          <cell r="BN207">
            <v>0</v>
          </cell>
          <cell r="BO207">
            <v>0</v>
          </cell>
          <cell r="BP207">
            <v>0</v>
          </cell>
          <cell r="CA207">
            <v>125480.6050811623</v>
          </cell>
          <cell r="CB207">
            <v>82</v>
          </cell>
          <cell r="CC207">
            <v>160</v>
          </cell>
          <cell r="CD207">
            <v>160</v>
          </cell>
          <cell r="CE207">
            <v>122</v>
          </cell>
          <cell r="CF207">
            <v>160</v>
          </cell>
          <cell r="CG207">
            <v>54</v>
          </cell>
          <cell r="CH207">
            <v>160</v>
          </cell>
          <cell r="CI207">
            <v>160</v>
          </cell>
          <cell r="CJ207">
            <v>160</v>
          </cell>
          <cell r="CV207">
            <v>262.03473945409428</v>
          </cell>
          <cell r="CX207">
            <v>0</v>
          </cell>
          <cell r="CY207">
            <v>0</v>
          </cell>
          <cell r="CZ207">
            <v>0</v>
          </cell>
          <cell r="DA207">
            <v>0</v>
          </cell>
          <cell r="DB207">
            <v>0</v>
          </cell>
          <cell r="DC207">
            <v>0</v>
          </cell>
          <cell r="DD207">
            <v>0</v>
          </cell>
          <cell r="DE207">
            <v>0</v>
          </cell>
          <cell r="DF207">
            <v>0</v>
          </cell>
          <cell r="DG207">
            <v>0</v>
          </cell>
          <cell r="DR207">
            <v>73103</v>
          </cell>
          <cell r="DS207">
            <v>160</v>
          </cell>
          <cell r="DT207">
            <v>160</v>
          </cell>
          <cell r="DU207">
            <v>999999</v>
          </cell>
          <cell r="DV207">
            <v>999999</v>
          </cell>
          <cell r="DW207">
            <v>999999</v>
          </cell>
          <cell r="DX207">
            <v>160</v>
          </cell>
          <cell r="DY207">
            <v>160</v>
          </cell>
          <cell r="DZ207">
            <v>999999</v>
          </cell>
          <cell r="EA207">
            <v>999999</v>
          </cell>
        </row>
        <row r="208">
          <cell r="N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AJ208">
            <v>0</v>
          </cell>
          <cell r="AK208">
            <v>0</v>
          </cell>
          <cell r="AL208">
            <v>999999</v>
          </cell>
          <cell r="AM208">
            <v>159</v>
          </cell>
          <cell r="AN208">
            <v>159</v>
          </cell>
          <cell r="AO208">
            <v>159</v>
          </cell>
          <cell r="AP208">
            <v>0</v>
          </cell>
          <cell r="AQ208">
            <v>35</v>
          </cell>
          <cell r="AR208">
            <v>159</v>
          </cell>
          <cell r="AS208">
            <v>91</v>
          </cell>
          <cell r="BE208">
            <v>0</v>
          </cell>
          <cell r="BG208">
            <v>0</v>
          </cell>
          <cell r="BH208">
            <v>0</v>
          </cell>
          <cell r="BI208">
            <v>0</v>
          </cell>
          <cell r="BJ208">
            <v>0</v>
          </cell>
          <cell r="BK208">
            <v>0</v>
          </cell>
          <cell r="BL208">
            <v>0</v>
          </cell>
          <cell r="BM208">
            <v>0</v>
          </cell>
          <cell r="BN208">
            <v>0</v>
          </cell>
          <cell r="BO208">
            <v>0</v>
          </cell>
          <cell r="BP208">
            <v>0</v>
          </cell>
          <cell r="CA208">
            <v>125023.95239557503</v>
          </cell>
          <cell r="CB208">
            <v>81</v>
          </cell>
          <cell r="CC208">
            <v>159</v>
          </cell>
          <cell r="CD208">
            <v>159</v>
          </cell>
          <cell r="CE208">
            <v>121</v>
          </cell>
          <cell r="CF208">
            <v>159</v>
          </cell>
          <cell r="CG208">
            <v>53</v>
          </cell>
          <cell r="CH208">
            <v>159</v>
          </cell>
          <cell r="CI208">
            <v>159</v>
          </cell>
          <cell r="CJ208">
            <v>159</v>
          </cell>
          <cell r="CV208">
            <v>262.03473945409428</v>
          </cell>
          <cell r="CX208">
            <v>0</v>
          </cell>
          <cell r="CY208">
            <v>0</v>
          </cell>
          <cell r="CZ208">
            <v>0</v>
          </cell>
          <cell r="DA208">
            <v>0</v>
          </cell>
          <cell r="DB208">
            <v>0</v>
          </cell>
          <cell r="DC208">
            <v>0</v>
          </cell>
          <cell r="DD208">
            <v>0</v>
          </cell>
          <cell r="DE208">
            <v>0</v>
          </cell>
          <cell r="DF208">
            <v>0</v>
          </cell>
          <cell r="DG208">
            <v>0</v>
          </cell>
          <cell r="DR208">
            <v>73103</v>
          </cell>
          <cell r="DS208">
            <v>159</v>
          </cell>
          <cell r="DT208">
            <v>159</v>
          </cell>
          <cell r="DU208">
            <v>999999</v>
          </cell>
          <cell r="DV208">
            <v>999999</v>
          </cell>
          <cell r="DW208">
            <v>999999</v>
          </cell>
          <cell r="DX208">
            <v>159</v>
          </cell>
          <cell r="DY208">
            <v>159</v>
          </cell>
          <cell r="DZ208">
            <v>999999</v>
          </cell>
          <cell r="EA208">
            <v>999999</v>
          </cell>
        </row>
        <row r="209">
          <cell r="N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0</v>
          </cell>
          <cell r="X209">
            <v>0</v>
          </cell>
          <cell r="Y209">
            <v>0</v>
          </cell>
          <cell r="AJ209">
            <v>0</v>
          </cell>
          <cell r="AK209">
            <v>0</v>
          </cell>
          <cell r="AL209">
            <v>999999</v>
          </cell>
          <cell r="AM209">
            <v>158</v>
          </cell>
          <cell r="AN209">
            <v>158</v>
          </cell>
          <cell r="AO209">
            <v>158</v>
          </cell>
          <cell r="AP209">
            <v>0</v>
          </cell>
          <cell r="AQ209">
            <v>34</v>
          </cell>
          <cell r="AR209">
            <v>158</v>
          </cell>
          <cell r="AS209">
            <v>90</v>
          </cell>
          <cell r="BE209">
            <v>0</v>
          </cell>
          <cell r="BG209">
            <v>0</v>
          </cell>
          <cell r="BH209">
            <v>0</v>
          </cell>
          <cell r="BI209">
            <v>0</v>
          </cell>
          <cell r="BJ209">
            <v>0</v>
          </cell>
          <cell r="BK209">
            <v>0</v>
          </cell>
          <cell r="BL209">
            <v>0</v>
          </cell>
          <cell r="BM209">
            <v>0</v>
          </cell>
          <cell r="BN209">
            <v>0</v>
          </cell>
          <cell r="BO209">
            <v>0</v>
          </cell>
          <cell r="BP209">
            <v>0</v>
          </cell>
          <cell r="CA209">
            <v>124567.29970998777</v>
          </cell>
          <cell r="CB209">
            <v>80</v>
          </cell>
          <cell r="CC209">
            <v>158</v>
          </cell>
          <cell r="CD209">
            <v>158</v>
          </cell>
          <cell r="CE209">
            <v>120</v>
          </cell>
          <cell r="CF209">
            <v>158</v>
          </cell>
          <cell r="CG209">
            <v>52</v>
          </cell>
          <cell r="CH209">
            <v>158</v>
          </cell>
          <cell r="CI209">
            <v>158</v>
          </cell>
          <cell r="CJ209">
            <v>158</v>
          </cell>
          <cell r="CV209">
            <v>262.03473945409428</v>
          </cell>
          <cell r="CX209">
            <v>0</v>
          </cell>
          <cell r="CY209">
            <v>0</v>
          </cell>
          <cell r="CZ209">
            <v>0</v>
          </cell>
          <cell r="DA209">
            <v>0</v>
          </cell>
          <cell r="DB209">
            <v>0</v>
          </cell>
          <cell r="DC209">
            <v>0</v>
          </cell>
          <cell r="DD209">
            <v>0</v>
          </cell>
          <cell r="DE209">
            <v>0</v>
          </cell>
          <cell r="DF209">
            <v>0</v>
          </cell>
          <cell r="DG209">
            <v>0</v>
          </cell>
          <cell r="DR209">
            <v>73103</v>
          </cell>
          <cell r="DS209">
            <v>158</v>
          </cell>
          <cell r="DT209">
            <v>158</v>
          </cell>
          <cell r="DU209">
            <v>999999</v>
          </cell>
          <cell r="DV209">
            <v>999999</v>
          </cell>
          <cell r="DW209">
            <v>999999</v>
          </cell>
          <cell r="DX209">
            <v>158</v>
          </cell>
          <cell r="DY209">
            <v>158</v>
          </cell>
          <cell r="DZ209">
            <v>999999</v>
          </cell>
          <cell r="EA209">
            <v>999999</v>
          </cell>
        </row>
        <row r="210">
          <cell r="N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AJ210">
            <v>0</v>
          </cell>
          <cell r="AK210">
            <v>0</v>
          </cell>
          <cell r="AL210">
            <v>999999</v>
          </cell>
          <cell r="AM210">
            <v>157</v>
          </cell>
          <cell r="AN210">
            <v>157</v>
          </cell>
          <cell r="AO210">
            <v>157</v>
          </cell>
          <cell r="AP210">
            <v>0</v>
          </cell>
          <cell r="AQ210">
            <v>33</v>
          </cell>
          <cell r="AR210">
            <v>157</v>
          </cell>
          <cell r="AS210">
            <v>89</v>
          </cell>
          <cell r="BE210">
            <v>0</v>
          </cell>
          <cell r="BG210">
            <v>0</v>
          </cell>
          <cell r="BH210">
            <v>0</v>
          </cell>
          <cell r="BI210">
            <v>0</v>
          </cell>
          <cell r="BJ210">
            <v>0</v>
          </cell>
          <cell r="BK210">
            <v>0</v>
          </cell>
          <cell r="BL210">
            <v>0</v>
          </cell>
          <cell r="BM210">
            <v>0</v>
          </cell>
          <cell r="BN210">
            <v>0</v>
          </cell>
          <cell r="BO210">
            <v>0</v>
          </cell>
          <cell r="BP210">
            <v>0</v>
          </cell>
          <cell r="CA210">
            <v>124110.6470244005</v>
          </cell>
          <cell r="CB210">
            <v>79</v>
          </cell>
          <cell r="CC210">
            <v>157</v>
          </cell>
          <cell r="CD210">
            <v>157</v>
          </cell>
          <cell r="CE210">
            <v>119</v>
          </cell>
          <cell r="CF210">
            <v>157</v>
          </cell>
          <cell r="CG210">
            <v>51</v>
          </cell>
          <cell r="CH210">
            <v>157</v>
          </cell>
          <cell r="CI210">
            <v>157</v>
          </cell>
          <cell r="CJ210">
            <v>157</v>
          </cell>
          <cell r="CV210">
            <v>262.03473945409428</v>
          </cell>
          <cell r="CX210">
            <v>0</v>
          </cell>
          <cell r="CY210">
            <v>0</v>
          </cell>
          <cell r="CZ210">
            <v>0</v>
          </cell>
          <cell r="DA210">
            <v>0</v>
          </cell>
          <cell r="DB210">
            <v>0</v>
          </cell>
          <cell r="DC210">
            <v>0</v>
          </cell>
          <cell r="DD210">
            <v>0</v>
          </cell>
          <cell r="DE210">
            <v>0</v>
          </cell>
          <cell r="DF210">
            <v>0</v>
          </cell>
          <cell r="DG210">
            <v>0</v>
          </cell>
          <cell r="DR210">
            <v>73103</v>
          </cell>
          <cell r="DS210">
            <v>157</v>
          </cell>
          <cell r="DT210">
            <v>157</v>
          </cell>
          <cell r="DU210">
            <v>999999</v>
          </cell>
          <cell r="DV210">
            <v>999999</v>
          </cell>
          <cell r="DW210">
            <v>999999</v>
          </cell>
          <cell r="DX210">
            <v>157</v>
          </cell>
          <cell r="DY210">
            <v>157</v>
          </cell>
          <cell r="DZ210">
            <v>999999</v>
          </cell>
          <cell r="EA210">
            <v>999999</v>
          </cell>
        </row>
        <row r="211">
          <cell r="N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AJ211">
            <v>0</v>
          </cell>
          <cell r="AK211">
            <v>0</v>
          </cell>
          <cell r="AL211">
            <v>999999</v>
          </cell>
          <cell r="AM211">
            <v>156</v>
          </cell>
          <cell r="AN211">
            <v>156</v>
          </cell>
          <cell r="AO211">
            <v>156</v>
          </cell>
          <cell r="AP211">
            <v>0</v>
          </cell>
          <cell r="AQ211">
            <v>32</v>
          </cell>
          <cell r="AR211">
            <v>156</v>
          </cell>
          <cell r="AS211">
            <v>88</v>
          </cell>
          <cell r="BE211">
            <v>0</v>
          </cell>
          <cell r="BG211">
            <v>0</v>
          </cell>
          <cell r="BH211">
            <v>0</v>
          </cell>
          <cell r="BI211">
            <v>0</v>
          </cell>
          <cell r="BJ211">
            <v>0</v>
          </cell>
          <cell r="BK211">
            <v>0</v>
          </cell>
          <cell r="BL211">
            <v>0</v>
          </cell>
          <cell r="BM211">
            <v>0</v>
          </cell>
          <cell r="BN211">
            <v>0</v>
          </cell>
          <cell r="BO211">
            <v>0</v>
          </cell>
          <cell r="BP211">
            <v>0</v>
          </cell>
          <cell r="CA211">
            <v>123653.99433881324</v>
          </cell>
          <cell r="CB211">
            <v>78</v>
          </cell>
          <cell r="CC211">
            <v>156</v>
          </cell>
          <cell r="CD211">
            <v>156</v>
          </cell>
          <cell r="CE211">
            <v>118</v>
          </cell>
          <cell r="CF211">
            <v>156</v>
          </cell>
          <cell r="CG211">
            <v>50</v>
          </cell>
          <cell r="CH211">
            <v>156</v>
          </cell>
          <cell r="CI211">
            <v>156</v>
          </cell>
          <cell r="CJ211">
            <v>156</v>
          </cell>
          <cell r="CV211">
            <v>262.03473945409428</v>
          </cell>
          <cell r="CX211">
            <v>0</v>
          </cell>
          <cell r="CY211">
            <v>0</v>
          </cell>
          <cell r="CZ211">
            <v>0</v>
          </cell>
          <cell r="DA211">
            <v>0</v>
          </cell>
          <cell r="DB211">
            <v>0</v>
          </cell>
          <cell r="DC211">
            <v>0</v>
          </cell>
          <cell r="DD211">
            <v>0</v>
          </cell>
          <cell r="DE211">
            <v>0</v>
          </cell>
          <cell r="DF211">
            <v>0</v>
          </cell>
          <cell r="DG211">
            <v>0</v>
          </cell>
          <cell r="DR211">
            <v>73103</v>
          </cell>
          <cell r="DS211">
            <v>156</v>
          </cell>
          <cell r="DT211">
            <v>156</v>
          </cell>
          <cell r="DU211">
            <v>999999</v>
          </cell>
          <cell r="DV211">
            <v>999999</v>
          </cell>
          <cell r="DW211">
            <v>999999</v>
          </cell>
          <cell r="DX211">
            <v>156</v>
          </cell>
          <cell r="DY211">
            <v>156</v>
          </cell>
          <cell r="DZ211">
            <v>999999</v>
          </cell>
          <cell r="EA211">
            <v>999999</v>
          </cell>
        </row>
        <row r="212">
          <cell r="N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AJ212">
            <v>0</v>
          </cell>
          <cell r="AK212">
            <v>0</v>
          </cell>
          <cell r="AL212">
            <v>999999</v>
          </cell>
          <cell r="AM212">
            <v>155</v>
          </cell>
          <cell r="AN212">
            <v>155</v>
          </cell>
          <cell r="AO212">
            <v>155</v>
          </cell>
          <cell r="AP212">
            <v>0</v>
          </cell>
          <cell r="AQ212">
            <v>31</v>
          </cell>
          <cell r="AR212">
            <v>155</v>
          </cell>
          <cell r="AS212">
            <v>87</v>
          </cell>
          <cell r="BE212">
            <v>0</v>
          </cell>
          <cell r="BG212">
            <v>0</v>
          </cell>
          <cell r="BH212">
            <v>0</v>
          </cell>
          <cell r="BI212">
            <v>0</v>
          </cell>
          <cell r="BJ212">
            <v>0</v>
          </cell>
          <cell r="BK212">
            <v>0</v>
          </cell>
          <cell r="BL212">
            <v>0</v>
          </cell>
          <cell r="BM212">
            <v>0</v>
          </cell>
          <cell r="BN212">
            <v>0</v>
          </cell>
          <cell r="BO212">
            <v>0</v>
          </cell>
          <cell r="BP212">
            <v>0</v>
          </cell>
          <cell r="CA212">
            <v>123197.34165322597</v>
          </cell>
          <cell r="CB212">
            <v>77</v>
          </cell>
          <cell r="CC212">
            <v>155</v>
          </cell>
          <cell r="CD212">
            <v>155</v>
          </cell>
          <cell r="CE212">
            <v>117</v>
          </cell>
          <cell r="CF212">
            <v>155</v>
          </cell>
          <cell r="CG212">
            <v>49</v>
          </cell>
          <cell r="CH212">
            <v>155</v>
          </cell>
          <cell r="CI212">
            <v>155</v>
          </cell>
          <cell r="CJ212">
            <v>155</v>
          </cell>
          <cell r="CV212">
            <v>262.03473945409428</v>
          </cell>
          <cell r="CX212">
            <v>0</v>
          </cell>
          <cell r="CY212">
            <v>0</v>
          </cell>
          <cell r="CZ212">
            <v>0</v>
          </cell>
          <cell r="DA212">
            <v>0</v>
          </cell>
          <cell r="DB212">
            <v>0</v>
          </cell>
          <cell r="DC212">
            <v>0</v>
          </cell>
          <cell r="DD212">
            <v>0</v>
          </cell>
          <cell r="DE212">
            <v>0</v>
          </cell>
          <cell r="DF212">
            <v>0</v>
          </cell>
          <cell r="DG212">
            <v>0</v>
          </cell>
          <cell r="DR212">
            <v>73103</v>
          </cell>
          <cell r="DS212">
            <v>155</v>
          </cell>
          <cell r="DT212">
            <v>155</v>
          </cell>
          <cell r="DU212">
            <v>999999</v>
          </cell>
          <cell r="DV212">
            <v>999999</v>
          </cell>
          <cell r="DW212">
            <v>999999</v>
          </cell>
          <cell r="DX212">
            <v>155</v>
          </cell>
          <cell r="DY212">
            <v>155</v>
          </cell>
          <cell r="DZ212">
            <v>999999</v>
          </cell>
          <cell r="EA212">
            <v>999999</v>
          </cell>
        </row>
        <row r="213">
          <cell r="N213">
            <v>0</v>
          </cell>
          <cell r="P213">
            <v>0</v>
          </cell>
          <cell r="Q213">
            <v>0</v>
          </cell>
          <cell r="R213">
            <v>0</v>
          </cell>
          <cell r="S213">
            <v>0</v>
          </cell>
          <cell r="T213">
            <v>0</v>
          </cell>
          <cell r="U213">
            <v>0</v>
          </cell>
          <cell r="V213">
            <v>0</v>
          </cell>
          <cell r="W213">
            <v>0</v>
          </cell>
          <cell r="X213">
            <v>0</v>
          </cell>
          <cell r="Y213">
            <v>0</v>
          </cell>
          <cell r="AJ213">
            <v>0</v>
          </cell>
          <cell r="AK213">
            <v>0</v>
          </cell>
          <cell r="AL213">
            <v>999999</v>
          </cell>
          <cell r="AM213">
            <v>154</v>
          </cell>
          <cell r="AN213">
            <v>154</v>
          </cell>
          <cell r="AO213">
            <v>154</v>
          </cell>
          <cell r="AP213">
            <v>0</v>
          </cell>
          <cell r="AQ213">
            <v>30</v>
          </cell>
          <cell r="AR213">
            <v>154</v>
          </cell>
          <cell r="AS213">
            <v>86</v>
          </cell>
          <cell r="BE213">
            <v>0</v>
          </cell>
          <cell r="BG213">
            <v>0</v>
          </cell>
          <cell r="BH213">
            <v>0</v>
          </cell>
          <cell r="BI213">
            <v>0</v>
          </cell>
          <cell r="BJ213">
            <v>0</v>
          </cell>
          <cell r="BK213">
            <v>0</v>
          </cell>
          <cell r="BL213">
            <v>0</v>
          </cell>
          <cell r="BM213">
            <v>0</v>
          </cell>
          <cell r="BN213">
            <v>0</v>
          </cell>
          <cell r="BO213">
            <v>0</v>
          </cell>
          <cell r="BP213">
            <v>0</v>
          </cell>
          <cell r="CA213">
            <v>122740.68896763871</v>
          </cell>
          <cell r="CB213">
            <v>76</v>
          </cell>
          <cell r="CC213">
            <v>154</v>
          </cell>
          <cell r="CD213">
            <v>154</v>
          </cell>
          <cell r="CE213">
            <v>116</v>
          </cell>
          <cell r="CF213">
            <v>154</v>
          </cell>
          <cell r="CG213">
            <v>48</v>
          </cell>
          <cell r="CH213">
            <v>154</v>
          </cell>
          <cell r="CI213">
            <v>154</v>
          </cell>
          <cell r="CJ213">
            <v>154</v>
          </cell>
          <cell r="CV213">
            <v>262.03473945409428</v>
          </cell>
          <cell r="CX213">
            <v>0</v>
          </cell>
          <cell r="CY213">
            <v>0</v>
          </cell>
          <cell r="CZ213">
            <v>0</v>
          </cell>
          <cell r="DA213">
            <v>0</v>
          </cell>
          <cell r="DB213">
            <v>0</v>
          </cell>
          <cell r="DC213">
            <v>0</v>
          </cell>
          <cell r="DD213">
            <v>0</v>
          </cell>
          <cell r="DE213">
            <v>0</v>
          </cell>
          <cell r="DF213">
            <v>0</v>
          </cell>
          <cell r="DG213">
            <v>0</v>
          </cell>
          <cell r="DR213">
            <v>73103</v>
          </cell>
          <cell r="DS213">
            <v>154</v>
          </cell>
          <cell r="DT213">
            <v>154</v>
          </cell>
          <cell r="DU213">
            <v>999999</v>
          </cell>
          <cell r="DV213">
            <v>999999</v>
          </cell>
          <cell r="DW213">
            <v>999999</v>
          </cell>
          <cell r="DX213">
            <v>154</v>
          </cell>
          <cell r="DY213">
            <v>154</v>
          </cell>
          <cell r="DZ213">
            <v>999999</v>
          </cell>
          <cell r="EA213">
            <v>999999</v>
          </cell>
        </row>
        <row r="214">
          <cell r="N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AJ214">
            <v>0</v>
          </cell>
          <cell r="AK214">
            <v>0</v>
          </cell>
          <cell r="AL214">
            <v>999999</v>
          </cell>
          <cell r="AM214">
            <v>153</v>
          </cell>
          <cell r="AN214">
            <v>153</v>
          </cell>
          <cell r="AO214">
            <v>153</v>
          </cell>
          <cell r="AP214">
            <v>0</v>
          </cell>
          <cell r="AQ214">
            <v>29</v>
          </cell>
          <cell r="AR214">
            <v>153</v>
          </cell>
          <cell r="AS214">
            <v>85</v>
          </cell>
          <cell r="BE214">
            <v>0</v>
          </cell>
          <cell r="BG214">
            <v>0</v>
          </cell>
          <cell r="BH214">
            <v>0</v>
          </cell>
          <cell r="BI214">
            <v>0</v>
          </cell>
          <cell r="BJ214">
            <v>0</v>
          </cell>
          <cell r="BK214">
            <v>0</v>
          </cell>
          <cell r="BL214">
            <v>0</v>
          </cell>
          <cell r="BM214">
            <v>0</v>
          </cell>
          <cell r="BN214">
            <v>0</v>
          </cell>
          <cell r="BO214">
            <v>0</v>
          </cell>
          <cell r="BP214">
            <v>0</v>
          </cell>
          <cell r="CA214">
            <v>122284.03628205144</v>
          </cell>
          <cell r="CB214">
            <v>75</v>
          </cell>
          <cell r="CC214">
            <v>153</v>
          </cell>
          <cell r="CD214">
            <v>153</v>
          </cell>
          <cell r="CE214">
            <v>115</v>
          </cell>
          <cell r="CF214">
            <v>153</v>
          </cell>
          <cell r="CG214">
            <v>47</v>
          </cell>
          <cell r="CH214">
            <v>153</v>
          </cell>
          <cell r="CI214">
            <v>153</v>
          </cell>
          <cell r="CJ214">
            <v>153</v>
          </cell>
          <cell r="CV214">
            <v>262.03473945409428</v>
          </cell>
          <cell r="CX214">
            <v>0</v>
          </cell>
          <cell r="CY214">
            <v>0</v>
          </cell>
          <cell r="CZ214">
            <v>0</v>
          </cell>
          <cell r="DA214">
            <v>0</v>
          </cell>
          <cell r="DB214">
            <v>0</v>
          </cell>
          <cell r="DC214">
            <v>0</v>
          </cell>
          <cell r="DD214">
            <v>0</v>
          </cell>
          <cell r="DE214">
            <v>0</v>
          </cell>
          <cell r="DF214">
            <v>0</v>
          </cell>
          <cell r="DG214">
            <v>0</v>
          </cell>
          <cell r="DR214">
            <v>73103</v>
          </cell>
          <cell r="DS214">
            <v>153</v>
          </cell>
          <cell r="DT214">
            <v>153</v>
          </cell>
          <cell r="DU214">
            <v>999999</v>
          </cell>
          <cell r="DV214">
            <v>999999</v>
          </cell>
          <cell r="DW214">
            <v>999999</v>
          </cell>
          <cell r="DX214">
            <v>153</v>
          </cell>
          <cell r="DY214">
            <v>153</v>
          </cell>
          <cell r="DZ214">
            <v>999999</v>
          </cell>
          <cell r="EA214">
            <v>999999</v>
          </cell>
        </row>
        <row r="215">
          <cell r="N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AJ215">
            <v>0</v>
          </cell>
          <cell r="AK215">
            <v>0</v>
          </cell>
          <cell r="AL215">
            <v>999999</v>
          </cell>
          <cell r="AM215">
            <v>152</v>
          </cell>
          <cell r="AN215">
            <v>152</v>
          </cell>
          <cell r="AO215">
            <v>152</v>
          </cell>
          <cell r="AP215">
            <v>0</v>
          </cell>
          <cell r="AQ215">
            <v>28</v>
          </cell>
          <cell r="AR215">
            <v>152</v>
          </cell>
          <cell r="AS215">
            <v>84</v>
          </cell>
          <cell r="BE215">
            <v>0</v>
          </cell>
          <cell r="BG215">
            <v>0</v>
          </cell>
          <cell r="BH215">
            <v>0</v>
          </cell>
          <cell r="BI215">
            <v>0</v>
          </cell>
          <cell r="BJ215">
            <v>0</v>
          </cell>
          <cell r="BK215">
            <v>0</v>
          </cell>
          <cell r="BL215">
            <v>0</v>
          </cell>
          <cell r="BM215">
            <v>0</v>
          </cell>
          <cell r="BN215">
            <v>0</v>
          </cell>
          <cell r="BO215">
            <v>0</v>
          </cell>
          <cell r="BP215">
            <v>0</v>
          </cell>
          <cell r="CA215">
            <v>121804.52369158411</v>
          </cell>
          <cell r="CB215">
            <v>74</v>
          </cell>
          <cell r="CC215">
            <v>152</v>
          </cell>
          <cell r="CD215">
            <v>152</v>
          </cell>
          <cell r="CE215">
            <v>114</v>
          </cell>
          <cell r="CF215">
            <v>152</v>
          </cell>
          <cell r="CG215">
            <v>46</v>
          </cell>
          <cell r="CH215">
            <v>152</v>
          </cell>
          <cell r="CI215">
            <v>152</v>
          </cell>
          <cell r="CJ215">
            <v>152</v>
          </cell>
          <cell r="CV215">
            <v>262.03473945409428</v>
          </cell>
          <cell r="CX215">
            <v>0</v>
          </cell>
          <cell r="CY215">
            <v>0</v>
          </cell>
          <cell r="CZ215">
            <v>0</v>
          </cell>
          <cell r="DA215">
            <v>0</v>
          </cell>
          <cell r="DB215">
            <v>0</v>
          </cell>
          <cell r="DC215">
            <v>0</v>
          </cell>
          <cell r="DD215">
            <v>0</v>
          </cell>
          <cell r="DE215">
            <v>0</v>
          </cell>
          <cell r="DF215">
            <v>0</v>
          </cell>
          <cell r="DG215">
            <v>0</v>
          </cell>
          <cell r="DR215">
            <v>73103</v>
          </cell>
          <cell r="DS215">
            <v>152</v>
          </cell>
          <cell r="DT215">
            <v>152</v>
          </cell>
          <cell r="DU215">
            <v>999999</v>
          </cell>
          <cell r="DV215">
            <v>999999</v>
          </cell>
          <cell r="DW215">
            <v>999999</v>
          </cell>
          <cell r="DX215">
            <v>152</v>
          </cell>
          <cell r="DY215">
            <v>152</v>
          </cell>
          <cell r="DZ215">
            <v>999999</v>
          </cell>
          <cell r="EA215">
            <v>999999</v>
          </cell>
        </row>
        <row r="216">
          <cell r="N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AJ216">
            <v>0</v>
          </cell>
          <cell r="AK216">
            <v>0</v>
          </cell>
          <cell r="AL216">
            <v>999999</v>
          </cell>
          <cell r="AM216">
            <v>151</v>
          </cell>
          <cell r="AN216">
            <v>151</v>
          </cell>
          <cell r="AO216">
            <v>151</v>
          </cell>
          <cell r="AP216">
            <v>0</v>
          </cell>
          <cell r="AQ216">
            <v>27</v>
          </cell>
          <cell r="AR216">
            <v>151</v>
          </cell>
          <cell r="AS216">
            <v>83</v>
          </cell>
          <cell r="BE216">
            <v>0</v>
          </cell>
          <cell r="BG216">
            <v>0</v>
          </cell>
          <cell r="BH216">
            <v>0</v>
          </cell>
          <cell r="BI216">
            <v>0</v>
          </cell>
          <cell r="BJ216">
            <v>0</v>
          </cell>
          <cell r="BK216">
            <v>0</v>
          </cell>
          <cell r="BL216">
            <v>0</v>
          </cell>
          <cell r="BM216">
            <v>0</v>
          </cell>
          <cell r="BN216">
            <v>0</v>
          </cell>
          <cell r="BO216">
            <v>0</v>
          </cell>
          <cell r="BP216">
            <v>0</v>
          </cell>
          <cell r="CA216">
            <v>121325.01110111678</v>
          </cell>
          <cell r="CB216">
            <v>73</v>
          </cell>
          <cell r="CC216">
            <v>151</v>
          </cell>
          <cell r="CD216">
            <v>151</v>
          </cell>
          <cell r="CE216">
            <v>113</v>
          </cell>
          <cell r="CF216">
            <v>151</v>
          </cell>
          <cell r="CG216">
            <v>45</v>
          </cell>
          <cell r="CH216">
            <v>151</v>
          </cell>
          <cell r="CI216">
            <v>151</v>
          </cell>
          <cell r="CJ216">
            <v>151</v>
          </cell>
          <cell r="CV216">
            <v>262.03473945409428</v>
          </cell>
          <cell r="CX216">
            <v>0</v>
          </cell>
          <cell r="CY216">
            <v>0</v>
          </cell>
          <cell r="CZ216">
            <v>0</v>
          </cell>
          <cell r="DA216">
            <v>0</v>
          </cell>
          <cell r="DB216">
            <v>0</v>
          </cell>
          <cell r="DC216">
            <v>0</v>
          </cell>
          <cell r="DD216">
            <v>0</v>
          </cell>
          <cell r="DE216">
            <v>0</v>
          </cell>
          <cell r="DF216">
            <v>0</v>
          </cell>
          <cell r="DG216">
            <v>0</v>
          </cell>
          <cell r="DR216">
            <v>73103</v>
          </cell>
          <cell r="DS216">
            <v>151</v>
          </cell>
          <cell r="DT216">
            <v>151</v>
          </cell>
          <cell r="DU216">
            <v>999999</v>
          </cell>
          <cell r="DV216">
            <v>999999</v>
          </cell>
          <cell r="DW216">
            <v>999999</v>
          </cell>
          <cell r="DX216">
            <v>151</v>
          </cell>
          <cell r="DY216">
            <v>151</v>
          </cell>
          <cell r="DZ216">
            <v>999999</v>
          </cell>
          <cell r="EA216">
            <v>999999</v>
          </cell>
        </row>
        <row r="217">
          <cell r="N217">
            <v>0</v>
          </cell>
          <cell r="P217">
            <v>1933</v>
          </cell>
          <cell r="Q217">
            <v>8844</v>
          </cell>
          <cell r="R217">
            <v>0</v>
          </cell>
          <cell r="S217">
            <v>0</v>
          </cell>
          <cell r="T217">
            <v>0</v>
          </cell>
          <cell r="U217">
            <v>0</v>
          </cell>
          <cell r="V217">
            <v>0</v>
          </cell>
          <cell r="W217">
            <v>0</v>
          </cell>
          <cell r="X217">
            <v>0</v>
          </cell>
          <cell r="Y217">
            <v>0</v>
          </cell>
          <cell r="AJ217">
            <v>0</v>
          </cell>
          <cell r="AK217">
            <v>0</v>
          </cell>
          <cell r="AL217">
            <v>999999</v>
          </cell>
          <cell r="AM217">
            <v>150</v>
          </cell>
          <cell r="AN217">
            <v>150</v>
          </cell>
          <cell r="AO217">
            <v>150</v>
          </cell>
          <cell r="AP217">
            <v>0</v>
          </cell>
          <cell r="AQ217">
            <v>26</v>
          </cell>
          <cell r="AR217">
            <v>150</v>
          </cell>
          <cell r="AS217">
            <v>82</v>
          </cell>
          <cell r="BE217">
            <v>0</v>
          </cell>
          <cell r="BG217" t="str">
            <v>Arg</v>
          </cell>
          <cell r="BH217">
            <v>6857</v>
          </cell>
          <cell r="BI217">
            <v>4226</v>
          </cell>
          <cell r="BJ217">
            <v>2710</v>
          </cell>
          <cell r="BK217">
            <v>0</v>
          </cell>
          <cell r="BL217">
            <v>0</v>
          </cell>
          <cell r="BM217">
            <v>0</v>
          </cell>
          <cell r="BN217">
            <v>0</v>
          </cell>
          <cell r="BO217">
            <v>0</v>
          </cell>
          <cell r="BP217">
            <v>0</v>
          </cell>
          <cell r="CA217">
            <v>120845.49851064944</v>
          </cell>
          <cell r="CB217">
            <v>80</v>
          </cell>
          <cell r="CC217">
            <v>150</v>
          </cell>
          <cell r="CD217">
            <v>150</v>
          </cell>
          <cell r="CE217">
            <v>112</v>
          </cell>
          <cell r="CF217">
            <v>150</v>
          </cell>
          <cell r="CG217">
            <v>44</v>
          </cell>
          <cell r="CH217">
            <v>150</v>
          </cell>
          <cell r="CI217">
            <v>150</v>
          </cell>
          <cell r="CJ217">
            <v>150</v>
          </cell>
          <cell r="CV217">
            <v>262.03473945409428</v>
          </cell>
          <cell r="CX217">
            <v>50000</v>
          </cell>
          <cell r="CY217">
            <v>21107</v>
          </cell>
          <cell r="CZ217">
            <v>0</v>
          </cell>
          <cell r="DA217">
            <v>0</v>
          </cell>
          <cell r="DB217">
            <v>0</v>
          </cell>
          <cell r="DC217">
            <v>0</v>
          </cell>
          <cell r="DD217">
            <v>0</v>
          </cell>
          <cell r="DE217">
            <v>0</v>
          </cell>
          <cell r="DF217">
            <v>0</v>
          </cell>
          <cell r="DG217">
            <v>0</v>
          </cell>
          <cell r="DR217">
            <v>73103</v>
          </cell>
          <cell r="DS217">
            <v>150</v>
          </cell>
          <cell r="DT217">
            <v>150</v>
          </cell>
          <cell r="DU217">
            <v>999999</v>
          </cell>
          <cell r="DV217">
            <v>999999</v>
          </cell>
          <cell r="DW217">
            <v>999999</v>
          </cell>
          <cell r="DX217">
            <v>150</v>
          </cell>
          <cell r="DY217">
            <v>150</v>
          </cell>
          <cell r="DZ217">
            <v>999999</v>
          </cell>
          <cell r="EA217">
            <v>999999</v>
          </cell>
        </row>
        <row r="218">
          <cell r="N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AJ218">
            <v>0</v>
          </cell>
          <cell r="AK218">
            <v>0</v>
          </cell>
          <cell r="AL218">
            <v>999999</v>
          </cell>
          <cell r="AM218">
            <v>149</v>
          </cell>
          <cell r="AN218">
            <v>149</v>
          </cell>
          <cell r="AO218">
            <v>149</v>
          </cell>
          <cell r="AP218">
            <v>0</v>
          </cell>
          <cell r="AQ218">
            <v>25</v>
          </cell>
          <cell r="AR218">
            <v>149</v>
          </cell>
          <cell r="AS218">
            <v>81</v>
          </cell>
          <cell r="BE218">
            <v>0</v>
          </cell>
          <cell r="BG218">
            <v>0</v>
          </cell>
          <cell r="BH218">
            <v>0</v>
          </cell>
          <cell r="BI218">
            <v>0</v>
          </cell>
          <cell r="BJ218">
            <v>0</v>
          </cell>
          <cell r="BK218">
            <v>0</v>
          </cell>
          <cell r="BL218">
            <v>0</v>
          </cell>
          <cell r="BM218">
            <v>0</v>
          </cell>
          <cell r="BN218">
            <v>0</v>
          </cell>
          <cell r="BO218">
            <v>0</v>
          </cell>
          <cell r="BP218">
            <v>0</v>
          </cell>
          <cell r="CA218">
            <v>120365.98592018211</v>
          </cell>
          <cell r="CB218">
            <v>79</v>
          </cell>
          <cell r="CC218">
            <v>149</v>
          </cell>
          <cell r="CD218">
            <v>149</v>
          </cell>
          <cell r="CE218">
            <v>111</v>
          </cell>
          <cell r="CF218">
            <v>149</v>
          </cell>
          <cell r="CG218">
            <v>43</v>
          </cell>
          <cell r="CH218">
            <v>149</v>
          </cell>
          <cell r="CI218">
            <v>149</v>
          </cell>
          <cell r="CJ218">
            <v>149</v>
          </cell>
          <cell r="CV218">
            <v>262.03473945409428</v>
          </cell>
          <cell r="CX218">
            <v>0</v>
          </cell>
          <cell r="CY218">
            <v>0</v>
          </cell>
          <cell r="CZ218">
            <v>0</v>
          </cell>
          <cell r="DA218">
            <v>0</v>
          </cell>
          <cell r="DB218">
            <v>0</v>
          </cell>
          <cell r="DC218">
            <v>0</v>
          </cell>
          <cell r="DD218">
            <v>0</v>
          </cell>
          <cell r="DE218">
            <v>0</v>
          </cell>
          <cell r="DF218">
            <v>0</v>
          </cell>
          <cell r="DG218">
            <v>0</v>
          </cell>
          <cell r="DR218">
            <v>73103</v>
          </cell>
          <cell r="DS218">
            <v>149</v>
          </cell>
          <cell r="DT218">
            <v>149</v>
          </cell>
          <cell r="DU218">
            <v>999999</v>
          </cell>
          <cell r="DV218">
            <v>999999</v>
          </cell>
          <cell r="DW218">
            <v>999999</v>
          </cell>
          <cell r="DX218">
            <v>149</v>
          </cell>
          <cell r="DY218">
            <v>149</v>
          </cell>
          <cell r="DZ218">
            <v>999999</v>
          </cell>
          <cell r="EA218">
            <v>999999</v>
          </cell>
        </row>
        <row r="219">
          <cell r="N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AJ219">
            <v>0</v>
          </cell>
          <cell r="AK219">
            <v>0</v>
          </cell>
          <cell r="AL219">
            <v>999999</v>
          </cell>
          <cell r="AM219">
            <v>148</v>
          </cell>
          <cell r="AN219">
            <v>148</v>
          </cell>
          <cell r="AO219">
            <v>148</v>
          </cell>
          <cell r="AP219">
            <v>0</v>
          </cell>
          <cell r="AQ219">
            <v>24</v>
          </cell>
          <cell r="AR219">
            <v>148</v>
          </cell>
          <cell r="AS219">
            <v>80</v>
          </cell>
          <cell r="BE219">
            <v>0</v>
          </cell>
          <cell r="BG219">
            <v>0</v>
          </cell>
          <cell r="BH219">
            <v>0</v>
          </cell>
          <cell r="BI219">
            <v>0</v>
          </cell>
          <cell r="BJ219">
            <v>0</v>
          </cell>
          <cell r="BK219">
            <v>0</v>
          </cell>
          <cell r="BL219">
            <v>0</v>
          </cell>
          <cell r="BM219">
            <v>0</v>
          </cell>
          <cell r="BN219">
            <v>0</v>
          </cell>
          <cell r="BO219">
            <v>0</v>
          </cell>
          <cell r="BP219">
            <v>0</v>
          </cell>
          <cell r="CA219">
            <v>119886.47332971478</v>
          </cell>
          <cell r="CB219">
            <v>78</v>
          </cell>
          <cell r="CC219">
            <v>148</v>
          </cell>
          <cell r="CD219">
            <v>148</v>
          </cell>
          <cell r="CE219">
            <v>110</v>
          </cell>
          <cell r="CF219">
            <v>148</v>
          </cell>
          <cell r="CG219">
            <v>42</v>
          </cell>
          <cell r="CH219">
            <v>148</v>
          </cell>
          <cell r="CI219">
            <v>148</v>
          </cell>
          <cell r="CJ219">
            <v>148</v>
          </cell>
          <cell r="CV219">
            <v>262.03473945409428</v>
          </cell>
          <cell r="CX219">
            <v>0</v>
          </cell>
          <cell r="CY219">
            <v>0</v>
          </cell>
          <cell r="CZ219">
            <v>0</v>
          </cell>
          <cell r="DA219">
            <v>0</v>
          </cell>
          <cell r="DB219">
            <v>0</v>
          </cell>
          <cell r="DC219">
            <v>0</v>
          </cell>
          <cell r="DD219">
            <v>0</v>
          </cell>
          <cell r="DE219">
            <v>0</v>
          </cell>
          <cell r="DF219">
            <v>0</v>
          </cell>
          <cell r="DG219">
            <v>0</v>
          </cell>
          <cell r="DR219">
            <v>73103</v>
          </cell>
          <cell r="DS219">
            <v>148</v>
          </cell>
          <cell r="DT219">
            <v>148</v>
          </cell>
          <cell r="DU219">
            <v>999999</v>
          </cell>
          <cell r="DV219">
            <v>999999</v>
          </cell>
          <cell r="DW219">
            <v>999999</v>
          </cell>
          <cell r="DX219">
            <v>148</v>
          </cell>
          <cell r="DY219">
            <v>148</v>
          </cell>
          <cell r="DZ219">
            <v>999999</v>
          </cell>
          <cell r="EA219">
            <v>999999</v>
          </cell>
        </row>
        <row r="220">
          <cell r="N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AJ220">
            <v>0</v>
          </cell>
          <cell r="AK220">
            <v>0</v>
          </cell>
          <cell r="AL220">
            <v>999999</v>
          </cell>
          <cell r="AM220">
            <v>147</v>
          </cell>
          <cell r="AN220">
            <v>147</v>
          </cell>
          <cell r="AO220">
            <v>147</v>
          </cell>
          <cell r="AP220">
            <v>0</v>
          </cell>
          <cell r="AQ220">
            <v>23</v>
          </cell>
          <cell r="AR220">
            <v>147</v>
          </cell>
          <cell r="AS220">
            <v>79</v>
          </cell>
          <cell r="BE220">
            <v>0</v>
          </cell>
          <cell r="BG220">
            <v>0</v>
          </cell>
          <cell r="BH220">
            <v>0</v>
          </cell>
          <cell r="BI220">
            <v>0</v>
          </cell>
          <cell r="BJ220">
            <v>0</v>
          </cell>
          <cell r="BK220">
            <v>0</v>
          </cell>
          <cell r="BL220">
            <v>0</v>
          </cell>
          <cell r="BM220">
            <v>0</v>
          </cell>
          <cell r="BN220">
            <v>0</v>
          </cell>
          <cell r="BO220">
            <v>0</v>
          </cell>
          <cell r="BP220">
            <v>0</v>
          </cell>
          <cell r="CA220">
            <v>119406.96073924744</v>
          </cell>
          <cell r="CB220">
            <v>77</v>
          </cell>
          <cell r="CC220">
            <v>147</v>
          </cell>
          <cell r="CD220">
            <v>147</v>
          </cell>
          <cell r="CE220">
            <v>109</v>
          </cell>
          <cell r="CF220">
            <v>147</v>
          </cell>
          <cell r="CG220">
            <v>41</v>
          </cell>
          <cell r="CH220">
            <v>147</v>
          </cell>
          <cell r="CI220">
            <v>147</v>
          </cell>
          <cell r="CJ220">
            <v>147</v>
          </cell>
          <cell r="CV220">
            <v>262.03473945409428</v>
          </cell>
          <cell r="CX220">
            <v>0</v>
          </cell>
          <cell r="CY220">
            <v>0</v>
          </cell>
          <cell r="CZ220">
            <v>0</v>
          </cell>
          <cell r="DA220">
            <v>0</v>
          </cell>
          <cell r="DB220">
            <v>0</v>
          </cell>
          <cell r="DC220">
            <v>0</v>
          </cell>
          <cell r="DD220">
            <v>0</v>
          </cell>
          <cell r="DE220">
            <v>0</v>
          </cell>
          <cell r="DF220">
            <v>0</v>
          </cell>
          <cell r="DG220">
            <v>0</v>
          </cell>
          <cell r="DR220">
            <v>73103</v>
          </cell>
          <cell r="DS220">
            <v>147</v>
          </cell>
          <cell r="DT220">
            <v>147</v>
          </cell>
          <cell r="DU220">
            <v>999999</v>
          </cell>
          <cell r="DV220">
            <v>999999</v>
          </cell>
          <cell r="DW220">
            <v>999999</v>
          </cell>
          <cell r="DX220">
            <v>147</v>
          </cell>
          <cell r="DY220">
            <v>147</v>
          </cell>
          <cell r="DZ220">
            <v>999999</v>
          </cell>
          <cell r="EA220">
            <v>999999</v>
          </cell>
        </row>
        <row r="221">
          <cell r="N221">
            <v>0</v>
          </cell>
          <cell r="P221">
            <v>0</v>
          </cell>
          <cell r="Q221">
            <v>0</v>
          </cell>
          <cell r="R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AJ221">
            <v>0</v>
          </cell>
          <cell r="AK221">
            <v>0</v>
          </cell>
          <cell r="AL221">
            <v>999999</v>
          </cell>
          <cell r="AM221">
            <v>146</v>
          </cell>
          <cell r="AN221">
            <v>146</v>
          </cell>
          <cell r="AO221">
            <v>146</v>
          </cell>
          <cell r="AP221">
            <v>0</v>
          </cell>
          <cell r="AQ221">
            <v>22</v>
          </cell>
          <cell r="AR221">
            <v>146</v>
          </cell>
          <cell r="AS221">
            <v>78</v>
          </cell>
          <cell r="BE221">
            <v>0</v>
          </cell>
          <cell r="BG221">
            <v>0</v>
          </cell>
          <cell r="BH221">
            <v>0</v>
          </cell>
          <cell r="BI221">
            <v>0</v>
          </cell>
          <cell r="BJ221">
            <v>0</v>
          </cell>
          <cell r="BK221">
            <v>0</v>
          </cell>
          <cell r="BL221">
            <v>0</v>
          </cell>
          <cell r="BM221">
            <v>0</v>
          </cell>
          <cell r="BN221">
            <v>0</v>
          </cell>
          <cell r="BO221">
            <v>0</v>
          </cell>
          <cell r="BP221">
            <v>0</v>
          </cell>
          <cell r="CA221">
            <v>118927.44814878011</v>
          </cell>
          <cell r="CB221">
            <v>76</v>
          </cell>
          <cell r="CC221">
            <v>146</v>
          </cell>
          <cell r="CD221">
            <v>146</v>
          </cell>
          <cell r="CE221">
            <v>108</v>
          </cell>
          <cell r="CF221">
            <v>146</v>
          </cell>
          <cell r="CG221">
            <v>40</v>
          </cell>
          <cell r="CH221">
            <v>146</v>
          </cell>
          <cell r="CI221">
            <v>146</v>
          </cell>
          <cell r="CJ221">
            <v>146</v>
          </cell>
          <cell r="CV221">
            <v>262.03473945409428</v>
          </cell>
          <cell r="CX221">
            <v>0</v>
          </cell>
          <cell r="CY221">
            <v>0</v>
          </cell>
          <cell r="CZ221">
            <v>0</v>
          </cell>
          <cell r="DA221">
            <v>0</v>
          </cell>
          <cell r="DB221">
            <v>0</v>
          </cell>
          <cell r="DC221">
            <v>0</v>
          </cell>
          <cell r="DD221">
            <v>0</v>
          </cell>
          <cell r="DE221">
            <v>0</v>
          </cell>
          <cell r="DF221">
            <v>0</v>
          </cell>
          <cell r="DG221">
            <v>0</v>
          </cell>
          <cell r="DR221">
            <v>73103</v>
          </cell>
          <cell r="DS221">
            <v>146</v>
          </cell>
          <cell r="DT221">
            <v>146</v>
          </cell>
          <cell r="DU221">
            <v>999999</v>
          </cell>
          <cell r="DV221">
            <v>999999</v>
          </cell>
          <cell r="DW221">
            <v>999999</v>
          </cell>
          <cell r="DX221">
            <v>146</v>
          </cell>
          <cell r="DY221">
            <v>146</v>
          </cell>
          <cell r="DZ221">
            <v>999999</v>
          </cell>
          <cell r="EA221">
            <v>999999</v>
          </cell>
        </row>
        <row r="222">
          <cell r="N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AJ222">
            <v>0</v>
          </cell>
          <cell r="AK222">
            <v>0</v>
          </cell>
          <cell r="AL222">
            <v>999999</v>
          </cell>
          <cell r="AM222">
            <v>145</v>
          </cell>
          <cell r="AN222">
            <v>145</v>
          </cell>
          <cell r="AO222">
            <v>145</v>
          </cell>
          <cell r="AP222">
            <v>0</v>
          </cell>
          <cell r="AQ222">
            <v>21</v>
          </cell>
          <cell r="AR222">
            <v>145</v>
          </cell>
          <cell r="AS222">
            <v>77</v>
          </cell>
          <cell r="BE222">
            <v>0</v>
          </cell>
          <cell r="BG222">
            <v>0</v>
          </cell>
          <cell r="BH222">
            <v>0</v>
          </cell>
          <cell r="BI222">
            <v>0</v>
          </cell>
          <cell r="BJ222">
            <v>0</v>
          </cell>
          <cell r="BK222">
            <v>0</v>
          </cell>
          <cell r="BL222">
            <v>0</v>
          </cell>
          <cell r="BM222">
            <v>0</v>
          </cell>
          <cell r="BN222">
            <v>0</v>
          </cell>
          <cell r="BO222">
            <v>0</v>
          </cell>
          <cell r="BP222">
            <v>0</v>
          </cell>
          <cell r="CA222">
            <v>118447.93555831278</v>
          </cell>
          <cell r="CB222">
            <v>75</v>
          </cell>
          <cell r="CC222">
            <v>145</v>
          </cell>
          <cell r="CD222">
            <v>145</v>
          </cell>
          <cell r="CE222">
            <v>107</v>
          </cell>
          <cell r="CF222">
            <v>145</v>
          </cell>
          <cell r="CG222">
            <v>39</v>
          </cell>
          <cell r="CH222">
            <v>145</v>
          </cell>
          <cell r="CI222">
            <v>145</v>
          </cell>
          <cell r="CJ222">
            <v>145</v>
          </cell>
          <cell r="CV222">
            <v>262.03473945409428</v>
          </cell>
          <cell r="CX222">
            <v>0</v>
          </cell>
          <cell r="CY222">
            <v>0</v>
          </cell>
          <cell r="CZ222">
            <v>0</v>
          </cell>
          <cell r="DA222">
            <v>0</v>
          </cell>
          <cell r="DB222">
            <v>0</v>
          </cell>
          <cell r="DC222">
            <v>0</v>
          </cell>
          <cell r="DD222">
            <v>0</v>
          </cell>
          <cell r="DE222">
            <v>0</v>
          </cell>
          <cell r="DF222">
            <v>0</v>
          </cell>
          <cell r="DG222">
            <v>0</v>
          </cell>
          <cell r="DR222">
            <v>73103</v>
          </cell>
          <cell r="DS222">
            <v>145</v>
          </cell>
          <cell r="DT222">
            <v>145</v>
          </cell>
          <cell r="DU222">
            <v>999999</v>
          </cell>
          <cell r="DV222">
            <v>999999</v>
          </cell>
          <cell r="DW222">
            <v>999999</v>
          </cell>
          <cell r="DX222">
            <v>145</v>
          </cell>
          <cell r="DY222">
            <v>145</v>
          </cell>
          <cell r="DZ222">
            <v>999999</v>
          </cell>
          <cell r="EA222">
            <v>999999</v>
          </cell>
        </row>
        <row r="223">
          <cell r="N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2268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AJ223">
            <v>0</v>
          </cell>
          <cell r="AK223">
            <v>0</v>
          </cell>
          <cell r="AL223">
            <v>999999</v>
          </cell>
          <cell r="AM223">
            <v>144</v>
          </cell>
          <cell r="AN223">
            <v>144</v>
          </cell>
          <cell r="AO223">
            <v>144</v>
          </cell>
          <cell r="AP223">
            <v>0</v>
          </cell>
          <cell r="AQ223">
            <v>20</v>
          </cell>
          <cell r="AR223">
            <v>144</v>
          </cell>
          <cell r="AS223">
            <v>76</v>
          </cell>
          <cell r="BE223">
            <v>0</v>
          </cell>
          <cell r="BG223">
            <v>0</v>
          </cell>
          <cell r="BH223">
            <v>0</v>
          </cell>
          <cell r="BI223">
            <v>0</v>
          </cell>
          <cell r="BJ223">
            <v>0</v>
          </cell>
          <cell r="BK223">
            <v>5880</v>
          </cell>
          <cell r="BL223">
            <v>0</v>
          </cell>
          <cell r="BM223">
            <v>0</v>
          </cell>
          <cell r="BN223">
            <v>0</v>
          </cell>
          <cell r="BO223">
            <v>0</v>
          </cell>
          <cell r="BP223">
            <v>0</v>
          </cell>
          <cell r="CA223">
            <v>117968.42296784544</v>
          </cell>
          <cell r="CB223">
            <v>74</v>
          </cell>
          <cell r="CC223">
            <v>144</v>
          </cell>
          <cell r="CD223">
            <v>144</v>
          </cell>
          <cell r="CE223">
            <v>113</v>
          </cell>
          <cell r="CF223">
            <v>144</v>
          </cell>
          <cell r="CG223">
            <v>38</v>
          </cell>
          <cell r="CH223">
            <v>144</v>
          </cell>
          <cell r="CI223">
            <v>144</v>
          </cell>
          <cell r="CJ223">
            <v>144</v>
          </cell>
          <cell r="CV223">
            <v>262.03473945409428</v>
          </cell>
          <cell r="CX223">
            <v>0</v>
          </cell>
          <cell r="CY223">
            <v>0</v>
          </cell>
          <cell r="CZ223">
            <v>0</v>
          </cell>
          <cell r="DA223">
            <v>0</v>
          </cell>
          <cell r="DB223">
            <v>0</v>
          </cell>
          <cell r="DC223">
            <v>0</v>
          </cell>
          <cell r="DD223">
            <v>0</v>
          </cell>
          <cell r="DE223">
            <v>0</v>
          </cell>
          <cell r="DF223">
            <v>0</v>
          </cell>
          <cell r="DG223">
            <v>0</v>
          </cell>
          <cell r="DR223">
            <v>73103</v>
          </cell>
          <cell r="DS223">
            <v>144</v>
          </cell>
          <cell r="DT223">
            <v>144</v>
          </cell>
          <cell r="DU223">
            <v>999999</v>
          </cell>
          <cell r="DV223">
            <v>999999</v>
          </cell>
          <cell r="DW223">
            <v>999999</v>
          </cell>
          <cell r="DX223">
            <v>144</v>
          </cell>
          <cell r="DY223">
            <v>144</v>
          </cell>
          <cell r="DZ223">
            <v>999999</v>
          </cell>
          <cell r="EA223">
            <v>999999</v>
          </cell>
        </row>
        <row r="224">
          <cell r="N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AJ224">
            <v>0</v>
          </cell>
          <cell r="AK224">
            <v>0</v>
          </cell>
          <cell r="AL224">
            <v>999999</v>
          </cell>
          <cell r="AM224">
            <v>143</v>
          </cell>
          <cell r="AN224">
            <v>143</v>
          </cell>
          <cell r="AO224">
            <v>143</v>
          </cell>
          <cell r="AP224">
            <v>0</v>
          </cell>
          <cell r="AQ224">
            <v>19</v>
          </cell>
          <cell r="AR224">
            <v>143</v>
          </cell>
          <cell r="AS224">
            <v>75</v>
          </cell>
          <cell r="BE224">
            <v>0</v>
          </cell>
          <cell r="BG224">
            <v>0</v>
          </cell>
          <cell r="BH224">
            <v>0</v>
          </cell>
          <cell r="BI224">
            <v>0</v>
          </cell>
          <cell r="BJ224">
            <v>0</v>
          </cell>
          <cell r="BK224">
            <v>0</v>
          </cell>
          <cell r="BL224">
            <v>0</v>
          </cell>
          <cell r="BM224">
            <v>0</v>
          </cell>
          <cell r="BN224">
            <v>0</v>
          </cell>
          <cell r="BO224">
            <v>0</v>
          </cell>
          <cell r="BP224">
            <v>0</v>
          </cell>
          <cell r="CA224">
            <v>117488.91037737811</v>
          </cell>
          <cell r="CB224">
            <v>73</v>
          </cell>
          <cell r="CC224">
            <v>143</v>
          </cell>
          <cell r="CD224">
            <v>143</v>
          </cell>
          <cell r="CE224">
            <v>112</v>
          </cell>
          <cell r="CF224">
            <v>143</v>
          </cell>
          <cell r="CG224">
            <v>37</v>
          </cell>
          <cell r="CH224">
            <v>143</v>
          </cell>
          <cell r="CI224">
            <v>143</v>
          </cell>
          <cell r="CJ224">
            <v>143</v>
          </cell>
          <cell r="CV224">
            <v>262.03473945409428</v>
          </cell>
          <cell r="CX224">
            <v>0</v>
          </cell>
          <cell r="CY224">
            <v>0</v>
          </cell>
          <cell r="CZ224">
            <v>0</v>
          </cell>
          <cell r="DA224">
            <v>0</v>
          </cell>
          <cell r="DB224">
            <v>0</v>
          </cell>
          <cell r="DC224">
            <v>0</v>
          </cell>
          <cell r="DD224">
            <v>0</v>
          </cell>
          <cell r="DE224">
            <v>0</v>
          </cell>
          <cell r="DF224">
            <v>0</v>
          </cell>
          <cell r="DG224">
            <v>0</v>
          </cell>
          <cell r="DR224">
            <v>73103</v>
          </cell>
          <cell r="DS224">
            <v>143</v>
          </cell>
          <cell r="DT224">
            <v>143</v>
          </cell>
          <cell r="DU224">
            <v>999999</v>
          </cell>
          <cell r="DV224">
            <v>999999</v>
          </cell>
          <cell r="DW224">
            <v>999999</v>
          </cell>
          <cell r="DX224">
            <v>143</v>
          </cell>
          <cell r="DY224">
            <v>143</v>
          </cell>
          <cell r="DZ224">
            <v>999999</v>
          </cell>
          <cell r="EA224">
            <v>999999</v>
          </cell>
        </row>
        <row r="225">
          <cell r="N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AJ225">
            <v>0</v>
          </cell>
          <cell r="AK225">
            <v>0</v>
          </cell>
          <cell r="AL225">
            <v>999999</v>
          </cell>
          <cell r="AM225">
            <v>142</v>
          </cell>
          <cell r="AN225">
            <v>142</v>
          </cell>
          <cell r="AO225">
            <v>142</v>
          </cell>
          <cell r="AP225">
            <v>0</v>
          </cell>
          <cell r="AQ225">
            <v>18</v>
          </cell>
          <cell r="AR225">
            <v>142</v>
          </cell>
          <cell r="AS225">
            <v>74</v>
          </cell>
          <cell r="BE225">
            <v>48000</v>
          </cell>
          <cell r="BG225">
            <v>0</v>
          </cell>
          <cell r="BH225">
            <v>0</v>
          </cell>
          <cell r="BI225">
            <v>0</v>
          </cell>
          <cell r="BJ225">
            <v>0</v>
          </cell>
          <cell r="BK225">
            <v>0</v>
          </cell>
          <cell r="BL225">
            <v>0</v>
          </cell>
          <cell r="BM225">
            <v>0</v>
          </cell>
          <cell r="BN225">
            <v>0</v>
          </cell>
          <cell r="BO225">
            <v>0</v>
          </cell>
          <cell r="BP225">
            <v>0</v>
          </cell>
          <cell r="CA225">
            <v>117009.39778691078</v>
          </cell>
          <cell r="CB225">
            <v>72</v>
          </cell>
          <cell r="CC225">
            <v>142</v>
          </cell>
          <cell r="CD225">
            <v>142</v>
          </cell>
          <cell r="CE225">
            <v>111</v>
          </cell>
          <cell r="CF225">
            <v>142</v>
          </cell>
          <cell r="CG225">
            <v>36</v>
          </cell>
          <cell r="CH225">
            <v>142</v>
          </cell>
          <cell r="CI225">
            <v>142</v>
          </cell>
          <cell r="CJ225">
            <v>142</v>
          </cell>
          <cell r="CV225">
            <v>262.03473945409428</v>
          </cell>
          <cell r="CX225">
            <v>0</v>
          </cell>
          <cell r="CY225">
            <v>0</v>
          </cell>
          <cell r="CZ225">
            <v>0</v>
          </cell>
          <cell r="DA225">
            <v>0</v>
          </cell>
          <cell r="DB225">
            <v>0</v>
          </cell>
          <cell r="DC225">
            <v>0</v>
          </cell>
          <cell r="DD225">
            <v>0</v>
          </cell>
          <cell r="DE225">
            <v>0</v>
          </cell>
          <cell r="DF225">
            <v>0</v>
          </cell>
          <cell r="DG225">
            <v>0</v>
          </cell>
          <cell r="DR225">
            <v>73103</v>
          </cell>
          <cell r="DS225">
            <v>142</v>
          </cell>
          <cell r="DT225">
            <v>142</v>
          </cell>
          <cell r="DU225">
            <v>999999</v>
          </cell>
          <cell r="DV225">
            <v>999999</v>
          </cell>
          <cell r="DW225">
            <v>999999</v>
          </cell>
          <cell r="DX225">
            <v>142</v>
          </cell>
          <cell r="DY225">
            <v>142</v>
          </cell>
          <cell r="DZ225">
            <v>999999</v>
          </cell>
          <cell r="EA225">
            <v>999999</v>
          </cell>
        </row>
        <row r="226">
          <cell r="N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AJ226">
            <v>0</v>
          </cell>
          <cell r="AK226">
            <v>0</v>
          </cell>
          <cell r="AL226">
            <v>999999</v>
          </cell>
          <cell r="AM226">
            <v>141</v>
          </cell>
          <cell r="AN226">
            <v>141</v>
          </cell>
          <cell r="AO226">
            <v>141</v>
          </cell>
          <cell r="AP226">
            <v>0</v>
          </cell>
          <cell r="AQ226">
            <v>17</v>
          </cell>
          <cell r="AR226">
            <v>141</v>
          </cell>
          <cell r="AS226">
            <v>73</v>
          </cell>
          <cell r="BE226">
            <v>0</v>
          </cell>
          <cell r="BG226">
            <v>0</v>
          </cell>
          <cell r="BH226">
            <v>0</v>
          </cell>
          <cell r="BI226">
            <v>0</v>
          </cell>
          <cell r="BJ226">
            <v>0</v>
          </cell>
          <cell r="BK226">
            <v>0</v>
          </cell>
          <cell r="BL226">
            <v>0</v>
          </cell>
          <cell r="BM226">
            <v>0</v>
          </cell>
          <cell r="BN226">
            <v>0</v>
          </cell>
          <cell r="BO226">
            <v>0</v>
          </cell>
          <cell r="BP226">
            <v>0</v>
          </cell>
          <cell r="CA226">
            <v>116529.88519644344</v>
          </cell>
          <cell r="CB226">
            <v>71</v>
          </cell>
          <cell r="CC226">
            <v>141</v>
          </cell>
          <cell r="CD226">
            <v>141</v>
          </cell>
          <cell r="CE226">
            <v>110</v>
          </cell>
          <cell r="CF226">
            <v>141</v>
          </cell>
          <cell r="CG226">
            <v>35</v>
          </cell>
          <cell r="CH226">
            <v>141</v>
          </cell>
          <cell r="CI226">
            <v>141</v>
          </cell>
          <cell r="CJ226">
            <v>141</v>
          </cell>
          <cell r="CV226">
            <v>262.03473945409428</v>
          </cell>
          <cell r="CX226">
            <v>0</v>
          </cell>
          <cell r="CY226">
            <v>0</v>
          </cell>
          <cell r="CZ226">
            <v>0</v>
          </cell>
          <cell r="DA226">
            <v>0</v>
          </cell>
          <cell r="DB226">
            <v>0</v>
          </cell>
          <cell r="DC226">
            <v>0</v>
          </cell>
          <cell r="DD226">
            <v>0</v>
          </cell>
          <cell r="DE226">
            <v>0</v>
          </cell>
          <cell r="DF226">
            <v>0</v>
          </cell>
          <cell r="DG226">
            <v>0</v>
          </cell>
          <cell r="DR226">
            <v>73103</v>
          </cell>
          <cell r="DS226">
            <v>141</v>
          </cell>
          <cell r="DT226">
            <v>141</v>
          </cell>
          <cell r="DU226">
            <v>999999</v>
          </cell>
          <cell r="DV226">
            <v>999999</v>
          </cell>
          <cell r="DW226">
            <v>999999</v>
          </cell>
          <cell r="DX226">
            <v>141</v>
          </cell>
          <cell r="DY226">
            <v>141</v>
          </cell>
          <cell r="DZ226">
            <v>999999</v>
          </cell>
          <cell r="EA226">
            <v>999999</v>
          </cell>
        </row>
        <row r="227">
          <cell r="N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AJ227">
            <v>0</v>
          </cell>
          <cell r="AK227">
            <v>0</v>
          </cell>
          <cell r="AL227">
            <v>999999</v>
          </cell>
          <cell r="AM227">
            <v>140</v>
          </cell>
          <cell r="AN227">
            <v>140</v>
          </cell>
          <cell r="AO227">
            <v>140</v>
          </cell>
          <cell r="AP227">
            <v>0</v>
          </cell>
          <cell r="AQ227">
            <v>16</v>
          </cell>
          <cell r="AR227">
            <v>140</v>
          </cell>
          <cell r="AS227">
            <v>72</v>
          </cell>
          <cell r="BE227">
            <v>0</v>
          </cell>
          <cell r="BG227">
            <v>0</v>
          </cell>
          <cell r="BH227">
            <v>0</v>
          </cell>
          <cell r="BI227">
            <v>0</v>
          </cell>
          <cell r="BJ227">
            <v>0</v>
          </cell>
          <cell r="BK227">
            <v>0</v>
          </cell>
          <cell r="BL227">
            <v>0</v>
          </cell>
          <cell r="BM227">
            <v>0</v>
          </cell>
          <cell r="BN227">
            <v>0</v>
          </cell>
          <cell r="BO227">
            <v>0</v>
          </cell>
          <cell r="BP227">
            <v>0</v>
          </cell>
          <cell r="CA227">
            <v>116050.37260597611</v>
          </cell>
          <cell r="CB227">
            <v>70</v>
          </cell>
          <cell r="CC227">
            <v>140</v>
          </cell>
          <cell r="CD227">
            <v>140</v>
          </cell>
          <cell r="CE227">
            <v>109</v>
          </cell>
          <cell r="CF227">
            <v>140</v>
          </cell>
          <cell r="CG227">
            <v>34</v>
          </cell>
          <cell r="CH227">
            <v>140</v>
          </cell>
          <cell r="CI227">
            <v>140</v>
          </cell>
          <cell r="CJ227">
            <v>140</v>
          </cell>
          <cell r="CV227">
            <v>262.03473945409428</v>
          </cell>
          <cell r="CX227">
            <v>0</v>
          </cell>
          <cell r="CY227">
            <v>0</v>
          </cell>
          <cell r="CZ227">
            <v>0</v>
          </cell>
          <cell r="DA227">
            <v>0</v>
          </cell>
          <cell r="DB227">
            <v>0</v>
          </cell>
          <cell r="DC227">
            <v>0</v>
          </cell>
          <cell r="DD227">
            <v>0</v>
          </cell>
          <cell r="DE227">
            <v>0</v>
          </cell>
          <cell r="DF227">
            <v>0</v>
          </cell>
          <cell r="DG227">
            <v>0</v>
          </cell>
          <cell r="DR227">
            <v>73103</v>
          </cell>
          <cell r="DS227">
            <v>140</v>
          </cell>
          <cell r="DT227">
            <v>140</v>
          </cell>
          <cell r="DU227">
            <v>999999</v>
          </cell>
          <cell r="DV227">
            <v>999999</v>
          </cell>
          <cell r="DW227">
            <v>999999</v>
          </cell>
          <cell r="DX227">
            <v>140</v>
          </cell>
          <cell r="DY227">
            <v>140</v>
          </cell>
          <cell r="DZ227">
            <v>999999</v>
          </cell>
          <cell r="EA227">
            <v>999999</v>
          </cell>
        </row>
        <row r="228">
          <cell r="N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>
            <v>4043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AJ228">
            <v>0</v>
          </cell>
          <cell r="AK228">
            <v>0</v>
          </cell>
          <cell r="AL228">
            <v>999999</v>
          </cell>
          <cell r="AM228">
            <v>139</v>
          </cell>
          <cell r="AN228">
            <v>139</v>
          </cell>
          <cell r="AO228">
            <v>139</v>
          </cell>
          <cell r="AP228">
            <v>0</v>
          </cell>
          <cell r="AQ228">
            <v>15</v>
          </cell>
          <cell r="AR228">
            <v>139</v>
          </cell>
          <cell r="AS228">
            <v>71</v>
          </cell>
          <cell r="BE228">
            <v>0</v>
          </cell>
          <cell r="BG228">
            <v>0</v>
          </cell>
          <cell r="BH228">
            <v>0</v>
          </cell>
          <cell r="BI228">
            <v>0</v>
          </cell>
          <cell r="BJ228">
            <v>0</v>
          </cell>
          <cell r="BK228">
            <v>0</v>
          </cell>
          <cell r="BL228">
            <v>3836</v>
          </cell>
          <cell r="BM228">
            <v>0</v>
          </cell>
          <cell r="BN228">
            <v>0</v>
          </cell>
          <cell r="BO228">
            <v>0</v>
          </cell>
          <cell r="BP228">
            <v>0</v>
          </cell>
          <cell r="CA228">
            <v>115570.86001550878</v>
          </cell>
          <cell r="CB228">
            <v>69</v>
          </cell>
          <cell r="CC228">
            <v>139</v>
          </cell>
          <cell r="CD228">
            <v>139</v>
          </cell>
          <cell r="CE228">
            <v>108</v>
          </cell>
          <cell r="CF228">
            <v>139</v>
          </cell>
          <cell r="CG228">
            <v>33</v>
          </cell>
          <cell r="CH228">
            <v>139</v>
          </cell>
          <cell r="CI228">
            <v>139</v>
          </cell>
          <cell r="CJ228">
            <v>139</v>
          </cell>
          <cell r="CV228">
            <v>262.03473945409428</v>
          </cell>
          <cell r="CX228">
            <v>0</v>
          </cell>
          <cell r="CY228">
            <v>0</v>
          </cell>
          <cell r="CZ228">
            <v>0</v>
          </cell>
          <cell r="DA228">
            <v>0</v>
          </cell>
          <cell r="DB228">
            <v>0</v>
          </cell>
          <cell r="DC228">
            <v>0</v>
          </cell>
          <cell r="DD228">
            <v>0</v>
          </cell>
          <cell r="DE228">
            <v>0</v>
          </cell>
          <cell r="DF228">
            <v>0</v>
          </cell>
          <cell r="DG228">
            <v>0</v>
          </cell>
          <cell r="DR228">
            <v>73103</v>
          </cell>
          <cell r="DS228">
            <v>139</v>
          </cell>
          <cell r="DT228">
            <v>139</v>
          </cell>
          <cell r="DU228">
            <v>999999</v>
          </cell>
          <cell r="DV228">
            <v>999999</v>
          </cell>
          <cell r="DW228">
            <v>999999</v>
          </cell>
          <cell r="DX228">
            <v>139</v>
          </cell>
          <cell r="DY228">
            <v>139</v>
          </cell>
          <cell r="DZ228">
            <v>999999</v>
          </cell>
          <cell r="EA228">
            <v>999999</v>
          </cell>
        </row>
        <row r="229">
          <cell r="N229">
            <v>0</v>
          </cell>
          <cell r="P229">
            <v>0</v>
          </cell>
          <cell r="Q229">
            <v>0</v>
          </cell>
          <cell r="R229">
            <v>0</v>
          </cell>
          <cell r="S229">
            <v>0</v>
          </cell>
          <cell r="T229">
            <v>0</v>
          </cell>
          <cell r="U229">
            <v>0</v>
          </cell>
          <cell r="V229">
            <v>0</v>
          </cell>
          <cell r="W229">
            <v>0</v>
          </cell>
          <cell r="X229">
            <v>0</v>
          </cell>
          <cell r="Y229">
            <v>0</v>
          </cell>
          <cell r="AJ229">
            <v>0</v>
          </cell>
          <cell r="AK229">
            <v>0</v>
          </cell>
          <cell r="AL229">
            <v>999999</v>
          </cell>
          <cell r="AM229">
            <v>138</v>
          </cell>
          <cell r="AN229">
            <v>138</v>
          </cell>
          <cell r="AO229">
            <v>138</v>
          </cell>
          <cell r="AP229">
            <v>0</v>
          </cell>
          <cell r="AQ229">
            <v>14</v>
          </cell>
          <cell r="AR229">
            <v>138</v>
          </cell>
          <cell r="AS229">
            <v>70</v>
          </cell>
          <cell r="BE229">
            <v>0</v>
          </cell>
          <cell r="BG229">
            <v>0</v>
          </cell>
          <cell r="BH229">
            <v>0</v>
          </cell>
          <cell r="BI229">
            <v>0</v>
          </cell>
          <cell r="BJ229">
            <v>0</v>
          </cell>
          <cell r="BK229">
            <v>0</v>
          </cell>
          <cell r="BL229">
            <v>0</v>
          </cell>
          <cell r="BM229">
            <v>0</v>
          </cell>
          <cell r="BN229">
            <v>0</v>
          </cell>
          <cell r="BO229">
            <v>0</v>
          </cell>
          <cell r="BP229">
            <v>0</v>
          </cell>
          <cell r="CA229">
            <v>115091.34742504144</v>
          </cell>
          <cell r="CB229">
            <v>68</v>
          </cell>
          <cell r="CC229">
            <v>138</v>
          </cell>
          <cell r="CD229">
            <v>138</v>
          </cell>
          <cell r="CE229">
            <v>107</v>
          </cell>
          <cell r="CF229">
            <v>138</v>
          </cell>
          <cell r="CG229">
            <v>32</v>
          </cell>
          <cell r="CH229">
            <v>138</v>
          </cell>
          <cell r="CI229">
            <v>138</v>
          </cell>
          <cell r="CJ229">
            <v>138</v>
          </cell>
          <cell r="CV229">
            <v>262.03473945409428</v>
          </cell>
          <cell r="CX229">
            <v>0</v>
          </cell>
          <cell r="CY229">
            <v>0</v>
          </cell>
          <cell r="CZ229">
            <v>0</v>
          </cell>
          <cell r="DA229">
            <v>0</v>
          </cell>
          <cell r="DB229">
            <v>0</v>
          </cell>
          <cell r="DC229">
            <v>0</v>
          </cell>
          <cell r="DD229">
            <v>0</v>
          </cell>
          <cell r="DE229">
            <v>0</v>
          </cell>
          <cell r="DF229">
            <v>0</v>
          </cell>
          <cell r="DG229">
            <v>0</v>
          </cell>
          <cell r="DR229">
            <v>73103</v>
          </cell>
          <cell r="DS229">
            <v>138</v>
          </cell>
          <cell r="DT229">
            <v>138</v>
          </cell>
          <cell r="DU229">
            <v>999999</v>
          </cell>
          <cell r="DV229">
            <v>999999</v>
          </cell>
          <cell r="DW229">
            <v>999999</v>
          </cell>
          <cell r="DX229">
            <v>138</v>
          </cell>
          <cell r="DY229">
            <v>138</v>
          </cell>
          <cell r="DZ229">
            <v>999999</v>
          </cell>
          <cell r="EA229">
            <v>999999</v>
          </cell>
        </row>
        <row r="230">
          <cell r="N230">
            <v>0</v>
          </cell>
          <cell r="P230">
            <v>0</v>
          </cell>
          <cell r="Q230">
            <v>0</v>
          </cell>
          <cell r="R230">
            <v>0</v>
          </cell>
          <cell r="S230">
            <v>0</v>
          </cell>
          <cell r="T230">
            <v>0</v>
          </cell>
          <cell r="U230">
            <v>0</v>
          </cell>
          <cell r="V230">
            <v>0</v>
          </cell>
          <cell r="W230">
            <v>0</v>
          </cell>
          <cell r="X230">
            <v>0</v>
          </cell>
          <cell r="Y230">
            <v>0</v>
          </cell>
          <cell r="AJ230">
            <v>0</v>
          </cell>
          <cell r="AK230">
            <v>0</v>
          </cell>
          <cell r="AL230">
            <v>999999</v>
          </cell>
          <cell r="AM230">
            <v>137</v>
          </cell>
          <cell r="AN230">
            <v>137</v>
          </cell>
          <cell r="AO230">
            <v>137</v>
          </cell>
          <cell r="AP230">
            <v>0</v>
          </cell>
          <cell r="AQ230">
            <v>13</v>
          </cell>
          <cell r="AR230">
            <v>137</v>
          </cell>
          <cell r="AS230">
            <v>69</v>
          </cell>
          <cell r="BE230">
            <v>0</v>
          </cell>
          <cell r="BG230">
            <v>0</v>
          </cell>
          <cell r="BH230">
            <v>0</v>
          </cell>
          <cell r="BI230">
            <v>0</v>
          </cell>
          <cell r="BJ230">
            <v>0</v>
          </cell>
          <cell r="BK230">
            <v>0</v>
          </cell>
          <cell r="BL230">
            <v>0</v>
          </cell>
          <cell r="BM230">
            <v>0</v>
          </cell>
          <cell r="BN230">
            <v>0</v>
          </cell>
          <cell r="BO230">
            <v>0</v>
          </cell>
          <cell r="BP230">
            <v>0</v>
          </cell>
          <cell r="CA230">
            <v>114611.83483457411</v>
          </cell>
          <cell r="CB230">
            <v>67</v>
          </cell>
          <cell r="CC230">
            <v>137</v>
          </cell>
          <cell r="CD230">
            <v>137</v>
          </cell>
          <cell r="CE230">
            <v>106</v>
          </cell>
          <cell r="CF230">
            <v>137</v>
          </cell>
          <cell r="CG230">
            <v>31</v>
          </cell>
          <cell r="CH230">
            <v>137</v>
          </cell>
          <cell r="CI230">
            <v>137</v>
          </cell>
          <cell r="CJ230">
            <v>137</v>
          </cell>
          <cell r="CV230">
            <v>262.03473945409428</v>
          </cell>
          <cell r="CX230">
            <v>0</v>
          </cell>
          <cell r="CY230">
            <v>0</v>
          </cell>
          <cell r="CZ230">
            <v>0</v>
          </cell>
          <cell r="DA230">
            <v>0</v>
          </cell>
          <cell r="DB230">
            <v>0</v>
          </cell>
          <cell r="DC230">
            <v>0</v>
          </cell>
          <cell r="DD230">
            <v>0</v>
          </cell>
          <cell r="DE230">
            <v>0</v>
          </cell>
          <cell r="DF230">
            <v>0</v>
          </cell>
          <cell r="DG230">
            <v>0</v>
          </cell>
          <cell r="DR230">
            <v>73103</v>
          </cell>
          <cell r="DS230">
            <v>137</v>
          </cell>
          <cell r="DT230">
            <v>137</v>
          </cell>
          <cell r="DU230">
            <v>999999</v>
          </cell>
          <cell r="DV230">
            <v>999999</v>
          </cell>
          <cell r="DW230">
            <v>999999</v>
          </cell>
          <cell r="DX230">
            <v>137</v>
          </cell>
          <cell r="DY230">
            <v>137</v>
          </cell>
          <cell r="DZ230">
            <v>999999</v>
          </cell>
          <cell r="EA230">
            <v>999999</v>
          </cell>
        </row>
        <row r="231">
          <cell r="N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AJ231">
            <v>0</v>
          </cell>
          <cell r="AK231">
            <v>0</v>
          </cell>
          <cell r="AL231">
            <v>999999</v>
          </cell>
          <cell r="AM231">
            <v>136</v>
          </cell>
          <cell r="AN231">
            <v>136</v>
          </cell>
          <cell r="AO231">
            <v>136</v>
          </cell>
          <cell r="AP231">
            <v>0</v>
          </cell>
          <cell r="AQ231">
            <v>12</v>
          </cell>
          <cell r="AR231">
            <v>136</v>
          </cell>
          <cell r="AS231">
            <v>68</v>
          </cell>
          <cell r="BE231">
            <v>0</v>
          </cell>
          <cell r="BG231">
            <v>0</v>
          </cell>
          <cell r="BH231">
            <v>0</v>
          </cell>
          <cell r="BI231">
            <v>0</v>
          </cell>
          <cell r="BJ231">
            <v>0</v>
          </cell>
          <cell r="BK231">
            <v>0</v>
          </cell>
          <cell r="BL231">
            <v>0</v>
          </cell>
          <cell r="BM231">
            <v>0</v>
          </cell>
          <cell r="BN231">
            <v>0</v>
          </cell>
          <cell r="BO231">
            <v>0</v>
          </cell>
          <cell r="BP231">
            <v>0</v>
          </cell>
          <cell r="CA231">
            <v>114132.32224410678</v>
          </cell>
          <cell r="CB231">
            <v>66</v>
          </cell>
          <cell r="CC231">
            <v>136</v>
          </cell>
          <cell r="CD231">
            <v>136</v>
          </cell>
          <cell r="CE231">
            <v>105</v>
          </cell>
          <cell r="CF231">
            <v>136</v>
          </cell>
          <cell r="CG231">
            <v>30</v>
          </cell>
          <cell r="CH231">
            <v>136</v>
          </cell>
          <cell r="CI231">
            <v>136</v>
          </cell>
          <cell r="CJ231">
            <v>136</v>
          </cell>
          <cell r="CV231">
            <v>262.03473945409428</v>
          </cell>
          <cell r="CX231">
            <v>0</v>
          </cell>
          <cell r="CY231">
            <v>0</v>
          </cell>
          <cell r="CZ231">
            <v>0</v>
          </cell>
          <cell r="DA231">
            <v>0</v>
          </cell>
          <cell r="DB231">
            <v>0</v>
          </cell>
          <cell r="DC231">
            <v>0</v>
          </cell>
          <cell r="DD231">
            <v>0</v>
          </cell>
          <cell r="DE231">
            <v>0</v>
          </cell>
          <cell r="DF231">
            <v>0</v>
          </cell>
          <cell r="DG231">
            <v>0</v>
          </cell>
          <cell r="DR231">
            <v>73103</v>
          </cell>
          <cell r="DS231">
            <v>136</v>
          </cell>
          <cell r="DT231">
            <v>136</v>
          </cell>
          <cell r="DU231">
            <v>999999</v>
          </cell>
          <cell r="DV231">
            <v>999999</v>
          </cell>
          <cell r="DW231">
            <v>999999</v>
          </cell>
          <cell r="DX231">
            <v>136</v>
          </cell>
          <cell r="DY231">
            <v>136</v>
          </cell>
          <cell r="DZ231">
            <v>999999</v>
          </cell>
          <cell r="EA231">
            <v>999999</v>
          </cell>
        </row>
        <row r="232">
          <cell r="N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1858</v>
          </cell>
          <cell r="V232">
            <v>8844</v>
          </cell>
          <cell r="W232">
            <v>4043</v>
          </cell>
          <cell r="X232">
            <v>0</v>
          </cell>
          <cell r="Y232">
            <v>0</v>
          </cell>
          <cell r="AJ232">
            <v>0</v>
          </cell>
          <cell r="AK232">
            <v>0</v>
          </cell>
          <cell r="AL232">
            <v>999999</v>
          </cell>
          <cell r="AM232">
            <v>135</v>
          </cell>
          <cell r="AN232">
            <v>135</v>
          </cell>
          <cell r="AO232">
            <v>135</v>
          </cell>
          <cell r="AP232">
            <v>0</v>
          </cell>
          <cell r="AQ232">
            <v>30</v>
          </cell>
          <cell r="AR232">
            <v>135</v>
          </cell>
          <cell r="AS232">
            <v>67</v>
          </cell>
          <cell r="BE232">
            <v>0</v>
          </cell>
          <cell r="BG232">
            <v>0</v>
          </cell>
          <cell r="BH232">
            <v>0</v>
          </cell>
          <cell r="BI232">
            <v>0</v>
          </cell>
          <cell r="BJ232">
            <v>0</v>
          </cell>
          <cell r="BK232">
            <v>0</v>
          </cell>
          <cell r="BL232">
            <v>0</v>
          </cell>
          <cell r="BM232">
            <v>6857</v>
          </cell>
          <cell r="BN232">
            <v>4226</v>
          </cell>
          <cell r="BO232">
            <v>3836</v>
          </cell>
          <cell r="BP232">
            <v>0</v>
          </cell>
          <cell r="CA232">
            <v>113652.80965363944</v>
          </cell>
          <cell r="CB232">
            <v>65</v>
          </cell>
          <cell r="CC232">
            <v>135</v>
          </cell>
          <cell r="CD232">
            <v>135</v>
          </cell>
          <cell r="CE232">
            <v>104</v>
          </cell>
          <cell r="CF232">
            <v>135</v>
          </cell>
          <cell r="CG232">
            <v>36</v>
          </cell>
          <cell r="CH232">
            <v>135</v>
          </cell>
          <cell r="CI232">
            <v>135</v>
          </cell>
          <cell r="CJ232">
            <v>135</v>
          </cell>
          <cell r="CV232">
            <v>262.03473945409428</v>
          </cell>
          <cell r="CX232">
            <v>0</v>
          </cell>
          <cell r="CY232">
            <v>0</v>
          </cell>
          <cell r="CZ232">
            <v>0</v>
          </cell>
          <cell r="DA232">
            <v>0</v>
          </cell>
          <cell r="DB232">
            <v>0</v>
          </cell>
          <cell r="DC232">
            <v>0</v>
          </cell>
          <cell r="DD232">
            <v>21107</v>
          </cell>
          <cell r="DE232">
            <v>0</v>
          </cell>
          <cell r="DF232">
            <v>0</v>
          </cell>
          <cell r="DG232">
            <v>0</v>
          </cell>
          <cell r="DR232">
            <v>73103</v>
          </cell>
          <cell r="DS232">
            <v>135</v>
          </cell>
          <cell r="DT232">
            <v>135</v>
          </cell>
          <cell r="DU232">
            <v>999999</v>
          </cell>
          <cell r="DV232">
            <v>999999</v>
          </cell>
          <cell r="DW232">
            <v>999999</v>
          </cell>
          <cell r="DX232">
            <v>135</v>
          </cell>
          <cell r="DY232">
            <v>135</v>
          </cell>
          <cell r="DZ232">
            <v>999999</v>
          </cell>
          <cell r="EA232">
            <v>999999</v>
          </cell>
        </row>
        <row r="233">
          <cell r="N233">
            <v>48000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AJ233">
            <v>0</v>
          </cell>
          <cell r="AK233">
            <v>0</v>
          </cell>
          <cell r="AL233">
            <v>999999</v>
          </cell>
          <cell r="AM233">
            <v>134</v>
          </cell>
          <cell r="AN233">
            <v>134</v>
          </cell>
          <cell r="AO233">
            <v>134</v>
          </cell>
          <cell r="AP233">
            <v>0</v>
          </cell>
          <cell r="AQ233">
            <v>29</v>
          </cell>
          <cell r="AR233">
            <v>134</v>
          </cell>
          <cell r="AS233">
            <v>66</v>
          </cell>
          <cell r="BE233">
            <v>48000</v>
          </cell>
          <cell r="BG233">
            <v>0</v>
          </cell>
          <cell r="BH233">
            <v>0</v>
          </cell>
          <cell r="BI233">
            <v>0</v>
          </cell>
          <cell r="BJ233">
            <v>0</v>
          </cell>
          <cell r="BK233">
            <v>0</v>
          </cell>
          <cell r="BL233">
            <v>0</v>
          </cell>
          <cell r="BM233">
            <v>0</v>
          </cell>
          <cell r="BN233">
            <v>0</v>
          </cell>
          <cell r="BO233">
            <v>0</v>
          </cell>
          <cell r="BP233">
            <v>0</v>
          </cell>
          <cell r="CA233">
            <v>113173.29706317211</v>
          </cell>
          <cell r="CB233">
            <v>64</v>
          </cell>
          <cell r="CC233">
            <v>134</v>
          </cell>
          <cell r="CD233">
            <v>134</v>
          </cell>
          <cell r="CE233">
            <v>103</v>
          </cell>
          <cell r="CF233">
            <v>134</v>
          </cell>
          <cell r="CG233">
            <v>35</v>
          </cell>
          <cell r="CH233">
            <v>134</v>
          </cell>
          <cell r="CI233">
            <v>134</v>
          </cell>
          <cell r="CJ233">
            <v>134</v>
          </cell>
          <cell r="CV233">
            <v>262.03473945409428</v>
          </cell>
          <cell r="CX233">
            <v>0</v>
          </cell>
          <cell r="CY233">
            <v>0</v>
          </cell>
          <cell r="CZ233">
            <v>0</v>
          </cell>
          <cell r="DA233">
            <v>0</v>
          </cell>
          <cell r="DB233">
            <v>0</v>
          </cell>
          <cell r="DC233">
            <v>0</v>
          </cell>
          <cell r="DD233">
            <v>0</v>
          </cell>
          <cell r="DE233">
            <v>0</v>
          </cell>
          <cell r="DF233">
            <v>0</v>
          </cell>
          <cell r="DG233">
            <v>0</v>
          </cell>
          <cell r="DR233">
            <v>73103</v>
          </cell>
          <cell r="DS233">
            <v>134</v>
          </cell>
          <cell r="DT233">
            <v>134</v>
          </cell>
          <cell r="DU233">
            <v>999999</v>
          </cell>
          <cell r="DV233">
            <v>999999</v>
          </cell>
          <cell r="DW233">
            <v>999999</v>
          </cell>
          <cell r="DX233">
            <v>134</v>
          </cell>
          <cell r="DY233">
            <v>134</v>
          </cell>
          <cell r="DZ233">
            <v>999999</v>
          </cell>
          <cell r="EA233">
            <v>999999</v>
          </cell>
        </row>
        <row r="234">
          <cell r="N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AJ234">
            <v>0</v>
          </cell>
          <cell r="AK234">
            <v>0</v>
          </cell>
          <cell r="AL234">
            <v>999999</v>
          </cell>
          <cell r="AM234">
            <v>133</v>
          </cell>
          <cell r="AN234">
            <v>133</v>
          </cell>
          <cell r="AO234">
            <v>133</v>
          </cell>
          <cell r="AP234">
            <v>0</v>
          </cell>
          <cell r="AQ234">
            <v>28</v>
          </cell>
          <cell r="AR234">
            <v>133</v>
          </cell>
          <cell r="AS234">
            <v>65</v>
          </cell>
          <cell r="BE234">
            <v>0</v>
          </cell>
          <cell r="BG234">
            <v>0</v>
          </cell>
          <cell r="BH234">
            <v>0</v>
          </cell>
          <cell r="BI234">
            <v>0</v>
          </cell>
          <cell r="BJ234">
            <v>0</v>
          </cell>
          <cell r="BK234">
            <v>0</v>
          </cell>
          <cell r="BL234">
            <v>0</v>
          </cell>
          <cell r="BM234">
            <v>0</v>
          </cell>
          <cell r="BN234">
            <v>0</v>
          </cell>
          <cell r="BO234">
            <v>0</v>
          </cell>
          <cell r="BP234">
            <v>0</v>
          </cell>
          <cell r="CA234">
            <v>112693.78447270478</v>
          </cell>
          <cell r="CB234">
            <v>63</v>
          </cell>
          <cell r="CC234">
            <v>133</v>
          </cell>
          <cell r="CD234">
            <v>133</v>
          </cell>
          <cell r="CE234">
            <v>102</v>
          </cell>
          <cell r="CF234">
            <v>133</v>
          </cell>
          <cell r="CG234">
            <v>34</v>
          </cell>
          <cell r="CH234">
            <v>133</v>
          </cell>
          <cell r="CI234">
            <v>133</v>
          </cell>
          <cell r="CJ234">
            <v>133</v>
          </cell>
          <cell r="CV234">
            <v>262.03473945409428</v>
          </cell>
          <cell r="CX234">
            <v>0</v>
          </cell>
          <cell r="CY234">
            <v>0</v>
          </cell>
          <cell r="CZ234">
            <v>0</v>
          </cell>
          <cell r="DA234">
            <v>0</v>
          </cell>
          <cell r="DB234">
            <v>0</v>
          </cell>
          <cell r="DC234">
            <v>0</v>
          </cell>
          <cell r="DD234">
            <v>0</v>
          </cell>
          <cell r="DE234">
            <v>0</v>
          </cell>
          <cell r="DF234">
            <v>0</v>
          </cell>
          <cell r="DG234">
            <v>0</v>
          </cell>
          <cell r="DR234">
            <v>73103</v>
          </cell>
          <cell r="DS234">
            <v>133</v>
          </cell>
          <cell r="DT234">
            <v>133</v>
          </cell>
          <cell r="DU234">
            <v>999999</v>
          </cell>
          <cell r="DV234">
            <v>999999</v>
          </cell>
          <cell r="DW234">
            <v>999999</v>
          </cell>
          <cell r="DX234">
            <v>133</v>
          </cell>
          <cell r="DY234">
            <v>133</v>
          </cell>
          <cell r="DZ234">
            <v>999999</v>
          </cell>
          <cell r="EA234">
            <v>999999</v>
          </cell>
        </row>
        <row r="235">
          <cell r="N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AJ235">
            <v>0</v>
          </cell>
          <cell r="AK235">
            <v>0</v>
          </cell>
          <cell r="AL235">
            <v>999999</v>
          </cell>
          <cell r="AM235">
            <v>132</v>
          </cell>
          <cell r="AN235">
            <v>132</v>
          </cell>
          <cell r="AO235">
            <v>132</v>
          </cell>
          <cell r="AP235">
            <v>0</v>
          </cell>
          <cell r="AQ235">
            <v>27</v>
          </cell>
          <cell r="AR235">
            <v>132</v>
          </cell>
          <cell r="AS235">
            <v>64</v>
          </cell>
          <cell r="BE235">
            <v>0</v>
          </cell>
          <cell r="BG235">
            <v>0</v>
          </cell>
          <cell r="BH235">
            <v>0</v>
          </cell>
          <cell r="BI235">
            <v>0</v>
          </cell>
          <cell r="BJ235">
            <v>0</v>
          </cell>
          <cell r="BK235">
            <v>0</v>
          </cell>
          <cell r="BL235">
            <v>0</v>
          </cell>
          <cell r="BM235">
            <v>0</v>
          </cell>
          <cell r="BN235">
            <v>0</v>
          </cell>
          <cell r="BO235">
            <v>0</v>
          </cell>
          <cell r="BP235">
            <v>0</v>
          </cell>
          <cell r="CA235">
            <v>112214.27188223744</v>
          </cell>
          <cell r="CB235">
            <v>62</v>
          </cell>
          <cell r="CC235">
            <v>132</v>
          </cell>
          <cell r="CD235">
            <v>132</v>
          </cell>
          <cell r="CE235">
            <v>101</v>
          </cell>
          <cell r="CF235">
            <v>132</v>
          </cell>
          <cell r="CG235">
            <v>33</v>
          </cell>
          <cell r="CH235">
            <v>132</v>
          </cell>
          <cell r="CI235">
            <v>132</v>
          </cell>
          <cell r="CJ235">
            <v>132</v>
          </cell>
          <cell r="CV235">
            <v>262.03473945409428</v>
          </cell>
          <cell r="CX235">
            <v>0</v>
          </cell>
          <cell r="CY235">
            <v>0</v>
          </cell>
          <cell r="CZ235">
            <v>0</v>
          </cell>
          <cell r="DA235">
            <v>0</v>
          </cell>
          <cell r="DB235">
            <v>0</v>
          </cell>
          <cell r="DC235">
            <v>0</v>
          </cell>
          <cell r="DD235">
            <v>0</v>
          </cell>
          <cell r="DE235">
            <v>0</v>
          </cell>
          <cell r="DF235">
            <v>0</v>
          </cell>
          <cell r="DG235">
            <v>0</v>
          </cell>
          <cell r="DR235">
            <v>73103</v>
          </cell>
          <cell r="DS235">
            <v>132</v>
          </cell>
          <cell r="DT235">
            <v>132</v>
          </cell>
          <cell r="DU235">
            <v>999999</v>
          </cell>
          <cell r="DV235">
            <v>999999</v>
          </cell>
          <cell r="DW235">
            <v>999999</v>
          </cell>
          <cell r="DX235">
            <v>132</v>
          </cell>
          <cell r="DY235">
            <v>132</v>
          </cell>
          <cell r="DZ235">
            <v>999999</v>
          </cell>
          <cell r="EA235">
            <v>999999</v>
          </cell>
        </row>
        <row r="236">
          <cell r="N236">
            <v>0</v>
          </cell>
          <cell r="P236">
            <v>0</v>
          </cell>
          <cell r="Q236">
            <v>0</v>
          </cell>
          <cell r="R236">
            <v>0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  <cell r="W236">
            <v>0</v>
          </cell>
          <cell r="X236">
            <v>4043</v>
          </cell>
          <cell r="Y236">
            <v>4043</v>
          </cell>
          <cell r="AJ236">
            <v>0</v>
          </cell>
          <cell r="AK236">
            <v>0</v>
          </cell>
          <cell r="AL236">
            <v>999999</v>
          </cell>
          <cell r="AM236">
            <v>131</v>
          </cell>
          <cell r="AN236">
            <v>131</v>
          </cell>
          <cell r="AO236">
            <v>131</v>
          </cell>
          <cell r="AP236">
            <v>0</v>
          </cell>
          <cell r="AQ236">
            <v>26</v>
          </cell>
          <cell r="AR236">
            <v>131</v>
          </cell>
          <cell r="AS236">
            <v>82</v>
          </cell>
          <cell r="BE236">
            <v>0</v>
          </cell>
          <cell r="BG236">
            <v>0</v>
          </cell>
          <cell r="BH236">
            <v>0</v>
          </cell>
          <cell r="BI236">
            <v>0</v>
          </cell>
          <cell r="BJ236">
            <v>0</v>
          </cell>
          <cell r="BK236">
            <v>0</v>
          </cell>
          <cell r="BL236">
            <v>0</v>
          </cell>
          <cell r="BM236">
            <v>0</v>
          </cell>
          <cell r="BN236">
            <v>0</v>
          </cell>
          <cell r="BO236">
            <v>0</v>
          </cell>
          <cell r="BP236">
            <v>3836</v>
          </cell>
          <cell r="CA236">
            <v>115570.75929177011</v>
          </cell>
          <cell r="CB236">
            <v>61</v>
          </cell>
          <cell r="CC236">
            <v>131</v>
          </cell>
          <cell r="CD236">
            <v>131</v>
          </cell>
          <cell r="CE236">
            <v>100</v>
          </cell>
          <cell r="CF236">
            <v>131</v>
          </cell>
          <cell r="CG236">
            <v>32</v>
          </cell>
          <cell r="CH236">
            <v>131</v>
          </cell>
          <cell r="CI236">
            <v>131</v>
          </cell>
          <cell r="CJ236">
            <v>131</v>
          </cell>
          <cell r="CV236">
            <v>262.03473945409428</v>
          </cell>
          <cell r="CX236">
            <v>0</v>
          </cell>
          <cell r="CY236">
            <v>0</v>
          </cell>
          <cell r="CZ236">
            <v>0</v>
          </cell>
          <cell r="DA236">
            <v>0</v>
          </cell>
          <cell r="DB236">
            <v>0</v>
          </cell>
          <cell r="DC236">
            <v>0</v>
          </cell>
          <cell r="DD236">
            <v>0</v>
          </cell>
          <cell r="DE236">
            <v>0</v>
          </cell>
          <cell r="DF236">
            <v>0</v>
          </cell>
          <cell r="DG236">
            <v>0</v>
          </cell>
          <cell r="DR236">
            <v>73103</v>
          </cell>
          <cell r="DS236">
            <v>131</v>
          </cell>
          <cell r="DT236">
            <v>131</v>
          </cell>
          <cell r="DU236">
            <v>999999</v>
          </cell>
          <cell r="DV236">
            <v>999999</v>
          </cell>
          <cell r="DW236">
            <v>999999</v>
          </cell>
          <cell r="DX236">
            <v>131</v>
          </cell>
          <cell r="DY236">
            <v>131</v>
          </cell>
          <cell r="DZ236">
            <v>999999</v>
          </cell>
          <cell r="EA236">
            <v>999999</v>
          </cell>
        </row>
        <row r="237">
          <cell r="N237">
            <v>0</v>
          </cell>
          <cell r="P237">
            <v>0</v>
          </cell>
          <cell r="Q237">
            <v>0</v>
          </cell>
          <cell r="R237">
            <v>0</v>
          </cell>
          <cell r="S237">
            <v>0</v>
          </cell>
          <cell r="T237">
            <v>0</v>
          </cell>
          <cell r="U237">
            <v>0</v>
          </cell>
          <cell r="V237">
            <v>0</v>
          </cell>
          <cell r="W237">
            <v>0</v>
          </cell>
          <cell r="X237">
            <v>0</v>
          </cell>
          <cell r="Y237">
            <v>0</v>
          </cell>
          <cell r="AJ237">
            <v>0</v>
          </cell>
          <cell r="AK237">
            <v>0</v>
          </cell>
          <cell r="AL237">
            <v>999999</v>
          </cell>
          <cell r="AM237">
            <v>130</v>
          </cell>
          <cell r="AN237">
            <v>130</v>
          </cell>
          <cell r="AO237">
            <v>130</v>
          </cell>
          <cell r="AP237">
            <v>0</v>
          </cell>
          <cell r="AQ237">
            <v>25</v>
          </cell>
          <cell r="AR237">
            <v>130</v>
          </cell>
          <cell r="AS237">
            <v>81</v>
          </cell>
          <cell r="BE237">
            <v>0</v>
          </cell>
          <cell r="BG237">
            <v>0</v>
          </cell>
          <cell r="BH237">
            <v>0</v>
          </cell>
          <cell r="BI237">
            <v>0</v>
          </cell>
          <cell r="BJ237">
            <v>0</v>
          </cell>
          <cell r="BK237">
            <v>0</v>
          </cell>
          <cell r="BL237">
            <v>0</v>
          </cell>
          <cell r="BM237">
            <v>0</v>
          </cell>
          <cell r="BN237">
            <v>0</v>
          </cell>
          <cell r="BO237">
            <v>0</v>
          </cell>
          <cell r="BP237">
            <v>0</v>
          </cell>
          <cell r="CA237">
            <v>115091.24670130278</v>
          </cell>
          <cell r="CB237">
            <v>60</v>
          </cell>
          <cell r="CC237">
            <v>130</v>
          </cell>
          <cell r="CD237">
            <v>130</v>
          </cell>
          <cell r="CE237">
            <v>99</v>
          </cell>
          <cell r="CF237">
            <v>130</v>
          </cell>
          <cell r="CG237">
            <v>31</v>
          </cell>
          <cell r="CH237">
            <v>130</v>
          </cell>
          <cell r="CI237">
            <v>130</v>
          </cell>
          <cell r="CJ237">
            <v>130</v>
          </cell>
          <cell r="CV237">
            <v>262.03473945409428</v>
          </cell>
          <cell r="CX237">
            <v>0</v>
          </cell>
          <cell r="CY237">
            <v>0</v>
          </cell>
          <cell r="CZ237">
            <v>0</v>
          </cell>
          <cell r="DA237">
            <v>0</v>
          </cell>
          <cell r="DB237">
            <v>0</v>
          </cell>
          <cell r="DC237">
            <v>0</v>
          </cell>
          <cell r="DD237">
            <v>0</v>
          </cell>
          <cell r="DE237">
            <v>0</v>
          </cell>
          <cell r="DF237">
            <v>0</v>
          </cell>
          <cell r="DG237">
            <v>0</v>
          </cell>
          <cell r="DR237">
            <v>73103</v>
          </cell>
          <cell r="DS237">
            <v>130</v>
          </cell>
          <cell r="DT237">
            <v>130</v>
          </cell>
          <cell r="DU237">
            <v>999999</v>
          </cell>
          <cell r="DV237">
            <v>999999</v>
          </cell>
          <cell r="DW237">
            <v>999999</v>
          </cell>
          <cell r="DX237">
            <v>130</v>
          </cell>
          <cell r="DY237">
            <v>130</v>
          </cell>
          <cell r="DZ237">
            <v>999999</v>
          </cell>
          <cell r="EA237">
            <v>999999</v>
          </cell>
        </row>
        <row r="238">
          <cell r="N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V238">
            <v>0</v>
          </cell>
          <cell r="W238">
            <v>0</v>
          </cell>
          <cell r="X238">
            <v>0</v>
          </cell>
          <cell r="Y238">
            <v>0</v>
          </cell>
          <cell r="AJ238">
            <v>0</v>
          </cell>
          <cell r="AK238">
            <v>0</v>
          </cell>
          <cell r="AL238">
            <v>999999</v>
          </cell>
          <cell r="AM238">
            <v>129</v>
          </cell>
          <cell r="AN238">
            <v>129</v>
          </cell>
          <cell r="AO238">
            <v>129</v>
          </cell>
          <cell r="AP238">
            <v>0</v>
          </cell>
          <cell r="AQ238">
            <v>24</v>
          </cell>
          <cell r="AR238">
            <v>129</v>
          </cell>
          <cell r="AS238">
            <v>80</v>
          </cell>
          <cell r="BE238">
            <v>0</v>
          </cell>
          <cell r="BG238">
            <v>0</v>
          </cell>
          <cell r="BH238">
            <v>0</v>
          </cell>
          <cell r="BI238">
            <v>0</v>
          </cell>
          <cell r="BJ238">
            <v>0</v>
          </cell>
          <cell r="BK238">
            <v>0</v>
          </cell>
          <cell r="BL238">
            <v>0</v>
          </cell>
          <cell r="BM238">
            <v>0</v>
          </cell>
          <cell r="BN238">
            <v>0</v>
          </cell>
          <cell r="BO238">
            <v>0</v>
          </cell>
          <cell r="BP238">
            <v>0</v>
          </cell>
          <cell r="CA238">
            <v>114611.73411083544</v>
          </cell>
          <cell r="CB238">
            <v>59</v>
          </cell>
          <cell r="CC238">
            <v>129</v>
          </cell>
          <cell r="CD238">
            <v>129</v>
          </cell>
          <cell r="CE238">
            <v>98</v>
          </cell>
          <cell r="CF238">
            <v>129</v>
          </cell>
          <cell r="CG238">
            <v>30</v>
          </cell>
          <cell r="CH238">
            <v>129</v>
          </cell>
          <cell r="CI238">
            <v>129</v>
          </cell>
          <cell r="CJ238">
            <v>129</v>
          </cell>
          <cell r="CV238">
            <v>262.03473945409428</v>
          </cell>
          <cell r="CX238">
            <v>0</v>
          </cell>
          <cell r="CY238">
            <v>0</v>
          </cell>
          <cell r="CZ238">
            <v>0</v>
          </cell>
          <cell r="DA238">
            <v>0</v>
          </cell>
          <cell r="DB238">
            <v>0</v>
          </cell>
          <cell r="DC238">
            <v>0</v>
          </cell>
          <cell r="DD238">
            <v>0</v>
          </cell>
          <cell r="DE238">
            <v>0</v>
          </cell>
          <cell r="DF238">
            <v>0</v>
          </cell>
          <cell r="DG238">
            <v>0</v>
          </cell>
          <cell r="DR238">
            <v>73103</v>
          </cell>
          <cell r="DS238">
            <v>129</v>
          </cell>
          <cell r="DT238">
            <v>129</v>
          </cell>
          <cell r="DU238">
            <v>999999</v>
          </cell>
          <cell r="DV238">
            <v>999999</v>
          </cell>
          <cell r="DW238">
            <v>999999</v>
          </cell>
          <cell r="DX238">
            <v>129</v>
          </cell>
          <cell r="DY238">
            <v>129</v>
          </cell>
          <cell r="DZ238">
            <v>999999</v>
          </cell>
          <cell r="EA238">
            <v>999999</v>
          </cell>
        </row>
        <row r="239">
          <cell r="N239">
            <v>0</v>
          </cell>
          <cell r="P239">
            <v>0</v>
          </cell>
          <cell r="Q239">
            <v>0</v>
          </cell>
          <cell r="R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0</v>
          </cell>
          <cell r="X239">
            <v>0</v>
          </cell>
          <cell r="Y239">
            <v>0</v>
          </cell>
          <cell r="AJ239">
            <v>0</v>
          </cell>
          <cell r="AK239">
            <v>0</v>
          </cell>
          <cell r="AL239">
            <v>999999</v>
          </cell>
          <cell r="AM239">
            <v>128</v>
          </cell>
          <cell r="AN239">
            <v>128</v>
          </cell>
          <cell r="AO239">
            <v>128</v>
          </cell>
          <cell r="AP239">
            <v>0</v>
          </cell>
          <cell r="AQ239">
            <v>23</v>
          </cell>
          <cell r="AR239">
            <v>128</v>
          </cell>
          <cell r="AS239">
            <v>79</v>
          </cell>
          <cell r="BE239">
            <v>0</v>
          </cell>
          <cell r="BG239">
            <v>0</v>
          </cell>
          <cell r="BH239">
            <v>0</v>
          </cell>
          <cell r="BI239">
            <v>0</v>
          </cell>
          <cell r="BJ239">
            <v>0</v>
          </cell>
          <cell r="BK239">
            <v>0</v>
          </cell>
          <cell r="BL239">
            <v>0</v>
          </cell>
          <cell r="BM239">
            <v>0</v>
          </cell>
          <cell r="BN239">
            <v>0</v>
          </cell>
          <cell r="BO239">
            <v>0</v>
          </cell>
          <cell r="BP239">
            <v>0</v>
          </cell>
          <cell r="CA239">
            <v>114132.22152036811</v>
          </cell>
          <cell r="CB239">
            <v>58</v>
          </cell>
          <cell r="CC239">
            <v>128</v>
          </cell>
          <cell r="CD239">
            <v>128</v>
          </cell>
          <cell r="CE239">
            <v>97</v>
          </cell>
          <cell r="CF239">
            <v>128</v>
          </cell>
          <cell r="CG239">
            <v>29</v>
          </cell>
          <cell r="CH239">
            <v>128</v>
          </cell>
          <cell r="CI239">
            <v>128</v>
          </cell>
          <cell r="CJ239">
            <v>128</v>
          </cell>
          <cell r="CV239">
            <v>262.03473945409428</v>
          </cell>
          <cell r="CX239">
            <v>0</v>
          </cell>
          <cell r="CY239">
            <v>0</v>
          </cell>
          <cell r="CZ239">
            <v>0</v>
          </cell>
          <cell r="DA239">
            <v>0</v>
          </cell>
          <cell r="DB239">
            <v>0</v>
          </cell>
          <cell r="DC239">
            <v>0</v>
          </cell>
          <cell r="DD239">
            <v>0</v>
          </cell>
          <cell r="DE239">
            <v>0</v>
          </cell>
          <cell r="DF239">
            <v>0</v>
          </cell>
          <cell r="DG239">
            <v>0</v>
          </cell>
          <cell r="DR239">
            <v>73103</v>
          </cell>
          <cell r="DS239">
            <v>128</v>
          </cell>
          <cell r="DT239">
            <v>128</v>
          </cell>
          <cell r="DU239">
            <v>999999</v>
          </cell>
          <cell r="DV239">
            <v>999999</v>
          </cell>
          <cell r="DW239">
            <v>999999</v>
          </cell>
          <cell r="DX239">
            <v>128</v>
          </cell>
          <cell r="DY239">
            <v>128</v>
          </cell>
          <cell r="DZ239">
            <v>999999</v>
          </cell>
          <cell r="EA239">
            <v>999999</v>
          </cell>
        </row>
        <row r="240">
          <cell r="N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AJ240">
            <v>0</v>
          </cell>
          <cell r="AK240">
            <v>0</v>
          </cell>
          <cell r="AL240">
            <v>999999</v>
          </cell>
          <cell r="AM240">
            <v>127</v>
          </cell>
          <cell r="AN240">
            <v>127</v>
          </cell>
          <cell r="AO240">
            <v>127</v>
          </cell>
          <cell r="AP240">
            <v>0</v>
          </cell>
          <cell r="AQ240">
            <v>22</v>
          </cell>
          <cell r="AR240">
            <v>127</v>
          </cell>
          <cell r="AS240">
            <v>78</v>
          </cell>
          <cell r="BE240">
            <v>0</v>
          </cell>
          <cell r="BG240">
            <v>0</v>
          </cell>
          <cell r="BH240">
            <v>0</v>
          </cell>
          <cell r="BI240">
            <v>0</v>
          </cell>
          <cell r="BJ240">
            <v>0</v>
          </cell>
          <cell r="BK240">
            <v>0</v>
          </cell>
          <cell r="BL240">
            <v>0</v>
          </cell>
          <cell r="BM240">
            <v>0</v>
          </cell>
          <cell r="BN240">
            <v>0</v>
          </cell>
          <cell r="BO240">
            <v>0</v>
          </cell>
          <cell r="BP240">
            <v>0</v>
          </cell>
          <cell r="CA240">
            <v>113652.70892990078</v>
          </cell>
          <cell r="CB240">
            <v>57</v>
          </cell>
          <cell r="CC240">
            <v>127</v>
          </cell>
          <cell r="CD240">
            <v>127</v>
          </cell>
          <cell r="CE240">
            <v>96</v>
          </cell>
          <cell r="CF240">
            <v>127</v>
          </cell>
          <cell r="CG240">
            <v>28</v>
          </cell>
          <cell r="CH240">
            <v>127</v>
          </cell>
          <cell r="CI240">
            <v>127</v>
          </cell>
          <cell r="CJ240">
            <v>127</v>
          </cell>
          <cell r="CV240">
            <v>262.03473945409428</v>
          </cell>
          <cell r="CX240">
            <v>0</v>
          </cell>
          <cell r="CY240">
            <v>0</v>
          </cell>
          <cell r="CZ240">
            <v>0</v>
          </cell>
          <cell r="DA240">
            <v>0</v>
          </cell>
          <cell r="DB240">
            <v>0</v>
          </cell>
          <cell r="DC240">
            <v>0</v>
          </cell>
          <cell r="DD240">
            <v>0</v>
          </cell>
          <cell r="DE240">
            <v>0</v>
          </cell>
          <cell r="DF240">
            <v>0</v>
          </cell>
          <cell r="DG240">
            <v>0</v>
          </cell>
          <cell r="DR240">
            <v>73103</v>
          </cell>
          <cell r="DS240">
            <v>127</v>
          </cell>
          <cell r="DT240">
            <v>127</v>
          </cell>
          <cell r="DU240">
            <v>999999</v>
          </cell>
          <cell r="DV240">
            <v>999999</v>
          </cell>
          <cell r="DW240">
            <v>999999</v>
          </cell>
          <cell r="DX240">
            <v>127</v>
          </cell>
          <cell r="DY240">
            <v>127</v>
          </cell>
          <cell r="DZ240">
            <v>999999</v>
          </cell>
          <cell r="EA240">
            <v>999999</v>
          </cell>
        </row>
        <row r="241">
          <cell r="N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AJ241">
            <v>0</v>
          </cell>
          <cell r="AK241">
            <v>0</v>
          </cell>
          <cell r="AL241">
            <v>999999</v>
          </cell>
          <cell r="AM241">
            <v>126</v>
          </cell>
          <cell r="AN241">
            <v>126</v>
          </cell>
          <cell r="AO241">
            <v>126</v>
          </cell>
          <cell r="AP241">
            <v>0</v>
          </cell>
          <cell r="AQ241">
            <v>21</v>
          </cell>
          <cell r="AR241">
            <v>126</v>
          </cell>
          <cell r="AS241">
            <v>77</v>
          </cell>
          <cell r="BE241">
            <v>48000</v>
          </cell>
          <cell r="BG241">
            <v>0</v>
          </cell>
          <cell r="BH241">
            <v>0</v>
          </cell>
          <cell r="BI241">
            <v>0</v>
          </cell>
          <cell r="BJ241">
            <v>0</v>
          </cell>
          <cell r="BK241">
            <v>0</v>
          </cell>
          <cell r="BL241">
            <v>0</v>
          </cell>
          <cell r="BM241">
            <v>0</v>
          </cell>
          <cell r="BN241">
            <v>0</v>
          </cell>
          <cell r="BO241">
            <v>0</v>
          </cell>
          <cell r="BP241">
            <v>0</v>
          </cell>
          <cell r="CA241">
            <v>113173.19633943345</v>
          </cell>
          <cell r="CB241">
            <v>56</v>
          </cell>
          <cell r="CC241">
            <v>126</v>
          </cell>
          <cell r="CD241">
            <v>126</v>
          </cell>
          <cell r="CE241">
            <v>95</v>
          </cell>
          <cell r="CF241">
            <v>126</v>
          </cell>
          <cell r="CG241">
            <v>27</v>
          </cell>
          <cell r="CH241">
            <v>126</v>
          </cell>
          <cell r="CI241">
            <v>126</v>
          </cell>
          <cell r="CJ241">
            <v>126</v>
          </cell>
          <cell r="CV241">
            <v>262.03473945409428</v>
          </cell>
          <cell r="CX241">
            <v>0</v>
          </cell>
          <cell r="CY241">
            <v>0</v>
          </cell>
          <cell r="CZ241">
            <v>0</v>
          </cell>
          <cell r="DA241">
            <v>0</v>
          </cell>
          <cell r="DB241">
            <v>0</v>
          </cell>
          <cell r="DC241">
            <v>0</v>
          </cell>
          <cell r="DD241">
            <v>0</v>
          </cell>
          <cell r="DE241">
            <v>0</v>
          </cell>
          <cell r="DF241">
            <v>0</v>
          </cell>
          <cell r="DG241">
            <v>0</v>
          </cell>
          <cell r="DR241">
            <v>73103</v>
          </cell>
          <cell r="DS241">
            <v>126</v>
          </cell>
          <cell r="DT241">
            <v>126</v>
          </cell>
          <cell r="DU241">
            <v>999999</v>
          </cell>
          <cell r="DV241">
            <v>999999</v>
          </cell>
          <cell r="DW241">
            <v>999999</v>
          </cell>
          <cell r="DX241">
            <v>126</v>
          </cell>
          <cell r="DY241">
            <v>126</v>
          </cell>
          <cell r="DZ241">
            <v>999999</v>
          </cell>
          <cell r="EA241">
            <v>999999</v>
          </cell>
        </row>
        <row r="242">
          <cell r="N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AJ242">
            <v>0</v>
          </cell>
          <cell r="AK242">
            <v>0</v>
          </cell>
          <cell r="AL242">
            <v>999999</v>
          </cell>
          <cell r="AM242">
            <v>125</v>
          </cell>
          <cell r="AN242">
            <v>125</v>
          </cell>
          <cell r="AO242">
            <v>125</v>
          </cell>
          <cell r="AP242">
            <v>0</v>
          </cell>
          <cell r="AQ242">
            <v>20</v>
          </cell>
          <cell r="AR242">
            <v>125</v>
          </cell>
          <cell r="AS242">
            <v>76</v>
          </cell>
          <cell r="BE242">
            <v>0</v>
          </cell>
          <cell r="BG242">
            <v>0</v>
          </cell>
          <cell r="BH242">
            <v>0</v>
          </cell>
          <cell r="BI242">
            <v>0</v>
          </cell>
          <cell r="BJ242">
            <v>0</v>
          </cell>
          <cell r="BK242">
            <v>0</v>
          </cell>
          <cell r="BL242">
            <v>0</v>
          </cell>
          <cell r="BM242">
            <v>0</v>
          </cell>
          <cell r="BN242">
            <v>0</v>
          </cell>
          <cell r="BO242">
            <v>0</v>
          </cell>
          <cell r="BP242">
            <v>0</v>
          </cell>
          <cell r="CA242">
            <v>112693.68374896611</v>
          </cell>
          <cell r="CB242">
            <v>55</v>
          </cell>
          <cell r="CC242">
            <v>125</v>
          </cell>
          <cell r="CD242">
            <v>125</v>
          </cell>
          <cell r="CE242">
            <v>94</v>
          </cell>
          <cell r="CF242">
            <v>125</v>
          </cell>
          <cell r="CG242">
            <v>26</v>
          </cell>
          <cell r="CH242">
            <v>125</v>
          </cell>
          <cell r="CI242">
            <v>125</v>
          </cell>
          <cell r="CJ242">
            <v>125</v>
          </cell>
          <cell r="CV242">
            <v>262.03473945409428</v>
          </cell>
          <cell r="CX242">
            <v>0</v>
          </cell>
          <cell r="CY242">
            <v>0</v>
          </cell>
          <cell r="CZ242">
            <v>0</v>
          </cell>
          <cell r="DA242">
            <v>0</v>
          </cell>
          <cell r="DB242">
            <v>0</v>
          </cell>
          <cell r="DC242">
            <v>0</v>
          </cell>
          <cell r="DD242">
            <v>0</v>
          </cell>
          <cell r="DE242">
            <v>0</v>
          </cell>
          <cell r="DF242">
            <v>0</v>
          </cell>
          <cell r="DG242">
            <v>0</v>
          </cell>
          <cell r="DR242">
            <v>73103</v>
          </cell>
          <cell r="DS242">
            <v>125</v>
          </cell>
          <cell r="DT242">
            <v>125</v>
          </cell>
          <cell r="DU242">
            <v>999999</v>
          </cell>
          <cell r="DV242">
            <v>999999</v>
          </cell>
          <cell r="DW242">
            <v>999999</v>
          </cell>
          <cell r="DX242">
            <v>125</v>
          </cell>
          <cell r="DY242">
            <v>125</v>
          </cell>
          <cell r="DZ242">
            <v>999999</v>
          </cell>
          <cell r="EA242">
            <v>999999</v>
          </cell>
        </row>
        <row r="243">
          <cell r="N243">
            <v>0</v>
          </cell>
          <cell r="P243">
            <v>0</v>
          </cell>
          <cell r="Q243">
            <v>0</v>
          </cell>
          <cell r="R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AJ243">
            <v>0</v>
          </cell>
          <cell r="AK243">
            <v>0</v>
          </cell>
          <cell r="AL243">
            <v>999999</v>
          </cell>
          <cell r="AM243">
            <v>124</v>
          </cell>
          <cell r="AN243">
            <v>124</v>
          </cell>
          <cell r="AO243">
            <v>124</v>
          </cell>
          <cell r="AP243">
            <v>0</v>
          </cell>
          <cell r="AQ243">
            <v>19</v>
          </cell>
          <cell r="AR243">
            <v>124</v>
          </cell>
          <cell r="AS243">
            <v>75</v>
          </cell>
          <cell r="BE243">
            <v>0</v>
          </cell>
          <cell r="BG243">
            <v>0</v>
          </cell>
          <cell r="BH243">
            <v>0</v>
          </cell>
          <cell r="BI243">
            <v>0</v>
          </cell>
          <cell r="BJ243">
            <v>0</v>
          </cell>
          <cell r="BK243">
            <v>0</v>
          </cell>
          <cell r="BL243">
            <v>0</v>
          </cell>
          <cell r="BM243">
            <v>0</v>
          </cell>
          <cell r="BN243">
            <v>0</v>
          </cell>
          <cell r="BO243">
            <v>0</v>
          </cell>
          <cell r="BP243">
            <v>0</v>
          </cell>
          <cell r="CA243">
            <v>112214.17115849878</v>
          </cell>
          <cell r="CB243">
            <v>54</v>
          </cell>
          <cell r="CC243">
            <v>124</v>
          </cell>
          <cell r="CD243">
            <v>124</v>
          </cell>
          <cell r="CE243">
            <v>93</v>
          </cell>
          <cell r="CF243">
            <v>124</v>
          </cell>
          <cell r="CG243">
            <v>25</v>
          </cell>
          <cell r="CH243">
            <v>124</v>
          </cell>
          <cell r="CI243">
            <v>124</v>
          </cell>
          <cell r="CJ243">
            <v>124</v>
          </cell>
          <cell r="CV243">
            <v>262.03473945409428</v>
          </cell>
          <cell r="CX243">
            <v>0</v>
          </cell>
          <cell r="CY243">
            <v>0</v>
          </cell>
          <cell r="CZ243">
            <v>0</v>
          </cell>
          <cell r="DA243">
            <v>0</v>
          </cell>
          <cell r="DB243">
            <v>0</v>
          </cell>
          <cell r="DC243">
            <v>0</v>
          </cell>
          <cell r="DD243">
            <v>0</v>
          </cell>
          <cell r="DE243">
            <v>0</v>
          </cell>
          <cell r="DF243">
            <v>0</v>
          </cell>
          <cell r="DG243">
            <v>0</v>
          </cell>
          <cell r="DR243">
            <v>73103</v>
          </cell>
          <cell r="DS243">
            <v>124</v>
          </cell>
          <cell r="DT243">
            <v>124</v>
          </cell>
          <cell r="DU243">
            <v>999999</v>
          </cell>
          <cell r="DV243">
            <v>999999</v>
          </cell>
          <cell r="DW243">
            <v>999999</v>
          </cell>
          <cell r="DX243">
            <v>124</v>
          </cell>
          <cell r="DY243">
            <v>124</v>
          </cell>
          <cell r="DZ243">
            <v>999999</v>
          </cell>
          <cell r="EA243">
            <v>999999</v>
          </cell>
        </row>
        <row r="244">
          <cell r="N244">
            <v>0</v>
          </cell>
          <cell r="P244">
            <v>0</v>
          </cell>
          <cell r="Q244">
            <v>0</v>
          </cell>
          <cell r="R244">
            <v>0</v>
          </cell>
          <cell r="S244">
            <v>0</v>
          </cell>
          <cell r="T244">
            <v>0</v>
          </cell>
          <cell r="U244">
            <v>0</v>
          </cell>
          <cell r="V244">
            <v>0</v>
          </cell>
          <cell r="W244">
            <v>0</v>
          </cell>
          <cell r="X244">
            <v>0</v>
          </cell>
          <cell r="Y244">
            <v>0</v>
          </cell>
          <cell r="AJ244">
            <v>0</v>
          </cell>
          <cell r="AK244">
            <v>0</v>
          </cell>
          <cell r="AL244">
            <v>999999</v>
          </cell>
          <cell r="AM244">
            <v>123</v>
          </cell>
          <cell r="AN244">
            <v>123</v>
          </cell>
          <cell r="AO244">
            <v>123</v>
          </cell>
          <cell r="AP244">
            <v>0</v>
          </cell>
          <cell r="AQ244">
            <v>18</v>
          </cell>
          <cell r="AR244">
            <v>123</v>
          </cell>
          <cell r="AS244">
            <v>74</v>
          </cell>
          <cell r="BE244">
            <v>0</v>
          </cell>
          <cell r="BG244">
            <v>0</v>
          </cell>
          <cell r="BH244">
            <v>0</v>
          </cell>
          <cell r="BI244">
            <v>0</v>
          </cell>
          <cell r="BJ244">
            <v>0</v>
          </cell>
          <cell r="BK244">
            <v>0</v>
          </cell>
          <cell r="BL244">
            <v>0</v>
          </cell>
          <cell r="BM244">
            <v>0</v>
          </cell>
          <cell r="BN244">
            <v>0</v>
          </cell>
          <cell r="BO244">
            <v>0</v>
          </cell>
          <cell r="BP244">
            <v>0</v>
          </cell>
          <cell r="CA244">
            <v>111734.65856803145</v>
          </cell>
          <cell r="CB244">
            <v>53</v>
          </cell>
          <cell r="CC244">
            <v>123</v>
          </cell>
          <cell r="CD244">
            <v>123</v>
          </cell>
          <cell r="CE244">
            <v>92</v>
          </cell>
          <cell r="CF244">
            <v>123</v>
          </cell>
          <cell r="CG244">
            <v>24</v>
          </cell>
          <cell r="CH244">
            <v>123</v>
          </cell>
          <cell r="CI244">
            <v>123</v>
          </cell>
          <cell r="CJ244">
            <v>123</v>
          </cell>
          <cell r="CV244">
            <v>262.03473945409428</v>
          </cell>
          <cell r="CX244">
            <v>0</v>
          </cell>
          <cell r="CY244">
            <v>0</v>
          </cell>
          <cell r="CZ244">
            <v>0</v>
          </cell>
          <cell r="DA244">
            <v>0</v>
          </cell>
          <cell r="DB244">
            <v>0</v>
          </cell>
          <cell r="DC244">
            <v>0</v>
          </cell>
          <cell r="DD244">
            <v>0</v>
          </cell>
          <cell r="DE244">
            <v>0</v>
          </cell>
          <cell r="DF244">
            <v>0</v>
          </cell>
          <cell r="DG244">
            <v>0</v>
          </cell>
          <cell r="DR244">
            <v>73103</v>
          </cell>
          <cell r="DS244">
            <v>123</v>
          </cell>
          <cell r="DT244">
            <v>123</v>
          </cell>
          <cell r="DU244">
            <v>999999</v>
          </cell>
          <cell r="DV244">
            <v>999999</v>
          </cell>
          <cell r="DW244">
            <v>999999</v>
          </cell>
          <cell r="DX244">
            <v>123</v>
          </cell>
          <cell r="DY244">
            <v>123</v>
          </cell>
          <cell r="DZ244">
            <v>999999</v>
          </cell>
          <cell r="EA244">
            <v>999999</v>
          </cell>
        </row>
        <row r="245">
          <cell r="N245">
            <v>0</v>
          </cell>
          <cell r="P245">
            <v>0</v>
          </cell>
          <cell r="Q245">
            <v>0</v>
          </cell>
          <cell r="R245">
            <v>0</v>
          </cell>
          <cell r="S245">
            <v>0</v>
          </cell>
          <cell r="T245">
            <v>0</v>
          </cell>
          <cell r="U245">
            <v>0</v>
          </cell>
          <cell r="V245">
            <v>0</v>
          </cell>
          <cell r="W245">
            <v>0</v>
          </cell>
          <cell r="X245">
            <v>0</v>
          </cell>
          <cell r="Y245">
            <v>0</v>
          </cell>
          <cell r="AJ245">
            <v>0</v>
          </cell>
          <cell r="AK245">
            <v>0</v>
          </cell>
          <cell r="AL245">
            <v>999999</v>
          </cell>
          <cell r="AM245">
            <v>122</v>
          </cell>
          <cell r="AN245">
            <v>122</v>
          </cell>
          <cell r="AO245">
            <v>122</v>
          </cell>
          <cell r="AP245">
            <v>0</v>
          </cell>
          <cell r="AQ245">
            <v>17</v>
          </cell>
          <cell r="AR245">
            <v>122</v>
          </cell>
          <cell r="AS245">
            <v>73</v>
          </cell>
          <cell r="BE245">
            <v>0</v>
          </cell>
          <cell r="BG245">
            <v>0</v>
          </cell>
          <cell r="BH245">
            <v>0</v>
          </cell>
          <cell r="BI245">
            <v>0</v>
          </cell>
          <cell r="BJ245">
            <v>0</v>
          </cell>
          <cell r="BK245">
            <v>0</v>
          </cell>
          <cell r="BL245">
            <v>0</v>
          </cell>
          <cell r="BM245">
            <v>0</v>
          </cell>
          <cell r="BN245">
            <v>0</v>
          </cell>
          <cell r="BO245">
            <v>0</v>
          </cell>
          <cell r="BP245">
            <v>0</v>
          </cell>
          <cell r="CA245">
            <v>111255.14597756411</v>
          </cell>
          <cell r="CB245">
            <v>52</v>
          </cell>
          <cell r="CC245">
            <v>122</v>
          </cell>
          <cell r="CD245">
            <v>122</v>
          </cell>
          <cell r="CE245">
            <v>91</v>
          </cell>
          <cell r="CF245">
            <v>122</v>
          </cell>
          <cell r="CG245">
            <v>23</v>
          </cell>
          <cell r="CH245">
            <v>122</v>
          </cell>
          <cell r="CI245">
            <v>122</v>
          </cell>
          <cell r="CJ245">
            <v>122</v>
          </cell>
          <cell r="CV245">
            <v>262.03473945409428</v>
          </cell>
          <cell r="CX245">
            <v>0</v>
          </cell>
          <cell r="CY245">
            <v>0</v>
          </cell>
          <cell r="CZ245">
            <v>0</v>
          </cell>
          <cell r="DA245">
            <v>0</v>
          </cell>
          <cell r="DB245">
            <v>0</v>
          </cell>
          <cell r="DC245">
            <v>0</v>
          </cell>
          <cell r="DD245">
            <v>0</v>
          </cell>
          <cell r="DE245">
            <v>0</v>
          </cell>
          <cell r="DF245">
            <v>0</v>
          </cell>
          <cell r="DG245">
            <v>0</v>
          </cell>
          <cell r="DR245">
            <v>73103</v>
          </cell>
          <cell r="DS245">
            <v>122</v>
          </cell>
          <cell r="DT245">
            <v>122</v>
          </cell>
          <cell r="DU245">
            <v>999999</v>
          </cell>
          <cell r="DV245">
            <v>999999</v>
          </cell>
          <cell r="DW245">
            <v>999999</v>
          </cell>
          <cell r="DX245">
            <v>122</v>
          </cell>
          <cell r="DY245">
            <v>122</v>
          </cell>
          <cell r="DZ245">
            <v>999999</v>
          </cell>
          <cell r="EA245">
            <v>999999</v>
          </cell>
        </row>
        <row r="246">
          <cell r="N246">
            <v>0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AJ246">
            <v>0</v>
          </cell>
          <cell r="AK246">
            <v>0</v>
          </cell>
          <cell r="AL246">
            <v>999999</v>
          </cell>
          <cell r="AM246">
            <v>121</v>
          </cell>
          <cell r="AN246">
            <v>121</v>
          </cell>
          <cell r="AO246">
            <v>121</v>
          </cell>
          <cell r="AP246">
            <v>0</v>
          </cell>
          <cell r="AQ246">
            <v>16</v>
          </cell>
          <cell r="AR246">
            <v>121</v>
          </cell>
          <cell r="AS246">
            <v>72</v>
          </cell>
          <cell r="BE246">
            <v>0</v>
          </cell>
          <cell r="BG246">
            <v>0</v>
          </cell>
          <cell r="BH246">
            <v>0</v>
          </cell>
          <cell r="BI246">
            <v>0</v>
          </cell>
          <cell r="BJ246">
            <v>0</v>
          </cell>
          <cell r="BK246">
            <v>0</v>
          </cell>
          <cell r="BL246">
            <v>0</v>
          </cell>
          <cell r="BM246">
            <v>0</v>
          </cell>
          <cell r="BN246">
            <v>0</v>
          </cell>
          <cell r="BO246">
            <v>0</v>
          </cell>
          <cell r="BP246">
            <v>0</v>
          </cell>
          <cell r="CA246">
            <v>110716.68373130343</v>
          </cell>
          <cell r="CB246">
            <v>51</v>
          </cell>
          <cell r="CC246">
            <v>121</v>
          </cell>
          <cell r="CD246">
            <v>121</v>
          </cell>
          <cell r="CE246">
            <v>90</v>
          </cell>
          <cell r="CF246">
            <v>121</v>
          </cell>
          <cell r="CG246">
            <v>22</v>
          </cell>
          <cell r="CH246">
            <v>121</v>
          </cell>
          <cell r="CI246">
            <v>121</v>
          </cell>
          <cell r="CJ246">
            <v>121</v>
          </cell>
          <cell r="CV246">
            <v>288.46153846153851</v>
          </cell>
          <cell r="CX246">
            <v>0</v>
          </cell>
          <cell r="CY246">
            <v>0</v>
          </cell>
          <cell r="CZ246">
            <v>0</v>
          </cell>
          <cell r="DA246">
            <v>0</v>
          </cell>
          <cell r="DB246">
            <v>0</v>
          </cell>
          <cell r="DC246">
            <v>0</v>
          </cell>
          <cell r="DD246">
            <v>0</v>
          </cell>
          <cell r="DE246">
            <v>0</v>
          </cell>
          <cell r="DF246">
            <v>0</v>
          </cell>
          <cell r="DG246">
            <v>0</v>
          </cell>
          <cell r="DR246">
            <v>73103</v>
          </cell>
          <cell r="DS246">
            <v>121</v>
          </cell>
          <cell r="DT246">
            <v>121</v>
          </cell>
          <cell r="DU246">
            <v>999999</v>
          </cell>
          <cell r="DV246">
            <v>999999</v>
          </cell>
          <cell r="DW246">
            <v>999999</v>
          </cell>
          <cell r="DX246">
            <v>121</v>
          </cell>
          <cell r="DY246">
            <v>121</v>
          </cell>
          <cell r="DZ246">
            <v>999999</v>
          </cell>
          <cell r="EA246">
            <v>999999</v>
          </cell>
        </row>
        <row r="247">
          <cell r="N247">
            <v>0</v>
          </cell>
          <cell r="P247">
            <v>0</v>
          </cell>
          <cell r="Q247">
            <v>0</v>
          </cell>
          <cell r="R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AJ247">
            <v>0</v>
          </cell>
          <cell r="AK247">
            <v>0</v>
          </cell>
          <cell r="AL247">
            <v>999999</v>
          </cell>
          <cell r="AM247">
            <v>120</v>
          </cell>
          <cell r="AN247">
            <v>120</v>
          </cell>
          <cell r="AO247">
            <v>120</v>
          </cell>
          <cell r="AP247">
            <v>0</v>
          </cell>
          <cell r="AQ247">
            <v>15</v>
          </cell>
          <cell r="AR247">
            <v>120</v>
          </cell>
          <cell r="AS247">
            <v>71</v>
          </cell>
          <cell r="BE247">
            <v>0</v>
          </cell>
          <cell r="BG247">
            <v>0</v>
          </cell>
          <cell r="BH247">
            <v>0</v>
          </cell>
          <cell r="BI247">
            <v>0</v>
          </cell>
          <cell r="BJ247">
            <v>0</v>
          </cell>
          <cell r="BK247">
            <v>0</v>
          </cell>
          <cell r="BL247">
            <v>0</v>
          </cell>
          <cell r="BM247">
            <v>0</v>
          </cell>
          <cell r="BN247">
            <v>0</v>
          </cell>
          <cell r="BO247">
            <v>0</v>
          </cell>
          <cell r="BP247">
            <v>0</v>
          </cell>
          <cell r="CA247">
            <v>110178.22148504276</v>
          </cell>
          <cell r="CB247">
            <v>50</v>
          </cell>
          <cell r="CC247">
            <v>120</v>
          </cell>
          <cell r="CD247">
            <v>120</v>
          </cell>
          <cell r="CE247">
            <v>89</v>
          </cell>
          <cell r="CF247">
            <v>120</v>
          </cell>
          <cell r="CG247">
            <v>21</v>
          </cell>
          <cell r="CH247">
            <v>120</v>
          </cell>
          <cell r="CI247">
            <v>120</v>
          </cell>
          <cell r="CJ247">
            <v>120</v>
          </cell>
          <cell r="CV247">
            <v>288.46153846153851</v>
          </cell>
          <cell r="CX247">
            <v>0</v>
          </cell>
          <cell r="CY247">
            <v>0</v>
          </cell>
          <cell r="CZ247">
            <v>0</v>
          </cell>
          <cell r="DA247">
            <v>0</v>
          </cell>
          <cell r="DB247">
            <v>0</v>
          </cell>
          <cell r="DC247">
            <v>0</v>
          </cell>
          <cell r="DD247">
            <v>0</v>
          </cell>
          <cell r="DE247">
            <v>0</v>
          </cell>
          <cell r="DF247">
            <v>0</v>
          </cell>
          <cell r="DG247">
            <v>0</v>
          </cell>
          <cell r="DR247">
            <v>73103</v>
          </cell>
          <cell r="DS247">
            <v>120</v>
          </cell>
          <cell r="DT247">
            <v>120</v>
          </cell>
          <cell r="DU247">
            <v>999999</v>
          </cell>
          <cell r="DV247">
            <v>999999</v>
          </cell>
          <cell r="DW247">
            <v>999999</v>
          </cell>
          <cell r="DX247">
            <v>120</v>
          </cell>
          <cell r="DY247">
            <v>120</v>
          </cell>
          <cell r="DZ247">
            <v>999999</v>
          </cell>
          <cell r="EA247">
            <v>999999</v>
          </cell>
        </row>
        <row r="248">
          <cell r="N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AJ248">
            <v>0</v>
          </cell>
          <cell r="AK248">
            <v>0</v>
          </cell>
          <cell r="AL248">
            <v>999999</v>
          </cell>
          <cell r="AM248">
            <v>119</v>
          </cell>
          <cell r="AN248">
            <v>119</v>
          </cell>
          <cell r="AO248">
            <v>119</v>
          </cell>
          <cell r="AP248">
            <v>0</v>
          </cell>
          <cell r="AQ248">
            <v>14</v>
          </cell>
          <cell r="AR248">
            <v>119</v>
          </cell>
          <cell r="AS248">
            <v>70</v>
          </cell>
          <cell r="BE248">
            <v>0</v>
          </cell>
          <cell r="BG248">
            <v>0</v>
          </cell>
          <cell r="BH248">
            <v>0</v>
          </cell>
          <cell r="BI248">
            <v>0</v>
          </cell>
          <cell r="BJ248">
            <v>0</v>
          </cell>
          <cell r="BK248">
            <v>0</v>
          </cell>
          <cell r="BL248">
            <v>0</v>
          </cell>
          <cell r="BM248">
            <v>0</v>
          </cell>
          <cell r="BN248">
            <v>0</v>
          </cell>
          <cell r="BO248">
            <v>0</v>
          </cell>
          <cell r="BP248">
            <v>0</v>
          </cell>
          <cell r="CA248">
            <v>109639.75923878208</v>
          </cell>
          <cell r="CB248">
            <v>49</v>
          </cell>
          <cell r="CC248">
            <v>119</v>
          </cell>
          <cell r="CD248">
            <v>119</v>
          </cell>
          <cell r="CE248">
            <v>88</v>
          </cell>
          <cell r="CF248">
            <v>119</v>
          </cell>
          <cell r="CG248">
            <v>20</v>
          </cell>
          <cell r="CH248">
            <v>119</v>
          </cell>
          <cell r="CI248">
            <v>119</v>
          </cell>
          <cell r="CJ248">
            <v>119</v>
          </cell>
          <cell r="CV248">
            <v>288.46153846153851</v>
          </cell>
          <cell r="CX248">
            <v>0</v>
          </cell>
          <cell r="CY248">
            <v>0</v>
          </cell>
          <cell r="CZ248">
            <v>0</v>
          </cell>
          <cell r="DA248">
            <v>0</v>
          </cell>
          <cell r="DB248">
            <v>0</v>
          </cell>
          <cell r="DC248">
            <v>0</v>
          </cell>
          <cell r="DD248">
            <v>0</v>
          </cell>
          <cell r="DE248">
            <v>0</v>
          </cell>
          <cell r="DF248">
            <v>0</v>
          </cell>
          <cell r="DG248">
            <v>0</v>
          </cell>
          <cell r="DR248">
            <v>73103</v>
          </cell>
          <cell r="DS248">
            <v>119</v>
          </cell>
          <cell r="DT248">
            <v>119</v>
          </cell>
          <cell r="DU248">
            <v>999999</v>
          </cell>
          <cell r="DV248">
            <v>999999</v>
          </cell>
          <cell r="DW248">
            <v>999999</v>
          </cell>
          <cell r="DX248">
            <v>119</v>
          </cell>
          <cell r="DY248">
            <v>119</v>
          </cell>
          <cell r="DZ248">
            <v>999999</v>
          </cell>
          <cell r="EA248">
            <v>999999</v>
          </cell>
        </row>
        <row r="249">
          <cell r="N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AJ249">
            <v>0</v>
          </cell>
          <cell r="AK249">
            <v>0</v>
          </cell>
          <cell r="AL249">
            <v>999999</v>
          </cell>
          <cell r="AM249">
            <v>118</v>
          </cell>
          <cell r="AN249">
            <v>118</v>
          </cell>
          <cell r="AO249">
            <v>118</v>
          </cell>
          <cell r="AP249">
            <v>0</v>
          </cell>
          <cell r="AQ249">
            <v>13</v>
          </cell>
          <cell r="AR249">
            <v>118</v>
          </cell>
          <cell r="AS249">
            <v>69</v>
          </cell>
          <cell r="BE249">
            <v>48000</v>
          </cell>
          <cell r="BG249">
            <v>0</v>
          </cell>
          <cell r="BH249">
            <v>0</v>
          </cell>
          <cell r="BI249">
            <v>0</v>
          </cell>
          <cell r="BJ249">
            <v>0</v>
          </cell>
          <cell r="BK249">
            <v>0</v>
          </cell>
          <cell r="BL249">
            <v>0</v>
          </cell>
          <cell r="BM249">
            <v>0</v>
          </cell>
          <cell r="BN249">
            <v>0</v>
          </cell>
          <cell r="BO249">
            <v>0</v>
          </cell>
          <cell r="BP249">
            <v>0</v>
          </cell>
          <cell r="CA249">
            <v>109101.2969925214</v>
          </cell>
          <cell r="CB249">
            <v>48</v>
          </cell>
          <cell r="CC249">
            <v>118</v>
          </cell>
          <cell r="CD249">
            <v>118</v>
          </cell>
          <cell r="CE249">
            <v>87</v>
          </cell>
          <cell r="CF249">
            <v>118</v>
          </cell>
          <cell r="CG249">
            <v>19</v>
          </cell>
          <cell r="CH249">
            <v>118</v>
          </cell>
          <cell r="CI249">
            <v>118</v>
          </cell>
          <cell r="CJ249">
            <v>118</v>
          </cell>
          <cell r="CV249">
            <v>288.46153846153851</v>
          </cell>
          <cell r="CX249">
            <v>0</v>
          </cell>
          <cell r="CY249">
            <v>0</v>
          </cell>
          <cell r="CZ249">
            <v>0</v>
          </cell>
          <cell r="DA249">
            <v>0</v>
          </cell>
          <cell r="DB249">
            <v>0</v>
          </cell>
          <cell r="DC249">
            <v>0</v>
          </cell>
          <cell r="DD249">
            <v>0</v>
          </cell>
          <cell r="DE249">
            <v>0</v>
          </cell>
          <cell r="DF249">
            <v>0</v>
          </cell>
          <cell r="DG249">
            <v>0</v>
          </cell>
          <cell r="DR249">
            <v>73103</v>
          </cell>
          <cell r="DS249">
            <v>118</v>
          </cell>
          <cell r="DT249">
            <v>118</v>
          </cell>
          <cell r="DU249">
            <v>999999</v>
          </cell>
          <cell r="DV249">
            <v>999999</v>
          </cell>
          <cell r="DW249">
            <v>999999</v>
          </cell>
          <cell r="DX249">
            <v>118</v>
          </cell>
          <cell r="DY249">
            <v>118</v>
          </cell>
          <cell r="DZ249">
            <v>999999</v>
          </cell>
          <cell r="EA249">
            <v>999999</v>
          </cell>
        </row>
        <row r="250">
          <cell r="N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AJ250">
            <v>0</v>
          </cell>
          <cell r="AK250">
            <v>0</v>
          </cell>
          <cell r="AL250">
            <v>999999</v>
          </cell>
          <cell r="AM250">
            <v>117</v>
          </cell>
          <cell r="AN250">
            <v>117</v>
          </cell>
          <cell r="AO250">
            <v>117</v>
          </cell>
          <cell r="AP250">
            <v>0</v>
          </cell>
          <cell r="AQ250">
            <v>12</v>
          </cell>
          <cell r="AR250">
            <v>117</v>
          </cell>
          <cell r="AS250">
            <v>68</v>
          </cell>
          <cell r="BE250">
            <v>0</v>
          </cell>
          <cell r="BG250">
            <v>0</v>
          </cell>
          <cell r="BH250">
            <v>0</v>
          </cell>
          <cell r="BI250">
            <v>0</v>
          </cell>
          <cell r="BJ250">
            <v>0</v>
          </cell>
          <cell r="BK250">
            <v>0</v>
          </cell>
          <cell r="BL250">
            <v>0</v>
          </cell>
          <cell r="BM250">
            <v>0</v>
          </cell>
          <cell r="BN250">
            <v>0</v>
          </cell>
          <cell r="BO250">
            <v>0</v>
          </cell>
          <cell r="BP250">
            <v>0</v>
          </cell>
          <cell r="CA250">
            <v>108562.83474626072</v>
          </cell>
          <cell r="CB250">
            <v>47</v>
          </cell>
          <cell r="CC250">
            <v>117</v>
          </cell>
          <cell r="CD250">
            <v>117</v>
          </cell>
          <cell r="CE250">
            <v>86</v>
          </cell>
          <cell r="CF250">
            <v>117</v>
          </cell>
          <cell r="CG250">
            <v>18</v>
          </cell>
          <cell r="CH250">
            <v>117</v>
          </cell>
          <cell r="CI250">
            <v>117</v>
          </cell>
          <cell r="CJ250">
            <v>117</v>
          </cell>
          <cell r="CV250">
            <v>288.46153846153851</v>
          </cell>
          <cell r="CX250">
            <v>0</v>
          </cell>
          <cell r="CY250">
            <v>0</v>
          </cell>
          <cell r="CZ250">
            <v>0</v>
          </cell>
          <cell r="DA250">
            <v>0</v>
          </cell>
          <cell r="DB250">
            <v>0</v>
          </cell>
          <cell r="DC250">
            <v>0</v>
          </cell>
          <cell r="DD250">
            <v>0</v>
          </cell>
          <cell r="DE250">
            <v>0</v>
          </cell>
          <cell r="DF250">
            <v>0</v>
          </cell>
          <cell r="DG250">
            <v>0</v>
          </cell>
          <cell r="DR250">
            <v>73103</v>
          </cell>
          <cell r="DS250">
            <v>117</v>
          </cell>
          <cell r="DT250">
            <v>117</v>
          </cell>
          <cell r="DU250">
            <v>999999</v>
          </cell>
          <cell r="DV250">
            <v>999999</v>
          </cell>
          <cell r="DW250">
            <v>999999</v>
          </cell>
          <cell r="DX250">
            <v>117</v>
          </cell>
          <cell r="DY250">
            <v>117</v>
          </cell>
          <cell r="DZ250">
            <v>999999</v>
          </cell>
          <cell r="EA250">
            <v>999999</v>
          </cell>
        </row>
        <row r="251">
          <cell r="N251">
            <v>0</v>
          </cell>
          <cell r="P251">
            <v>0</v>
          </cell>
          <cell r="Q251">
            <v>0</v>
          </cell>
          <cell r="R251">
            <v>0</v>
          </cell>
          <cell r="S251">
            <v>0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AJ251">
            <v>0</v>
          </cell>
          <cell r="AK251">
            <v>0</v>
          </cell>
          <cell r="AL251">
            <v>999999</v>
          </cell>
          <cell r="AM251">
            <v>116</v>
          </cell>
          <cell r="AN251">
            <v>116</v>
          </cell>
          <cell r="AO251">
            <v>116</v>
          </cell>
          <cell r="AP251">
            <v>0</v>
          </cell>
          <cell r="AQ251">
            <v>11</v>
          </cell>
          <cell r="AR251">
            <v>116</v>
          </cell>
          <cell r="AS251">
            <v>67</v>
          </cell>
          <cell r="BE251">
            <v>0</v>
          </cell>
          <cell r="BG251">
            <v>0</v>
          </cell>
          <cell r="BH251">
            <v>0</v>
          </cell>
          <cell r="BI251">
            <v>0</v>
          </cell>
          <cell r="BJ251">
            <v>0</v>
          </cell>
          <cell r="BK251">
            <v>0</v>
          </cell>
          <cell r="BL251">
            <v>0</v>
          </cell>
          <cell r="BM251">
            <v>0</v>
          </cell>
          <cell r="BN251">
            <v>0</v>
          </cell>
          <cell r="BO251">
            <v>0</v>
          </cell>
          <cell r="BP251">
            <v>0</v>
          </cell>
          <cell r="CA251">
            <v>108024.37250000004</v>
          </cell>
          <cell r="CB251">
            <v>46</v>
          </cell>
          <cell r="CC251">
            <v>116</v>
          </cell>
          <cell r="CD251">
            <v>116</v>
          </cell>
          <cell r="CE251">
            <v>85</v>
          </cell>
          <cell r="CF251">
            <v>116</v>
          </cell>
          <cell r="CG251">
            <v>17</v>
          </cell>
          <cell r="CH251">
            <v>116</v>
          </cell>
          <cell r="CI251">
            <v>116</v>
          </cell>
          <cell r="CJ251">
            <v>116</v>
          </cell>
          <cell r="CV251">
            <v>288.46153846153851</v>
          </cell>
          <cell r="CX251">
            <v>0</v>
          </cell>
          <cell r="CY251">
            <v>0</v>
          </cell>
          <cell r="CZ251">
            <v>0</v>
          </cell>
          <cell r="DA251">
            <v>0</v>
          </cell>
          <cell r="DB251">
            <v>0</v>
          </cell>
          <cell r="DC251">
            <v>0</v>
          </cell>
          <cell r="DD251">
            <v>0</v>
          </cell>
          <cell r="DE251">
            <v>0</v>
          </cell>
          <cell r="DF251">
            <v>0</v>
          </cell>
          <cell r="DG251">
            <v>0</v>
          </cell>
          <cell r="DR251">
            <v>73103</v>
          </cell>
          <cell r="DS251">
            <v>116</v>
          </cell>
          <cell r="DT251">
            <v>116</v>
          </cell>
          <cell r="DU251">
            <v>999999</v>
          </cell>
          <cell r="DV251">
            <v>999999</v>
          </cell>
          <cell r="DW251">
            <v>999999</v>
          </cell>
          <cell r="DX251">
            <v>116</v>
          </cell>
          <cell r="DY251">
            <v>116</v>
          </cell>
          <cell r="DZ251">
            <v>999999</v>
          </cell>
          <cell r="EA251">
            <v>999999</v>
          </cell>
        </row>
        <row r="252">
          <cell r="N252">
            <v>0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AJ252">
            <v>0</v>
          </cell>
          <cell r="AK252">
            <v>0</v>
          </cell>
          <cell r="AL252">
            <v>999999</v>
          </cell>
          <cell r="AM252">
            <v>115</v>
          </cell>
          <cell r="AN252">
            <v>115</v>
          </cell>
          <cell r="AO252">
            <v>115</v>
          </cell>
          <cell r="AP252">
            <v>0</v>
          </cell>
          <cell r="AQ252">
            <v>10</v>
          </cell>
          <cell r="AR252">
            <v>115</v>
          </cell>
          <cell r="AS252">
            <v>66</v>
          </cell>
          <cell r="BE252">
            <v>0</v>
          </cell>
          <cell r="BG252">
            <v>0</v>
          </cell>
          <cell r="BH252">
            <v>0</v>
          </cell>
          <cell r="BI252">
            <v>0</v>
          </cell>
          <cell r="BJ252">
            <v>0</v>
          </cell>
          <cell r="BK252">
            <v>0</v>
          </cell>
          <cell r="BL252">
            <v>0</v>
          </cell>
          <cell r="BM252">
            <v>0</v>
          </cell>
          <cell r="BN252">
            <v>0</v>
          </cell>
          <cell r="BO252">
            <v>0</v>
          </cell>
          <cell r="BP252">
            <v>0</v>
          </cell>
          <cell r="CA252">
            <v>107485.91025373936</v>
          </cell>
          <cell r="CB252">
            <v>45</v>
          </cell>
          <cell r="CC252">
            <v>115</v>
          </cell>
          <cell r="CD252">
            <v>115</v>
          </cell>
          <cell r="CE252">
            <v>84</v>
          </cell>
          <cell r="CF252">
            <v>115</v>
          </cell>
          <cell r="CG252">
            <v>16</v>
          </cell>
          <cell r="CH252">
            <v>115</v>
          </cell>
          <cell r="CI252">
            <v>115</v>
          </cell>
          <cell r="CJ252">
            <v>115</v>
          </cell>
          <cell r="CV252">
            <v>288.46153846153851</v>
          </cell>
          <cell r="CX252">
            <v>0</v>
          </cell>
          <cell r="CY252">
            <v>0</v>
          </cell>
          <cell r="CZ252">
            <v>0</v>
          </cell>
          <cell r="DA252">
            <v>0</v>
          </cell>
          <cell r="DB252">
            <v>0</v>
          </cell>
          <cell r="DC252">
            <v>0</v>
          </cell>
          <cell r="DD252">
            <v>0</v>
          </cell>
          <cell r="DE252">
            <v>0</v>
          </cell>
          <cell r="DF252">
            <v>0</v>
          </cell>
          <cell r="DG252">
            <v>0</v>
          </cell>
          <cell r="DR252">
            <v>73103</v>
          </cell>
          <cell r="DS252">
            <v>115</v>
          </cell>
          <cell r="DT252">
            <v>115</v>
          </cell>
          <cell r="DU252">
            <v>999999</v>
          </cell>
          <cell r="DV252">
            <v>999999</v>
          </cell>
          <cell r="DW252">
            <v>999999</v>
          </cell>
          <cell r="DX252">
            <v>115</v>
          </cell>
          <cell r="DY252">
            <v>115</v>
          </cell>
          <cell r="DZ252">
            <v>999999</v>
          </cell>
          <cell r="EA252">
            <v>999999</v>
          </cell>
        </row>
        <row r="253">
          <cell r="N253">
            <v>48000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  <cell r="AJ253">
            <v>0</v>
          </cell>
          <cell r="AK253">
            <v>0</v>
          </cell>
          <cell r="AL253">
            <v>999999</v>
          </cell>
          <cell r="AM253">
            <v>114</v>
          </cell>
          <cell r="AN253">
            <v>114</v>
          </cell>
          <cell r="AO253">
            <v>114</v>
          </cell>
          <cell r="AP253">
            <v>0</v>
          </cell>
          <cell r="AQ253">
            <v>9</v>
          </cell>
          <cell r="AR253">
            <v>114</v>
          </cell>
          <cell r="AS253">
            <v>65</v>
          </cell>
          <cell r="BE253">
            <v>0</v>
          </cell>
          <cell r="BG253">
            <v>0</v>
          </cell>
          <cell r="BH253">
            <v>0</v>
          </cell>
          <cell r="BI253">
            <v>0</v>
          </cell>
          <cell r="BJ253">
            <v>0</v>
          </cell>
          <cell r="BK253">
            <v>0</v>
          </cell>
          <cell r="BL253">
            <v>0</v>
          </cell>
          <cell r="BM253">
            <v>0</v>
          </cell>
          <cell r="BN253">
            <v>0</v>
          </cell>
          <cell r="BO253">
            <v>0</v>
          </cell>
          <cell r="BP253">
            <v>0</v>
          </cell>
          <cell r="CA253">
            <v>106947.44800747868</v>
          </cell>
          <cell r="CB253">
            <v>44</v>
          </cell>
          <cell r="CC253">
            <v>114</v>
          </cell>
          <cell r="CD253">
            <v>114</v>
          </cell>
          <cell r="CE253">
            <v>83</v>
          </cell>
          <cell r="CF253">
            <v>114</v>
          </cell>
          <cell r="CG253">
            <v>15</v>
          </cell>
          <cell r="CH253">
            <v>114</v>
          </cell>
          <cell r="CI253">
            <v>114</v>
          </cell>
          <cell r="CJ253">
            <v>114</v>
          </cell>
          <cell r="CV253">
            <v>288.46153846153851</v>
          </cell>
          <cell r="CX253">
            <v>0</v>
          </cell>
          <cell r="CY253">
            <v>0</v>
          </cell>
          <cell r="CZ253">
            <v>0</v>
          </cell>
          <cell r="DA253">
            <v>0</v>
          </cell>
          <cell r="DB253">
            <v>0</v>
          </cell>
          <cell r="DC253">
            <v>0</v>
          </cell>
          <cell r="DD253">
            <v>0</v>
          </cell>
          <cell r="DE253">
            <v>0</v>
          </cell>
          <cell r="DF253">
            <v>0</v>
          </cell>
          <cell r="DG253">
            <v>0</v>
          </cell>
          <cell r="DR253">
            <v>73103</v>
          </cell>
          <cell r="DS253">
            <v>114</v>
          </cell>
          <cell r="DT253">
            <v>114</v>
          </cell>
          <cell r="DU253">
            <v>999999</v>
          </cell>
          <cell r="DV253">
            <v>999999</v>
          </cell>
          <cell r="DW253">
            <v>999999</v>
          </cell>
          <cell r="DX253">
            <v>114</v>
          </cell>
          <cell r="DY253">
            <v>114</v>
          </cell>
          <cell r="DZ253">
            <v>999999</v>
          </cell>
          <cell r="EA253">
            <v>999999</v>
          </cell>
        </row>
        <row r="254">
          <cell r="N254">
            <v>0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  <cell r="T254">
            <v>0</v>
          </cell>
          <cell r="U254">
            <v>0</v>
          </cell>
          <cell r="V254">
            <v>0</v>
          </cell>
          <cell r="W254">
            <v>0</v>
          </cell>
          <cell r="X254">
            <v>0</v>
          </cell>
          <cell r="Y254">
            <v>0</v>
          </cell>
          <cell r="AJ254">
            <v>0</v>
          </cell>
          <cell r="AK254">
            <v>0</v>
          </cell>
          <cell r="AL254">
            <v>999999</v>
          </cell>
          <cell r="AM254">
            <v>113</v>
          </cell>
          <cell r="AN254">
            <v>113</v>
          </cell>
          <cell r="AO254">
            <v>113</v>
          </cell>
          <cell r="AP254">
            <v>0</v>
          </cell>
          <cell r="AQ254">
            <v>8</v>
          </cell>
          <cell r="AR254">
            <v>113</v>
          </cell>
          <cell r="AS254">
            <v>64</v>
          </cell>
          <cell r="BE254">
            <v>0</v>
          </cell>
          <cell r="BG254">
            <v>0</v>
          </cell>
          <cell r="BH254">
            <v>0</v>
          </cell>
          <cell r="BI254">
            <v>0</v>
          </cell>
          <cell r="BJ254">
            <v>0</v>
          </cell>
          <cell r="BK254">
            <v>0</v>
          </cell>
          <cell r="BL254">
            <v>0</v>
          </cell>
          <cell r="BM254">
            <v>0</v>
          </cell>
          <cell r="BN254">
            <v>0</v>
          </cell>
          <cell r="BO254">
            <v>0</v>
          </cell>
          <cell r="BP254">
            <v>0</v>
          </cell>
          <cell r="CA254">
            <v>106408.98576121801</v>
          </cell>
          <cell r="CB254">
            <v>43</v>
          </cell>
          <cell r="CC254">
            <v>113</v>
          </cell>
          <cell r="CD254">
            <v>113</v>
          </cell>
          <cell r="CE254">
            <v>82</v>
          </cell>
          <cell r="CF254">
            <v>113</v>
          </cell>
          <cell r="CG254">
            <v>14</v>
          </cell>
          <cell r="CH254">
            <v>113</v>
          </cell>
          <cell r="CI254">
            <v>113</v>
          </cell>
          <cell r="CJ254">
            <v>113</v>
          </cell>
          <cell r="CV254">
            <v>288.46153846153851</v>
          </cell>
          <cell r="CX254">
            <v>0</v>
          </cell>
          <cell r="CY254">
            <v>0</v>
          </cell>
          <cell r="CZ254">
            <v>0</v>
          </cell>
          <cell r="DA254">
            <v>0</v>
          </cell>
          <cell r="DB254">
            <v>0</v>
          </cell>
          <cell r="DC254">
            <v>0</v>
          </cell>
          <cell r="DD254">
            <v>0</v>
          </cell>
          <cell r="DE254">
            <v>0</v>
          </cell>
          <cell r="DF254">
            <v>0</v>
          </cell>
          <cell r="DG254">
            <v>0</v>
          </cell>
          <cell r="DR254">
            <v>73103</v>
          </cell>
          <cell r="DS254">
            <v>113</v>
          </cell>
          <cell r="DT254">
            <v>113</v>
          </cell>
          <cell r="DU254">
            <v>999999</v>
          </cell>
          <cell r="DV254">
            <v>999999</v>
          </cell>
          <cell r="DW254">
            <v>999999</v>
          </cell>
          <cell r="DX254">
            <v>113</v>
          </cell>
          <cell r="DY254">
            <v>113</v>
          </cell>
          <cell r="DZ254">
            <v>999999</v>
          </cell>
          <cell r="EA254">
            <v>999999</v>
          </cell>
        </row>
        <row r="255">
          <cell r="N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AJ255">
            <v>0</v>
          </cell>
          <cell r="AK255">
            <v>0</v>
          </cell>
          <cell r="AL255">
            <v>999999</v>
          </cell>
          <cell r="AM255">
            <v>112</v>
          </cell>
          <cell r="AN255">
            <v>112</v>
          </cell>
          <cell r="AO255">
            <v>112</v>
          </cell>
          <cell r="AP255">
            <v>0</v>
          </cell>
          <cell r="AQ255">
            <v>7</v>
          </cell>
          <cell r="AR255">
            <v>112</v>
          </cell>
          <cell r="AS255">
            <v>63</v>
          </cell>
          <cell r="BE255">
            <v>0</v>
          </cell>
          <cell r="BG255">
            <v>0</v>
          </cell>
          <cell r="BH255">
            <v>0</v>
          </cell>
          <cell r="BI255">
            <v>0</v>
          </cell>
          <cell r="BJ255">
            <v>0</v>
          </cell>
          <cell r="BK255">
            <v>0</v>
          </cell>
          <cell r="BL255">
            <v>0</v>
          </cell>
          <cell r="BM255">
            <v>0</v>
          </cell>
          <cell r="BN255">
            <v>0</v>
          </cell>
          <cell r="BO255">
            <v>0</v>
          </cell>
          <cell r="BP255">
            <v>0</v>
          </cell>
          <cell r="CA255">
            <v>105870.52351495733</v>
          </cell>
          <cell r="CB255">
            <v>42</v>
          </cell>
          <cell r="CC255">
            <v>112</v>
          </cell>
          <cell r="CD255">
            <v>112</v>
          </cell>
          <cell r="CE255">
            <v>81</v>
          </cell>
          <cell r="CF255">
            <v>112</v>
          </cell>
          <cell r="CG255">
            <v>13</v>
          </cell>
          <cell r="CH255">
            <v>112</v>
          </cell>
          <cell r="CI255">
            <v>112</v>
          </cell>
          <cell r="CJ255">
            <v>112</v>
          </cell>
          <cell r="CV255">
            <v>288.46153846153851</v>
          </cell>
          <cell r="CX255">
            <v>0</v>
          </cell>
          <cell r="CY255">
            <v>0</v>
          </cell>
          <cell r="CZ255">
            <v>0</v>
          </cell>
          <cell r="DA255">
            <v>0</v>
          </cell>
          <cell r="DB255">
            <v>0</v>
          </cell>
          <cell r="DC255">
            <v>0</v>
          </cell>
          <cell r="DD255">
            <v>0</v>
          </cell>
          <cell r="DE255">
            <v>0</v>
          </cell>
          <cell r="DF255">
            <v>0</v>
          </cell>
          <cell r="DG255">
            <v>0</v>
          </cell>
          <cell r="DR255">
            <v>73103</v>
          </cell>
          <cell r="DS255">
            <v>112</v>
          </cell>
          <cell r="DT255">
            <v>112</v>
          </cell>
          <cell r="DU255">
            <v>999999</v>
          </cell>
          <cell r="DV255">
            <v>999999</v>
          </cell>
          <cell r="DW255">
            <v>999999</v>
          </cell>
          <cell r="DX255">
            <v>112</v>
          </cell>
          <cell r="DY255">
            <v>112</v>
          </cell>
          <cell r="DZ255">
            <v>999999</v>
          </cell>
          <cell r="EA255">
            <v>999999</v>
          </cell>
        </row>
        <row r="256">
          <cell r="N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AJ256">
            <v>0</v>
          </cell>
          <cell r="AK256">
            <v>0</v>
          </cell>
          <cell r="AL256">
            <v>999999</v>
          </cell>
          <cell r="AM256">
            <v>111</v>
          </cell>
          <cell r="AN256">
            <v>111</v>
          </cell>
          <cell r="AO256">
            <v>111</v>
          </cell>
          <cell r="AP256">
            <v>0</v>
          </cell>
          <cell r="AQ256">
            <v>6</v>
          </cell>
          <cell r="AR256">
            <v>111</v>
          </cell>
          <cell r="AS256">
            <v>62</v>
          </cell>
          <cell r="BE256">
            <v>48000</v>
          </cell>
          <cell r="BG256">
            <v>0</v>
          </cell>
          <cell r="BH256">
            <v>0</v>
          </cell>
          <cell r="BI256">
            <v>0</v>
          </cell>
          <cell r="BJ256">
            <v>0</v>
          </cell>
          <cell r="BK256">
            <v>0</v>
          </cell>
          <cell r="BL256">
            <v>0</v>
          </cell>
          <cell r="BM256">
            <v>0</v>
          </cell>
          <cell r="BN256">
            <v>0</v>
          </cell>
          <cell r="BO256">
            <v>0</v>
          </cell>
          <cell r="BP256">
            <v>0</v>
          </cell>
          <cell r="CA256">
            <v>105332.06126869665</v>
          </cell>
          <cell r="CB256">
            <v>41</v>
          </cell>
          <cell r="CC256">
            <v>111</v>
          </cell>
          <cell r="CD256">
            <v>111</v>
          </cell>
          <cell r="CE256">
            <v>80</v>
          </cell>
          <cell r="CF256">
            <v>111</v>
          </cell>
          <cell r="CG256">
            <v>12</v>
          </cell>
          <cell r="CH256">
            <v>111</v>
          </cell>
          <cell r="CI256">
            <v>111</v>
          </cell>
          <cell r="CJ256">
            <v>111</v>
          </cell>
          <cell r="CV256">
            <v>288.46153846153851</v>
          </cell>
          <cell r="CX256">
            <v>0</v>
          </cell>
          <cell r="CY256">
            <v>0</v>
          </cell>
          <cell r="CZ256">
            <v>0</v>
          </cell>
          <cell r="DA256">
            <v>0</v>
          </cell>
          <cell r="DB256">
            <v>0</v>
          </cell>
          <cell r="DC256">
            <v>0</v>
          </cell>
          <cell r="DD256">
            <v>0</v>
          </cell>
          <cell r="DE256">
            <v>0</v>
          </cell>
          <cell r="DF256">
            <v>0</v>
          </cell>
          <cell r="DG256">
            <v>0</v>
          </cell>
          <cell r="DR256">
            <v>73103</v>
          </cell>
          <cell r="DS256">
            <v>111</v>
          </cell>
          <cell r="DT256">
            <v>111</v>
          </cell>
          <cell r="DU256">
            <v>999999</v>
          </cell>
          <cell r="DV256">
            <v>999999</v>
          </cell>
          <cell r="DW256">
            <v>999999</v>
          </cell>
          <cell r="DX256">
            <v>111</v>
          </cell>
          <cell r="DY256">
            <v>111</v>
          </cell>
          <cell r="DZ256">
            <v>999999</v>
          </cell>
          <cell r="EA256">
            <v>999999</v>
          </cell>
        </row>
        <row r="257">
          <cell r="N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AJ257">
            <v>0</v>
          </cell>
          <cell r="AK257">
            <v>0</v>
          </cell>
          <cell r="AL257">
            <v>999999</v>
          </cell>
          <cell r="AM257">
            <v>110</v>
          </cell>
          <cell r="AN257">
            <v>110</v>
          </cell>
          <cell r="AO257">
            <v>110</v>
          </cell>
          <cell r="AP257">
            <v>0</v>
          </cell>
          <cell r="AQ257">
            <v>5</v>
          </cell>
          <cell r="AR257">
            <v>110</v>
          </cell>
          <cell r="AS257">
            <v>61</v>
          </cell>
          <cell r="BE257">
            <v>0</v>
          </cell>
          <cell r="BG257">
            <v>0</v>
          </cell>
          <cell r="BH257">
            <v>0</v>
          </cell>
          <cell r="BI257">
            <v>0</v>
          </cell>
          <cell r="BJ257">
            <v>0</v>
          </cell>
          <cell r="BK257">
            <v>0</v>
          </cell>
          <cell r="BL257">
            <v>0</v>
          </cell>
          <cell r="BM257">
            <v>0</v>
          </cell>
          <cell r="BN257">
            <v>0</v>
          </cell>
          <cell r="BO257">
            <v>0</v>
          </cell>
          <cell r="BP257">
            <v>0</v>
          </cell>
          <cell r="CA257">
            <v>104793.59902243597</v>
          </cell>
          <cell r="CB257">
            <v>40</v>
          </cell>
          <cell r="CC257">
            <v>110</v>
          </cell>
          <cell r="CD257">
            <v>110</v>
          </cell>
          <cell r="CE257">
            <v>79</v>
          </cell>
          <cell r="CF257">
            <v>110</v>
          </cell>
          <cell r="CG257">
            <v>11</v>
          </cell>
          <cell r="CH257">
            <v>110</v>
          </cell>
          <cell r="CI257">
            <v>110</v>
          </cell>
          <cell r="CJ257">
            <v>110</v>
          </cell>
          <cell r="CV257">
            <v>288.46153846153851</v>
          </cell>
          <cell r="CX257">
            <v>0</v>
          </cell>
          <cell r="CY257">
            <v>0</v>
          </cell>
          <cell r="CZ257">
            <v>0</v>
          </cell>
          <cell r="DA257">
            <v>0</v>
          </cell>
          <cell r="DB257">
            <v>0</v>
          </cell>
          <cell r="DC257">
            <v>0</v>
          </cell>
          <cell r="DD257">
            <v>0</v>
          </cell>
          <cell r="DE257">
            <v>0</v>
          </cell>
          <cell r="DF257">
            <v>0</v>
          </cell>
          <cell r="DG257">
            <v>0</v>
          </cell>
          <cell r="DR257">
            <v>73103</v>
          </cell>
          <cell r="DS257">
            <v>110</v>
          </cell>
          <cell r="DT257">
            <v>110</v>
          </cell>
          <cell r="DU257">
            <v>999999</v>
          </cell>
          <cell r="DV257">
            <v>999999</v>
          </cell>
          <cell r="DW257">
            <v>999999</v>
          </cell>
          <cell r="DX257">
            <v>110</v>
          </cell>
          <cell r="DY257">
            <v>110</v>
          </cell>
          <cell r="DZ257">
            <v>999999</v>
          </cell>
          <cell r="EA257">
            <v>999999</v>
          </cell>
        </row>
        <row r="258">
          <cell r="N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AJ258">
            <v>0</v>
          </cell>
          <cell r="AK258">
            <v>0</v>
          </cell>
          <cell r="AL258">
            <v>999999</v>
          </cell>
          <cell r="AM258">
            <v>109</v>
          </cell>
          <cell r="AN258">
            <v>109</v>
          </cell>
          <cell r="AO258">
            <v>109</v>
          </cell>
          <cell r="AP258">
            <v>0</v>
          </cell>
          <cell r="AQ258">
            <v>4</v>
          </cell>
          <cell r="AR258">
            <v>109</v>
          </cell>
          <cell r="AS258">
            <v>60</v>
          </cell>
          <cell r="BE258">
            <v>0</v>
          </cell>
          <cell r="BG258">
            <v>0</v>
          </cell>
          <cell r="BH258">
            <v>0</v>
          </cell>
          <cell r="BI258">
            <v>0</v>
          </cell>
          <cell r="BJ258">
            <v>0</v>
          </cell>
          <cell r="BK258">
            <v>0</v>
          </cell>
          <cell r="BL258">
            <v>0</v>
          </cell>
          <cell r="BM258">
            <v>0</v>
          </cell>
          <cell r="BN258">
            <v>0</v>
          </cell>
          <cell r="BO258">
            <v>0</v>
          </cell>
          <cell r="BP258">
            <v>0</v>
          </cell>
          <cell r="CA258">
            <v>104255.13677617529</v>
          </cell>
          <cell r="CB258">
            <v>39</v>
          </cell>
          <cell r="CC258">
            <v>109</v>
          </cell>
          <cell r="CD258">
            <v>109</v>
          </cell>
          <cell r="CE258">
            <v>78</v>
          </cell>
          <cell r="CF258">
            <v>109</v>
          </cell>
          <cell r="CG258">
            <v>10</v>
          </cell>
          <cell r="CH258">
            <v>109</v>
          </cell>
          <cell r="CI258">
            <v>109</v>
          </cell>
          <cell r="CJ258">
            <v>109</v>
          </cell>
          <cell r="CV258">
            <v>288.46153846153851</v>
          </cell>
          <cell r="CX258">
            <v>0</v>
          </cell>
          <cell r="CY258">
            <v>0</v>
          </cell>
          <cell r="CZ258">
            <v>0</v>
          </cell>
          <cell r="DA258">
            <v>0</v>
          </cell>
          <cell r="DB258">
            <v>0</v>
          </cell>
          <cell r="DC258">
            <v>0</v>
          </cell>
          <cell r="DD258">
            <v>0</v>
          </cell>
          <cell r="DE258">
            <v>0</v>
          </cell>
          <cell r="DF258">
            <v>0</v>
          </cell>
          <cell r="DG258">
            <v>0</v>
          </cell>
          <cell r="DR258">
            <v>73103</v>
          </cell>
          <cell r="DS258">
            <v>109</v>
          </cell>
          <cell r="DT258">
            <v>109</v>
          </cell>
          <cell r="DU258">
            <v>999999</v>
          </cell>
          <cell r="DV258">
            <v>999999</v>
          </cell>
          <cell r="DW258">
            <v>999999</v>
          </cell>
          <cell r="DX258">
            <v>109</v>
          </cell>
          <cell r="DY258">
            <v>109</v>
          </cell>
          <cell r="DZ258">
            <v>999999</v>
          </cell>
          <cell r="EA258">
            <v>999999</v>
          </cell>
        </row>
        <row r="259">
          <cell r="N259">
            <v>0</v>
          </cell>
          <cell r="P259">
            <v>0</v>
          </cell>
          <cell r="Q259">
            <v>0</v>
          </cell>
          <cell r="R259">
            <v>0</v>
          </cell>
          <cell r="S259">
            <v>0</v>
          </cell>
          <cell r="T259">
            <v>0</v>
          </cell>
          <cell r="U259">
            <v>0</v>
          </cell>
          <cell r="V259">
            <v>0</v>
          </cell>
          <cell r="W259">
            <v>0</v>
          </cell>
          <cell r="X259">
            <v>0</v>
          </cell>
          <cell r="Y259">
            <v>0</v>
          </cell>
          <cell r="AJ259">
            <v>0</v>
          </cell>
          <cell r="AK259">
            <v>0</v>
          </cell>
          <cell r="AL259">
            <v>999999</v>
          </cell>
          <cell r="AM259">
            <v>108</v>
          </cell>
          <cell r="AN259">
            <v>108</v>
          </cell>
          <cell r="AO259">
            <v>108</v>
          </cell>
          <cell r="AP259">
            <v>0</v>
          </cell>
          <cell r="AQ259">
            <v>3</v>
          </cell>
          <cell r="AR259">
            <v>108</v>
          </cell>
          <cell r="AS259">
            <v>59</v>
          </cell>
          <cell r="BE259">
            <v>0</v>
          </cell>
          <cell r="BG259">
            <v>0</v>
          </cell>
          <cell r="BH259">
            <v>0</v>
          </cell>
          <cell r="BI259">
            <v>0</v>
          </cell>
          <cell r="BJ259">
            <v>0</v>
          </cell>
          <cell r="BK259">
            <v>0</v>
          </cell>
          <cell r="BL259">
            <v>0</v>
          </cell>
          <cell r="BM259">
            <v>0</v>
          </cell>
          <cell r="BN259">
            <v>0</v>
          </cell>
          <cell r="BO259">
            <v>0</v>
          </cell>
          <cell r="BP259">
            <v>0</v>
          </cell>
          <cell r="CA259">
            <v>103716.67452991461</v>
          </cell>
          <cell r="CB259">
            <v>38</v>
          </cell>
          <cell r="CC259">
            <v>108</v>
          </cell>
          <cell r="CD259">
            <v>108</v>
          </cell>
          <cell r="CE259">
            <v>77</v>
          </cell>
          <cell r="CF259">
            <v>108</v>
          </cell>
          <cell r="CG259">
            <v>9</v>
          </cell>
          <cell r="CH259">
            <v>108</v>
          </cell>
          <cell r="CI259">
            <v>108</v>
          </cell>
          <cell r="CJ259">
            <v>108</v>
          </cell>
          <cell r="CV259">
            <v>288.46153846153851</v>
          </cell>
          <cell r="CX259">
            <v>0</v>
          </cell>
          <cell r="CY259">
            <v>0</v>
          </cell>
          <cell r="CZ259">
            <v>0</v>
          </cell>
          <cell r="DA259">
            <v>0</v>
          </cell>
          <cell r="DB259">
            <v>0</v>
          </cell>
          <cell r="DC259">
            <v>0</v>
          </cell>
          <cell r="DD259">
            <v>0</v>
          </cell>
          <cell r="DE259">
            <v>0</v>
          </cell>
          <cell r="DF259">
            <v>0</v>
          </cell>
          <cell r="DG259">
            <v>0</v>
          </cell>
          <cell r="DR259">
            <v>73103</v>
          </cell>
          <cell r="DS259">
            <v>108</v>
          </cell>
          <cell r="DT259">
            <v>108</v>
          </cell>
          <cell r="DU259">
            <v>999999</v>
          </cell>
          <cell r="DV259">
            <v>999999</v>
          </cell>
          <cell r="DW259">
            <v>999999</v>
          </cell>
          <cell r="DX259">
            <v>108</v>
          </cell>
          <cell r="DY259">
            <v>108</v>
          </cell>
          <cell r="DZ259">
            <v>999999</v>
          </cell>
          <cell r="EA259">
            <v>999999</v>
          </cell>
        </row>
        <row r="260">
          <cell r="N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AJ260">
            <v>0</v>
          </cell>
          <cell r="AK260">
            <v>0</v>
          </cell>
          <cell r="AL260">
            <v>999999</v>
          </cell>
          <cell r="AM260">
            <v>107</v>
          </cell>
          <cell r="AN260">
            <v>107</v>
          </cell>
          <cell r="AO260">
            <v>107</v>
          </cell>
          <cell r="AP260">
            <v>0</v>
          </cell>
          <cell r="AQ260">
            <v>2</v>
          </cell>
          <cell r="AR260">
            <v>107</v>
          </cell>
          <cell r="AS260">
            <v>58</v>
          </cell>
          <cell r="BE260">
            <v>0</v>
          </cell>
          <cell r="BG260">
            <v>0</v>
          </cell>
          <cell r="BH260">
            <v>0</v>
          </cell>
          <cell r="BI260">
            <v>0</v>
          </cell>
          <cell r="BJ260">
            <v>0</v>
          </cell>
          <cell r="BK260">
            <v>0</v>
          </cell>
          <cell r="BL260">
            <v>0</v>
          </cell>
          <cell r="BM260">
            <v>0</v>
          </cell>
          <cell r="BN260">
            <v>0</v>
          </cell>
          <cell r="BO260">
            <v>0</v>
          </cell>
          <cell r="BP260">
            <v>0</v>
          </cell>
          <cell r="CA260">
            <v>103178.21228365393</v>
          </cell>
          <cell r="CB260">
            <v>37</v>
          </cell>
          <cell r="CC260">
            <v>107</v>
          </cell>
          <cell r="CD260">
            <v>107</v>
          </cell>
          <cell r="CE260">
            <v>76</v>
          </cell>
          <cell r="CF260">
            <v>107</v>
          </cell>
          <cell r="CG260">
            <v>8</v>
          </cell>
          <cell r="CH260">
            <v>107</v>
          </cell>
          <cell r="CI260">
            <v>107</v>
          </cell>
          <cell r="CJ260">
            <v>107</v>
          </cell>
          <cell r="CV260">
            <v>288.46153846153851</v>
          </cell>
          <cell r="CX260">
            <v>0</v>
          </cell>
          <cell r="CY260">
            <v>0</v>
          </cell>
          <cell r="CZ260">
            <v>0</v>
          </cell>
          <cell r="DA260">
            <v>0</v>
          </cell>
          <cell r="DB260">
            <v>0</v>
          </cell>
          <cell r="DC260">
            <v>0</v>
          </cell>
          <cell r="DD260">
            <v>0</v>
          </cell>
          <cell r="DE260">
            <v>0</v>
          </cell>
          <cell r="DF260">
            <v>0</v>
          </cell>
          <cell r="DG260">
            <v>0</v>
          </cell>
          <cell r="DR260">
            <v>73103</v>
          </cell>
          <cell r="DS260">
            <v>107</v>
          </cell>
          <cell r="DT260">
            <v>107</v>
          </cell>
          <cell r="DU260">
            <v>999999</v>
          </cell>
          <cell r="DV260">
            <v>999999</v>
          </cell>
          <cell r="DW260">
            <v>999999</v>
          </cell>
          <cell r="DX260">
            <v>107</v>
          </cell>
          <cell r="DY260">
            <v>107</v>
          </cell>
          <cell r="DZ260">
            <v>999999</v>
          </cell>
          <cell r="EA260">
            <v>999999</v>
          </cell>
        </row>
        <row r="261">
          <cell r="N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AJ261">
            <v>0</v>
          </cell>
          <cell r="AK261">
            <v>0</v>
          </cell>
          <cell r="AL261">
            <v>999999</v>
          </cell>
          <cell r="AM261">
            <v>106</v>
          </cell>
          <cell r="AN261">
            <v>106</v>
          </cell>
          <cell r="AO261">
            <v>106</v>
          </cell>
          <cell r="AP261">
            <v>0</v>
          </cell>
          <cell r="AQ261">
            <v>1</v>
          </cell>
          <cell r="AR261">
            <v>106</v>
          </cell>
          <cell r="AS261">
            <v>57</v>
          </cell>
          <cell r="BE261">
            <v>0</v>
          </cell>
          <cell r="BG261">
            <v>0</v>
          </cell>
          <cell r="BH261">
            <v>0</v>
          </cell>
          <cell r="BI261">
            <v>0</v>
          </cell>
          <cell r="BJ261">
            <v>0</v>
          </cell>
          <cell r="BK261">
            <v>0</v>
          </cell>
          <cell r="BL261">
            <v>0</v>
          </cell>
          <cell r="BM261">
            <v>0</v>
          </cell>
          <cell r="BN261">
            <v>0</v>
          </cell>
          <cell r="BO261">
            <v>0</v>
          </cell>
          <cell r="BP261">
            <v>0</v>
          </cell>
          <cell r="CA261">
            <v>102639.75003739326</v>
          </cell>
          <cell r="CB261">
            <v>36</v>
          </cell>
          <cell r="CC261">
            <v>106</v>
          </cell>
          <cell r="CD261">
            <v>106</v>
          </cell>
          <cell r="CE261">
            <v>75</v>
          </cell>
          <cell r="CF261">
            <v>106</v>
          </cell>
          <cell r="CG261">
            <v>7</v>
          </cell>
          <cell r="CH261">
            <v>106</v>
          </cell>
          <cell r="CI261">
            <v>106</v>
          </cell>
          <cell r="CJ261">
            <v>106</v>
          </cell>
          <cell r="CV261">
            <v>288.46153846153851</v>
          </cell>
          <cell r="CX261">
            <v>0</v>
          </cell>
          <cell r="CY261">
            <v>0</v>
          </cell>
          <cell r="CZ261">
            <v>0</v>
          </cell>
          <cell r="DA261">
            <v>0</v>
          </cell>
          <cell r="DB261">
            <v>0</v>
          </cell>
          <cell r="DC261">
            <v>0</v>
          </cell>
          <cell r="DD261">
            <v>0</v>
          </cell>
          <cell r="DE261">
            <v>0</v>
          </cell>
          <cell r="DF261">
            <v>0</v>
          </cell>
          <cell r="DG261">
            <v>0</v>
          </cell>
          <cell r="DR261">
            <v>73103</v>
          </cell>
          <cell r="DS261">
            <v>106</v>
          </cell>
          <cell r="DT261">
            <v>106</v>
          </cell>
          <cell r="DU261">
            <v>999999</v>
          </cell>
          <cell r="DV261">
            <v>999999</v>
          </cell>
          <cell r="DW261">
            <v>999999</v>
          </cell>
          <cell r="DX261">
            <v>106</v>
          </cell>
          <cell r="DY261">
            <v>106</v>
          </cell>
          <cell r="DZ261">
            <v>999999</v>
          </cell>
          <cell r="EA261">
            <v>999999</v>
          </cell>
        </row>
        <row r="262">
          <cell r="N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AJ262">
            <v>0</v>
          </cell>
          <cell r="AK262">
            <v>0</v>
          </cell>
          <cell r="AL262">
            <v>999999</v>
          </cell>
          <cell r="AM262">
            <v>105</v>
          </cell>
          <cell r="AN262">
            <v>105</v>
          </cell>
          <cell r="AO262">
            <v>105</v>
          </cell>
          <cell r="AP262">
            <v>0</v>
          </cell>
          <cell r="AQ262">
            <v>0</v>
          </cell>
          <cell r="AR262">
            <v>105</v>
          </cell>
          <cell r="AS262">
            <v>56</v>
          </cell>
          <cell r="BE262">
            <v>0</v>
          </cell>
          <cell r="BG262">
            <v>0</v>
          </cell>
          <cell r="BH262">
            <v>0</v>
          </cell>
          <cell r="BI262">
            <v>0</v>
          </cell>
          <cell r="BJ262">
            <v>0</v>
          </cell>
          <cell r="BK262">
            <v>0</v>
          </cell>
          <cell r="BL262">
            <v>0</v>
          </cell>
          <cell r="BM262">
            <v>0</v>
          </cell>
          <cell r="BN262">
            <v>0</v>
          </cell>
          <cell r="BO262">
            <v>0</v>
          </cell>
          <cell r="BP262">
            <v>0</v>
          </cell>
          <cell r="CA262">
            <v>102101.28779113258</v>
          </cell>
          <cell r="CB262">
            <v>35</v>
          </cell>
          <cell r="CC262">
            <v>105</v>
          </cell>
          <cell r="CD262">
            <v>105</v>
          </cell>
          <cell r="CE262">
            <v>74</v>
          </cell>
          <cell r="CF262">
            <v>105</v>
          </cell>
          <cell r="CG262">
            <v>6</v>
          </cell>
          <cell r="CH262">
            <v>105</v>
          </cell>
          <cell r="CI262">
            <v>105</v>
          </cell>
          <cell r="CJ262">
            <v>105</v>
          </cell>
          <cell r="CV262">
            <v>288.46153846153851</v>
          </cell>
          <cell r="CX262">
            <v>0</v>
          </cell>
          <cell r="CY262">
            <v>0</v>
          </cell>
          <cell r="CZ262">
            <v>0</v>
          </cell>
          <cell r="DA262">
            <v>0</v>
          </cell>
          <cell r="DB262">
            <v>0</v>
          </cell>
          <cell r="DC262">
            <v>0</v>
          </cell>
          <cell r="DD262">
            <v>0</v>
          </cell>
          <cell r="DE262">
            <v>0</v>
          </cell>
          <cell r="DF262">
            <v>0</v>
          </cell>
          <cell r="DG262">
            <v>0</v>
          </cell>
          <cell r="DR262">
            <v>73103</v>
          </cell>
          <cell r="DS262">
            <v>105</v>
          </cell>
          <cell r="DT262">
            <v>105</v>
          </cell>
          <cell r="DU262">
            <v>999999</v>
          </cell>
          <cell r="DV262">
            <v>999999</v>
          </cell>
          <cell r="DW262">
            <v>999999</v>
          </cell>
          <cell r="DX262">
            <v>105</v>
          </cell>
          <cell r="DY262">
            <v>105</v>
          </cell>
          <cell r="DZ262">
            <v>999999</v>
          </cell>
          <cell r="EA262">
            <v>999999</v>
          </cell>
        </row>
        <row r="263">
          <cell r="N263">
            <v>0</v>
          </cell>
          <cell r="P263">
            <v>0</v>
          </cell>
          <cell r="Q263">
            <v>0</v>
          </cell>
          <cell r="R263">
            <v>0</v>
          </cell>
          <cell r="S263">
            <v>0</v>
          </cell>
          <cell r="T263">
            <v>0</v>
          </cell>
          <cell r="U263">
            <v>0</v>
          </cell>
          <cell r="V263">
            <v>0</v>
          </cell>
          <cell r="W263">
            <v>0</v>
          </cell>
          <cell r="X263">
            <v>0</v>
          </cell>
          <cell r="Y263">
            <v>0</v>
          </cell>
          <cell r="AJ263">
            <v>0</v>
          </cell>
          <cell r="AK263">
            <v>0</v>
          </cell>
          <cell r="AL263">
            <v>999999</v>
          </cell>
          <cell r="AM263">
            <v>104</v>
          </cell>
          <cell r="AN263">
            <v>104</v>
          </cell>
          <cell r="AO263">
            <v>104</v>
          </cell>
          <cell r="AP263">
            <v>0</v>
          </cell>
          <cell r="AQ263">
            <v>0</v>
          </cell>
          <cell r="AR263">
            <v>104</v>
          </cell>
          <cell r="AS263">
            <v>55</v>
          </cell>
          <cell r="BE263">
            <v>48000</v>
          </cell>
          <cell r="BG263">
            <v>0</v>
          </cell>
          <cell r="BH263">
            <v>0</v>
          </cell>
          <cell r="BI263">
            <v>0</v>
          </cell>
          <cell r="BJ263">
            <v>0</v>
          </cell>
          <cell r="BK263">
            <v>0</v>
          </cell>
          <cell r="BL263">
            <v>0</v>
          </cell>
          <cell r="BM263">
            <v>0</v>
          </cell>
          <cell r="BN263">
            <v>0</v>
          </cell>
          <cell r="BO263">
            <v>0</v>
          </cell>
          <cell r="BP263">
            <v>0</v>
          </cell>
          <cell r="CA263">
            <v>101562.8255448719</v>
          </cell>
          <cell r="CB263">
            <v>34</v>
          </cell>
          <cell r="CC263">
            <v>104</v>
          </cell>
          <cell r="CD263">
            <v>104</v>
          </cell>
          <cell r="CE263">
            <v>73</v>
          </cell>
          <cell r="CF263">
            <v>104</v>
          </cell>
          <cell r="CG263">
            <v>5</v>
          </cell>
          <cell r="CH263">
            <v>104</v>
          </cell>
          <cell r="CI263">
            <v>104</v>
          </cell>
          <cell r="CJ263">
            <v>104</v>
          </cell>
          <cell r="CV263">
            <v>288.46153846153851</v>
          </cell>
          <cell r="CX263">
            <v>0</v>
          </cell>
          <cell r="CY263">
            <v>0</v>
          </cell>
          <cell r="CZ263">
            <v>0</v>
          </cell>
          <cell r="DA263">
            <v>0</v>
          </cell>
          <cell r="DB263">
            <v>0</v>
          </cell>
          <cell r="DC263">
            <v>0</v>
          </cell>
          <cell r="DD263">
            <v>0</v>
          </cell>
          <cell r="DE263">
            <v>0</v>
          </cell>
          <cell r="DF263">
            <v>0</v>
          </cell>
          <cell r="DG263">
            <v>0</v>
          </cell>
          <cell r="DR263">
            <v>73103</v>
          </cell>
          <cell r="DS263">
            <v>104</v>
          </cell>
          <cell r="DT263">
            <v>104</v>
          </cell>
          <cell r="DU263">
            <v>999999</v>
          </cell>
          <cell r="DV263">
            <v>999999</v>
          </cell>
          <cell r="DW263">
            <v>999999</v>
          </cell>
          <cell r="DX263">
            <v>104</v>
          </cell>
          <cell r="DY263">
            <v>104</v>
          </cell>
          <cell r="DZ263">
            <v>999999</v>
          </cell>
          <cell r="EA263">
            <v>999999</v>
          </cell>
        </row>
        <row r="264">
          <cell r="N264">
            <v>0</v>
          </cell>
          <cell r="P264">
            <v>0</v>
          </cell>
          <cell r="Q264">
            <v>0</v>
          </cell>
          <cell r="R264">
            <v>0</v>
          </cell>
          <cell r="S264">
            <v>0</v>
          </cell>
          <cell r="T264">
            <v>0</v>
          </cell>
          <cell r="U264">
            <v>0</v>
          </cell>
          <cell r="V264">
            <v>0</v>
          </cell>
          <cell r="W264">
            <v>0</v>
          </cell>
          <cell r="X264">
            <v>0</v>
          </cell>
          <cell r="Y264">
            <v>0</v>
          </cell>
          <cell r="AJ264">
            <v>0</v>
          </cell>
          <cell r="AK264">
            <v>0</v>
          </cell>
          <cell r="AL264">
            <v>999999</v>
          </cell>
          <cell r="AM264">
            <v>103</v>
          </cell>
          <cell r="AN264">
            <v>103</v>
          </cell>
          <cell r="AO264">
            <v>103</v>
          </cell>
          <cell r="AP264">
            <v>0</v>
          </cell>
          <cell r="AQ264">
            <v>0</v>
          </cell>
          <cell r="AR264">
            <v>103</v>
          </cell>
          <cell r="AS264">
            <v>54</v>
          </cell>
          <cell r="BE264">
            <v>0</v>
          </cell>
          <cell r="BG264">
            <v>0</v>
          </cell>
          <cell r="BH264">
            <v>0</v>
          </cell>
          <cell r="BI264">
            <v>0</v>
          </cell>
          <cell r="BJ264">
            <v>0</v>
          </cell>
          <cell r="BK264">
            <v>0</v>
          </cell>
          <cell r="BL264">
            <v>0</v>
          </cell>
          <cell r="BM264">
            <v>0</v>
          </cell>
          <cell r="BN264">
            <v>0</v>
          </cell>
          <cell r="BO264">
            <v>0</v>
          </cell>
          <cell r="BP264">
            <v>0</v>
          </cell>
          <cell r="CA264">
            <v>101024.36329861122</v>
          </cell>
          <cell r="CB264">
            <v>33</v>
          </cell>
          <cell r="CC264">
            <v>103</v>
          </cell>
          <cell r="CD264">
            <v>103</v>
          </cell>
          <cell r="CE264">
            <v>72</v>
          </cell>
          <cell r="CF264">
            <v>103</v>
          </cell>
          <cell r="CG264">
            <v>4</v>
          </cell>
          <cell r="CH264">
            <v>103</v>
          </cell>
          <cell r="CI264">
            <v>103</v>
          </cell>
          <cell r="CJ264">
            <v>103</v>
          </cell>
          <cell r="CV264">
            <v>288.46153846153851</v>
          </cell>
          <cell r="CX264">
            <v>0</v>
          </cell>
          <cell r="CY264">
            <v>0</v>
          </cell>
          <cell r="CZ264">
            <v>0</v>
          </cell>
          <cell r="DA264">
            <v>0</v>
          </cell>
          <cell r="DB264">
            <v>0</v>
          </cell>
          <cell r="DC264">
            <v>0</v>
          </cell>
          <cell r="DD264">
            <v>0</v>
          </cell>
          <cell r="DE264">
            <v>0</v>
          </cell>
          <cell r="DF264">
            <v>0</v>
          </cell>
          <cell r="DG264">
            <v>0</v>
          </cell>
          <cell r="DR264">
            <v>73103</v>
          </cell>
          <cell r="DS264">
            <v>103</v>
          </cell>
          <cell r="DT264">
            <v>103</v>
          </cell>
          <cell r="DU264">
            <v>999999</v>
          </cell>
          <cell r="DV264">
            <v>999999</v>
          </cell>
          <cell r="DW264">
            <v>999999</v>
          </cell>
          <cell r="DX264">
            <v>103</v>
          </cell>
          <cell r="DY264">
            <v>103</v>
          </cell>
          <cell r="DZ264">
            <v>999999</v>
          </cell>
          <cell r="EA264">
            <v>999999</v>
          </cell>
        </row>
        <row r="265">
          <cell r="N265">
            <v>0</v>
          </cell>
          <cell r="P265">
            <v>0</v>
          </cell>
          <cell r="Q265">
            <v>0</v>
          </cell>
          <cell r="R265">
            <v>0</v>
          </cell>
          <cell r="S265">
            <v>0</v>
          </cell>
          <cell r="T265">
            <v>0</v>
          </cell>
          <cell r="U265">
            <v>0</v>
          </cell>
          <cell r="V265">
            <v>0</v>
          </cell>
          <cell r="W265">
            <v>0</v>
          </cell>
          <cell r="X265">
            <v>0</v>
          </cell>
          <cell r="Y265">
            <v>0</v>
          </cell>
          <cell r="AJ265">
            <v>0</v>
          </cell>
          <cell r="AK265">
            <v>0</v>
          </cell>
          <cell r="AL265">
            <v>999999</v>
          </cell>
          <cell r="AM265">
            <v>102</v>
          </cell>
          <cell r="AN265">
            <v>102</v>
          </cell>
          <cell r="AO265">
            <v>102</v>
          </cell>
          <cell r="AP265">
            <v>0</v>
          </cell>
          <cell r="AQ265">
            <v>0</v>
          </cell>
          <cell r="AR265">
            <v>102</v>
          </cell>
          <cell r="AS265">
            <v>53</v>
          </cell>
          <cell r="BE265">
            <v>0</v>
          </cell>
          <cell r="BG265">
            <v>0</v>
          </cell>
          <cell r="BH265">
            <v>0</v>
          </cell>
          <cell r="BI265">
            <v>0</v>
          </cell>
          <cell r="BJ265">
            <v>0</v>
          </cell>
          <cell r="BK265">
            <v>0</v>
          </cell>
          <cell r="BL265">
            <v>0</v>
          </cell>
          <cell r="BM265">
            <v>0</v>
          </cell>
          <cell r="BN265">
            <v>0</v>
          </cell>
          <cell r="BO265">
            <v>0</v>
          </cell>
          <cell r="BP265">
            <v>0</v>
          </cell>
          <cell r="CA265">
            <v>100485.90105235054</v>
          </cell>
          <cell r="CB265">
            <v>32</v>
          </cell>
          <cell r="CC265">
            <v>102</v>
          </cell>
          <cell r="CD265">
            <v>102</v>
          </cell>
          <cell r="CE265">
            <v>71</v>
          </cell>
          <cell r="CF265">
            <v>102</v>
          </cell>
          <cell r="CG265">
            <v>3</v>
          </cell>
          <cell r="CH265">
            <v>102</v>
          </cell>
          <cell r="CI265">
            <v>102</v>
          </cell>
          <cell r="CJ265">
            <v>102</v>
          </cell>
          <cell r="CV265">
            <v>288.46153846153851</v>
          </cell>
          <cell r="CX265">
            <v>0</v>
          </cell>
          <cell r="CY265">
            <v>0</v>
          </cell>
          <cell r="CZ265">
            <v>0</v>
          </cell>
          <cell r="DA265">
            <v>0</v>
          </cell>
          <cell r="DB265">
            <v>0</v>
          </cell>
          <cell r="DC265">
            <v>0</v>
          </cell>
          <cell r="DD265">
            <v>0</v>
          </cell>
          <cell r="DE265">
            <v>0</v>
          </cell>
          <cell r="DF265">
            <v>0</v>
          </cell>
          <cell r="DG265">
            <v>0</v>
          </cell>
          <cell r="DR265">
            <v>73103</v>
          </cell>
          <cell r="DS265">
            <v>102</v>
          </cell>
          <cell r="DT265">
            <v>102</v>
          </cell>
          <cell r="DU265">
            <v>999999</v>
          </cell>
          <cell r="DV265">
            <v>999999</v>
          </cell>
          <cell r="DW265">
            <v>999999</v>
          </cell>
          <cell r="DX265">
            <v>102</v>
          </cell>
          <cell r="DY265">
            <v>102</v>
          </cell>
          <cell r="DZ265">
            <v>999999</v>
          </cell>
          <cell r="EA265">
            <v>999999</v>
          </cell>
        </row>
        <row r="266">
          <cell r="N266">
            <v>0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0</v>
          </cell>
          <cell r="AJ266">
            <v>0</v>
          </cell>
          <cell r="AK266">
            <v>0</v>
          </cell>
          <cell r="AL266">
            <v>999999</v>
          </cell>
          <cell r="AM266">
            <v>101</v>
          </cell>
          <cell r="AN266">
            <v>101</v>
          </cell>
          <cell r="AO266">
            <v>101</v>
          </cell>
          <cell r="AP266">
            <v>0</v>
          </cell>
          <cell r="AQ266">
            <v>0</v>
          </cell>
          <cell r="AR266">
            <v>101</v>
          </cell>
          <cell r="AS266">
            <v>52</v>
          </cell>
          <cell r="BE266">
            <v>0</v>
          </cell>
          <cell r="BG266">
            <v>0</v>
          </cell>
          <cell r="BH266">
            <v>0</v>
          </cell>
          <cell r="BI266">
            <v>0</v>
          </cell>
          <cell r="BJ266">
            <v>0</v>
          </cell>
          <cell r="BK266">
            <v>0</v>
          </cell>
          <cell r="BL266">
            <v>0</v>
          </cell>
          <cell r="BM266">
            <v>0</v>
          </cell>
          <cell r="BN266">
            <v>0</v>
          </cell>
          <cell r="BO266">
            <v>0</v>
          </cell>
          <cell r="BP266">
            <v>0</v>
          </cell>
          <cell r="CA266">
            <v>99947.438806089864</v>
          </cell>
          <cell r="CB266">
            <v>31</v>
          </cell>
          <cell r="CC266">
            <v>101</v>
          </cell>
          <cell r="CD266">
            <v>101</v>
          </cell>
          <cell r="CE266">
            <v>70</v>
          </cell>
          <cell r="CF266">
            <v>101</v>
          </cell>
          <cell r="CG266">
            <v>2</v>
          </cell>
          <cell r="CH266">
            <v>101</v>
          </cell>
          <cell r="CI266">
            <v>101</v>
          </cell>
          <cell r="CJ266">
            <v>101</v>
          </cell>
          <cell r="CV266">
            <v>288.46153846153851</v>
          </cell>
          <cell r="CX266">
            <v>0</v>
          </cell>
          <cell r="CY266">
            <v>0</v>
          </cell>
          <cell r="CZ266">
            <v>0</v>
          </cell>
          <cell r="DA266">
            <v>0</v>
          </cell>
          <cell r="DB266">
            <v>0</v>
          </cell>
          <cell r="DC266">
            <v>0</v>
          </cell>
          <cell r="DD266">
            <v>0</v>
          </cell>
          <cell r="DE266">
            <v>0</v>
          </cell>
          <cell r="DF266">
            <v>0</v>
          </cell>
          <cell r="DG266">
            <v>0</v>
          </cell>
          <cell r="DR266">
            <v>73103</v>
          </cell>
          <cell r="DS266">
            <v>101</v>
          </cell>
          <cell r="DT266">
            <v>101</v>
          </cell>
          <cell r="DU266">
            <v>999999</v>
          </cell>
          <cell r="DV266">
            <v>999999</v>
          </cell>
          <cell r="DW266">
            <v>999999</v>
          </cell>
          <cell r="DX266">
            <v>101</v>
          </cell>
          <cell r="DY266">
            <v>101</v>
          </cell>
          <cell r="DZ266">
            <v>999999</v>
          </cell>
          <cell r="EA266">
            <v>999999</v>
          </cell>
        </row>
        <row r="267">
          <cell r="N267">
            <v>0</v>
          </cell>
          <cell r="P267">
            <v>0</v>
          </cell>
          <cell r="Q267">
            <v>0</v>
          </cell>
          <cell r="R267">
            <v>0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AJ267">
            <v>0</v>
          </cell>
          <cell r="AK267">
            <v>0</v>
          </cell>
          <cell r="AL267">
            <v>999999</v>
          </cell>
          <cell r="AM267">
            <v>100</v>
          </cell>
          <cell r="AN267">
            <v>100</v>
          </cell>
          <cell r="AO267">
            <v>100</v>
          </cell>
          <cell r="AP267">
            <v>0</v>
          </cell>
          <cell r="AQ267">
            <v>0</v>
          </cell>
          <cell r="AR267">
            <v>100</v>
          </cell>
          <cell r="AS267">
            <v>51</v>
          </cell>
          <cell r="BE267">
            <v>0</v>
          </cell>
          <cell r="BG267">
            <v>0</v>
          </cell>
          <cell r="BH267">
            <v>0</v>
          </cell>
          <cell r="BI267">
            <v>0</v>
          </cell>
          <cell r="BJ267">
            <v>0</v>
          </cell>
          <cell r="BK267">
            <v>0</v>
          </cell>
          <cell r="BL267">
            <v>0</v>
          </cell>
          <cell r="BM267">
            <v>0</v>
          </cell>
          <cell r="BN267">
            <v>0</v>
          </cell>
          <cell r="BO267">
            <v>0</v>
          </cell>
          <cell r="BP267">
            <v>0</v>
          </cell>
          <cell r="CA267">
            <v>99408.976559829185</v>
          </cell>
          <cell r="CB267">
            <v>30</v>
          </cell>
          <cell r="CC267">
            <v>100</v>
          </cell>
          <cell r="CD267">
            <v>100</v>
          </cell>
          <cell r="CE267">
            <v>69</v>
          </cell>
          <cell r="CF267">
            <v>100</v>
          </cell>
          <cell r="CG267">
            <v>1</v>
          </cell>
          <cell r="CH267">
            <v>100</v>
          </cell>
          <cell r="CI267">
            <v>100</v>
          </cell>
          <cell r="CJ267">
            <v>100</v>
          </cell>
          <cell r="CV267">
            <v>288.46153846153851</v>
          </cell>
          <cell r="CX267">
            <v>0</v>
          </cell>
          <cell r="CY267">
            <v>0</v>
          </cell>
          <cell r="CZ267">
            <v>0</v>
          </cell>
          <cell r="DA267">
            <v>0</v>
          </cell>
          <cell r="DB267">
            <v>0</v>
          </cell>
          <cell r="DC267">
            <v>0</v>
          </cell>
          <cell r="DD267">
            <v>0</v>
          </cell>
          <cell r="DE267">
            <v>0</v>
          </cell>
          <cell r="DF267">
            <v>0</v>
          </cell>
          <cell r="DG267">
            <v>0</v>
          </cell>
          <cell r="DR267">
            <v>73103</v>
          </cell>
          <cell r="DS267">
            <v>100</v>
          </cell>
          <cell r="DT267">
            <v>100</v>
          </cell>
          <cell r="DU267">
            <v>999999</v>
          </cell>
          <cell r="DV267">
            <v>999999</v>
          </cell>
          <cell r="DW267">
            <v>999999</v>
          </cell>
          <cell r="DX267">
            <v>100</v>
          </cell>
          <cell r="DY267">
            <v>100</v>
          </cell>
          <cell r="DZ267">
            <v>999999</v>
          </cell>
          <cell r="EA267">
            <v>999999</v>
          </cell>
        </row>
        <row r="268">
          <cell r="N268">
            <v>0</v>
          </cell>
          <cell r="P268">
            <v>0</v>
          </cell>
          <cell r="Q268">
            <v>0</v>
          </cell>
          <cell r="R268">
            <v>0</v>
          </cell>
          <cell r="S268">
            <v>0</v>
          </cell>
          <cell r="T268">
            <v>0</v>
          </cell>
          <cell r="U268">
            <v>0</v>
          </cell>
          <cell r="V268">
            <v>0</v>
          </cell>
          <cell r="W268">
            <v>0</v>
          </cell>
          <cell r="X268">
            <v>0</v>
          </cell>
          <cell r="Y268">
            <v>0</v>
          </cell>
          <cell r="AJ268">
            <v>0</v>
          </cell>
          <cell r="AK268">
            <v>0</v>
          </cell>
          <cell r="AL268">
            <v>999999</v>
          </cell>
          <cell r="AM268">
            <v>99</v>
          </cell>
          <cell r="AN268">
            <v>99</v>
          </cell>
          <cell r="AO268">
            <v>99</v>
          </cell>
          <cell r="AP268">
            <v>0</v>
          </cell>
          <cell r="AQ268">
            <v>0</v>
          </cell>
          <cell r="AR268">
            <v>99</v>
          </cell>
          <cell r="AS268">
            <v>50</v>
          </cell>
          <cell r="BE268">
            <v>0</v>
          </cell>
          <cell r="BG268">
            <v>0</v>
          </cell>
          <cell r="BH268">
            <v>0</v>
          </cell>
          <cell r="BI268">
            <v>0</v>
          </cell>
          <cell r="BJ268">
            <v>0</v>
          </cell>
          <cell r="BK268">
            <v>0</v>
          </cell>
          <cell r="BL268">
            <v>0</v>
          </cell>
          <cell r="BM268">
            <v>0</v>
          </cell>
          <cell r="BN268">
            <v>0</v>
          </cell>
          <cell r="BO268">
            <v>0</v>
          </cell>
          <cell r="BP268">
            <v>0</v>
          </cell>
          <cell r="CA268">
            <v>98870.514313568507</v>
          </cell>
          <cell r="CB268">
            <v>29</v>
          </cell>
          <cell r="CC268">
            <v>99</v>
          </cell>
          <cell r="CD268">
            <v>99</v>
          </cell>
          <cell r="CE268">
            <v>68</v>
          </cell>
          <cell r="CF268">
            <v>99</v>
          </cell>
          <cell r="CG268">
            <v>0</v>
          </cell>
          <cell r="CH268">
            <v>99</v>
          </cell>
          <cell r="CI268">
            <v>99</v>
          </cell>
          <cell r="CJ268">
            <v>99</v>
          </cell>
          <cell r="CV268">
            <v>288.46153846153851</v>
          </cell>
          <cell r="CX268">
            <v>0</v>
          </cell>
          <cell r="CY268">
            <v>0</v>
          </cell>
          <cell r="CZ268">
            <v>0</v>
          </cell>
          <cell r="DA268">
            <v>0</v>
          </cell>
          <cell r="DB268">
            <v>0</v>
          </cell>
          <cell r="DC268">
            <v>0</v>
          </cell>
          <cell r="DD268">
            <v>0</v>
          </cell>
          <cell r="DE268">
            <v>0</v>
          </cell>
          <cell r="DF268">
            <v>0</v>
          </cell>
          <cell r="DG268">
            <v>0</v>
          </cell>
          <cell r="DR268">
            <v>73103</v>
          </cell>
          <cell r="DS268">
            <v>99</v>
          </cell>
          <cell r="DT268">
            <v>99</v>
          </cell>
          <cell r="DU268">
            <v>999999</v>
          </cell>
          <cell r="DV268">
            <v>999999</v>
          </cell>
          <cell r="DW268">
            <v>999999</v>
          </cell>
          <cell r="DX268">
            <v>99</v>
          </cell>
          <cell r="DY268">
            <v>99</v>
          </cell>
          <cell r="DZ268">
            <v>999999</v>
          </cell>
          <cell r="EA268">
            <v>999999</v>
          </cell>
        </row>
        <row r="269">
          <cell r="N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0</v>
          </cell>
          <cell r="X269">
            <v>0</v>
          </cell>
          <cell r="Y269">
            <v>0</v>
          </cell>
          <cell r="AJ269">
            <v>0</v>
          </cell>
          <cell r="AK269">
            <v>0</v>
          </cell>
          <cell r="AL269">
            <v>999999</v>
          </cell>
          <cell r="AM269">
            <v>98</v>
          </cell>
          <cell r="AN269">
            <v>98</v>
          </cell>
          <cell r="AO269">
            <v>98</v>
          </cell>
          <cell r="AP269">
            <v>0</v>
          </cell>
          <cell r="AQ269">
            <v>0</v>
          </cell>
          <cell r="AR269">
            <v>98</v>
          </cell>
          <cell r="AS269">
            <v>49</v>
          </cell>
          <cell r="BE269">
            <v>0</v>
          </cell>
          <cell r="BG269">
            <v>0</v>
          </cell>
          <cell r="BH269">
            <v>0</v>
          </cell>
          <cell r="BI269">
            <v>0</v>
          </cell>
          <cell r="BJ269">
            <v>0</v>
          </cell>
          <cell r="BK269">
            <v>0</v>
          </cell>
          <cell r="BL269">
            <v>0</v>
          </cell>
          <cell r="BM269">
            <v>0</v>
          </cell>
          <cell r="BN269">
            <v>0</v>
          </cell>
          <cell r="BO269">
            <v>0</v>
          </cell>
          <cell r="BP269">
            <v>0</v>
          </cell>
          <cell r="CA269">
            <v>98332.052067307828</v>
          </cell>
          <cell r="CB269">
            <v>28</v>
          </cell>
          <cell r="CC269">
            <v>98</v>
          </cell>
          <cell r="CD269">
            <v>98</v>
          </cell>
          <cell r="CE269">
            <v>67</v>
          </cell>
          <cell r="CF269">
            <v>98</v>
          </cell>
          <cell r="CG269">
            <v>0</v>
          </cell>
          <cell r="CH269">
            <v>98</v>
          </cell>
          <cell r="CI269">
            <v>98</v>
          </cell>
          <cell r="CJ269">
            <v>98</v>
          </cell>
          <cell r="CV269">
            <v>288.46153846153851</v>
          </cell>
          <cell r="CX269">
            <v>0</v>
          </cell>
          <cell r="CY269">
            <v>0</v>
          </cell>
          <cell r="CZ269">
            <v>0</v>
          </cell>
          <cell r="DA269">
            <v>0</v>
          </cell>
          <cell r="DB269">
            <v>0</v>
          </cell>
          <cell r="DC269">
            <v>0</v>
          </cell>
          <cell r="DD269">
            <v>0</v>
          </cell>
          <cell r="DE269">
            <v>0</v>
          </cell>
          <cell r="DF269">
            <v>0</v>
          </cell>
          <cell r="DG269">
            <v>0</v>
          </cell>
          <cell r="DR269">
            <v>73103</v>
          </cell>
          <cell r="DS269">
            <v>98</v>
          </cell>
          <cell r="DT269">
            <v>98</v>
          </cell>
          <cell r="DU269">
            <v>999999</v>
          </cell>
          <cell r="DV269">
            <v>999999</v>
          </cell>
          <cell r="DW269">
            <v>999999</v>
          </cell>
          <cell r="DX269">
            <v>98</v>
          </cell>
          <cell r="DY269">
            <v>98</v>
          </cell>
          <cell r="DZ269">
            <v>999999</v>
          </cell>
          <cell r="EA269">
            <v>999999</v>
          </cell>
        </row>
        <row r="270">
          <cell r="N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AJ270">
            <v>0</v>
          </cell>
          <cell r="AK270">
            <v>0</v>
          </cell>
          <cell r="AL270">
            <v>999999</v>
          </cell>
          <cell r="AM270">
            <v>97</v>
          </cell>
          <cell r="AN270">
            <v>97</v>
          </cell>
          <cell r="AO270">
            <v>97</v>
          </cell>
          <cell r="AP270">
            <v>0</v>
          </cell>
          <cell r="AQ270">
            <v>0</v>
          </cell>
          <cell r="AR270">
            <v>97</v>
          </cell>
          <cell r="AS270">
            <v>48</v>
          </cell>
          <cell r="BE270">
            <v>48000</v>
          </cell>
          <cell r="BG270">
            <v>0</v>
          </cell>
          <cell r="BH270">
            <v>0</v>
          </cell>
          <cell r="BI270">
            <v>0</v>
          </cell>
          <cell r="BJ270">
            <v>0</v>
          </cell>
          <cell r="BK270">
            <v>0</v>
          </cell>
          <cell r="BL270">
            <v>0</v>
          </cell>
          <cell r="BM270">
            <v>0</v>
          </cell>
          <cell r="BN270">
            <v>0</v>
          </cell>
          <cell r="BO270">
            <v>0</v>
          </cell>
          <cell r="BP270">
            <v>0</v>
          </cell>
          <cell r="CA270">
            <v>97793.58982104715</v>
          </cell>
          <cell r="CB270">
            <v>27</v>
          </cell>
          <cell r="CC270">
            <v>97</v>
          </cell>
          <cell r="CD270">
            <v>97</v>
          </cell>
          <cell r="CE270">
            <v>66</v>
          </cell>
          <cell r="CF270">
            <v>97</v>
          </cell>
          <cell r="CG270">
            <v>0</v>
          </cell>
          <cell r="CH270">
            <v>97</v>
          </cell>
          <cell r="CI270">
            <v>97</v>
          </cell>
          <cell r="CJ270">
            <v>97</v>
          </cell>
          <cell r="CV270">
            <v>288.46153846153851</v>
          </cell>
          <cell r="CX270">
            <v>0</v>
          </cell>
          <cell r="CY270">
            <v>0</v>
          </cell>
          <cell r="CZ270">
            <v>0</v>
          </cell>
          <cell r="DA270">
            <v>0</v>
          </cell>
          <cell r="DB270">
            <v>0</v>
          </cell>
          <cell r="DC270">
            <v>0</v>
          </cell>
          <cell r="DD270">
            <v>0</v>
          </cell>
          <cell r="DE270">
            <v>0</v>
          </cell>
          <cell r="DF270">
            <v>0</v>
          </cell>
          <cell r="DG270">
            <v>0</v>
          </cell>
          <cell r="DR270">
            <v>73103</v>
          </cell>
          <cell r="DS270">
            <v>97</v>
          </cell>
          <cell r="DT270">
            <v>97</v>
          </cell>
          <cell r="DU270">
            <v>999999</v>
          </cell>
          <cell r="DV270">
            <v>999999</v>
          </cell>
          <cell r="DW270">
            <v>999999</v>
          </cell>
          <cell r="DX270">
            <v>97</v>
          </cell>
          <cell r="DY270">
            <v>97</v>
          </cell>
          <cell r="DZ270">
            <v>999999</v>
          </cell>
          <cell r="EA270">
            <v>999999</v>
          </cell>
        </row>
        <row r="271">
          <cell r="N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AJ271">
            <v>0</v>
          </cell>
          <cell r="AK271">
            <v>0</v>
          </cell>
          <cell r="AL271">
            <v>999999</v>
          </cell>
          <cell r="AM271">
            <v>96</v>
          </cell>
          <cell r="AN271">
            <v>96</v>
          </cell>
          <cell r="AO271">
            <v>96</v>
          </cell>
          <cell r="AP271">
            <v>0</v>
          </cell>
          <cell r="AQ271">
            <v>0</v>
          </cell>
          <cell r="AR271">
            <v>96</v>
          </cell>
          <cell r="AS271">
            <v>47</v>
          </cell>
          <cell r="BE271">
            <v>0</v>
          </cell>
          <cell r="BG271">
            <v>0</v>
          </cell>
          <cell r="BH271">
            <v>0</v>
          </cell>
          <cell r="BI271">
            <v>0</v>
          </cell>
          <cell r="BJ271">
            <v>0</v>
          </cell>
          <cell r="BK271">
            <v>0</v>
          </cell>
          <cell r="BL271">
            <v>0</v>
          </cell>
          <cell r="BM271">
            <v>0</v>
          </cell>
          <cell r="BN271">
            <v>0</v>
          </cell>
          <cell r="BO271">
            <v>0</v>
          </cell>
          <cell r="BP271">
            <v>0</v>
          </cell>
          <cell r="CA271">
            <v>97255.127574786471</v>
          </cell>
          <cell r="CB271">
            <v>26</v>
          </cell>
          <cell r="CC271">
            <v>96</v>
          </cell>
          <cell r="CD271">
            <v>96</v>
          </cell>
          <cell r="CE271">
            <v>65</v>
          </cell>
          <cell r="CF271">
            <v>96</v>
          </cell>
          <cell r="CG271">
            <v>0</v>
          </cell>
          <cell r="CH271">
            <v>96</v>
          </cell>
          <cell r="CI271">
            <v>96</v>
          </cell>
          <cell r="CJ271">
            <v>96</v>
          </cell>
          <cell r="CV271">
            <v>288.46153846153851</v>
          </cell>
          <cell r="CX271">
            <v>0</v>
          </cell>
          <cell r="CY271">
            <v>0</v>
          </cell>
          <cell r="CZ271">
            <v>0</v>
          </cell>
          <cell r="DA271">
            <v>0</v>
          </cell>
          <cell r="DB271">
            <v>0</v>
          </cell>
          <cell r="DC271">
            <v>0</v>
          </cell>
          <cell r="DD271">
            <v>0</v>
          </cell>
          <cell r="DE271">
            <v>0</v>
          </cell>
          <cell r="DF271">
            <v>0</v>
          </cell>
          <cell r="DG271">
            <v>0</v>
          </cell>
          <cell r="DR271">
            <v>73103</v>
          </cell>
          <cell r="DS271">
            <v>96</v>
          </cell>
          <cell r="DT271">
            <v>96</v>
          </cell>
          <cell r="DU271">
            <v>999999</v>
          </cell>
          <cell r="DV271">
            <v>999999</v>
          </cell>
          <cell r="DW271">
            <v>999999</v>
          </cell>
          <cell r="DX271">
            <v>96</v>
          </cell>
          <cell r="DY271">
            <v>96</v>
          </cell>
          <cell r="DZ271">
            <v>999999</v>
          </cell>
          <cell r="EA271">
            <v>999999</v>
          </cell>
        </row>
        <row r="272">
          <cell r="N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AJ272">
            <v>0</v>
          </cell>
          <cell r="AK272">
            <v>0</v>
          </cell>
          <cell r="AL272">
            <v>999999</v>
          </cell>
          <cell r="AM272">
            <v>95</v>
          </cell>
          <cell r="AN272">
            <v>95</v>
          </cell>
          <cell r="AO272">
            <v>95</v>
          </cell>
          <cell r="AP272">
            <v>0</v>
          </cell>
          <cell r="AQ272">
            <v>0</v>
          </cell>
          <cell r="AR272">
            <v>95</v>
          </cell>
          <cell r="AS272">
            <v>46</v>
          </cell>
          <cell r="BE272">
            <v>0</v>
          </cell>
          <cell r="BG272">
            <v>0</v>
          </cell>
          <cell r="BH272">
            <v>0</v>
          </cell>
          <cell r="BI272">
            <v>0</v>
          </cell>
          <cell r="BJ272">
            <v>0</v>
          </cell>
          <cell r="BK272">
            <v>0</v>
          </cell>
          <cell r="BL272">
            <v>0</v>
          </cell>
          <cell r="BM272">
            <v>0</v>
          </cell>
          <cell r="BN272">
            <v>0</v>
          </cell>
          <cell r="BO272">
            <v>0</v>
          </cell>
          <cell r="BP272">
            <v>0</v>
          </cell>
          <cell r="CA272">
            <v>96716.665328525793</v>
          </cell>
          <cell r="CB272">
            <v>25</v>
          </cell>
          <cell r="CC272">
            <v>95</v>
          </cell>
          <cell r="CD272">
            <v>95</v>
          </cell>
          <cell r="CE272">
            <v>64</v>
          </cell>
          <cell r="CF272">
            <v>95</v>
          </cell>
          <cell r="CG272">
            <v>0</v>
          </cell>
          <cell r="CH272">
            <v>95</v>
          </cell>
          <cell r="CI272">
            <v>95</v>
          </cell>
          <cell r="CJ272">
            <v>95</v>
          </cell>
          <cell r="CV272">
            <v>288.46153846153851</v>
          </cell>
          <cell r="CX272">
            <v>0</v>
          </cell>
          <cell r="CY272">
            <v>0</v>
          </cell>
          <cell r="CZ272">
            <v>0</v>
          </cell>
          <cell r="DA272">
            <v>0</v>
          </cell>
          <cell r="DB272">
            <v>0</v>
          </cell>
          <cell r="DC272">
            <v>0</v>
          </cell>
          <cell r="DD272">
            <v>0</v>
          </cell>
          <cell r="DE272">
            <v>0</v>
          </cell>
          <cell r="DF272">
            <v>0</v>
          </cell>
          <cell r="DG272">
            <v>0</v>
          </cell>
          <cell r="DR272">
            <v>73103</v>
          </cell>
          <cell r="DS272">
            <v>95</v>
          </cell>
          <cell r="DT272">
            <v>95</v>
          </cell>
          <cell r="DU272">
            <v>999999</v>
          </cell>
          <cell r="DV272">
            <v>999999</v>
          </cell>
          <cell r="DW272">
            <v>999999</v>
          </cell>
          <cell r="DX272">
            <v>95</v>
          </cell>
          <cell r="DY272">
            <v>95</v>
          </cell>
          <cell r="DZ272">
            <v>999999</v>
          </cell>
          <cell r="EA272">
            <v>999999</v>
          </cell>
        </row>
        <row r="273">
          <cell r="N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V273">
            <v>0</v>
          </cell>
          <cell r="W273">
            <v>0</v>
          </cell>
          <cell r="X273">
            <v>0</v>
          </cell>
          <cell r="Y273">
            <v>0</v>
          </cell>
          <cell r="AJ273">
            <v>0</v>
          </cell>
          <cell r="AK273">
            <v>0</v>
          </cell>
          <cell r="AL273">
            <v>999999</v>
          </cell>
          <cell r="AM273">
            <v>94</v>
          </cell>
          <cell r="AN273">
            <v>94</v>
          </cell>
          <cell r="AO273">
            <v>94</v>
          </cell>
          <cell r="AP273">
            <v>0</v>
          </cell>
          <cell r="AQ273">
            <v>0</v>
          </cell>
          <cell r="AR273">
            <v>94</v>
          </cell>
          <cell r="AS273">
            <v>45</v>
          </cell>
          <cell r="BE273">
            <v>0</v>
          </cell>
          <cell r="BG273">
            <v>0</v>
          </cell>
          <cell r="BH273">
            <v>0</v>
          </cell>
          <cell r="BI273">
            <v>0</v>
          </cell>
          <cell r="BJ273">
            <v>0</v>
          </cell>
          <cell r="BK273">
            <v>0</v>
          </cell>
          <cell r="BL273">
            <v>0</v>
          </cell>
          <cell r="BM273">
            <v>0</v>
          </cell>
          <cell r="BN273">
            <v>0</v>
          </cell>
          <cell r="BO273">
            <v>0</v>
          </cell>
          <cell r="BP273">
            <v>0</v>
          </cell>
          <cell r="CA273">
            <v>96178.203082265114</v>
          </cell>
          <cell r="CB273">
            <v>24</v>
          </cell>
          <cell r="CC273">
            <v>94</v>
          </cell>
          <cell r="CD273">
            <v>94</v>
          </cell>
          <cell r="CE273">
            <v>63</v>
          </cell>
          <cell r="CF273">
            <v>94</v>
          </cell>
          <cell r="CG273">
            <v>0</v>
          </cell>
          <cell r="CH273">
            <v>94</v>
          </cell>
          <cell r="CI273">
            <v>94</v>
          </cell>
          <cell r="CJ273">
            <v>94</v>
          </cell>
          <cell r="CV273">
            <v>288.46153846153851</v>
          </cell>
          <cell r="CX273">
            <v>0</v>
          </cell>
          <cell r="CY273">
            <v>0</v>
          </cell>
          <cell r="CZ273">
            <v>0</v>
          </cell>
          <cell r="DA273">
            <v>0</v>
          </cell>
          <cell r="DB273">
            <v>0</v>
          </cell>
          <cell r="DC273">
            <v>0</v>
          </cell>
          <cell r="DD273">
            <v>0</v>
          </cell>
          <cell r="DE273">
            <v>0</v>
          </cell>
          <cell r="DF273">
            <v>0</v>
          </cell>
          <cell r="DG273">
            <v>0</v>
          </cell>
          <cell r="DR273">
            <v>73103</v>
          </cell>
          <cell r="DS273">
            <v>94</v>
          </cell>
          <cell r="DT273">
            <v>94</v>
          </cell>
          <cell r="DU273">
            <v>999999</v>
          </cell>
          <cell r="DV273">
            <v>999999</v>
          </cell>
          <cell r="DW273">
            <v>999999</v>
          </cell>
          <cell r="DX273">
            <v>94</v>
          </cell>
          <cell r="DY273">
            <v>94</v>
          </cell>
          <cell r="DZ273">
            <v>999999</v>
          </cell>
          <cell r="EA273">
            <v>999999</v>
          </cell>
        </row>
        <row r="274">
          <cell r="N274">
            <v>48000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V274">
            <v>0</v>
          </cell>
          <cell r="W274">
            <v>0</v>
          </cell>
          <cell r="X274">
            <v>0</v>
          </cell>
          <cell r="Y274">
            <v>0</v>
          </cell>
          <cell r="AJ274">
            <v>0</v>
          </cell>
          <cell r="AK274">
            <v>0</v>
          </cell>
          <cell r="AL274">
            <v>999999</v>
          </cell>
          <cell r="AM274">
            <v>93</v>
          </cell>
          <cell r="AN274">
            <v>93</v>
          </cell>
          <cell r="AO274">
            <v>93</v>
          </cell>
          <cell r="AP274">
            <v>0</v>
          </cell>
          <cell r="AQ274">
            <v>0</v>
          </cell>
          <cell r="AR274">
            <v>93</v>
          </cell>
          <cell r="AS274">
            <v>44</v>
          </cell>
          <cell r="BE274">
            <v>0</v>
          </cell>
          <cell r="BG274">
            <v>0</v>
          </cell>
          <cell r="BH274">
            <v>0</v>
          </cell>
          <cell r="BI274">
            <v>0</v>
          </cell>
          <cell r="BJ274">
            <v>0</v>
          </cell>
          <cell r="BK274">
            <v>0</v>
          </cell>
          <cell r="BL274">
            <v>0</v>
          </cell>
          <cell r="BM274">
            <v>0</v>
          </cell>
          <cell r="BN274">
            <v>0</v>
          </cell>
          <cell r="BO274">
            <v>0</v>
          </cell>
          <cell r="BP274">
            <v>0</v>
          </cell>
          <cell r="CA274">
            <v>95639.740836004436</v>
          </cell>
          <cell r="CB274">
            <v>23</v>
          </cell>
          <cell r="CC274">
            <v>93</v>
          </cell>
          <cell r="CD274">
            <v>93</v>
          </cell>
          <cell r="CE274">
            <v>62</v>
          </cell>
          <cell r="CF274">
            <v>93</v>
          </cell>
          <cell r="CG274">
            <v>0</v>
          </cell>
          <cell r="CH274">
            <v>93</v>
          </cell>
          <cell r="CI274">
            <v>93</v>
          </cell>
          <cell r="CJ274">
            <v>93</v>
          </cell>
          <cell r="CV274">
            <v>288.46153846153851</v>
          </cell>
          <cell r="CX274">
            <v>0</v>
          </cell>
          <cell r="CY274">
            <v>0</v>
          </cell>
          <cell r="CZ274">
            <v>0</v>
          </cell>
          <cell r="DA274">
            <v>0</v>
          </cell>
          <cell r="DB274">
            <v>0</v>
          </cell>
          <cell r="DC274">
            <v>0</v>
          </cell>
          <cell r="DD274">
            <v>0</v>
          </cell>
          <cell r="DE274">
            <v>0</v>
          </cell>
          <cell r="DF274">
            <v>0</v>
          </cell>
          <cell r="DG274">
            <v>0</v>
          </cell>
          <cell r="DR274">
            <v>73103</v>
          </cell>
          <cell r="DS274">
            <v>93</v>
          </cell>
          <cell r="DT274">
            <v>93</v>
          </cell>
          <cell r="DU274">
            <v>999999</v>
          </cell>
          <cell r="DV274">
            <v>999999</v>
          </cell>
          <cell r="DW274">
            <v>999999</v>
          </cell>
          <cell r="DX274">
            <v>93</v>
          </cell>
          <cell r="DY274">
            <v>93</v>
          </cell>
          <cell r="DZ274">
            <v>999999</v>
          </cell>
          <cell r="EA274">
            <v>999999</v>
          </cell>
        </row>
        <row r="275">
          <cell r="N275">
            <v>0</v>
          </cell>
          <cell r="P275">
            <v>0</v>
          </cell>
          <cell r="Q275">
            <v>0</v>
          </cell>
          <cell r="R275">
            <v>0</v>
          </cell>
          <cell r="S275">
            <v>0</v>
          </cell>
          <cell r="T275">
            <v>0</v>
          </cell>
          <cell r="U275">
            <v>0</v>
          </cell>
          <cell r="V275">
            <v>0</v>
          </cell>
          <cell r="W275">
            <v>0</v>
          </cell>
          <cell r="X275">
            <v>0</v>
          </cell>
          <cell r="Y275">
            <v>0</v>
          </cell>
          <cell r="AJ275">
            <v>0</v>
          </cell>
          <cell r="AK275">
            <v>0</v>
          </cell>
          <cell r="AL275">
            <v>999999</v>
          </cell>
          <cell r="AM275">
            <v>92</v>
          </cell>
          <cell r="AN275">
            <v>92</v>
          </cell>
          <cell r="AO275">
            <v>92</v>
          </cell>
          <cell r="AP275">
            <v>0</v>
          </cell>
          <cell r="AQ275">
            <v>0</v>
          </cell>
          <cell r="AR275">
            <v>92</v>
          </cell>
          <cell r="AS275">
            <v>43</v>
          </cell>
          <cell r="BE275">
            <v>0</v>
          </cell>
          <cell r="BG275">
            <v>0</v>
          </cell>
          <cell r="BH275">
            <v>0</v>
          </cell>
          <cell r="BI275">
            <v>0</v>
          </cell>
          <cell r="BJ275">
            <v>0</v>
          </cell>
          <cell r="BK275">
            <v>0</v>
          </cell>
          <cell r="BL275">
            <v>0</v>
          </cell>
          <cell r="BM275">
            <v>0</v>
          </cell>
          <cell r="BN275">
            <v>0</v>
          </cell>
          <cell r="BO275">
            <v>0</v>
          </cell>
          <cell r="BP275">
            <v>0</v>
          </cell>
          <cell r="CA275">
            <v>95101.278589743757</v>
          </cell>
          <cell r="CB275">
            <v>22</v>
          </cell>
          <cell r="CC275">
            <v>92</v>
          </cell>
          <cell r="CD275">
            <v>92</v>
          </cell>
          <cell r="CE275">
            <v>61</v>
          </cell>
          <cell r="CF275">
            <v>92</v>
          </cell>
          <cell r="CG275">
            <v>0</v>
          </cell>
          <cell r="CH275">
            <v>92</v>
          </cell>
          <cell r="CI275">
            <v>92</v>
          </cell>
          <cell r="CJ275">
            <v>92</v>
          </cell>
          <cell r="CV275">
            <v>288.46153846153851</v>
          </cell>
          <cell r="CX275">
            <v>0</v>
          </cell>
          <cell r="CY275">
            <v>0</v>
          </cell>
          <cell r="CZ275">
            <v>0</v>
          </cell>
          <cell r="DA275">
            <v>0</v>
          </cell>
          <cell r="DB275">
            <v>0</v>
          </cell>
          <cell r="DC275">
            <v>0</v>
          </cell>
          <cell r="DD275">
            <v>0</v>
          </cell>
          <cell r="DE275">
            <v>0</v>
          </cell>
          <cell r="DF275">
            <v>0</v>
          </cell>
          <cell r="DG275">
            <v>0</v>
          </cell>
          <cell r="DR275">
            <v>73103</v>
          </cell>
          <cell r="DS275">
            <v>92</v>
          </cell>
          <cell r="DT275">
            <v>92</v>
          </cell>
          <cell r="DU275">
            <v>999999</v>
          </cell>
          <cell r="DV275">
            <v>999999</v>
          </cell>
          <cell r="DW275">
            <v>999999</v>
          </cell>
          <cell r="DX275">
            <v>92</v>
          </cell>
          <cell r="DY275">
            <v>92</v>
          </cell>
          <cell r="DZ275">
            <v>999999</v>
          </cell>
          <cell r="EA275">
            <v>999999</v>
          </cell>
        </row>
        <row r="276">
          <cell r="N276">
            <v>0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0</v>
          </cell>
          <cell r="X276">
            <v>0</v>
          </cell>
          <cell r="Y276">
            <v>0</v>
          </cell>
          <cell r="AJ276">
            <v>0</v>
          </cell>
          <cell r="AK276">
            <v>0</v>
          </cell>
          <cell r="AL276">
            <v>999999</v>
          </cell>
          <cell r="AM276">
            <v>91</v>
          </cell>
          <cell r="AN276">
            <v>91</v>
          </cell>
          <cell r="AO276">
            <v>91</v>
          </cell>
          <cell r="AP276">
            <v>0</v>
          </cell>
          <cell r="AQ276">
            <v>0</v>
          </cell>
          <cell r="AR276">
            <v>91</v>
          </cell>
          <cell r="AS276">
            <v>42</v>
          </cell>
          <cell r="BE276">
            <v>0</v>
          </cell>
          <cell r="BG276">
            <v>0</v>
          </cell>
          <cell r="BH276">
            <v>0</v>
          </cell>
          <cell r="BI276">
            <v>0</v>
          </cell>
          <cell r="BJ276">
            <v>0</v>
          </cell>
          <cell r="BK276">
            <v>0</v>
          </cell>
          <cell r="BL276">
            <v>0</v>
          </cell>
          <cell r="BM276">
            <v>0</v>
          </cell>
          <cell r="BN276">
            <v>0</v>
          </cell>
          <cell r="BO276">
            <v>0</v>
          </cell>
          <cell r="BP276">
            <v>0</v>
          </cell>
          <cell r="CA276">
            <v>94585.173593362444</v>
          </cell>
          <cell r="CB276">
            <v>21</v>
          </cell>
          <cell r="CC276">
            <v>91</v>
          </cell>
          <cell r="CD276">
            <v>91</v>
          </cell>
          <cell r="CE276">
            <v>60</v>
          </cell>
          <cell r="CF276">
            <v>91</v>
          </cell>
          <cell r="CG276">
            <v>0</v>
          </cell>
          <cell r="CH276">
            <v>91</v>
          </cell>
          <cell r="CI276">
            <v>91</v>
          </cell>
          <cell r="CJ276">
            <v>91</v>
          </cell>
          <cell r="CV276">
            <v>279.15632754342431</v>
          </cell>
          <cell r="CX276">
            <v>0</v>
          </cell>
          <cell r="CY276">
            <v>0</v>
          </cell>
          <cell r="CZ276">
            <v>0</v>
          </cell>
          <cell r="DA276">
            <v>0</v>
          </cell>
          <cell r="DB276">
            <v>0</v>
          </cell>
          <cell r="DC276">
            <v>0</v>
          </cell>
          <cell r="DD276">
            <v>0</v>
          </cell>
          <cell r="DE276">
            <v>0</v>
          </cell>
          <cell r="DF276">
            <v>0</v>
          </cell>
          <cell r="DG276">
            <v>0</v>
          </cell>
          <cell r="DR276">
            <v>73103</v>
          </cell>
          <cell r="DS276">
            <v>91</v>
          </cell>
          <cell r="DT276">
            <v>91</v>
          </cell>
          <cell r="DU276">
            <v>999999</v>
          </cell>
          <cell r="DV276">
            <v>999999</v>
          </cell>
          <cell r="DW276">
            <v>999999</v>
          </cell>
          <cell r="DX276">
            <v>91</v>
          </cell>
          <cell r="DY276">
            <v>91</v>
          </cell>
          <cell r="DZ276">
            <v>999999</v>
          </cell>
          <cell r="EA276">
            <v>999999</v>
          </cell>
        </row>
        <row r="277">
          <cell r="N277">
            <v>0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AJ277">
            <v>0</v>
          </cell>
          <cell r="AK277">
            <v>0</v>
          </cell>
          <cell r="AL277">
            <v>999999</v>
          </cell>
          <cell r="AM277">
            <v>90</v>
          </cell>
          <cell r="AN277">
            <v>90</v>
          </cell>
          <cell r="AO277">
            <v>90</v>
          </cell>
          <cell r="AP277">
            <v>0</v>
          </cell>
          <cell r="AQ277">
            <v>0</v>
          </cell>
          <cell r="AR277">
            <v>90</v>
          </cell>
          <cell r="AS277">
            <v>41</v>
          </cell>
          <cell r="BE277">
            <v>48000</v>
          </cell>
          <cell r="BG277">
            <v>0</v>
          </cell>
          <cell r="BH277">
            <v>0</v>
          </cell>
          <cell r="BI277">
            <v>0</v>
          </cell>
          <cell r="BJ277">
            <v>0</v>
          </cell>
          <cell r="BK277">
            <v>0</v>
          </cell>
          <cell r="BL277">
            <v>0</v>
          </cell>
          <cell r="BM277">
            <v>0</v>
          </cell>
          <cell r="BN277">
            <v>0</v>
          </cell>
          <cell r="BO277">
            <v>0</v>
          </cell>
          <cell r="BP277">
            <v>0</v>
          </cell>
          <cell r="CA277">
            <v>94069.068596981131</v>
          </cell>
          <cell r="CB277">
            <v>20</v>
          </cell>
          <cell r="CC277">
            <v>90</v>
          </cell>
          <cell r="CD277">
            <v>90</v>
          </cell>
          <cell r="CE277">
            <v>59</v>
          </cell>
          <cell r="CF277">
            <v>90</v>
          </cell>
          <cell r="CG277">
            <v>0</v>
          </cell>
          <cell r="CH277">
            <v>90</v>
          </cell>
          <cell r="CI277">
            <v>90</v>
          </cell>
          <cell r="CJ277">
            <v>90</v>
          </cell>
          <cell r="CV277">
            <v>279.15632754342431</v>
          </cell>
          <cell r="CX277">
            <v>0</v>
          </cell>
          <cell r="CY277">
            <v>0</v>
          </cell>
          <cell r="CZ277">
            <v>0</v>
          </cell>
          <cell r="DA277">
            <v>0</v>
          </cell>
          <cell r="DB277">
            <v>0</v>
          </cell>
          <cell r="DC277">
            <v>0</v>
          </cell>
          <cell r="DD277">
            <v>0</v>
          </cell>
          <cell r="DE277">
            <v>0</v>
          </cell>
          <cell r="DF277">
            <v>0</v>
          </cell>
          <cell r="DG277">
            <v>0</v>
          </cell>
          <cell r="DR277">
            <v>73103</v>
          </cell>
          <cell r="DS277">
            <v>90</v>
          </cell>
          <cell r="DT277">
            <v>90</v>
          </cell>
          <cell r="DU277">
            <v>999999</v>
          </cell>
          <cell r="DV277">
            <v>999999</v>
          </cell>
          <cell r="DW277">
            <v>999999</v>
          </cell>
          <cell r="DX277">
            <v>90</v>
          </cell>
          <cell r="DY277">
            <v>90</v>
          </cell>
          <cell r="DZ277">
            <v>999999</v>
          </cell>
          <cell r="EA277">
            <v>999999</v>
          </cell>
        </row>
        <row r="278">
          <cell r="N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AJ278">
            <v>0</v>
          </cell>
          <cell r="AK278">
            <v>0</v>
          </cell>
          <cell r="AL278">
            <v>999999</v>
          </cell>
          <cell r="AM278">
            <v>89</v>
          </cell>
          <cell r="AN278">
            <v>89</v>
          </cell>
          <cell r="AO278">
            <v>89</v>
          </cell>
          <cell r="AP278">
            <v>0</v>
          </cell>
          <cell r="AQ278">
            <v>0</v>
          </cell>
          <cell r="AR278">
            <v>89</v>
          </cell>
          <cell r="AS278">
            <v>40</v>
          </cell>
          <cell r="BE278">
            <v>0</v>
          </cell>
          <cell r="BG278">
            <v>0</v>
          </cell>
          <cell r="BH278">
            <v>0</v>
          </cell>
          <cell r="BI278">
            <v>0</v>
          </cell>
          <cell r="BJ278">
            <v>0</v>
          </cell>
          <cell r="BK278">
            <v>0</v>
          </cell>
          <cell r="BL278">
            <v>0</v>
          </cell>
          <cell r="BM278">
            <v>0</v>
          </cell>
          <cell r="BN278">
            <v>0</v>
          </cell>
          <cell r="BO278">
            <v>0</v>
          </cell>
          <cell r="BP278">
            <v>0</v>
          </cell>
          <cell r="CA278">
            <v>93552.963600599818</v>
          </cell>
          <cell r="CB278">
            <v>19</v>
          </cell>
          <cell r="CC278">
            <v>89</v>
          </cell>
          <cell r="CD278">
            <v>89</v>
          </cell>
          <cell r="CE278">
            <v>58</v>
          </cell>
          <cell r="CF278">
            <v>89</v>
          </cell>
          <cell r="CG278">
            <v>0</v>
          </cell>
          <cell r="CH278">
            <v>89</v>
          </cell>
          <cell r="CI278">
            <v>89</v>
          </cell>
          <cell r="CJ278">
            <v>89</v>
          </cell>
          <cell r="CV278">
            <v>279.15632754342431</v>
          </cell>
          <cell r="CX278">
            <v>0</v>
          </cell>
          <cell r="CY278">
            <v>0</v>
          </cell>
          <cell r="CZ278">
            <v>0</v>
          </cell>
          <cell r="DA278">
            <v>0</v>
          </cell>
          <cell r="DB278">
            <v>0</v>
          </cell>
          <cell r="DC278">
            <v>0</v>
          </cell>
          <cell r="DD278">
            <v>0</v>
          </cell>
          <cell r="DE278">
            <v>0</v>
          </cell>
          <cell r="DF278">
            <v>0</v>
          </cell>
          <cell r="DG278">
            <v>0</v>
          </cell>
          <cell r="DR278">
            <v>73103</v>
          </cell>
          <cell r="DS278">
            <v>89</v>
          </cell>
          <cell r="DT278">
            <v>89</v>
          </cell>
          <cell r="DU278">
            <v>999999</v>
          </cell>
          <cell r="DV278">
            <v>999999</v>
          </cell>
          <cell r="DW278">
            <v>999999</v>
          </cell>
          <cell r="DX278">
            <v>89</v>
          </cell>
          <cell r="DY278">
            <v>89</v>
          </cell>
          <cell r="DZ278">
            <v>999999</v>
          </cell>
          <cell r="EA278">
            <v>999999</v>
          </cell>
        </row>
        <row r="279">
          <cell r="N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AJ279">
            <v>0</v>
          </cell>
          <cell r="AK279">
            <v>0</v>
          </cell>
          <cell r="AL279">
            <v>999999</v>
          </cell>
          <cell r="AM279">
            <v>88</v>
          </cell>
          <cell r="AN279">
            <v>88</v>
          </cell>
          <cell r="AO279">
            <v>88</v>
          </cell>
          <cell r="AP279">
            <v>0</v>
          </cell>
          <cell r="AQ279">
            <v>0</v>
          </cell>
          <cell r="AR279">
            <v>88</v>
          </cell>
          <cell r="AS279">
            <v>39</v>
          </cell>
          <cell r="BE279">
            <v>0</v>
          </cell>
          <cell r="BG279">
            <v>0</v>
          </cell>
          <cell r="BH279">
            <v>0</v>
          </cell>
          <cell r="BI279">
            <v>0</v>
          </cell>
          <cell r="BJ279">
            <v>0</v>
          </cell>
          <cell r="BK279">
            <v>0</v>
          </cell>
          <cell r="BL279">
            <v>0</v>
          </cell>
          <cell r="BM279">
            <v>0</v>
          </cell>
          <cell r="BN279">
            <v>0</v>
          </cell>
          <cell r="BO279">
            <v>0</v>
          </cell>
          <cell r="BP279">
            <v>0</v>
          </cell>
          <cell r="CA279">
            <v>93036.858604218505</v>
          </cell>
          <cell r="CB279">
            <v>18</v>
          </cell>
          <cell r="CC279">
            <v>88</v>
          </cell>
          <cell r="CD279">
            <v>88</v>
          </cell>
          <cell r="CE279">
            <v>57</v>
          </cell>
          <cell r="CF279">
            <v>88</v>
          </cell>
          <cell r="CG279">
            <v>0</v>
          </cell>
          <cell r="CH279">
            <v>88</v>
          </cell>
          <cell r="CI279">
            <v>88</v>
          </cell>
          <cell r="CJ279">
            <v>88</v>
          </cell>
          <cell r="CV279">
            <v>279.15632754342431</v>
          </cell>
          <cell r="CX279">
            <v>0</v>
          </cell>
          <cell r="CY279">
            <v>0</v>
          </cell>
          <cell r="CZ279">
            <v>0</v>
          </cell>
          <cell r="DA279">
            <v>0</v>
          </cell>
          <cell r="DB279">
            <v>0</v>
          </cell>
          <cell r="DC279">
            <v>0</v>
          </cell>
          <cell r="DD279">
            <v>0</v>
          </cell>
          <cell r="DE279">
            <v>0</v>
          </cell>
          <cell r="DF279">
            <v>0</v>
          </cell>
          <cell r="DG279">
            <v>0</v>
          </cell>
          <cell r="DR279">
            <v>73103</v>
          </cell>
          <cell r="DS279">
            <v>88</v>
          </cell>
          <cell r="DT279">
            <v>88</v>
          </cell>
          <cell r="DU279">
            <v>999999</v>
          </cell>
          <cell r="DV279">
            <v>999999</v>
          </cell>
          <cell r="DW279">
            <v>999999</v>
          </cell>
          <cell r="DX279">
            <v>88</v>
          </cell>
          <cell r="DY279">
            <v>88</v>
          </cell>
          <cell r="DZ279">
            <v>999999</v>
          </cell>
          <cell r="EA279">
            <v>999999</v>
          </cell>
        </row>
        <row r="280">
          <cell r="N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AJ280">
            <v>0</v>
          </cell>
          <cell r="AK280">
            <v>0</v>
          </cell>
          <cell r="AL280">
            <v>999999</v>
          </cell>
          <cell r="AM280">
            <v>87</v>
          </cell>
          <cell r="AN280">
            <v>87</v>
          </cell>
          <cell r="AO280">
            <v>87</v>
          </cell>
          <cell r="AP280">
            <v>0</v>
          </cell>
          <cell r="AQ280">
            <v>0</v>
          </cell>
          <cell r="AR280">
            <v>87</v>
          </cell>
          <cell r="AS280">
            <v>38</v>
          </cell>
          <cell r="BE280">
            <v>0</v>
          </cell>
          <cell r="BG280">
            <v>0</v>
          </cell>
          <cell r="BH280">
            <v>0</v>
          </cell>
          <cell r="BI280">
            <v>0</v>
          </cell>
          <cell r="BJ280">
            <v>0</v>
          </cell>
          <cell r="BK280">
            <v>0</v>
          </cell>
          <cell r="BL280">
            <v>0</v>
          </cell>
          <cell r="BM280">
            <v>0</v>
          </cell>
          <cell r="BN280">
            <v>0</v>
          </cell>
          <cell r="BO280">
            <v>0</v>
          </cell>
          <cell r="BP280">
            <v>0</v>
          </cell>
          <cell r="CA280">
            <v>92520.753607837192</v>
          </cell>
          <cell r="CB280">
            <v>17</v>
          </cell>
          <cell r="CC280">
            <v>87</v>
          </cell>
          <cell r="CD280">
            <v>87</v>
          </cell>
          <cell r="CE280">
            <v>56</v>
          </cell>
          <cell r="CF280">
            <v>87</v>
          </cell>
          <cell r="CG280">
            <v>0</v>
          </cell>
          <cell r="CH280">
            <v>87</v>
          </cell>
          <cell r="CI280">
            <v>87</v>
          </cell>
          <cell r="CJ280">
            <v>87</v>
          </cell>
          <cell r="CV280">
            <v>279.15632754342431</v>
          </cell>
          <cell r="CX280">
            <v>0</v>
          </cell>
          <cell r="CY280">
            <v>0</v>
          </cell>
          <cell r="CZ280">
            <v>0</v>
          </cell>
          <cell r="DA280">
            <v>0</v>
          </cell>
          <cell r="DB280">
            <v>0</v>
          </cell>
          <cell r="DC280">
            <v>0</v>
          </cell>
          <cell r="DD280">
            <v>0</v>
          </cell>
          <cell r="DE280">
            <v>0</v>
          </cell>
          <cell r="DF280">
            <v>0</v>
          </cell>
          <cell r="DG280">
            <v>0</v>
          </cell>
          <cell r="DR280">
            <v>73103</v>
          </cell>
          <cell r="DS280">
            <v>87</v>
          </cell>
          <cell r="DT280">
            <v>87</v>
          </cell>
          <cell r="DU280">
            <v>999999</v>
          </cell>
          <cell r="DV280">
            <v>999999</v>
          </cell>
          <cell r="DW280">
            <v>999999</v>
          </cell>
          <cell r="DX280">
            <v>87</v>
          </cell>
          <cell r="DY280">
            <v>87</v>
          </cell>
          <cell r="DZ280">
            <v>999999</v>
          </cell>
          <cell r="EA280">
            <v>999999</v>
          </cell>
        </row>
        <row r="281">
          <cell r="N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AJ281">
            <v>0</v>
          </cell>
          <cell r="AK281">
            <v>0</v>
          </cell>
          <cell r="AL281">
            <v>999999</v>
          </cell>
          <cell r="AM281">
            <v>86</v>
          </cell>
          <cell r="AN281">
            <v>86</v>
          </cell>
          <cell r="AO281">
            <v>86</v>
          </cell>
          <cell r="AP281">
            <v>0</v>
          </cell>
          <cell r="AQ281">
            <v>0</v>
          </cell>
          <cell r="AR281">
            <v>86</v>
          </cell>
          <cell r="AS281">
            <v>37</v>
          </cell>
          <cell r="BE281">
            <v>0</v>
          </cell>
          <cell r="BG281">
            <v>0</v>
          </cell>
          <cell r="BH281">
            <v>0</v>
          </cell>
          <cell r="BI281">
            <v>0</v>
          </cell>
          <cell r="BJ281">
            <v>0</v>
          </cell>
          <cell r="BK281">
            <v>0</v>
          </cell>
          <cell r="BL281">
            <v>0</v>
          </cell>
          <cell r="BM281">
            <v>0</v>
          </cell>
          <cell r="BN281">
            <v>0</v>
          </cell>
          <cell r="BO281">
            <v>0</v>
          </cell>
          <cell r="BP281">
            <v>0</v>
          </cell>
          <cell r="CA281">
            <v>92004.648611455879</v>
          </cell>
          <cell r="CB281">
            <v>16</v>
          </cell>
          <cell r="CC281">
            <v>86</v>
          </cell>
          <cell r="CD281">
            <v>86</v>
          </cell>
          <cell r="CE281">
            <v>55</v>
          </cell>
          <cell r="CF281">
            <v>86</v>
          </cell>
          <cell r="CG281">
            <v>0</v>
          </cell>
          <cell r="CH281">
            <v>86</v>
          </cell>
          <cell r="CI281">
            <v>86</v>
          </cell>
          <cell r="CJ281">
            <v>86</v>
          </cell>
          <cell r="CV281">
            <v>279.15632754342431</v>
          </cell>
          <cell r="CX281">
            <v>0</v>
          </cell>
          <cell r="CY281">
            <v>0</v>
          </cell>
          <cell r="CZ281">
            <v>0</v>
          </cell>
          <cell r="DA281">
            <v>0</v>
          </cell>
          <cell r="DB281">
            <v>0</v>
          </cell>
          <cell r="DC281">
            <v>0</v>
          </cell>
          <cell r="DD281">
            <v>0</v>
          </cell>
          <cell r="DE281">
            <v>0</v>
          </cell>
          <cell r="DF281">
            <v>0</v>
          </cell>
          <cell r="DG281">
            <v>0</v>
          </cell>
          <cell r="DR281">
            <v>73103</v>
          </cell>
          <cell r="DS281">
            <v>86</v>
          </cell>
          <cell r="DT281">
            <v>86</v>
          </cell>
          <cell r="DU281">
            <v>999999</v>
          </cell>
          <cell r="DV281">
            <v>999999</v>
          </cell>
          <cell r="DW281">
            <v>999999</v>
          </cell>
          <cell r="DX281">
            <v>86</v>
          </cell>
          <cell r="DY281">
            <v>86</v>
          </cell>
          <cell r="DZ281">
            <v>999999</v>
          </cell>
          <cell r="EA281">
            <v>999999</v>
          </cell>
        </row>
        <row r="282">
          <cell r="N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AJ282">
            <v>0</v>
          </cell>
          <cell r="AK282">
            <v>0</v>
          </cell>
          <cell r="AL282">
            <v>999999</v>
          </cell>
          <cell r="AM282">
            <v>85</v>
          </cell>
          <cell r="AN282">
            <v>85</v>
          </cell>
          <cell r="AO282">
            <v>85</v>
          </cell>
          <cell r="AP282">
            <v>0</v>
          </cell>
          <cell r="AQ282">
            <v>0</v>
          </cell>
          <cell r="AR282">
            <v>85</v>
          </cell>
          <cell r="AS282">
            <v>36</v>
          </cell>
          <cell r="BE282">
            <v>0</v>
          </cell>
          <cell r="BG282">
            <v>0</v>
          </cell>
          <cell r="BH282">
            <v>0</v>
          </cell>
          <cell r="BI282">
            <v>0</v>
          </cell>
          <cell r="BJ282">
            <v>0</v>
          </cell>
          <cell r="BK282">
            <v>0</v>
          </cell>
          <cell r="BL282">
            <v>0</v>
          </cell>
          <cell r="BM282">
            <v>0</v>
          </cell>
          <cell r="BN282">
            <v>0</v>
          </cell>
          <cell r="BO282">
            <v>0</v>
          </cell>
          <cell r="BP282">
            <v>0</v>
          </cell>
          <cell r="CA282">
            <v>91488.543615074566</v>
          </cell>
          <cell r="CB282">
            <v>15</v>
          </cell>
          <cell r="CC282">
            <v>85</v>
          </cell>
          <cell r="CD282">
            <v>85</v>
          </cell>
          <cell r="CE282">
            <v>54</v>
          </cell>
          <cell r="CF282">
            <v>85</v>
          </cell>
          <cell r="CG282">
            <v>0</v>
          </cell>
          <cell r="CH282">
            <v>85</v>
          </cell>
          <cell r="CI282">
            <v>85</v>
          </cell>
          <cell r="CJ282">
            <v>85</v>
          </cell>
          <cell r="CV282">
            <v>279.15632754342431</v>
          </cell>
          <cell r="CX282">
            <v>0</v>
          </cell>
          <cell r="CY282">
            <v>0</v>
          </cell>
          <cell r="CZ282">
            <v>0</v>
          </cell>
          <cell r="DA282">
            <v>0</v>
          </cell>
          <cell r="DB282">
            <v>0</v>
          </cell>
          <cell r="DC282">
            <v>0</v>
          </cell>
          <cell r="DD282">
            <v>0</v>
          </cell>
          <cell r="DE282">
            <v>0</v>
          </cell>
          <cell r="DF282">
            <v>0</v>
          </cell>
          <cell r="DG282">
            <v>0</v>
          </cell>
          <cell r="DR282">
            <v>73103</v>
          </cell>
          <cell r="DS282">
            <v>85</v>
          </cell>
          <cell r="DT282">
            <v>85</v>
          </cell>
          <cell r="DU282">
            <v>999999</v>
          </cell>
          <cell r="DV282">
            <v>999999</v>
          </cell>
          <cell r="DW282">
            <v>999999</v>
          </cell>
          <cell r="DX282">
            <v>85</v>
          </cell>
          <cell r="DY282">
            <v>85</v>
          </cell>
          <cell r="DZ282">
            <v>999999</v>
          </cell>
          <cell r="EA282">
            <v>999999</v>
          </cell>
        </row>
        <row r="283">
          <cell r="N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AJ283">
            <v>0</v>
          </cell>
          <cell r="AK283">
            <v>0</v>
          </cell>
          <cell r="AL283">
            <v>999999</v>
          </cell>
          <cell r="AM283">
            <v>84</v>
          </cell>
          <cell r="AN283">
            <v>84</v>
          </cell>
          <cell r="AO283">
            <v>84</v>
          </cell>
          <cell r="AP283">
            <v>0</v>
          </cell>
          <cell r="AQ283">
            <v>0</v>
          </cell>
          <cell r="AR283">
            <v>84</v>
          </cell>
          <cell r="AS283">
            <v>35</v>
          </cell>
          <cell r="BE283">
            <v>0</v>
          </cell>
          <cell r="BG283">
            <v>0</v>
          </cell>
          <cell r="BH283">
            <v>0</v>
          </cell>
          <cell r="BI283">
            <v>0</v>
          </cell>
          <cell r="BJ283">
            <v>0</v>
          </cell>
          <cell r="BK283">
            <v>0</v>
          </cell>
          <cell r="BL283">
            <v>0</v>
          </cell>
          <cell r="BM283">
            <v>0</v>
          </cell>
          <cell r="BN283">
            <v>0</v>
          </cell>
          <cell r="BO283">
            <v>0</v>
          </cell>
          <cell r="BP283">
            <v>0</v>
          </cell>
          <cell r="CA283">
            <v>90972.438618693253</v>
          </cell>
          <cell r="CB283">
            <v>14</v>
          </cell>
          <cell r="CC283">
            <v>84</v>
          </cell>
          <cell r="CD283">
            <v>84</v>
          </cell>
          <cell r="CE283">
            <v>53</v>
          </cell>
          <cell r="CF283">
            <v>84</v>
          </cell>
          <cell r="CG283">
            <v>0</v>
          </cell>
          <cell r="CH283">
            <v>84</v>
          </cell>
          <cell r="CI283">
            <v>84</v>
          </cell>
          <cell r="CJ283">
            <v>84</v>
          </cell>
          <cell r="CV283">
            <v>279.15632754342431</v>
          </cell>
          <cell r="CX283">
            <v>0</v>
          </cell>
          <cell r="CY283">
            <v>0</v>
          </cell>
          <cell r="CZ283">
            <v>0</v>
          </cell>
          <cell r="DA283">
            <v>0</v>
          </cell>
          <cell r="DB283">
            <v>0</v>
          </cell>
          <cell r="DC283">
            <v>0</v>
          </cell>
          <cell r="DD283">
            <v>0</v>
          </cell>
          <cell r="DE283">
            <v>0</v>
          </cell>
          <cell r="DF283">
            <v>0</v>
          </cell>
          <cell r="DG283">
            <v>0</v>
          </cell>
          <cell r="DR283">
            <v>73103</v>
          </cell>
          <cell r="DS283">
            <v>84</v>
          </cell>
          <cell r="DT283">
            <v>84</v>
          </cell>
          <cell r="DU283">
            <v>999999</v>
          </cell>
          <cell r="DV283">
            <v>999999</v>
          </cell>
          <cell r="DW283">
            <v>999999</v>
          </cell>
          <cell r="DX283">
            <v>84</v>
          </cell>
          <cell r="DY283">
            <v>84</v>
          </cell>
          <cell r="DZ283">
            <v>999999</v>
          </cell>
          <cell r="EA283">
            <v>999999</v>
          </cell>
        </row>
        <row r="284">
          <cell r="N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AJ284">
            <v>0</v>
          </cell>
          <cell r="AK284">
            <v>0</v>
          </cell>
          <cell r="AL284">
            <v>999999</v>
          </cell>
          <cell r="AM284">
            <v>83</v>
          </cell>
          <cell r="AN284">
            <v>83</v>
          </cell>
          <cell r="AO284">
            <v>83</v>
          </cell>
          <cell r="AP284">
            <v>0</v>
          </cell>
          <cell r="AQ284">
            <v>0</v>
          </cell>
          <cell r="AR284">
            <v>83</v>
          </cell>
          <cell r="AS284">
            <v>34</v>
          </cell>
          <cell r="BE284">
            <v>0</v>
          </cell>
          <cell r="BG284">
            <v>0</v>
          </cell>
          <cell r="BH284">
            <v>0</v>
          </cell>
          <cell r="BI284">
            <v>0</v>
          </cell>
          <cell r="BJ284">
            <v>0</v>
          </cell>
          <cell r="BK284">
            <v>0</v>
          </cell>
          <cell r="BL284">
            <v>0</v>
          </cell>
          <cell r="BM284">
            <v>0</v>
          </cell>
          <cell r="BN284">
            <v>0</v>
          </cell>
          <cell r="BO284">
            <v>0</v>
          </cell>
          <cell r="BP284">
            <v>0</v>
          </cell>
          <cell r="CA284">
            <v>90456.33362231194</v>
          </cell>
          <cell r="CB284">
            <v>13</v>
          </cell>
          <cell r="CC284">
            <v>83</v>
          </cell>
          <cell r="CD284">
            <v>83</v>
          </cell>
          <cell r="CE284">
            <v>52</v>
          </cell>
          <cell r="CF284">
            <v>83</v>
          </cell>
          <cell r="CG284">
            <v>0</v>
          </cell>
          <cell r="CH284">
            <v>83</v>
          </cell>
          <cell r="CI284">
            <v>83</v>
          </cell>
          <cell r="CJ284">
            <v>83</v>
          </cell>
          <cell r="CV284">
            <v>279.15632754342431</v>
          </cell>
          <cell r="CX284">
            <v>0</v>
          </cell>
          <cell r="CY284">
            <v>0</v>
          </cell>
          <cell r="CZ284">
            <v>0</v>
          </cell>
          <cell r="DA284">
            <v>0</v>
          </cell>
          <cell r="DB284">
            <v>0</v>
          </cell>
          <cell r="DC284">
            <v>0</v>
          </cell>
          <cell r="DD284">
            <v>0</v>
          </cell>
          <cell r="DE284">
            <v>0</v>
          </cell>
          <cell r="DF284">
            <v>0</v>
          </cell>
          <cell r="DG284">
            <v>0</v>
          </cell>
          <cell r="DR284">
            <v>73103</v>
          </cell>
          <cell r="DS284">
            <v>83</v>
          </cell>
          <cell r="DT284">
            <v>83</v>
          </cell>
          <cell r="DU284">
            <v>999999</v>
          </cell>
          <cell r="DV284">
            <v>999999</v>
          </cell>
          <cell r="DW284">
            <v>999999</v>
          </cell>
          <cell r="DX284">
            <v>83</v>
          </cell>
          <cell r="DY284">
            <v>83</v>
          </cell>
          <cell r="DZ284">
            <v>999999</v>
          </cell>
          <cell r="EA284">
            <v>999999</v>
          </cell>
        </row>
        <row r="285">
          <cell r="N285">
            <v>0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  <cell r="T285">
            <v>0</v>
          </cell>
          <cell r="U285">
            <v>0</v>
          </cell>
          <cell r="V285">
            <v>0</v>
          </cell>
          <cell r="W285">
            <v>0</v>
          </cell>
          <cell r="X285">
            <v>0</v>
          </cell>
          <cell r="Y285">
            <v>0</v>
          </cell>
          <cell r="AJ285">
            <v>0</v>
          </cell>
          <cell r="AK285">
            <v>0</v>
          </cell>
          <cell r="AL285">
            <v>999999</v>
          </cell>
          <cell r="AM285">
            <v>82</v>
          </cell>
          <cell r="AN285">
            <v>82</v>
          </cell>
          <cell r="AO285">
            <v>82</v>
          </cell>
          <cell r="AP285">
            <v>0</v>
          </cell>
          <cell r="AQ285">
            <v>0</v>
          </cell>
          <cell r="AR285">
            <v>82</v>
          </cell>
          <cell r="AS285">
            <v>33</v>
          </cell>
          <cell r="BE285">
            <v>48000</v>
          </cell>
          <cell r="BG285">
            <v>0</v>
          </cell>
          <cell r="BH285">
            <v>0</v>
          </cell>
          <cell r="BI285">
            <v>0</v>
          </cell>
          <cell r="BJ285">
            <v>0</v>
          </cell>
          <cell r="BK285">
            <v>0</v>
          </cell>
          <cell r="BL285">
            <v>0</v>
          </cell>
          <cell r="BM285">
            <v>0</v>
          </cell>
          <cell r="BN285">
            <v>0</v>
          </cell>
          <cell r="BO285">
            <v>0</v>
          </cell>
          <cell r="BP285">
            <v>0</v>
          </cell>
          <cell r="CA285">
            <v>89940.228625930627</v>
          </cell>
          <cell r="CB285">
            <v>12</v>
          </cell>
          <cell r="CC285">
            <v>82</v>
          </cell>
          <cell r="CD285">
            <v>82</v>
          </cell>
          <cell r="CE285">
            <v>51</v>
          </cell>
          <cell r="CF285">
            <v>82</v>
          </cell>
          <cell r="CG285">
            <v>0</v>
          </cell>
          <cell r="CH285">
            <v>82</v>
          </cell>
          <cell r="CI285">
            <v>82</v>
          </cell>
          <cell r="CJ285">
            <v>82</v>
          </cell>
          <cell r="CV285">
            <v>279.15632754342431</v>
          </cell>
          <cell r="CX285">
            <v>0</v>
          </cell>
          <cell r="CY285">
            <v>0</v>
          </cell>
          <cell r="CZ285">
            <v>0</v>
          </cell>
          <cell r="DA285">
            <v>0</v>
          </cell>
          <cell r="DB285">
            <v>0</v>
          </cell>
          <cell r="DC285">
            <v>0</v>
          </cell>
          <cell r="DD285">
            <v>0</v>
          </cell>
          <cell r="DE285">
            <v>0</v>
          </cell>
          <cell r="DF285">
            <v>0</v>
          </cell>
          <cell r="DG285">
            <v>0</v>
          </cell>
          <cell r="DR285">
            <v>73103</v>
          </cell>
          <cell r="DS285">
            <v>82</v>
          </cell>
          <cell r="DT285">
            <v>82</v>
          </cell>
          <cell r="DU285">
            <v>999999</v>
          </cell>
          <cell r="DV285">
            <v>999999</v>
          </cell>
          <cell r="DW285">
            <v>999999</v>
          </cell>
          <cell r="DX285">
            <v>82</v>
          </cell>
          <cell r="DY285">
            <v>82</v>
          </cell>
          <cell r="DZ285">
            <v>999999</v>
          </cell>
          <cell r="EA285">
            <v>999999</v>
          </cell>
        </row>
        <row r="286">
          <cell r="N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AJ286">
            <v>0</v>
          </cell>
          <cell r="AK286">
            <v>0</v>
          </cell>
          <cell r="AL286">
            <v>999999</v>
          </cell>
          <cell r="AM286">
            <v>81</v>
          </cell>
          <cell r="AN286">
            <v>81</v>
          </cell>
          <cell r="AO286">
            <v>81</v>
          </cell>
          <cell r="AP286">
            <v>0</v>
          </cell>
          <cell r="AQ286">
            <v>0</v>
          </cell>
          <cell r="AR286">
            <v>81</v>
          </cell>
          <cell r="AS286">
            <v>32</v>
          </cell>
          <cell r="BE286">
            <v>0</v>
          </cell>
          <cell r="BG286">
            <v>0</v>
          </cell>
          <cell r="BH286">
            <v>0</v>
          </cell>
          <cell r="BI286">
            <v>0</v>
          </cell>
          <cell r="BJ286">
            <v>0</v>
          </cell>
          <cell r="BK286">
            <v>0</v>
          </cell>
          <cell r="BL286">
            <v>0</v>
          </cell>
          <cell r="BM286">
            <v>0</v>
          </cell>
          <cell r="BN286">
            <v>0</v>
          </cell>
          <cell r="BO286">
            <v>0</v>
          </cell>
          <cell r="BP286">
            <v>0</v>
          </cell>
          <cell r="CA286">
            <v>89424.123629549315</v>
          </cell>
          <cell r="CB286">
            <v>11</v>
          </cell>
          <cell r="CC286">
            <v>81</v>
          </cell>
          <cell r="CD286">
            <v>81</v>
          </cell>
          <cell r="CE286">
            <v>50</v>
          </cell>
          <cell r="CF286">
            <v>81</v>
          </cell>
          <cell r="CG286">
            <v>0</v>
          </cell>
          <cell r="CH286">
            <v>81</v>
          </cell>
          <cell r="CI286">
            <v>81</v>
          </cell>
          <cell r="CJ286">
            <v>81</v>
          </cell>
          <cell r="CV286">
            <v>279.15632754342431</v>
          </cell>
          <cell r="CX286">
            <v>0</v>
          </cell>
          <cell r="CY286">
            <v>0</v>
          </cell>
          <cell r="CZ286">
            <v>0</v>
          </cell>
          <cell r="DA286">
            <v>0</v>
          </cell>
          <cell r="DB286">
            <v>0</v>
          </cell>
          <cell r="DC286">
            <v>0</v>
          </cell>
          <cell r="DD286">
            <v>0</v>
          </cell>
          <cell r="DE286">
            <v>0</v>
          </cell>
          <cell r="DF286">
            <v>0</v>
          </cell>
          <cell r="DG286">
            <v>0</v>
          </cell>
          <cell r="DR286">
            <v>73103</v>
          </cell>
          <cell r="DS286">
            <v>81</v>
          </cell>
          <cell r="DT286">
            <v>81</v>
          </cell>
          <cell r="DU286">
            <v>999999</v>
          </cell>
          <cell r="DV286">
            <v>999999</v>
          </cell>
          <cell r="DW286">
            <v>999999</v>
          </cell>
          <cell r="DX286">
            <v>81</v>
          </cell>
          <cell r="DY286">
            <v>81</v>
          </cell>
          <cell r="DZ286">
            <v>999999</v>
          </cell>
          <cell r="EA286">
            <v>999999</v>
          </cell>
        </row>
        <row r="287">
          <cell r="N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AJ287">
            <v>0</v>
          </cell>
          <cell r="AK287">
            <v>0</v>
          </cell>
          <cell r="AL287">
            <v>999999</v>
          </cell>
          <cell r="AM287">
            <v>80</v>
          </cell>
          <cell r="AN287">
            <v>80</v>
          </cell>
          <cell r="AO287">
            <v>80</v>
          </cell>
          <cell r="AP287">
            <v>0</v>
          </cell>
          <cell r="AQ287">
            <v>0</v>
          </cell>
          <cell r="AR287">
            <v>80</v>
          </cell>
          <cell r="AS287">
            <v>31</v>
          </cell>
          <cell r="BE287">
            <v>0</v>
          </cell>
          <cell r="BG287">
            <v>0</v>
          </cell>
          <cell r="BH287">
            <v>0</v>
          </cell>
          <cell r="BI287">
            <v>0</v>
          </cell>
          <cell r="BJ287">
            <v>0</v>
          </cell>
          <cell r="BK287">
            <v>0</v>
          </cell>
          <cell r="BL287">
            <v>0</v>
          </cell>
          <cell r="BM287">
            <v>0</v>
          </cell>
          <cell r="BN287">
            <v>0</v>
          </cell>
          <cell r="BO287">
            <v>0</v>
          </cell>
          <cell r="BP287">
            <v>0</v>
          </cell>
          <cell r="CA287">
            <v>88908.018633168002</v>
          </cell>
          <cell r="CB287">
            <v>10</v>
          </cell>
          <cell r="CC287">
            <v>80</v>
          </cell>
          <cell r="CD287">
            <v>80</v>
          </cell>
          <cell r="CE287">
            <v>49</v>
          </cell>
          <cell r="CF287">
            <v>80</v>
          </cell>
          <cell r="CG287">
            <v>0</v>
          </cell>
          <cell r="CH287">
            <v>80</v>
          </cell>
          <cell r="CI287">
            <v>80</v>
          </cell>
          <cell r="CJ287">
            <v>80</v>
          </cell>
          <cell r="CV287">
            <v>279.15632754342431</v>
          </cell>
          <cell r="CX287">
            <v>0</v>
          </cell>
          <cell r="CY287">
            <v>0</v>
          </cell>
          <cell r="CZ287">
            <v>0</v>
          </cell>
          <cell r="DA287">
            <v>0</v>
          </cell>
          <cell r="DB287">
            <v>0</v>
          </cell>
          <cell r="DC287">
            <v>0</v>
          </cell>
          <cell r="DD287">
            <v>0</v>
          </cell>
          <cell r="DE287">
            <v>0</v>
          </cell>
          <cell r="DF287">
            <v>0</v>
          </cell>
          <cell r="DG287">
            <v>0</v>
          </cell>
          <cell r="DR287">
            <v>73103</v>
          </cell>
          <cell r="DS287">
            <v>80</v>
          </cell>
          <cell r="DT287">
            <v>80</v>
          </cell>
          <cell r="DU287">
            <v>999999</v>
          </cell>
          <cell r="DV287">
            <v>999999</v>
          </cell>
          <cell r="DW287">
            <v>999999</v>
          </cell>
          <cell r="DX287">
            <v>80</v>
          </cell>
          <cell r="DY287">
            <v>80</v>
          </cell>
          <cell r="DZ287">
            <v>999999</v>
          </cell>
          <cell r="EA287">
            <v>999999</v>
          </cell>
        </row>
        <row r="288">
          <cell r="N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AJ288">
            <v>0</v>
          </cell>
          <cell r="AK288">
            <v>0</v>
          </cell>
          <cell r="AL288">
            <v>999999</v>
          </cell>
          <cell r="AM288">
            <v>79</v>
          </cell>
          <cell r="AN288">
            <v>79</v>
          </cell>
          <cell r="AO288">
            <v>79</v>
          </cell>
          <cell r="AP288">
            <v>0</v>
          </cell>
          <cell r="AQ288">
            <v>0</v>
          </cell>
          <cell r="AR288">
            <v>79</v>
          </cell>
          <cell r="AS288">
            <v>30</v>
          </cell>
          <cell r="BE288">
            <v>0</v>
          </cell>
          <cell r="BG288">
            <v>0</v>
          </cell>
          <cell r="BH288">
            <v>0</v>
          </cell>
          <cell r="BI288">
            <v>0</v>
          </cell>
          <cell r="BJ288">
            <v>0</v>
          </cell>
          <cell r="BK288">
            <v>0</v>
          </cell>
          <cell r="BL288">
            <v>0</v>
          </cell>
          <cell r="BM288">
            <v>0</v>
          </cell>
          <cell r="BN288">
            <v>0</v>
          </cell>
          <cell r="BO288">
            <v>0</v>
          </cell>
          <cell r="BP288">
            <v>0</v>
          </cell>
          <cell r="CA288">
            <v>88391.913636786689</v>
          </cell>
          <cell r="CB288">
            <v>9</v>
          </cell>
          <cell r="CC288">
            <v>79</v>
          </cell>
          <cell r="CD288">
            <v>79</v>
          </cell>
          <cell r="CE288">
            <v>48</v>
          </cell>
          <cell r="CF288">
            <v>79</v>
          </cell>
          <cell r="CG288">
            <v>0</v>
          </cell>
          <cell r="CH288">
            <v>79</v>
          </cell>
          <cell r="CI288">
            <v>79</v>
          </cell>
          <cell r="CJ288">
            <v>79</v>
          </cell>
          <cell r="CV288">
            <v>279.15632754342431</v>
          </cell>
          <cell r="CX288">
            <v>0</v>
          </cell>
          <cell r="CY288">
            <v>0</v>
          </cell>
          <cell r="CZ288">
            <v>0</v>
          </cell>
          <cell r="DA288">
            <v>0</v>
          </cell>
          <cell r="DB288">
            <v>0</v>
          </cell>
          <cell r="DC288">
            <v>0</v>
          </cell>
          <cell r="DD288">
            <v>0</v>
          </cell>
          <cell r="DE288">
            <v>0</v>
          </cell>
          <cell r="DF288">
            <v>0</v>
          </cell>
          <cell r="DG288">
            <v>0</v>
          </cell>
          <cell r="DR288">
            <v>73103</v>
          </cell>
          <cell r="DS288">
            <v>79</v>
          </cell>
          <cell r="DT288">
            <v>79</v>
          </cell>
          <cell r="DU288">
            <v>999999</v>
          </cell>
          <cell r="DV288">
            <v>999999</v>
          </cell>
          <cell r="DW288">
            <v>999999</v>
          </cell>
          <cell r="DX288">
            <v>79</v>
          </cell>
          <cell r="DY288">
            <v>79</v>
          </cell>
          <cell r="DZ288">
            <v>999999</v>
          </cell>
          <cell r="EA288">
            <v>999999</v>
          </cell>
        </row>
        <row r="289">
          <cell r="N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AJ289">
            <v>0</v>
          </cell>
          <cell r="AK289">
            <v>0</v>
          </cell>
          <cell r="AL289">
            <v>999999</v>
          </cell>
          <cell r="AM289">
            <v>78</v>
          </cell>
          <cell r="AN289">
            <v>78</v>
          </cell>
          <cell r="AO289">
            <v>78</v>
          </cell>
          <cell r="AP289">
            <v>0</v>
          </cell>
          <cell r="AQ289">
            <v>0</v>
          </cell>
          <cell r="AR289">
            <v>78</v>
          </cell>
          <cell r="AS289">
            <v>29</v>
          </cell>
          <cell r="BE289">
            <v>0</v>
          </cell>
          <cell r="BG289">
            <v>0</v>
          </cell>
          <cell r="BH289">
            <v>0</v>
          </cell>
          <cell r="BI289">
            <v>0</v>
          </cell>
          <cell r="BJ289">
            <v>0</v>
          </cell>
          <cell r="BK289">
            <v>0</v>
          </cell>
          <cell r="BL289">
            <v>0</v>
          </cell>
          <cell r="BM289">
            <v>0</v>
          </cell>
          <cell r="BN289">
            <v>0</v>
          </cell>
          <cell r="BO289">
            <v>0</v>
          </cell>
          <cell r="BP289">
            <v>0</v>
          </cell>
          <cell r="CA289">
            <v>87875.808640405376</v>
          </cell>
          <cell r="CB289">
            <v>8</v>
          </cell>
          <cell r="CC289">
            <v>78</v>
          </cell>
          <cell r="CD289">
            <v>78</v>
          </cell>
          <cell r="CE289">
            <v>47</v>
          </cell>
          <cell r="CF289">
            <v>78</v>
          </cell>
          <cell r="CG289">
            <v>0</v>
          </cell>
          <cell r="CH289">
            <v>78</v>
          </cell>
          <cell r="CI289">
            <v>78</v>
          </cell>
          <cell r="CJ289">
            <v>78</v>
          </cell>
          <cell r="CV289">
            <v>279.15632754342431</v>
          </cell>
          <cell r="CX289">
            <v>0</v>
          </cell>
          <cell r="CY289">
            <v>0</v>
          </cell>
          <cell r="CZ289">
            <v>0</v>
          </cell>
          <cell r="DA289">
            <v>0</v>
          </cell>
          <cell r="DB289">
            <v>0</v>
          </cell>
          <cell r="DC289">
            <v>0</v>
          </cell>
          <cell r="DD289">
            <v>0</v>
          </cell>
          <cell r="DE289">
            <v>0</v>
          </cell>
          <cell r="DF289">
            <v>0</v>
          </cell>
          <cell r="DG289">
            <v>0</v>
          </cell>
          <cell r="DR289">
            <v>73103</v>
          </cell>
          <cell r="DS289">
            <v>78</v>
          </cell>
          <cell r="DT289">
            <v>78</v>
          </cell>
          <cell r="DU289">
            <v>999999</v>
          </cell>
          <cell r="DV289">
            <v>999999</v>
          </cell>
          <cell r="DW289">
            <v>999999</v>
          </cell>
          <cell r="DX289">
            <v>78</v>
          </cell>
          <cell r="DY289">
            <v>78</v>
          </cell>
          <cell r="DZ289">
            <v>999999</v>
          </cell>
          <cell r="EA289">
            <v>999999</v>
          </cell>
        </row>
        <row r="290">
          <cell r="N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AJ290">
            <v>0</v>
          </cell>
          <cell r="AK290">
            <v>0</v>
          </cell>
          <cell r="AL290">
            <v>999999</v>
          </cell>
          <cell r="AM290">
            <v>77</v>
          </cell>
          <cell r="AN290">
            <v>77</v>
          </cell>
          <cell r="AO290">
            <v>77</v>
          </cell>
          <cell r="AP290">
            <v>0</v>
          </cell>
          <cell r="AQ290">
            <v>0</v>
          </cell>
          <cell r="AR290">
            <v>77</v>
          </cell>
          <cell r="AS290">
            <v>28</v>
          </cell>
          <cell r="BE290">
            <v>0</v>
          </cell>
          <cell r="BG290">
            <v>0</v>
          </cell>
          <cell r="BH290">
            <v>0</v>
          </cell>
          <cell r="BI290">
            <v>0</v>
          </cell>
          <cell r="BJ290">
            <v>0</v>
          </cell>
          <cell r="BK290">
            <v>0</v>
          </cell>
          <cell r="BL290">
            <v>0</v>
          </cell>
          <cell r="BM290">
            <v>0</v>
          </cell>
          <cell r="BN290">
            <v>0</v>
          </cell>
          <cell r="BO290">
            <v>0</v>
          </cell>
          <cell r="BP290">
            <v>0</v>
          </cell>
          <cell r="CA290">
            <v>87359.703644024063</v>
          </cell>
          <cell r="CB290">
            <v>7</v>
          </cell>
          <cell r="CC290">
            <v>77</v>
          </cell>
          <cell r="CD290">
            <v>77</v>
          </cell>
          <cell r="CE290">
            <v>46</v>
          </cell>
          <cell r="CF290">
            <v>77</v>
          </cell>
          <cell r="CG290">
            <v>0</v>
          </cell>
          <cell r="CH290">
            <v>77</v>
          </cell>
          <cell r="CI290">
            <v>77</v>
          </cell>
          <cell r="CJ290">
            <v>77</v>
          </cell>
          <cell r="CV290">
            <v>279.15632754342431</v>
          </cell>
          <cell r="CX290">
            <v>0</v>
          </cell>
          <cell r="CY290">
            <v>0</v>
          </cell>
          <cell r="CZ290">
            <v>0</v>
          </cell>
          <cell r="DA290">
            <v>0</v>
          </cell>
          <cell r="DB290">
            <v>0</v>
          </cell>
          <cell r="DC290">
            <v>0</v>
          </cell>
          <cell r="DD290">
            <v>0</v>
          </cell>
          <cell r="DE290">
            <v>0</v>
          </cell>
          <cell r="DF290">
            <v>0</v>
          </cell>
          <cell r="DG290">
            <v>0</v>
          </cell>
          <cell r="DR290">
            <v>73103</v>
          </cell>
          <cell r="DS290">
            <v>77</v>
          </cell>
          <cell r="DT290">
            <v>77</v>
          </cell>
          <cell r="DU290">
            <v>999999</v>
          </cell>
          <cell r="DV290">
            <v>999999</v>
          </cell>
          <cell r="DW290">
            <v>999999</v>
          </cell>
          <cell r="DX290">
            <v>77</v>
          </cell>
          <cell r="DY290">
            <v>77</v>
          </cell>
          <cell r="DZ290">
            <v>999999</v>
          </cell>
          <cell r="EA290">
            <v>999999</v>
          </cell>
        </row>
        <row r="291">
          <cell r="N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AJ291">
            <v>0</v>
          </cell>
          <cell r="AK291">
            <v>0</v>
          </cell>
          <cell r="AL291">
            <v>999999</v>
          </cell>
          <cell r="AM291">
            <v>76</v>
          </cell>
          <cell r="AN291">
            <v>76</v>
          </cell>
          <cell r="AO291">
            <v>76</v>
          </cell>
          <cell r="AP291">
            <v>0</v>
          </cell>
          <cell r="AQ291">
            <v>0</v>
          </cell>
          <cell r="AR291">
            <v>76</v>
          </cell>
          <cell r="AS291">
            <v>27</v>
          </cell>
          <cell r="BE291">
            <v>0</v>
          </cell>
          <cell r="BG291">
            <v>0</v>
          </cell>
          <cell r="BH291">
            <v>0</v>
          </cell>
          <cell r="BI291">
            <v>0</v>
          </cell>
          <cell r="BJ291">
            <v>0</v>
          </cell>
          <cell r="BK291">
            <v>0</v>
          </cell>
          <cell r="BL291">
            <v>0</v>
          </cell>
          <cell r="BM291">
            <v>0</v>
          </cell>
          <cell r="BN291">
            <v>0</v>
          </cell>
          <cell r="BO291">
            <v>0</v>
          </cell>
          <cell r="BP291">
            <v>0</v>
          </cell>
          <cell r="CA291">
            <v>86843.59864764275</v>
          </cell>
          <cell r="CB291">
            <v>6</v>
          </cell>
          <cell r="CC291">
            <v>76</v>
          </cell>
          <cell r="CD291">
            <v>76</v>
          </cell>
          <cell r="CE291">
            <v>45</v>
          </cell>
          <cell r="CF291">
            <v>76</v>
          </cell>
          <cell r="CG291">
            <v>0</v>
          </cell>
          <cell r="CH291">
            <v>76</v>
          </cell>
          <cell r="CI291">
            <v>76</v>
          </cell>
          <cell r="CJ291">
            <v>76</v>
          </cell>
          <cell r="CV291">
            <v>279.15632754342431</v>
          </cell>
          <cell r="CX291">
            <v>0</v>
          </cell>
          <cell r="CY291">
            <v>0</v>
          </cell>
          <cell r="CZ291">
            <v>0</v>
          </cell>
          <cell r="DA291">
            <v>0</v>
          </cell>
          <cell r="DB291">
            <v>0</v>
          </cell>
          <cell r="DC291">
            <v>0</v>
          </cell>
          <cell r="DD291">
            <v>0</v>
          </cell>
          <cell r="DE291">
            <v>0</v>
          </cell>
          <cell r="DF291">
            <v>0</v>
          </cell>
          <cell r="DG291">
            <v>0</v>
          </cell>
          <cell r="DR291">
            <v>73103</v>
          </cell>
          <cell r="DS291">
            <v>76</v>
          </cell>
          <cell r="DT291">
            <v>76</v>
          </cell>
          <cell r="DU291">
            <v>999999</v>
          </cell>
          <cell r="DV291">
            <v>999999</v>
          </cell>
          <cell r="DW291">
            <v>999999</v>
          </cell>
          <cell r="DX291">
            <v>76</v>
          </cell>
          <cell r="DY291">
            <v>76</v>
          </cell>
          <cell r="DZ291">
            <v>999999</v>
          </cell>
          <cell r="EA291">
            <v>999999</v>
          </cell>
        </row>
        <row r="292">
          <cell r="N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AJ292">
            <v>0</v>
          </cell>
          <cell r="AK292">
            <v>0</v>
          </cell>
          <cell r="AL292">
            <v>999999</v>
          </cell>
          <cell r="AM292">
            <v>75</v>
          </cell>
          <cell r="AN292">
            <v>75</v>
          </cell>
          <cell r="AO292">
            <v>75</v>
          </cell>
          <cell r="AP292">
            <v>0</v>
          </cell>
          <cell r="AQ292">
            <v>0</v>
          </cell>
          <cell r="AR292">
            <v>75</v>
          </cell>
          <cell r="AS292">
            <v>26</v>
          </cell>
          <cell r="BE292">
            <v>0</v>
          </cell>
          <cell r="BG292">
            <v>0</v>
          </cell>
          <cell r="BH292">
            <v>0</v>
          </cell>
          <cell r="BI292">
            <v>0</v>
          </cell>
          <cell r="BJ292">
            <v>0</v>
          </cell>
          <cell r="BK292">
            <v>0</v>
          </cell>
          <cell r="BL292">
            <v>0</v>
          </cell>
          <cell r="BM292">
            <v>0</v>
          </cell>
          <cell r="BN292">
            <v>0</v>
          </cell>
          <cell r="BO292">
            <v>0</v>
          </cell>
          <cell r="BP292">
            <v>0</v>
          </cell>
          <cell r="CA292">
            <v>86327.493651261437</v>
          </cell>
          <cell r="CB292">
            <v>5</v>
          </cell>
          <cell r="CC292">
            <v>75</v>
          </cell>
          <cell r="CD292">
            <v>75</v>
          </cell>
          <cell r="CE292">
            <v>44</v>
          </cell>
          <cell r="CF292">
            <v>75</v>
          </cell>
          <cell r="CG292">
            <v>0</v>
          </cell>
          <cell r="CH292">
            <v>75</v>
          </cell>
          <cell r="CI292">
            <v>75</v>
          </cell>
          <cell r="CJ292">
            <v>75</v>
          </cell>
          <cell r="CV292">
            <v>279.15632754342431</v>
          </cell>
          <cell r="CX292">
            <v>0</v>
          </cell>
          <cell r="CY292">
            <v>0</v>
          </cell>
          <cell r="CZ292">
            <v>0</v>
          </cell>
          <cell r="DA292">
            <v>0</v>
          </cell>
          <cell r="DB292">
            <v>0</v>
          </cell>
          <cell r="DC292">
            <v>0</v>
          </cell>
          <cell r="DD292">
            <v>0</v>
          </cell>
          <cell r="DE292">
            <v>0</v>
          </cell>
          <cell r="DF292">
            <v>0</v>
          </cell>
          <cell r="DG292">
            <v>0</v>
          </cell>
          <cell r="DR292">
            <v>73103</v>
          </cell>
          <cell r="DS292">
            <v>75</v>
          </cell>
          <cell r="DT292">
            <v>75</v>
          </cell>
          <cell r="DU292">
            <v>999999</v>
          </cell>
          <cell r="DV292">
            <v>999999</v>
          </cell>
          <cell r="DW292">
            <v>999999</v>
          </cell>
          <cell r="DX292">
            <v>75</v>
          </cell>
          <cell r="DY292">
            <v>75</v>
          </cell>
          <cell r="DZ292">
            <v>999999</v>
          </cell>
          <cell r="EA292">
            <v>999999</v>
          </cell>
        </row>
        <row r="293">
          <cell r="N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AJ293">
            <v>0</v>
          </cell>
          <cell r="AK293">
            <v>0</v>
          </cell>
          <cell r="AL293">
            <v>999999</v>
          </cell>
          <cell r="AM293">
            <v>74</v>
          </cell>
          <cell r="AN293">
            <v>74</v>
          </cell>
          <cell r="AO293">
            <v>74</v>
          </cell>
          <cell r="AP293">
            <v>0</v>
          </cell>
          <cell r="AQ293">
            <v>0</v>
          </cell>
          <cell r="AR293">
            <v>74</v>
          </cell>
          <cell r="AS293">
            <v>25</v>
          </cell>
          <cell r="BE293">
            <v>48000</v>
          </cell>
          <cell r="BG293">
            <v>0</v>
          </cell>
          <cell r="BH293">
            <v>0</v>
          </cell>
          <cell r="BI293">
            <v>0</v>
          </cell>
          <cell r="BJ293">
            <v>0</v>
          </cell>
          <cell r="BK293">
            <v>0</v>
          </cell>
          <cell r="BL293">
            <v>0</v>
          </cell>
          <cell r="BM293">
            <v>0</v>
          </cell>
          <cell r="BN293">
            <v>0</v>
          </cell>
          <cell r="BO293">
            <v>0</v>
          </cell>
          <cell r="BP293">
            <v>0</v>
          </cell>
          <cell r="CA293">
            <v>85811.388654880124</v>
          </cell>
          <cell r="CB293">
            <v>4</v>
          </cell>
          <cell r="CC293">
            <v>74</v>
          </cell>
          <cell r="CD293">
            <v>74</v>
          </cell>
          <cell r="CE293">
            <v>43</v>
          </cell>
          <cell r="CF293">
            <v>74</v>
          </cell>
          <cell r="CG293">
            <v>0</v>
          </cell>
          <cell r="CH293">
            <v>74</v>
          </cell>
          <cell r="CI293">
            <v>74</v>
          </cell>
          <cell r="CJ293">
            <v>74</v>
          </cell>
          <cell r="CV293">
            <v>279.15632754342431</v>
          </cell>
          <cell r="CX293">
            <v>0</v>
          </cell>
          <cell r="CY293">
            <v>0</v>
          </cell>
          <cell r="CZ293">
            <v>0</v>
          </cell>
          <cell r="DA293">
            <v>0</v>
          </cell>
          <cell r="DB293">
            <v>0</v>
          </cell>
          <cell r="DC293">
            <v>0</v>
          </cell>
          <cell r="DD293">
            <v>0</v>
          </cell>
          <cell r="DE293">
            <v>0</v>
          </cell>
          <cell r="DF293">
            <v>0</v>
          </cell>
          <cell r="DG293">
            <v>0</v>
          </cell>
          <cell r="DR293">
            <v>73103</v>
          </cell>
          <cell r="DS293">
            <v>74</v>
          </cell>
          <cell r="DT293">
            <v>74</v>
          </cell>
          <cell r="DU293">
            <v>999999</v>
          </cell>
          <cell r="DV293">
            <v>999999</v>
          </cell>
          <cell r="DW293">
            <v>999999</v>
          </cell>
          <cell r="DX293">
            <v>74</v>
          </cell>
          <cell r="DY293">
            <v>74</v>
          </cell>
          <cell r="DZ293">
            <v>999999</v>
          </cell>
          <cell r="EA293">
            <v>999999</v>
          </cell>
        </row>
        <row r="294">
          <cell r="N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AJ294">
            <v>0</v>
          </cell>
          <cell r="AK294">
            <v>0</v>
          </cell>
          <cell r="AL294">
            <v>999999</v>
          </cell>
          <cell r="AM294">
            <v>73</v>
          </cell>
          <cell r="AN294">
            <v>73</v>
          </cell>
          <cell r="AO294">
            <v>73</v>
          </cell>
          <cell r="AP294">
            <v>0</v>
          </cell>
          <cell r="AQ294">
            <v>0</v>
          </cell>
          <cell r="AR294">
            <v>73</v>
          </cell>
          <cell r="AS294">
            <v>24</v>
          </cell>
          <cell r="BE294">
            <v>0</v>
          </cell>
          <cell r="BG294">
            <v>0</v>
          </cell>
          <cell r="BH294">
            <v>0</v>
          </cell>
          <cell r="BI294">
            <v>0</v>
          </cell>
          <cell r="BJ294">
            <v>0</v>
          </cell>
          <cell r="BK294">
            <v>0</v>
          </cell>
          <cell r="BL294">
            <v>0</v>
          </cell>
          <cell r="BM294">
            <v>0</v>
          </cell>
          <cell r="BN294">
            <v>0</v>
          </cell>
          <cell r="BO294">
            <v>0</v>
          </cell>
          <cell r="BP294">
            <v>0</v>
          </cell>
          <cell r="CA294">
            <v>85295.283658498811</v>
          </cell>
          <cell r="CB294">
            <v>3</v>
          </cell>
          <cell r="CC294">
            <v>73</v>
          </cell>
          <cell r="CD294">
            <v>73</v>
          </cell>
          <cell r="CE294">
            <v>42</v>
          </cell>
          <cell r="CF294">
            <v>73</v>
          </cell>
          <cell r="CG294">
            <v>0</v>
          </cell>
          <cell r="CH294">
            <v>73</v>
          </cell>
          <cell r="CI294">
            <v>73</v>
          </cell>
          <cell r="CJ294">
            <v>73</v>
          </cell>
          <cell r="CV294">
            <v>279.15632754342431</v>
          </cell>
          <cell r="CX294">
            <v>0</v>
          </cell>
          <cell r="CY294">
            <v>0</v>
          </cell>
          <cell r="CZ294">
            <v>0</v>
          </cell>
          <cell r="DA294">
            <v>0</v>
          </cell>
          <cell r="DB294">
            <v>0</v>
          </cell>
          <cell r="DC294">
            <v>0</v>
          </cell>
          <cell r="DD294">
            <v>0</v>
          </cell>
          <cell r="DE294">
            <v>0</v>
          </cell>
          <cell r="DF294">
            <v>0</v>
          </cell>
          <cell r="DG294">
            <v>0</v>
          </cell>
          <cell r="DR294">
            <v>73103</v>
          </cell>
          <cell r="DS294">
            <v>73</v>
          </cell>
          <cell r="DT294">
            <v>73</v>
          </cell>
          <cell r="DU294">
            <v>999999</v>
          </cell>
          <cell r="DV294">
            <v>999999</v>
          </cell>
          <cell r="DW294">
            <v>999999</v>
          </cell>
          <cell r="DX294">
            <v>73</v>
          </cell>
          <cell r="DY294">
            <v>73</v>
          </cell>
          <cell r="DZ294">
            <v>999999</v>
          </cell>
          <cell r="EA294">
            <v>999999</v>
          </cell>
        </row>
        <row r="295">
          <cell r="N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AJ295">
            <v>0</v>
          </cell>
          <cell r="AK295">
            <v>0</v>
          </cell>
          <cell r="AL295">
            <v>999999</v>
          </cell>
          <cell r="AM295">
            <v>72</v>
          </cell>
          <cell r="AN295">
            <v>72</v>
          </cell>
          <cell r="AO295">
            <v>72</v>
          </cell>
          <cell r="AP295">
            <v>0</v>
          </cell>
          <cell r="AQ295">
            <v>0</v>
          </cell>
          <cell r="AR295">
            <v>72</v>
          </cell>
          <cell r="AS295">
            <v>23</v>
          </cell>
          <cell r="BE295">
            <v>0</v>
          </cell>
          <cell r="BG295">
            <v>0</v>
          </cell>
          <cell r="BH295">
            <v>0</v>
          </cell>
          <cell r="BI295">
            <v>0</v>
          </cell>
          <cell r="BJ295">
            <v>0</v>
          </cell>
          <cell r="BK295">
            <v>0</v>
          </cell>
          <cell r="BL295">
            <v>0</v>
          </cell>
          <cell r="BM295">
            <v>0</v>
          </cell>
          <cell r="BN295">
            <v>0</v>
          </cell>
          <cell r="BO295">
            <v>0</v>
          </cell>
          <cell r="BP295">
            <v>0</v>
          </cell>
          <cell r="CA295">
            <v>84779.178662117498</v>
          </cell>
          <cell r="CB295">
            <v>2</v>
          </cell>
          <cell r="CC295">
            <v>72</v>
          </cell>
          <cell r="CD295">
            <v>72</v>
          </cell>
          <cell r="CE295">
            <v>41</v>
          </cell>
          <cell r="CF295">
            <v>72</v>
          </cell>
          <cell r="CG295">
            <v>0</v>
          </cell>
          <cell r="CH295">
            <v>72</v>
          </cell>
          <cell r="CI295">
            <v>72</v>
          </cell>
          <cell r="CJ295">
            <v>72</v>
          </cell>
          <cell r="CV295">
            <v>279.15632754342431</v>
          </cell>
          <cell r="CX295">
            <v>0</v>
          </cell>
          <cell r="CY295">
            <v>0</v>
          </cell>
          <cell r="CZ295">
            <v>0</v>
          </cell>
          <cell r="DA295">
            <v>0</v>
          </cell>
          <cell r="DB295">
            <v>0</v>
          </cell>
          <cell r="DC295">
            <v>0</v>
          </cell>
          <cell r="DD295">
            <v>0</v>
          </cell>
          <cell r="DE295">
            <v>0</v>
          </cell>
          <cell r="DF295">
            <v>0</v>
          </cell>
          <cell r="DG295">
            <v>0</v>
          </cell>
          <cell r="DR295">
            <v>73103</v>
          </cell>
          <cell r="DS295">
            <v>72</v>
          </cell>
          <cell r="DT295">
            <v>72</v>
          </cell>
          <cell r="DU295">
            <v>999999</v>
          </cell>
          <cell r="DV295">
            <v>999999</v>
          </cell>
          <cell r="DW295">
            <v>999999</v>
          </cell>
          <cell r="DX295">
            <v>72</v>
          </cell>
          <cell r="DY295">
            <v>72</v>
          </cell>
          <cell r="DZ295">
            <v>999999</v>
          </cell>
          <cell r="EA295">
            <v>999999</v>
          </cell>
        </row>
        <row r="296">
          <cell r="N296">
            <v>48000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AJ296">
            <v>0</v>
          </cell>
          <cell r="AK296">
            <v>0</v>
          </cell>
          <cell r="AL296">
            <v>999999</v>
          </cell>
          <cell r="AM296">
            <v>71</v>
          </cell>
          <cell r="AN296">
            <v>71</v>
          </cell>
          <cell r="AO296">
            <v>71</v>
          </cell>
          <cell r="AP296">
            <v>0</v>
          </cell>
          <cell r="AQ296">
            <v>0</v>
          </cell>
          <cell r="AR296">
            <v>71</v>
          </cell>
          <cell r="AS296">
            <v>22</v>
          </cell>
          <cell r="BE296">
            <v>0</v>
          </cell>
          <cell r="BG296">
            <v>0</v>
          </cell>
          <cell r="BH296">
            <v>0</v>
          </cell>
          <cell r="BI296">
            <v>0</v>
          </cell>
          <cell r="BJ296">
            <v>0</v>
          </cell>
          <cell r="BK296">
            <v>0</v>
          </cell>
          <cell r="BL296">
            <v>0</v>
          </cell>
          <cell r="BM296">
            <v>0</v>
          </cell>
          <cell r="BN296">
            <v>0</v>
          </cell>
          <cell r="BO296">
            <v>0</v>
          </cell>
          <cell r="BP296">
            <v>0</v>
          </cell>
          <cell r="CA296">
            <v>84263.073665736185</v>
          </cell>
          <cell r="CB296">
            <v>1</v>
          </cell>
          <cell r="CC296">
            <v>71</v>
          </cell>
          <cell r="CD296">
            <v>71</v>
          </cell>
          <cell r="CE296">
            <v>40</v>
          </cell>
          <cell r="CF296">
            <v>71</v>
          </cell>
          <cell r="CG296">
            <v>0</v>
          </cell>
          <cell r="CH296">
            <v>71</v>
          </cell>
          <cell r="CI296">
            <v>71</v>
          </cell>
          <cell r="CJ296">
            <v>71</v>
          </cell>
          <cell r="CV296">
            <v>279.15632754342431</v>
          </cell>
          <cell r="CX296">
            <v>0</v>
          </cell>
          <cell r="CY296">
            <v>0</v>
          </cell>
          <cell r="CZ296">
            <v>0</v>
          </cell>
          <cell r="DA296">
            <v>0</v>
          </cell>
          <cell r="DB296">
            <v>0</v>
          </cell>
          <cell r="DC296">
            <v>0</v>
          </cell>
          <cell r="DD296">
            <v>0</v>
          </cell>
          <cell r="DE296">
            <v>0</v>
          </cell>
          <cell r="DF296">
            <v>0</v>
          </cell>
          <cell r="DG296">
            <v>0</v>
          </cell>
          <cell r="DR296">
            <v>73103</v>
          </cell>
          <cell r="DS296">
            <v>71</v>
          </cell>
          <cell r="DT296">
            <v>71</v>
          </cell>
          <cell r="DU296">
            <v>999999</v>
          </cell>
          <cell r="DV296">
            <v>999999</v>
          </cell>
          <cell r="DW296">
            <v>999999</v>
          </cell>
          <cell r="DX296">
            <v>71</v>
          </cell>
          <cell r="DY296">
            <v>71</v>
          </cell>
          <cell r="DZ296">
            <v>999999</v>
          </cell>
          <cell r="EA296">
            <v>999999</v>
          </cell>
        </row>
        <row r="297">
          <cell r="N297">
            <v>0</v>
          </cell>
          <cell r="P297">
            <v>0</v>
          </cell>
          <cell r="Q297">
            <v>0</v>
          </cell>
          <cell r="R297">
            <v>0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0</v>
          </cell>
          <cell r="X297">
            <v>0</v>
          </cell>
          <cell r="Y297">
            <v>0</v>
          </cell>
          <cell r="AJ297">
            <v>0</v>
          </cell>
          <cell r="AK297">
            <v>0</v>
          </cell>
          <cell r="AL297">
            <v>999999</v>
          </cell>
          <cell r="AM297">
            <v>70</v>
          </cell>
          <cell r="AN297">
            <v>70</v>
          </cell>
          <cell r="AO297">
            <v>70</v>
          </cell>
          <cell r="AP297">
            <v>0</v>
          </cell>
          <cell r="AQ297">
            <v>0</v>
          </cell>
          <cell r="AR297">
            <v>70</v>
          </cell>
          <cell r="AS297">
            <v>21</v>
          </cell>
          <cell r="BE297">
            <v>0</v>
          </cell>
          <cell r="BG297">
            <v>0</v>
          </cell>
          <cell r="BH297">
            <v>0</v>
          </cell>
          <cell r="BI297">
            <v>0</v>
          </cell>
          <cell r="BJ297">
            <v>0</v>
          </cell>
          <cell r="BK297">
            <v>0</v>
          </cell>
          <cell r="BL297">
            <v>0</v>
          </cell>
          <cell r="BM297">
            <v>0</v>
          </cell>
          <cell r="BN297">
            <v>0</v>
          </cell>
          <cell r="BO297">
            <v>0</v>
          </cell>
          <cell r="BP297">
            <v>0</v>
          </cell>
          <cell r="CA297">
            <v>83746.968669354872</v>
          </cell>
          <cell r="CB297">
            <v>0</v>
          </cell>
          <cell r="CC297">
            <v>70</v>
          </cell>
          <cell r="CD297">
            <v>70</v>
          </cell>
          <cell r="CE297">
            <v>39</v>
          </cell>
          <cell r="CF297">
            <v>70</v>
          </cell>
          <cell r="CG297">
            <v>0</v>
          </cell>
          <cell r="CH297">
            <v>70</v>
          </cell>
          <cell r="CI297">
            <v>70</v>
          </cell>
          <cell r="CJ297">
            <v>70</v>
          </cell>
          <cell r="CV297">
            <v>279.15632754342431</v>
          </cell>
          <cell r="CX297">
            <v>0</v>
          </cell>
          <cell r="CY297">
            <v>0</v>
          </cell>
          <cell r="CZ297">
            <v>0</v>
          </cell>
          <cell r="DA297">
            <v>0</v>
          </cell>
          <cell r="DB297">
            <v>0</v>
          </cell>
          <cell r="DC297">
            <v>0</v>
          </cell>
          <cell r="DD297">
            <v>0</v>
          </cell>
          <cell r="DE297">
            <v>0</v>
          </cell>
          <cell r="DF297">
            <v>0</v>
          </cell>
          <cell r="DG297">
            <v>0</v>
          </cell>
          <cell r="DR297">
            <v>73103</v>
          </cell>
          <cell r="DS297">
            <v>70</v>
          </cell>
          <cell r="DT297">
            <v>70</v>
          </cell>
          <cell r="DU297">
            <v>999999</v>
          </cell>
          <cell r="DV297">
            <v>999999</v>
          </cell>
          <cell r="DW297">
            <v>999999</v>
          </cell>
          <cell r="DX297">
            <v>70</v>
          </cell>
          <cell r="DY297">
            <v>70</v>
          </cell>
          <cell r="DZ297">
            <v>999999</v>
          </cell>
          <cell r="EA297">
            <v>999999</v>
          </cell>
        </row>
        <row r="298">
          <cell r="N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AJ298">
            <v>0</v>
          </cell>
          <cell r="AK298">
            <v>0</v>
          </cell>
          <cell r="AL298">
            <v>999999</v>
          </cell>
          <cell r="AM298">
            <v>69</v>
          </cell>
          <cell r="AN298">
            <v>69</v>
          </cell>
          <cell r="AO298">
            <v>69</v>
          </cell>
          <cell r="AP298">
            <v>0</v>
          </cell>
          <cell r="AQ298">
            <v>0</v>
          </cell>
          <cell r="AR298">
            <v>69</v>
          </cell>
          <cell r="AS298">
            <v>20</v>
          </cell>
          <cell r="BE298">
            <v>0</v>
          </cell>
          <cell r="BG298">
            <v>0</v>
          </cell>
          <cell r="BH298">
            <v>0</v>
          </cell>
          <cell r="BI298">
            <v>0</v>
          </cell>
          <cell r="BJ298">
            <v>0</v>
          </cell>
          <cell r="BK298">
            <v>0</v>
          </cell>
          <cell r="BL298">
            <v>0</v>
          </cell>
          <cell r="BM298">
            <v>0</v>
          </cell>
          <cell r="BN298">
            <v>0</v>
          </cell>
          <cell r="BO298">
            <v>0</v>
          </cell>
          <cell r="BP298">
            <v>0</v>
          </cell>
          <cell r="CA298">
            <v>83230.863672973559</v>
          </cell>
          <cell r="CB298">
            <v>0</v>
          </cell>
          <cell r="CC298">
            <v>69</v>
          </cell>
          <cell r="CD298">
            <v>69</v>
          </cell>
          <cell r="CE298">
            <v>38</v>
          </cell>
          <cell r="CF298">
            <v>69</v>
          </cell>
          <cell r="CG298">
            <v>0</v>
          </cell>
          <cell r="CH298">
            <v>69</v>
          </cell>
          <cell r="CI298">
            <v>69</v>
          </cell>
          <cell r="CJ298">
            <v>69</v>
          </cell>
          <cell r="CV298">
            <v>279.15632754342431</v>
          </cell>
          <cell r="CX298">
            <v>0</v>
          </cell>
          <cell r="CY298">
            <v>0</v>
          </cell>
          <cell r="CZ298">
            <v>0</v>
          </cell>
          <cell r="DA298">
            <v>0</v>
          </cell>
          <cell r="DB298">
            <v>0</v>
          </cell>
          <cell r="DC298">
            <v>0</v>
          </cell>
          <cell r="DD298">
            <v>0</v>
          </cell>
          <cell r="DE298">
            <v>0</v>
          </cell>
          <cell r="DF298">
            <v>0</v>
          </cell>
          <cell r="DG298">
            <v>0</v>
          </cell>
          <cell r="DR298">
            <v>73103</v>
          </cell>
          <cell r="DS298">
            <v>69</v>
          </cell>
          <cell r="DT298">
            <v>69</v>
          </cell>
          <cell r="DU298">
            <v>999999</v>
          </cell>
          <cell r="DV298">
            <v>999999</v>
          </cell>
          <cell r="DW298">
            <v>999999</v>
          </cell>
          <cell r="DX298">
            <v>69</v>
          </cell>
          <cell r="DY298">
            <v>69</v>
          </cell>
          <cell r="DZ298">
            <v>999999</v>
          </cell>
          <cell r="EA298">
            <v>999999</v>
          </cell>
        </row>
        <row r="299">
          <cell r="N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AJ299">
            <v>0</v>
          </cell>
          <cell r="AK299">
            <v>0</v>
          </cell>
          <cell r="AL299">
            <v>999999</v>
          </cell>
          <cell r="AM299">
            <v>68</v>
          </cell>
          <cell r="AN299">
            <v>68</v>
          </cell>
          <cell r="AO299">
            <v>68</v>
          </cell>
          <cell r="AP299">
            <v>0</v>
          </cell>
          <cell r="AQ299">
            <v>0</v>
          </cell>
          <cell r="AR299">
            <v>68</v>
          </cell>
          <cell r="AS299">
            <v>19</v>
          </cell>
          <cell r="BE299">
            <v>0</v>
          </cell>
          <cell r="BG299">
            <v>0</v>
          </cell>
          <cell r="BH299">
            <v>0</v>
          </cell>
          <cell r="BI299">
            <v>0</v>
          </cell>
          <cell r="BJ299">
            <v>0</v>
          </cell>
          <cell r="BK299">
            <v>0</v>
          </cell>
          <cell r="BL299">
            <v>0</v>
          </cell>
          <cell r="BM299">
            <v>0</v>
          </cell>
          <cell r="BN299">
            <v>0</v>
          </cell>
          <cell r="BO299">
            <v>0</v>
          </cell>
          <cell r="BP299">
            <v>0</v>
          </cell>
          <cell r="CA299">
            <v>82714.758676592246</v>
          </cell>
          <cell r="CB299">
            <v>0</v>
          </cell>
          <cell r="CC299">
            <v>68</v>
          </cell>
          <cell r="CD299">
            <v>68</v>
          </cell>
          <cell r="CE299">
            <v>37</v>
          </cell>
          <cell r="CF299">
            <v>68</v>
          </cell>
          <cell r="CG299">
            <v>0</v>
          </cell>
          <cell r="CH299">
            <v>68</v>
          </cell>
          <cell r="CI299">
            <v>68</v>
          </cell>
          <cell r="CJ299">
            <v>68</v>
          </cell>
          <cell r="CV299">
            <v>279.15632754342431</v>
          </cell>
          <cell r="CX299">
            <v>0</v>
          </cell>
          <cell r="CY299">
            <v>0</v>
          </cell>
          <cell r="CZ299">
            <v>0</v>
          </cell>
          <cell r="DA299">
            <v>0</v>
          </cell>
          <cell r="DB299">
            <v>0</v>
          </cell>
          <cell r="DC299">
            <v>0</v>
          </cell>
          <cell r="DD299">
            <v>0</v>
          </cell>
          <cell r="DE299">
            <v>0</v>
          </cell>
          <cell r="DF299">
            <v>0</v>
          </cell>
          <cell r="DG299">
            <v>0</v>
          </cell>
          <cell r="DR299">
            <v>73103</v>
          </cell>
          <cell r="DS299">
            <v>68</v>
          </cell>
          <cell r="DT299">
            <v>68</v>
          </cell>
          <cell r="DU299">
            <v>999999</v>
          </cell>
          <cell r="DV299">
            <v>999999</v>
          </cell>
          <cell r="DW299">
            <v>999999</v>
          </cell>
          <cell r="DX299">
            <v>68</v>
          </cell>
          <cell r="DY299">
            <v>68</v>
          </cell>
          <cell r="DZ299">
            <v>999999</v>
          </cell>
          <cell r="EA299">
            <v>999999</v>
          </cell>
        </row>
        <row r="300">
          <cell r="N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AJ300">
            <v>0</v>
          </cell>
          <cell r="AK300">
            <v>0</v>
          </cell>
          <cell r="AL300">
            <v>999999</v>
          </cell>
          <cell r="AM300">
            <v>67</v>
          </cell>
          <cell r="AN300">
            <v>67</v>
          </cell>
          <cell r="AO300">
            <v>67</v>
          </cell>
          <cell r="AP300">
            <v>0</v>
          </cell>
          <cell r="AQ300">
            <v>0</v>
          </cell>
          <cell r="AR300">
            <v>67</v>
          </cell>
          <cell r="AS300">
            <v>18</v>
          </cell>
          <cell r="BE300">
            <v>0</v>
          </cell>
          <cell r="BG300">
            <v>0</v>
          </cell>
          <cell r="BH300">
            <v>0</v>
          </cell>
          <cell r="BI300">
            <v>0</v>
          </cell>
          <cell r="BJ300">
            <v>0</v>
          </cell>
          <cell r="BK300">
            <v>0</v>
          </cell>
          <cell r="BL300">
            <v>0</v>
          </cell>
          <cell r="BM300">
            <v>0</v>
          </cell>
          <cell r="BN300">
            <v>0</v>
          </cell>
          <cell r="BO300">
            <v>0</v>
          </cell>
          <cell r="BP300">
            <v>0</v>
          </cell>
          <cell r="CA300">
            <v>82198.653680210933</v>
          </cell>
          <cell r="CB300">
            <v>0</v>
          </cell>
          <cell r="CC300">
            <v>67</v>
          </cell>
          <cell r="CD300">
            <v>67</v>
          </cell>
          <cell r="CE300">
            <v>36</v>
          </cell>
          <cell r="CF300">
            <v>67</v>
          </cell>
          <cell r="CG300">
            <v>0</v>
          </cell>
          <cell r="CH300">
            <v>67</v>
          </cell>
          <cell r="CI300">
            <v>67</v>
          </cell>
          <cell r="CJ300">
            <v>67</v>
          </cell>
          <cell r="CV300">
            <v>279.15632754342431</v>
          </cell>
          <cell r="CX300">
            <v>0</v>
          </cell>
          <cell r="CY300">
            <v>0</v>
          </cell>
          <cell r="CZ300">
            <v>0</v>
          </cell>
          <cell r="DA300">
            <v>0</v>
          </cell>
          <cell r="DB300">
            <v>0</v>
          </cell>
          <cell r="DC300">
            <v>0</v>
          </cell>
          <cell r="DD300">
            <v>0</v>
          </cell>
          <cell r="DE300">
            <v>0</v>
          </cell>
          <cell r="DF300">
            <v>0</v>
          </cell>
          <cell r="DG300">
            <v>0</v>
          </cell>
          <cell r="DR300">
            <v>73103</v>
          </cell>
          <cell r="DS300">
            <v>67</v>
          </cell>
          <cell r="DT300">
            <v>67</v>
          </cell>
          <cell r="DU300">
            <v>999999</v>
          </cell>
          <cell r="DV300">
            <v>999999</v>
          </cell>
          <cell r="DW300">
            <v>999999</v>
          </cell>
          <cell r="DX300">
            <v>67</v>
          </cell>
          <cell r="DY300">
            <v>67</v>
          </cell>
          <cell r="DZ300">
            <v>999999</v>
          </cell>
          <cell r="EA300">
            <v>999999</v>
          </cell>
        </row>
        <row r="301">
          <cell r="N301">
            <v>0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AJ301">
            <v>0</v>
          </cell>
          <cell r="AK301">
            <v>0</v>
          </cell>
          <cell r="AL301">
            <v>999999</v>
          </cell>
          <cell r="AM301">
            <v>66</v>
          </cell>
          <cell r="AN301">
            <v>66</v>
          </cell>
          <cell r="AO301">
            <v>66</v>
          </cell>
          <cell r="AP301">
            <v>0</v>
          </cell>
          <cell r="AQ301">
            <v>0</v>
          </cell>
          <cell r="AR301">
            <v>66</v>
          </cell>
          <cell r="AS301">
            <v>17</v>
          </cell>
          <cell r="BE301">
            <v>48000</v>
          </cell>
          <cell r="BG301">
            <v>0</v>
          </cell>
          <cell r="BH301">
            <v>0</v>
          </cell>
          <cell r="BI301">
            <v>0</v>
          </cell>
          <cell r="BJ301">
            <v>0</v>
          </cell>
          <cell r="BK301">
            <v>0</v>
          </cell>
          <cell r="BL301">
            <v>0</v>
          </cell>
          <cell r="BM301">
            <v>0</v>
          </cell>
          <cell r="BN301">
            <v>0</v>
          </cell>
          <cell r="BO301">
            <v>0</v>
          </cell>
          <cell r="BP301">
            <v>0</v>
          </cell>
          <cell r="CA301">
            <v>81682.54868382962</v>
          </cell>
          <cell r="CB301">
            <v>0</v>
          </cell>
          <cell r="CC301">
            <v>66</v>
          </cell>
          <cell r="CD301">
            <v>66</v>
          </cell>
          <cell r="CE301">
            <v>35</v>
          </cell>
          <cell r="CF301">
            <v>66</v>
          </cell>
          <cell r="CG301">
            <v>0</v>
          </cell>
          <cell r="CH301">
            <v>66</v>
          </cell>
          <cell r="CI301">
            <v>66</v>
          </cell>
          <cell r="CJ301">
            <v>66</v>
          </cell>
          <cell r="CV301">
            <v>279.15632754342431</v>
          </cell>
          <cell r="CX301">
            <v>0</v>
          </cell>
          <cell r="CY301">
            <v>0</v>
          </cell>
          <cell r="CZ301">
            <v>0</v>
          </cell>
          <cell r="DA301">
            <v>0</v>
          </cell>
          <cell r="DB301">
            <v>0</v>
          </cell>
          <cell r="DC301">
            <v>0</v>
          </cell>
          <cell r="DD301">
            <v>0</v>
          </cell>
          <cell r="DE301">
            <v>0</v>
          </cell>
          <cell r="DF301">
            <v>0</v>
          </cell>
          <cell r="DG301">
            <v>0</v>
          </cell>
          <cell r="DR301">
            <v>73103</v>
          </cell>
          <cell r="DS301">
            <v>66</v>
          </cell>
          <cell r="DT301">
            <v>66</v>
          </cell>
          <cell r="DU301">
            <v>999999</v>
          </cell>
          <cell r="DV301">
            <v>999999</v>
          </cell>
          <cell r="DW301">
            <v>999999</v>
          </cell>
          <cell r="DX301">
            <v>66</v>
          </cell>
          <cell r="DY301">
            <v>66</v>
          </cell>
          <cell r="DZ301">
            <v>999999</v>
          </cell>
          <cell r="EA301">
            <v>999999</v>
          </cell>
        </row>
        <row r="302">
          <cell r="N302">
            <v>0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  <cell r="T302">
            <v>0</v>
          </cell>
          <cell r="U302">
            <v>0</v>
          </cell>
          <cell r="V302">
            <v>0</v>
          </cell>
          <cell r="W302">
            <v>0</v>
          </cell>
          <cell r="X302">
            <v>0</v>
          </cell>
          <cell r="Y302">
            <v>0</v>
          </cell>
          <cell r="AJ302">
            <v>0</v>
          </cell>
          <cell r="AK302">
            <v>0</v>
          </cell>
          <cell r="AL302">
            <v>999999</v>
          </cell>
          <cell r="AM302">
            <v>65</v>
          </cell>
          <cell r="AN302">
            <v>65</v>
          </cell>
          <cell r="AO302">
            <v>65</v>
          </cell>
          <cell r="AP302">
            <v>0</v>
          </cell>
          <cell r="AQ302">
            <v>0</v>
          </cell>
          <cell r="AR302">
            <v>65</v>
          </cell>
          <cell r="AS302">
            <v>16</v>
          </cell>
          <cell r="BE302">
            <v>0</v>
          </cell>
          <cell r="BG302">
            <v>0</v>
          </cell>
          <cell r="BH302">
            <v>0</v>
          </cell>
          <cell r="BI302">
            <v>0</v>
          </cell>
          <cell r="BJ302">
            <v>0</v>
          </cell>
          <cell r="BK302">
            <v>0</v>
          </cell>
          <cell r="BL302">
            <v>0</v>
          </cell>
          <cell r="BM302">
            <v>0</v>
          </cell>
          <cell r="BN302">
            <v>0</v>
          </cell>
          <cell r="BO302">
            <v>0</v>
          </cell>
          <cell r="BP302">
            <v>0</v>
          </cell>
          <cell r="CA302">
            <v>81166.443687448307</v>
          </cell>
          <cell r="CB302">
            <v>0</v>
          </cell>
          <cell r="CC302">
            <v>65</v>
          </cell>
          <cell r="CD302">
            <v>65</v>
          </cell>
          <cell r="CE302">
            <v>34</v>
          </cell>
          <cell r="CF302">
            <v>65</v>
          </cell>
          <cell r="CG302">
            <v>0</v>
          </cell>
          <cell r="CH302">
            <v>65</v>
          </cell>
          <cell r="CI302">
            <v>65</v>
          </cell>
          <cell r="CJ302">
            <v>65</v>
          </cell>
          <cell r="CV302">
            <v>279.15632754342431</v>
          </cell>
          <cell r="CX302">
            <v>0</v>
          </cell>
          <cell r="CY302">
            <v>0</v>
          </cell>
          <cell r="CZ302">
            <v>0</v>
          </cell>
          <cell r="DA302">
            <v>0</v>
          </cell>
          <cell r="DB302">
            <v>0</v>
          </cell>
          <cell r="DC302">
            <v>0</v>
          </cell>
          <cell r="DD302">
            <v>0</v>
          </cell>
          <cell r="DE302">
            <v>0</v>
          </cell>
          <cell r="DF302">
            <v>0</v>
          </cell>
          <cell r="DG302">
            <v>0</v>
          </cell>
          <cell r="DR302">
            <v>73103</v>
          </cell>
          <cell r="DS302">
            <v>65</v>
          </cell>
          <cell r="DT302">
            <v>65</v>
          </cell>
          <cell r="DU302">
            <v>999999</v>
          </cell>
          <cell r="DV302">
            <v>999999</v>
          </cell>
          <cell r="DW302">
            <v>999999</v>
          </cell>
          <cell r="DX302">
            <v>65</v>
          </cell>
          <cell r="DY302">
            <v>65</v>
          </cell>
          <cell r="DZ302">
            <v>999999</v>
          </cell>
          <cell r="EA302">
            <v>999999</v>
          </cell>
        </row>
        <row r="303">
          <cell r="N303">
            <v>0</v>
          </cell>
          <cell r="P303">
            <v>0</v>
          </cell>
          <cell r="Q303">
            <v>0</v>
          </cell>
          <cell r="R303">
            <v>0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0</v>
          </cell>
          <cell r="X303">
            <v>0</v>
          </cell>
          <cell r="Y303">
            <v>0</v>
          </cell>
          <cell r="AJ303">
            <v>0</v>
          </cell>
          <cell r="AK303">
            <v>0</v>
          </cell>
          <cell r="AL303">
            <v>999999</v>
          </cell>
          <cell r="AM303">
            <v>64</v>
          </cell>
          <cell r="AN303">
            <v>64</v>
          </cell>
          <cell r="AO303">
            <v>64</v>
          </cell>
          <cell r="AP303">
            <v>0</v>
          </cell>
          <cell r="AQ303">
            <v>0</v>
          </cell>
          <cell r="AR303">
            <v>64</v>
          </cell>
          <cell r="AS303">
            <v>15</v>
          </cell>
          <cell r="BE303">
            <v>0</v>
          </cell>
          <cell r="BG303">
            <v>0</v>
          </cell>
          <cell r="BH303">
            <v>0</v>
          </cell>
          <cell r="BI303">
            <v>0</v>
          </cell>
          <cell r="BJ303">
            <v>0</v>
          </cell>
          <cell r="BK303">
            <v>0</v>
          </cell>
          <cell r="BL303">
            <v>0</v>
          </cell>
          <cell r="BM303">
            <v>0</v>
          </cell>
          <cell r="BN303">
            <v>0</v>
          </cell>
          <cell r="BO303">
            <v>0</v>
          </cell>
          <cell r="BP303">
            <v>0</v>
          </cell>
          <cell r="CA303">
            <v>80650.338691066994</v>
          </cell>
          <cell r="CB303">
            <v>0</v>
          </cell>
          <cell r="CC303">
            <v>64</v>
          </cell>
          <cell r="CD303">
            <v>64</v>
          </cell>
          <cell r="CE303">
            <v>33</v>
          </cell>
          <cell r="CF303">
            <v>64</v>
          </cell>
          <cell r="CG303">
            <v>0</v>
          </cell>
          <cell r="CH303">
            <v>64</v>
          </cell>
          <cell r="CI303">
            <v>64</v>
          </cell>
          <cell r="CJ303">
            <v>64</v>
          </cell>
          <cell r="CV303">
            <v>279.15632754342431</v>
          </cell>
          <cell r="CX303">
            <v>0</v>
          </cell>
          <cell r="CY303">
            <v>0</v>
          </cell>
          <cell r="CZ303">
            <v>0</v>
          </cell>
          <cell r="DA303">
            <v>0</v>
          </cell>
          <cell r="DB303">
            <v>0</v>
          </cell>
          <cell r="DC303">
            <v>0</v>
          </cell>
          <cell r="DD303">
            <v>0</v>
          </cell>
          <cell r="DE303">
            <v>0</v>
          </cell>
          <cell r="DF303">
            <v>0</v>
          </cell>
          <cell r="DG303">
            <v>0</v>
          </cell>
          <cell r="DR303">
            <v>73103</v>
          </cell>
          <cell r="DS303">
            <v>64</v>
          </cell>
          <cell r="DT303">
            <v>64</v>
          </cell>
          <cell r="DU303">
            <v>999999</v>
          </cell>
          <cell r="DV303">
            <v>999999</v>
          </cell>
          <cell r="DW303">
            <v>999999</v>
          </cell>
          <cell r="DX303">
            <v>64</v>
          </cell>
          <cell r="DY303">
            <v>64</v>
          </cell>
          <cell r="DZ303">
            <v>999999</v>
          </cell>
          <cell r="EA303">
            <v>999999</v>
          </cell>
        </row>
        <row r="304">
          <cell r="N304">
            <v>0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  <cell r="T304">
            <v>0</v>
          </cell>
          <cell r="U304">
            <v>0</v>
          </cell>
          <cell r="V304">
            <v>0</v>
          </cell>
          <cell r="W304">
            <v>0</v>
          </cell>
          <cell r="X304">
            <v>0</v>
          </cell>
          <cell r="Y304">
            <v>0</v>
          </cell>
          <cell r="AJ304">
            <v>0</v>
          </cell>
          <cell r="AK304">
            <v>0</v>
          </cell>
          <cell r="AL304">
            <v>999999</v>
          </cell>
          <cell r="AM304">
            <v>63</v>
          </cell>
          <cell r="AN304">
            <v>63</v>
          </cell>
          <cell r="AO304">
            <v>63</v>
          </cell>
          <cell r="AP304">
            <v>0</v>
          </cell>
          <cell r="AQ304">
            <v>0</v>
          </cell>
          <cell r="AR304">
            <v>63</v>
          </cell>
          <cell r="AS304">
            <v>14</v>
          </cell>
          <cell r="BE304">
            <v>0</v>
          </cell>
          <cell r="BG304">
            <v>0</v>
          </cell>
          <cell r="BH304">
            <v>0</v>
          </cell>
          <cell r="BI304">
            <v>0</v>
          </cell>
          <cell r="BJ304">
            <v>0</v>
          </cell>
          <cell r="BK304">
            <v>0</v>
          </cell>
          <cell r="BL304">
            <v>0</v>
          </cell>
          <cell r="BM304">
            <v>0</v>
          </cell>
          <cell r="BN304">
            <v>0</v>
          </cell>
          <cell r="BO304">
            <v>0</v>
          </cell>
          <cell r="BP304">
            <v>0</v>
          </cell>
          <cell r="CA304">
            <v>80134.233694685681</v>
          </cell>
          <cell r="CB304">
            <v>0</v>
          </cell>
          <cell r="CC304">
            <v>63</v>
          </cell>
          <cell r="CD304">
            <v>63</v>
          </cell>
          <cell r="CE304">
            <v>32</v>
          </cell>
          <cell r="CF304">
            <v>63</v>
          </cell>
          <cell r="CG304">
            <v>0</v>
          </cell>
          <cell r="CH304">
            <v>63</v>
          </cell>
          <cell r="CI304">
            <v>63</v>
          </cell>
          <cell r="CJ304">
            <v>63</v>
          </cell>
          <cell r="CV304">
            <v>279.15632754342431</v>
          </cell>
          <cell r="CX304">
            <v>0</v>
          </cell>
          <cell r="CY304">
            <v>0</v>
          </cell>
          <cell r="CZ304">
            <v>0</v>
          </cell>
          <cell r="DA304">
            <v>0</v>
          </cell>
          <cell r="DB304">
            <v>0</v>
          </cell>
          <cell r="DC304">
            <v>0</v>
          </cell>
          <cell r="DD304">
            <v>0</v>
          </cell>
          <cell r="DE304">
            <v>0</v>
          </cell>
          <cell r="DF304">
            <v>0</v>
          </cell>
          <cell r="DG304">
            <v>0</v>
          </cell>
          <cell r="DR304">
            <v>73103</v>
          </cell>
          <cell r="DS304">
            <v>63</v>
          </cell>
          <cell r="DT304">
            <v>63</v>
          </cell>
          <cell r="DU304">
            <v>999999</v>
          </cell>
          <cell r="DV304">
            <v>999999</v>
          </cell>
          <cell r="DW304">
            <v>999999</v>
          </cell>
          <cell r="DX304">
            <v>63</v>
          </cell>
          <cell r="DY304">
            <v>63</v>
          </cell>
          <cell r="DZ304">
            <v>999999</v>
          </cell>
          <cell r="EA304">
            <v>999999</v>
          </cell>
        </row>
        <row r="305">
          <cell r="N305">
            <v>0</v>
          </cell>
          <cell r="P305">
            <v>0</v>
          </cell>
          <cell r="Q305">
            <v>0</v>
          </cell>
          <cell r="R305">
            <v>0</v>
          </cell>
          <cell r="S305">
            <v>0</v>
          </cell>
          <cell r="T305">
            <v>0</v>
          </cell>
          <cell r="U305">
            <v>0</v>
          </cell>
          <cell r="V305">
            <v>0</v>
          </cell>
          <cell r="W305">
            <v>0</v>
          </cell>
          <cell r="X305">
            <v>0</v>
          </cell>
          <cell r="Y305">
            <v>0</v>
          </cell>
          <cell r="AJ305">
            <v>0</v>
          </cell>
          <cell r="AK305">
            <v>0</v>
          </cell>
          <cell r="AL305">
            <v>999999</v>
          </cell>
          <cell r="AM305">
            <v>62</v>
          </cell>
          <cell r="AN305">
            <v>62</v>
          </cell>
          <cell r="AO305">
            <v>62</v>
          </cell>
          <cell r="AP305">
            <v>0</v>
          </cell>
          <cell r="AQ305">
            <v>0</v>
          </cell>
          <cell r="AR305">
            <v>62</v>
          </cell>
          <cell r="AS305">
            <v>13</v>
          </cell>
          <cell r="BE305">
            <v>0</v>
          </cell>
          <cell r="BG305">
            <v>0</v>
          </cell>
          <cell r="BH305">
            <v>0</v>
          </cell>
          <cell r="BI305">
            <v>0</v>
          </cell>
          <cell r="BJ305">
            <v>0</v>
          </cell>
          <cell r="BK305">
            <v>0</v>
          </cell>
          <cell r="BL305">
            <v>0</v>
          </cell>
          <cell r="BM305">
            <v>0</v>
          </cell>
          <cell r="BN305">
            <v>0</v>
          </cell>
          <cell r="BO305">
            <v>0</v>
          </cell>
          <cell r="BP305">
            <v>0</v>
          </cell>
          <cell r="CA305">
            <v>79618.128698304368</v>
          </cell>
          <cell r="CB305">
            <v>0</v>
          </cell>
          <cell r="CC305">
            <v>62</v>
          </cell>
          <cell r="CD305">
            <v>62</v>
          </cell>
          <cell r="CE305">
            <v>31</v>
          </cell>
          <cell r="CF305">
            <v>62</v>
          </cell>
          <cell r="CG305">
            <v>0</v>
          </cell>
          <cell r="CH305">
            <v>62</v>
          </cell>
          <cell r="CI305">
            <v>62</v>
          </cell>
          <cell r="CJ305">
            <v>62</v>
          </cell>
          <cell r="CV305">
            <v>279.15632754342431</v>
          </cell>
          <cell r="CX305">
            <v>0</v>
          </cell>
          <cell r="CY305">
            <v>0</v>
          </cell>
          <cell r="CZ305">
            <v>0</v>
          </cell>
          <cell r="DA305">
            <v>0</v>
          </cell>
          <cell r="DB305">
            <v>0</v>
          </cell>
          <cell r="DC305">
            <v>0</v>
          </cell>
          <cell r="DD305">
            <v>0</v>
          </cell>
          <cell r="DE305">
            <v>0</v>
          </cell>
          <cell r="DF305">
            <v>0</v>
          </cell>
          <cell r="DG305">
            <v>0</v>
          </cell>
          <cell r="DR305">
            <v>73103</v>
          </cell>
          <cell r="DS305">
            <v>62</v>
          </cell>
          <cell r="DT305">
            <v>62</v>
          </cell>
          <cell r="DU305">
            <v>999999</v>
          </cell>
          <cell r="DV305">
            <v>999999</v>
          </cell>
          <cell r="DW305">
            <v>999999</v>
          </cell>
          <cell r="DX305">
            <v>62</v>
          </cell>
          <cell r="DY305">
            <v>62</v>
          </cell>
          <cell r="DZ305">
            <v>999999</v>
          </cell>
          <cell r="EA305">
            <v>999999</v>
          </cell>
        </row>
        <row r="306">
          <cell r="N306">
            <v>0</v>
          </cell>
          <cell r="P306">
            <v>0</v>
          </cell>
          <cell r="Q306">
            <v>0</v>
          </cell>
          <cell r="R306">
            <v>0</v>
          </cell>
          <cell r="S306">
            <v>0</v>
          </cell>
          <cell r="T306">
            <v>0</v>
          </cell>
          <cell r="U306">
            <v>0</v>
          </cell>
          <cell r="V306">
            <v>0</v>
          </cell>
          <cell r="W306">
            <v>0</v>
          </cell>
          <cell r="X306">
            <v>0</v>
          </cell>
          <cell r="Y306">
            <v>0</v>
          </cell>
          <cell r="AJ306">
            <v>0</v>
          </cell>
          <cell r="AK306">
            <v>0</v>
          </cell>
          <cell r="AL306">
            <v>999999</v>
          </cell>
          <cell r="AM306">
            <v>61</v>
          </cell>
          <cell r="AN306">
            <v>61</v>
          </cell>
          <cell r="AO306">
            <v>61</v>
          </cell>
          <cell r="AP306">
            <v>0</v>
          </cell>
          <cell r="AQ306">
            <v>0</v>
          </cell>
          <cell r="AR306">
            <v>61</v>
          </cell>
          <cell r="AS306">
            <v>12</v>
          </cell>
          <cell r="BE306">
            <v>0</v>
          </cell>
          <cell r="BG306">
            <v>0</v>
          </cell>
          <cell r="BH306">
            <v>0</v>
          </cell>
          <cell r="BI306">
            <v>0</v>
          </cell>
          <cell r="BJ306">
            <v>0</v>
          </cell>
          <cell r="BK306">
            <v>0</v>
          </cell>
          <cell r="BL306">
            <v>0</v>
          </cell>
          <cell r="BM306">
            <v>0</v>
          </cell>
          <cell r="BN306">
            <v>0</v>
          </cell>
          <cell r="BO306">
            <v>0</v>
          </cell>
          <cell r="BP306">
            <v>0</v>
          </cell>
          <cell r="CA306">
            <v>79102.023701923055</v>
          </cell>
          <cell r="CB306">
            <v>0</v>
          </cell>
          <cell r="CC306">
            <v>61</v>
          </cell>
          <cell r="CD306">
            <v>61</v>
          </cell>
          <cell r="CE306">
            <v>30</v>
          </cell>
          <cell r="CF306">
            <v>61</v>
          </cell>
          <cell r="CG306">
            <v>0</v>
          </cell>
          <cell r="CH306">
            <v>61</v>
          </cell>
          <cell r="CI306">
            <v>61</v>
          </cell>
          <cell r="CJ306">
            <v>61</v>
          </cell>
          <cell r="CV306">
            <v>279.15632754342431</v>
          </cell>
          <cell r="CX306">
            <v>0</v>
          </cell>
          <cell r="CY306">
            <v>0</v>
          </cell>
          <cell r="CZ306">
            <v>0</v>
          </cell>
          <cell r="DA306">
            <v>0</v>
          </cell>
          <cell r="DB306">
            <v>0</v>
          </cell>
          <cell r="DC306">
            <v>0</v>
          </cell>
          <cell r="DD306">
            <v>0</v>
          </cell>
          <cell r="DE306">
            <v>0</v>
          </cell>
          <cell r="DF306">
            <v>0</v>
          </cell>
          <cell r="DG306">
            <v>0</v>
          </cell>
          <cell r="DR306">
            <v>73103</v>
          </cell>
          <cell r="DS306">
            <v>61</v>
          </cell>
          <cell r="DT306">
            <v>61</v>
          </cell>
          <cell r="DU306">
            <v>999999</v>
          </cell>
          <cell r="DV306">
            <v>999999</v>
          </cell>
          <cell r="DW306">
            <v>999999</v>
          </cell>
          <cell r="DX306">
            <v>61</v>
          </cell>
          <cell r="DY306">
            <v>61</v>
          </cell>
          <cell r="DZ306">
            <v>999999</v>
          </cell>
          <cell r="EA306">
            <v>999999</v>
          </cell>
        </row>
        <row r="307">
          <cell r="N307">
            <v>0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  <cell r="T307">
            <v>0</v>
          </cell>
          <cell r="U307">
            <v>0</v>
          </cell>
          <cell r="V307">
            <v>0</v>
          </cell>
          <cell r="W307">
            <v>0</v>
          </cell>
          <cell r="X307">
            <v>0</v>
          </cell>
          <cell r="Y307">
            <v>0</v>
          </cell>
          <cell r="AJ307">
            <v>0</v>
          </cell>
          <cell r="AK307">
            <v>0</v>
          </cell>
          <cell r="AL307">
            <v>999999</v>
          </cell>
          <cell r="AM307">
            <v>60</v>
          </cell>
          <cell r="AN307">
            <v>60</v>
          </cell>
          <cell r="AO307">
            <v>60</v>
          </cell>
          <cell r="AP307">
            <v>0</v>
          </cell>
          <cell r="AQ307">
            <v>0</v>
          </cell>
          <cell r="AR307">
            <v>60</v>
          </cell>
          <cell r="AS307">
            <v>11</v>
          </cell>
          <cell r="BE307">
            <v>0</v>
          </cell>
          <cell r="BG307">
            <v>0</v>
          </cell>
          <cell r="BH307">
            <v>0</v>
          </cell>
          <cell r="BI307">
            <v>0</v>
          </cell>
          <cell r="BJ307">
            <v>0</v>
          </cell>
          <cell r="BK307">
            <v>0</v>
          </cell>
          <cell r="BL307">
            <v>0</v>
          </cell>
          <cell r="BM307">
            <v>0</v>
          </cell>
          <cell r="BN307">
            <v>0</v>
          </cell>
          <cell r="BO307">
            <v>0</v>
          </cell>
          <cell r="BP307">
            <v>0</v>
          </cell>
          <cell r="CA307">
            <v>78565.968699252116</v>
          </cell>
          <cell r="CB307">
            <v>0</v>
          </cell>
          <cell r="CC307">
            <v>60</v>
          </cell>
          <cell r="CD307">
            <v>60</v>
          </cell>
          <cell r="CE307">
            <v>29</v>
          </cell>
          <cell r="CF307">
            <v>60</v>
          </cell>
          <cell r="CG307">
            <v>0</v>
          </cell>
          <cell r="CH307">
            <v>60</v>
          </cell>
          <cell r="CI307">
            <v>60</v>
          </cell>
          <cell r="CJ307">
            <v>60</v>
          </cell>
          <cell r="CV307">
            <v>288.46153846153851</v>
          </cell>
          <cell r="CX307">
            <v>0</v>
          </cell>
          <cell r="CY307">
            <v>0</v>
          </cell>
          <cell r="CZ307">
            <v>0</v>
          </cell>
          <cell r="DA307">
            <v>0</v>
          </cell>
          <cell r="DB307">
            <v>0</v>
          </cell>
          <cell r="DC307">
            <v>0</v>
          </cell>
          <cell r="DD307">
            <v>0</v>
          </cell>
          <cell r="DE307">
            <v>0</v>
          </cell>
          <cell r="DF307">
            <v>0</v>
          </cell>
          <cell r="DG307">
            <v>0</v>
          </cell>
          <cell r="DR307">
            <v>73103</v>
          </cell>
          <cell r="DS307">
            <v>60</v>
          </cell>
          <cell r="DT307">
            <v>60</v>
          </cell>
          <cell r="DU307">
            <v>999999</v>
          </cell>
          <cell r="DV307">
            <v>999999</v>
          </cell>
          <cell r="DW307">
            <v>999999</v>
          </cell>
          <cell r="DX307">
            <v>60</v>
          </cell>
          <cell r="DY307">
            <v>60</v>
          </cell>
          <cell r="DZ307">
            <v>999999</v>
          </cell>
          <cell r="EA307">
            <v>999999</v>
          </cell>
        </row>
        <row r="308">
          <cell r="N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AJ308">
            <v>0</v>
          </cell>
          <cell r="AK308">
            <v>0</v>
          </cell>
          <cell r="AL308">
            <v>999999</v>
          </cell>
          <cell r="AM308">
            <v>59</v>
          </cell>
          <cell r="AN308">
            <v>59</v>
          </cell>
          <cell r="AO308">
            <v>59</v>
          </cell>
          <cell r="AP308">
            <v>0</v>
          </cell>
          <cell r="AQ308">
            <v>0</v>
          </cell>
          <cell r="AR308">
            <v>59</v>
          </cell>
          <cell r="AS308">
            <v>10</v>
          </cell>
          <cell r="BE308">
            <v>48000</v>
          </cell>
          <cell r="BG308">
            <v>0</v>
          </cell>
          <cell r="BH308">
            <v>0</v>
          </cell>
          <cell r="BI308">
            <v>0</v>
          </cell>
          <cell r="BJ308">
            <v>0</v>
          </cell>
          <cell r="BK308">
            <v>0</v>
          </cell>
          <cell r="BL308">
            <v>0</v>
          </cell>
          <cell r="BM308">
            <v>0</v>
          </cell>
          <cell r="BN308">
            <v>0</v>
          </cell>
          <cell r="BO308">
            <v>0</v>
          </cell>
          <cell r="BP308">
            <v>0</v>
          </cell>
          <cell r="CA308">
            <v>78029.913696581178</v>
          </cell>
          <cell r="CB308">
            <v>0</v>
          </cell>
          <cell r="CC308">
            <v>59</v>
          </cell>
          <cell r="CD308">
            <v>59</v>
          </cell>
          <cell r="CE308">
            <v>28</v>
          </cell>
          <cell r="CF308">
            <v>59</v>
          </cell>
          <cell r="CG308">
            <v>0</v>
          </cell>
          <cell r="CH308">
            <v>59</v>
          </cell>
          <cell r="CI308">
            <v>59</v>
          </cell>
          <cell r="CJ308">
            <v>59</v>
          </cell>
          <cell r="CV308">
            <v>288.46153846153851</v>
          </cell>
          <cell r="CX308">
            <v>0</v>
          </cell>
          <cell r="CY308">
            <v>0</v>
          </cell>
          <cell r="CZ308">
            <v>0</v>
          </cell>
          <cell r="DA308">
            <v>0</v>
          </cell>
          <cell r="DB308">
            <v>0</v>
          </cell>
          <cell r="DC308">
            <v>0</v>
          </cell>
          <cell r="DD308">
            <v>0</v>
          </cell>
          <cell r="DE308">
            <v>0</v>
          </cell>
          <cell r="DF308">
            <v>0</v>
          </cell>
          <cell r="DG308">
            <v>0</v>
          </cell>
          <cell r="DR308">
            <v>73103</v>
          </cell>
          <cell r="DS308">
            <v>59</v>
          </cell>
          <cell r="DT308">
            <v>59</v>
          </cell>
          <cell r="DU308">
            <v>999999</v>
          </cell>
          <cell r="DV308">
            <v>999999</v>
          </cell>
          <cell r="DW308">
            <v>999999</v>
          </cell>
          <cell r="DX308">
            <v>59</v>
          </cell>
          <cell r="DY308">
            <v>59</v>
          </cell>
          <cell r="DZ308">
            <v>999999</v>
          </cell>
          <cell r="EA308">
            <v>999999</v>
          </cell>
        </row>
        <row r="309">
          <cell r="N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AJ309">
            <v>0</v>
          </cell>
          <cell r="AK309">
            <v>0</v>
          </cell>
          <cell r="AL309">
            <v>999999</v>
          </cell>
          <cell r="AM309">
            <v>58</v>
          </cell>
          <cell r="AN309">
            <v>58</v>
          </cell>
          <cell r="AO309">
            <v>58</v>
          </cell>
          <cell r="AP309">
            <v>0</v>
          </cell>
          <cell r="AQ309">
            <v>0</v>
          </cell>
          <cell r="AR309">
            <v>58</v>
          </cell>
          <cell r="AS309">
            <v>9</v>
          </cell>
          <cell r="BE309">
            <v>0</v>
          </cell>
          <cell r="BG309">
            <v>0</v>
          </cell>
          <cell r="BH309">
            <v>0</v>
          </cell>
          <cell r="BI309">
            <v>0</v>
          </cell>
          <cell r="BJ309">
            <v>0</v>
          </cell>
          <cell r="BK309">
            <v>0</v>
          </cell>
          <cell r="BL309">
            <v>0</v>
          </cell>
          <cell r="BM309">
            <v>0</v>
          </cell>
          <cell r="BN309">
            <v>0</v>
          </cell>
          <cell r="BO309">
            <v>0</v>
          </cell>
          <cell r="BP309">
            <v>0</v>
          </cell>
          <cell r="CA309">
            <v>77493.858693910239</v>
          </cell>
          <cell r="CB309">
            <v>0</v>
          </cell>
          <cell r="CC309">
            <v>58</v>
          </cell>
          <cell r="CD309">
            <v>58</v>
          </cell>
          <cell r="CE309">
            <v>27</v>
          </cell>
          <cell r="CF309">
            <v>58</v>
          </cell>
          <cell r="CG309">
            <v>0</v>
          </cell>
          <cell r="CH309">
            <v>58</v>
          </cell>
          <cell r="CI309">
            <v>58</v>
          </cell>
          <cell r="CJ309">
            <v>58</v>
          </cell>
          <cell r="CV309">
            <v>288.46153846153851</v>
          </cell>
          <cell r="CX309">
            <v>0</v>
          </cell>
          <cell r="CY309">
            <v>0</v>
          </cell>
          <cell r="CZ309">
            <v>0</v>
          </cell>
          <cell r="DA309">
            <v>0</v>
          </cell>
          <cell r="DB309">
            <v>0</v>
          </cell>
          <cell r="DC309">
            <v>0</v>
          </cell>
          <cell r="DD309">
            <v>0</v>
          </cell>
          <cell r="DE309">
            <v>0</v>
          </cell>
          <cell r="DF309">
            <v>0</v>
          </cell>
          <cell r="DG309">
            <v>0</v>
          </cell>
          <cell r="DR309">
            <v>73103</v>
          </cell>
          <cell r="DS309">
            <v>58</v>
          </cell>
          <cell r="DT309">
            <v>58</v>
          </cell>
          <cell r="DU309">
            <v>999999</v>
          </cell>
          <cell r="DV309">
            <v>999999</v>
          </cell>
          <cell r="DW309">
            <v>999999</v>
          </cell>
          <cell r="DX309">
            <v>58</v>
          </cell>
          <cell r="DY309">
            <v>58</v>
          </cell>
          <cell r="DZ309">
            <v>999999</v>
          </cell>
          <cell r="EA309">
            <v>999999</v>
          </cell>
        </row>
        <row r="310">
          <cell r="N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AJ310">
            <v>0</v>
          </cell>
          <cell r="AK310">
            <v>0</v>
          </cell>
          <cell r="AL310">
            <v>999999</v>
          </cell>
          <cell r="AM310">
            <v>57</v>
          </cell>
          <cell r="AN310">
            <v>57</v>
          </cell>
          <cell r="AO310">
            <v>57</v>
          </cell>
          <cell r="AP310">
            <v>0</v>
          </cell>
          <cell r="AQ310">
            <v>0</v>
          </cell>
          <cell r="AR310">
            <v>57</v>
          </cell>
          <cell r="AS310">
            <v>8</v>
          </cell>
          <cell r="BE310">
            <v>0</v>
          </cell>
          <cell r="BG310">
            <v>0</v>
          </cell>
          <cell r="BH310">
            <v>0</v>
          </cell>
          <cell r="BI310">
            <v>0</v>
          </cell>
          <cell r="BJ310">
            <v>0</v>
          </cell>
          <cell r="BK310">
            <v>0</v>
          </cell>
          <cell r="BL310">
            <v>0</v>
          </cell>
          <cell r="BM310">
            <v>0</v>
          </cell>
          <cell r="BN310">
            <v>0</v>
          </cell>
          <cell r="BO310">
            <v>0</v>
          </cell>
          <cell r="BP310">
            <v>0</v>
          </cell>
          <cell r="CA310">
            <v>76957.8036912393</v>
          </cell>
          <cell r="CB310">
            <v>0</v>
          </cell>
          <cell r="CC310">
            <v>57</v>
          </cell>
          <cell r="CD310">
            <v>57</v>
          </cell>
          <cell r="CE310">
            <v>26</v>
          </cell>
          <cell r="CF310">
            <v>57</v>
          </cell>
          <cell r="CG310">
            <v>0</v>
          </cell>
          <cell r="CH310">
            <v>57</v>
          </cell>
          <cell r="CI310">
            <v>57</v>
          </cell>
          <cell r="CJ310">
            <v>57</v>
          </cell>
          <cell r="CV310">
            <v>288.46153846153851</v>
          </cell>
          <cell r="CX310">
            <v>0</v>
          </cell>
          <cell r="CY310">
            <v>0</v>
          </cell>
          <cell r="CZ310">
            <v>0</v>
          </cell>
          <cell r="DA310">
            <v>0</v>
          </cell>
          <cell r="DB310">
            <v>0</v>
          </cell>
          <cell r="DC310">
            <v>0</v>
          </cell>
          <cell r="DD310">
            <v>0</v>
          </cell>
          <cell r="DE310">
            <v>0</v>
          </cell>
          <cell r="DF310">
            <v>0</v>
          </cell>
          <cell r="DG310">
            <v>0</v>
          </cell>
          <cell r="DR310">
            <v>73103</v>
          </cell>
          <cell r="DS310">
            <v>57</v>
          </cell>
          <cell r="DT310">
            <v>57</v>
          </cell>
          <cell r="DU310">
            <v>999999</v>
          </cell>
          <cell r="DV310">
            <v>999999</v>
          </cell>
          <cell r="DW310">
            <v>999999</v>
          </cell>
          <cell r="DX310">
            <v>57</v>
          </cell>
          <cell r="DY310">
            <v>57</v>
          </cell>
          <cell r="DZ310">
            <v>999999</v>
          </cell>
          <cell r="EA310">
            <v>999999</v>
          </cell>
        </row>
        <row r="311">
          <cell r="N311">
            <v>0</v>
          </cell>
          <cell r="P311">
            <v>0</v>
          </cell>
          <cell r="Q311">
            <v>0</v>
          </cell>
          <cell r="R311">
            <v>0</v>
          </cell>
          <cell r="S311">
            <v>0</v>
          </cell>
          <cell r="T311">
            <v>0</v>
          </cell>
          <cell r="U311">
            <v>0</v>
          </cell>
          <cell r="V311">
            <v>0</v>
          </cell>
          <cell r="W311">
            <v>0</v>
          </cell>
          <cell r="X311">
            <v>0</v>
          </cell>
          <cell r="Y311">
            <v>0</v>
          </cell>
          <cell r="AJ311">
            <v>0</v>
          </cell>
          <cell r="AK311">
            <v>0</v>
          </cell>
          <cell r="AL311">
            <v>999999</v>
          </cell>
          <cell r="AM311">
            <v>56</v>
          </cell>
          <cell r="AN311">
            <v>56</v>
          </cell>
          <cell r="AO311">
            <v>56</v>
          </cell>
          <cell r="AP311">
            <v>0</v>
          </cell>
          <cell r="AQ311">
            <v>0</v>
          </cell>
          <cell r="AR311">
            <v>56</v>
          </cell>
          <cell r="AS311">
            <v>7</v>
          </cell>
          <cell r="BE311">
            <v>0</v>
          </cell>
          <cell r="BG311">
            <v>0</v>
          </cell>
          <cell r="BH311">
            <v>0</v>
          </cell>
          <cell r="BI311">
            <v>0</v>
          </cell>
          <cell r="BJ311">
            <v>0</v>
          </cell>
          <cell r="BK311">
            <v>0</v>
          </cell>
          <cell r="BL311">
            <v>0</v>
          </cell>
          <cell r="BM311">
            <v>0</v>
          </cell>
          <cell r="BN311">
            <v>0</v>
          </cell>
          <cell r="BO311">
            <v>0</v>
          </cell>
          <cell r="BP311">
            <v>0</v>
          </cell>
          <cell r="CA311">
            <v>76421.748688568361</v>
          </cell>
          <cell r="CB311">
            <v>0</v>
          </cell>
          <cell r="CC311">
            <v>56</v>
          </cell>
          <cell r="CD311">
            <v>56</v>
          </cell>
          <cell r="CE311">
            <v>25</v>
          </cell>
          <cell r="CF311">
            <v>56</v>
          </cell>
          <cell r="CG311">
            <v>0</v>
          </cell>
          <cell r="CH311">
            <v>56</v>
          </cell>
          <cell r="CI311">
            <v>56</v>
          </cell>
          <cell r="CJ311">
            <v>56</v>
          </cell>
          <cell r="CV311">
            <v>288.46153846153851</v>
          </cell>
          <cell r="CX311">
            <v>0</v>
          </cell>
          <cell r="CY311">
            <v>0</v>
          </cell>
          <cell r="CZ311">
            <v>0</v>
          </cell>
          <cell r="DA311">
            <v>0</v>
          </cell>
          <cell r="DB311">
            <v>0</v>
          </cell>
          <cell r="DC311">
            <v>0</v>
          </cell>
          <cell r="DD311">
            <v>0</v>
          </cell>
          <cell r="DE311">
            <v>0</v>
          </cell>
          <cell r="DF311">
            <v>0</v>
          </cell>
          <cell r="DG311">
            <v>0</v>
          </cell>
          <cell r="DR311">
            <v>73103</v>
          </cell>
          <cell r="DS311">
            <v>56</v>
          </cell>
          <cell r="DT311">
            <v>56</v>
          </cell>
          <cell r="DU311">
            <v>999999</v>
          </cell>
          <cell r="DV311">
            <v>999999</v>
          </cell>
          <cell r="DW311">
            <v>999999</v>
          </cell>
          <cell r="DX311">
            <v>56</v>
          </cell>
          <cell r="DY311">
            <v>56</v>
          </cell>
          <cell r="DZ311">
            <v>999999</v>
          </cell>
          <cell r="EA311">
            <v>999999</v>
          </cell>
        </row>
        <row r="312">
          <cell r="N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AJ312">
            <v>0</v>
          </cell>
          <cell r="AK312">
            <v>0</v>
          </cell>
          <cell r="AL312">
            <v>999999</v>
          </cell>
          <cell r="AM312">
            <v>55</v>
          </cell>
          <cell r="AN312">
            <v>55</v>
          </cell>
          <cell r="AO312">
            <v>55</v>
          </cell>
          <cell r="AP312">
            <v>0</v>
          </cell>
          <cell r="AQ312">
            <v>0</v>
          </cell>
          <cell r="AR312">
            <v>55</v>
          </cell>
          <cell r="AS312">
            <v>6</v>
          </cell>
          <cell r="BE312">
            <v>0</v>
          </cell>
          <cell r="BG312">
            <v>0</v>
          </cell>
          <cell r="BH312">
            <v>0</v>
          </cell>
          <cell r="BI312">
            <v>0</v>
          </cell>
          <cell r="BJ312">
            <v>0</v>
          </cell>
          <cell r="BK312">
            <v>0</v>
          </cell>
          <cell r="BL312">
            <v>0</v>
          </cell>
          <cell r="BM312">
            <v>0</v>
          </cell>
          <cell r="BN312">
            <v>0</v>
          </cell>
          <cell r="BO312">
            <v>0</v>
          </cell>
          <cell r="BP312">
            <v>0</v>
          </cell>
          <cell r="CA312">
            <v>75885.693685897422</v>
          </cell>
          <cell r="CB312">
            <v>0</v>
          </cell>
          <cell r="CC312">
            <v>55</v>
          </cell>
          <cell r="CD312">
            <v>55</v>
          </cell>
          <cell r="CE312">
            <v>24</v>
          </cell>
          <cell r="CF312">
            <v>55</v>
          </cell>
          <cell r="CG312">
            <v>0</v>
          </cell>
          <cell r="CH312">
            <v>55</v>
          </cell>
          <cell r="CI312">
            <v>55</v>
          </cell>
          <cell r="CJ312">
            <v>55</v>
          </cell>
          <cell r="CV312">
            <v>288.46153846153851</v>
          </cell>
          <cell r="CX312">
            <v>0</v>
          </cell>
          <cell r="CY312">
            <v>0</v>
          </cell>
          <cell r="CZ312">
            <v>0</v>
          </cell>
          <cell r="DA312">
            <v>0</v>
          </cell>
          <cell r="DB312">
            <v>0</v>
          </cell>
          <cell r="DC312">
            <v>0</v>
          </cell>
          <cell r="DD312">
            <v>0</v>
          </cell>
          <cell r="DE312">
            <v>0</v>
          </cell>
          <cell r="DF312">
            <v>0</v>
          </cell>
          <cell r="DG312">
            <v>0</v>
          </cell>
          <cell r="DR312">
            <v>73103</v>
          </cell>
          <cell r="DS312">
            <v>55</v>
          </cell>
          <cell r="DT312">
            <v>55</v>
          </cell>
          <cell r="DU312">
            <v>999999</v>
          </cell>
          <cell r="DV312">
            <v>999999</v>
          </cell>
          <cell r="DW312">
            <v>999999</v>
          </cell>
          <cell r="DX312">
            <v>55</v>
          </cell>
          <cell r="DY312">
            <v>55</v>
          </cell>
          <cell r="DZ312">
            <v>999999</v>
          </cell>
          <cell r="EA312">
            <v>999999</v>
          </cell>
        </row>
        <row r="313">
          <cell r="N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AJ313">
            <v>0</v>
          </cell>
          <cell r="AK313">
            <v>0</v>
          </cell>
          <cell r="AL313">
            <v>999999</v>
          </cell>
          <cell r="AM313">
            <v>54</v>
          </cell>
          <cell r="AN313">
            <v>54</v>
          </cell>
          <cell r="AO313">
            <v>54</v>
          </cell>
          <cell r="AP313">
            <v>0</v>
          </cell>
          <cell r="AQ313">
            <v>0</v>
          </cell>
          <cell r="AR313">
            <v>54</v>
          </cell>
          <cell r="AS313">
            <v>5</v>
          </cell>
          <cell r="BE313">
            <v>0</v>
          </cell>
          <cell r="BG313">
            <v>0</v>
          </cell>
          <cell r="BH313">
            <v>0</v>
          </cell>
          <cell r="BI313">
            <v>0</v>
          </cell>
          <cell r="BJ313">
            <v>0</v>
          </cell>
          <cell r="BK313">
            <v>0</v>
          </cell>
          <cell r="BL313">
            <v>0</v>
          </cell>
          <cell r="BM313">
            <v>0</v>
          </cell>
          <cell r="BN313">
            <v>0</v>
          </cell>
          <cell r="BO313">
            <v>0</v>
          </cell>
          <cell r="BP313">
            <v>0</v>
          </cell>
          <cell r="CA313">
            <v>75349.638683226483</v>
          </cell>
          <cell r="CB313">
            <v>0</v>
          </cell>
          <cell r="CC313">
            <v>54</v>
          </cell>
          <cell r="CD313">
            <v>54</v>
          </cell>
          <cell r="CE313">
            <v>23</v>
          </cell>
          <cell r="CF313">
            <v>54</v>
          </cell>
          <cell r="CG313">
            <v>0</v>
          </cell>
          <cell r="CH313">
            <v>54</v>
          </cell>
          <cell r="CI313">
            <v>54</v>
          </cell>
          <cell r="CJ313">
            <v>54</v>
          </cell>
          <cell r="CV313">
            <v>288.46153846153851</v>
          </cell>
          <cell r="CX313">
            <v>0</v>
          </cell>
          <cell r="CY313">
            <v>0</v>
          </cell>
          <cell r="CZ313">
            <v>0</v>
          </cell>
          <cell r="DA313">
            <v>0</v>
          </cell>
          <cell r="DB313">
            <v>0</v>
          </cell>
          <cell r="DC313">
            <v>0</v>
          </cell>
          <cell r="DD313">
            <v>0</v>
          </cell>
          <cell r="DE313">
            <v>0</v>
          </cell>
          <cell r="DF313">
            <v>0</v>
          </cell>
          <cell r="DG313">
            <v>0</v>
          </cell>
          <cell r="DR313">
            <v>73103</v>
          </cell>
          <cell r="DS313">
            <v>54</v>
          </cell>
          <cell r="DT313">
            <v>54</v>
          </cell>
          <cell r="DU313">
            <v>999999</v>
          </cell>
          <cell r="DV313">
            <v>999999</v>
          </cell>
          <cell r="DW313">
            <v>999999</v>
          </cell>
          <cell r="DX313">
            <v>54</v>
          </cell>
          <cell r="DY313">
            <v>54</v>
          </cell>
          <cell r="DZ313">
            <v>999999</v>
          </cell>
          <cell r="EA313">
            <v>999999</v>
          </cell>
        </row>
        <row r="314">
          <cell r="N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AJ314">
            <v>0</v>
          </cell>
          <cell r="AK314">
            <v>0</v>
          </cell>
          <cell r="AL314">
            <v>999999</v>
          </cell>
          <cell r="AM314">
            <v>53</v>
          </cell>
          <cell r="AN314">
            <v>53</v>
          </cell>
          <cell r="AO314">
            <v>53</v>
          </cell>
          <cell r="AP314">
            <v>0</v>
          </cell>
          <cell r="AQ314">
            <v>0</v>
          </cell>
          <cell r="AR314">
            <v>53</v>
          </cell>
          <cell r="AS314">
            <v>4</v>
          </cell>
          <cell r="BE314">
            <v>0</v>
          </cell>
          <cell r="BG314">
            <v>0</v>
          </cell>
          <cell r="BH314">
            <v>0</v>
          </cell>
          <cell r="BI314">
            <v>0</v>
          </cell>
          <cell r="BJ314">
            <v>0</v>
          </cell>
          <cell r="BK314">
            <v>0</v>
          </cell>
          <cell r="BL314">
            <v>0</v>
          </cell>
          <cell r="BM314">
            <v>0</v>
          </cell>
          <cell r="BN314">
            <v>0</v>
          </cell>
          <cell r="BO314">
            <v>0</v>
          </cell>
          <cell r="BP314">
            <v>0</v>
          </cell>
          <cell r="CA314">
            <v>74813.583680555545</v>
          </cell>
          <cell r="CB314">
            <v>0</v>
          </cell>
          <cell r="CC314">
            <v>53</v>
          </cell>
          <cell r="CD314">
            <v>53</v>
          </cell>
          <cell r="CE314">
            <v>22</v>
          </cell>
          <cell r="CF314">
            <v>53</v>
          </cell>
          <cell r="CG314">
            <v>0</v>
          </cell>
          <cell r="CH314">
            <v>53</v>
          </cell>
          <cell r="CI314">
            <v>53</v>
          </cell>
          <cell r="CJ314">
            <v>53</v>
          </cell>
          <cell r="CV314">
            <v>288.46153846153851</v>
          </cell>
          <cell r="CX314">
            <v>0</v>
          </cell>
          <cell r="CY314">
            <v>0</v>
          </cell>
          <cell r="CZ314">
            <v>0</v>
          </cell>
          <cell r="DA314">
            <v>0</v>
          </cell>
          <cell r="DB314">
            <v>0</v>
          </cell>
          <cell r="DC314">
            <v>0</v>
          </cell>
          <cell r="DD314">
            <v>0</v>
          </cell>
          <cell r="DE314">
            <v>0</v>
          </cell>
          <cell r="DF314">
            <v>0</v>
          </cell>
          <cell r="DG314">
            <v>0</v>
          </cell>
          <cell r="DR314">
            <v>73103</v>
          </cell>
          <cell r="DS314">
            <v>53</v>
          </cell>
          <cell r="DT314">
            <v>53</v>
          </cell>
          <cell r="DU314">
            <v>999999</v>
          </cell>
          <cell r="DV314">
            <v>999999</v>
          </cell>
          <cell r="DW314">
            <v>999999</v>
          </cell>
          <cell r="DX314">
            <v>53</v>
          </cell>
          <cell r="DY314">
            <v>53</v>
          </cell>
          <cell r="DZ314">
            <v>999999</v>
          </cell>
          <cell r="EA314">
            <v>999999</v>
          </cell>
        </row>
        <row r="315">
          <cell r="N315">
            <v>0</v>
          </cell>
          <cell r="P315">
            <v>0</v>
          </cell>
          <cell r="Q315">
            <v>0</v>
          </cell>
          <cell r="R315">
            <v>0</v>
          </cell>
          <cell r="S315">
            <v>0</v>
          </cell>
          <cell r="T315">
            <v>0</v>
          </cell>
          <cell r="U315">
            <v>0</v>
          </cell>
          <cell r="V315">
            <v>0</v>
          </cell>
          <cell r="W315">
            <v>0</v>
          </cell>
          <cell r="X315">
            <v>0</v>
          </cell>
          <cell r="Y315">
            <v>0</v>
          </cell>
          <cell r="AJ315">
            <v>0</v>
          </cell>
          <cell r="AK315">
            <v>0</v>
          </cell>
          <cell r="AL315">
            <v>999999</v>
          </cell>
          <cell r="AM315">
            <v>52</v>
          </cell>
          <cell r="AN315">
            <v>52</v>
          </cell>
          <cell r="AO315">
            <v>52</v>
          </cell>
          <cell r="AP315">
            <v>0</v>
          </cell>
          <cell r="AQ315">
            <v>0</v>
          </cell>
          <cell r="AR315">
            <v>52</v>
          </cell>
          <cell r="AS315">
            <v>3</v>
          </cell>
          <cell r="BE315">
            <v>48000</v>
          </cell>
          <cell r="BG315">
            <v>0</v>
          </cell>
          <cell r="BH315">
            <v>0</v>
          </cell>
          <cell r="BI315">
            <v>0</v>
          </cell>
          <cell r="BJ315">
            <v>0</v>
          </cell>
          <cell r="BK315">
            <v>0</v>
          </cell>
          <cell r="BL315">
            <v>0</v>
          </cell>
          <cell r="BM315">
            <v>0</v>
          </cell>
          <cell r="BN315">
            <v>0</v>
          </cell>
          <cell r="BO315">
            <v>0</v>
          </cell>
          <cell r="BP315">
            <v>0</v>
          </cell>
          <cell r="CA315">
            <v>74277.528677884606</v>
          </cell>
          <cell r="CB315">
            <v>0</v>
          </cell>
          <cell r="CC315">
            <v>52</v>
          </cell>
          <cell r="CD315">
            <v>52</v>
          </cell>
          <cell r="CE315">
            <v>21</v>
          </cell>
          <cell r="CF315">
            <v>52</v>
          </cell>
          <cell r="CG315">
            <v>0</v>
          </cell>
          <cell r="CH315">
            <v>52</v>
          </cell>
          <cell r="CI315">
            <v>52</v>
          </cell>
          <cell r="CJ315">
            <v>52</v>
          </cell>
          <cell r="CV315">
            <v>288.46153846153851</v>
          </cell>
          <cell r="CX315">
            <v>0</v>
          </cell>
          <cell r="CY315">
            <v>0</v>
          </cell>
          <cell r="CZ315">
            <v>0</v>
          </cell>
          <cell r="DA315">
            <v>0</v>
          </cell>
          <cell r="DB315">
            <v>0</v>
          </cell>
          <cell r="DC315">
            <v>0</v>
          </cell>
          <cell r="DD315">
            <v>0</v>
          </cell>
          <cell r="DE315">
            <v>0</v>
          </cell>
          <cell r="DF315">
            <v>0</v>
          </cell>
          <cell r="DG315">
            <v>0</v>
          </cell>
          <cell r="DR315">
            <v>73103</v>
          </cell>
          <cell r="DS315">
            <v>52</v>
          </cell>
          <cell r="DT315">
            <v>52</v>
          </cell>
          <cell r="DU315">
            <v>999999</v>
          </cell>
          <cell r="DV315">
            <v>999999</v>
          </cell>
          <cell r="DW315">
            <v>999999</v>
          </cell>
          <cell r="DX315">
            <v>52</v>
          </cell>
          <cell r="DY315">
            <v>52</v>
          </cell>
          <cell r="DZ315">
            <v>999999</v>
          </cell>
          <cell r="EA315">
            <v>999999</v>
          </cell>
        </row>
        <row r="316">
          <cell r="N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AJ316">
            <v>0</v>
          </cell>
          <cell r="AK316">
            <v>0</v>
          </cell>
          <cell r="AL316">
            <v>999999</v>
          </cell>
          <cell r="AM316">
            <v>51</v>
          </cell>
          <cell r="AN316">
            <v>51</v>
          </cell>
          <cell r="AO316">
            <v>51</v>
          </cell>
          <cell r="AP316">
            <v>0</v>
          </cell>
          <cell r="AQ316">
            <v>0</v>
          </cell>
          <cell r="AR316">
            <v>51</v>
          </cell>
          <cell r="AS316">
            <v>2</v>
          </cell>
          <cell r="BE316">
            <v>0</v>
          </cell>
          <cell r="BG316">
            <v>0</v>
          </cell>
          <cell r="BH316">
            <v>0</v>
          </cell>
          <cell r="BI316">
            <v>0</v>
          </cell>
          <cell r="BJ316">
            <v>0</v>
          </cell>
          <cell r="BK316">
            <v>0</v>
          </cell>
          <cell r="BL316">
            <v>0</v>
          </cell>
          <cell r="BM316">
            <v>0</v>
          </cell>
          <cell r="BN316">
            <v>0</v>
          </cell>
          <cell r="BO316">
            <v>0</v>
          </cell>
          <cell r="BP316">
            <v>0</v>
          </cell>
          <cell r="CA316">
            <v>73741.473675213667</v>
          </cell>
          <cell r="CB316">
            <v>0</v>
          </cell>
          <cell r="CC316">
            <v>51</v>
          </cell>
          <cell r="CD316">
            <v>51</v>
          </cell>
          <cell r="CE316">
            <v>20</v>
          </cell>
          <cell r="CF316">
            <v>51</v>
          </cell>
          <cell r="CG316">
            <v>0</v>
          </cell>
          <cell r="CH316">
            <v>51</v>
          </cell>
          <cell r="CI316">
            <v>51</v>
          </cell>
          <cell r="CJ316">
            <v>51</v>
          </cell>
          <cell r="CV316">
            <v>288.46153846153851</v>
          </cell>
          <cell r="CX316">
            <v>0</v>
          </cell>
          <cell r="CY316">
            <v>0</v>
          </cell>
          <cell r="CZ316">
            <v>0</v>
          </cell>
          <cell r="DA316">
            <v>0</v>
          </cell>
          <cell r="DB316">
            <v>0</v>
          </cell>
          <cell r="DC316">
            <v>0</v>
          </cell>
          <cell r="DD316">
            <v>0</v>
          </cell>
          <cell r="DE316">
            <v>0</v>
          </cell>
          <cell r="DF316">
            <v>0</v>
          </cell>
          <cell r="DG316">
            <v>0</v>
          </cell>
          <cell r="DR316">
            <v>73103</v>
          </cell>
          <cell r="DS316">
            <v>51</v>
          </cell>
          <cell r="DT316">
            <v>51</v>
          </cell>
          <cell r="DU316">
            <v>999999</v>
          </cell>
          <cell r="DV316">
            <v>999999</v>
          </cell>
          <cell r="DW316">
            <v>999999</v>
          </cell>
          <cell r="DX316">
            <v>51</v>
          </cell>
          <cell r="DY316">
            <v>51</v>
          </cell>
          <cell r="DZ316">
            <v>999999</v>
          </cell>
          <cell r="EA316">
            <v>999999</v>
          </cell>
        </row>
        <row r="317">
          <cell r="N317">
            <v>48000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AJ317">
            <v>0</v>
          </cell>
          <cell r="AK317">
            <v>0</v>
          </cell>
          <cell r="AL317">
            <v>999999</v>
          </cell>
          <cell r="AM317">
            <v>50</v>
          </cell>
          <cell r="AN317">
            <v>50</v>
          </cell>
          <cell r="AO317">
            <v>50</v>
          </cell>
          <cell r="AP317">
            <v>0</v>
          </cell>
          <cell r="AQ317">
            <v>0</v>
          </cell>
          <cell r="AR317">
            <v>50</v>
          </cell>
          <cell r="AS317">
            <v>1</v>
          </cell>
          <cell r="BE317">
            <v>0</v>
          </cell>
          <cell r="BG317">
            <v>0</v>
          </cell>
          <cell r="BH317">
            <v>0</v>
          </cell>
          <cell r="BI317">
            <v>0</v>
          </cell>
          <cell r="BJ317">
            <v>0</v>
          </cell>
          <cell r="BK317">
            <v>0</v>
          </cell>
          <cell r="BL317">
            <v>0</v>
          </cell>
          <cell r="BM317">
            <v>0</v>
          </cell>
          <cell r="BN317">
            <v>0</v>
          </cell>
          <cell r="BO317">
            <v>0</v>
          </cell>
          <cell r="BP317">
            <v>0</v>
          </cell>
          <cell r="CA317">
            <v>73205.418672542728</v>
          </cell>
          <cell r="CB317">
            <v>0</v>
          </cell>
          <cell r="CC317">
            <v>50</v>
          </cell>
          <cell r="CD317">
            <v>50</v>
          </cell>
          <cell r="CE317">
            <v>19</v>
          </cell>
          <cell r="CF317">
            <v>50</v>
          </cell>
          <cell r="CG317">
            <v>0</v>
          </cell>
          <cell r="CH317">
            <v>50</v>
          </cell>
          <cell r="CI317">
            <v>50</v>
          </cell>
          <cell r="CJ317">
            <v>50</v>
          </cell>
          <cell r="CV317">
            <v>288.46153846153851</v>
          </cell>
          <cell r="CX317">
            <v>0</v>
          </cell>
          <cell r="CY317">
            <v>0</v>
          </cell>
          <cell r="CZ317">
            <v>0</v>
          </cell>
          <cell r="DA317">
            <v>0</v>
          </cell>
          <cell r="DB317">
            <v>0</v>
          </cell>
          <cell r="DC317">
            <v>0</v>
          </cell>
          <cell r="DD317">
            <v>0</v>
          </cell>
          <cell r="DE317">
            <v>0</v>
          </cell>
          <cell r="DF317">
            <v>0</v>
          </cell>
          <cell r="DG317">
            <v>0</v>
          </cell>
          <cell r="DR317">
            <v>73103</v>
          </cell>
          <cell r="DS317">
            <v>50</v>
          </cell>
          <cell r="DT317">
            <v>50</v>
          </cell>
          <cell r="DU317">
            <v>999999</v>
          </cell>
          <cell r="DV317">
            <v>999999</v>
          </cell>
          <cell r="DW317">
            <v>999999</v>
          </cell>
          <cell r="DX317">
            <v>50</v>
          </cell>
          <cell r="DY317">
            <v>50</v>
          </cell>
          <cell r="DZ317">
            <v>999999</v>
          </cell>
          <cell r="EA317">
            <v>999999</v>
          </cell>
        </row>
        <row r="318">
          <cell r="N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AJ318">
            <v>0</v>
          </cell>
          <cell r="AK318">
            <v>0</v>
          </cell>
          <cell r="AL318">
            <v>999999</v>
          </cell>
          <cell r="AM318">
            <v>49</v>
          </cell>
          <cell r="AN318">
            <v>49</v>
          </cell>
          <cell r="AO318">
            <v>49</v>
          </cell>
          <cell r="AP318">
            <v>0</v>
          </cell>
          <cell r="AQ318">
            <v>0</v>
          </cell>
          <cell r="AR318">
            <v>49</v>
          </cell>
          <cell r="AS318">
            <v>0</v>
          </cell>
          <cell r="BE318">
            <v>0</v>
          </cell>
          <cell r="BG318">
            <v>0</v>
          </cell>
          <cell r="BH318">
            <v>0</v>
          </cell>
          <cell r="BI318">
            <v>0</v>
          </cell>
          <cell r="BJ318">
            <v>0</v>
          </cell>
          <cell r="BK318">
            <v>0</v>
          </cell>
          <cell r="BL318">
            <v>0</v>
          </cell>
          <cell r="BM318">
            <v>0</v>
          </cell>
          <cell r="BN318">
            <v>0</v>
          </cell>
          <cell r="BO318">
            <v>0</v>
          </cell>
          <cell r="BP318">
            <v>0</v>
          </cell>
          <cell r="CA318">
            <v>72669.363669871789</v>
          </cell>
          <cell r="CB318">
            <v>0</v>
          </cell>
          <cell r="CC318">
            <v>49</v>
          </cell>
          <cell r="CD318">
            <v>49</v>
          </cell>
          <cell r="CE318">
            <v>18</v>
          </cell>
          <cell r="CF318">
            <v>49</v>
          </cell>
          <cell r="CG318">
            <v>0</v>
          </cell>
          <cell r="CH318">
            <v>49</v>
          </cell>
          <cell r="CI318">
            <v>49</v>
          </cell>
          <cell r="CJ318">
            <v>49</v>
          </cell>
          <cell r="CV318">
            <v>288.46153846153851</v>
          </cell>
          <cell r="CX318">
            <v>0</v>
          </cell>
          <cell r="CY318">
            <v>0</v>
          </cell>
          <cell r="CZ318">
            <v>0</v>
          </cell>
          <cell r="DA318">
            <v>0</v>
          </cell>
          <cell r="DB318">
            <v>0</v>
          </cell>
          <cell r="DC318">
            <v>0</v>
          </cell>
          <cell r="DD318">
            <v>0</v>
          </cell>
          <cell r="DE318">
            <v>0</v>
          </cell>
          <cell r="DF318">
            <v>0</v>
          </cell>
          <cell r="DG318">
            <v>0</v>
          </cell>
          <cell r="DR318">
            <v>73103</v>
          </cell>
          <cell r="DS318">
            <v>49</v>
          </cell>
          <cell r="DT318">
            <v>49</v>
          </cell>
          <cell r="DU318">
            <v>999999</v>
          </cell>
          <cell r="DV318">
            <v>999999</v>
          </cell>
          <cell r="DW318">
            <v>999999</v>
          </cell>
          <cell r="DX318">
            <v>49</v>
          </cell>
          <cell r="DY318">
            <v>49</v>
          </cell>
          <cell r="DZ318">
            <v>999999</v>
          </cell>
          <cell r="EA318">
            <v>999999</v>
          </cell>
        </row>
        <row r="319">
          <cell r="N319">
            <v>0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W319">
            <v>0</v>
          </cell>
          <cell r="X319">
            <v>0</v>
          </cell>
          <cell r="Y319">
            <v>0</v>
          </cell>
          <cell r="AJ319">
            <v>0</v>
          </cell>
          <cell r="AK319">
            <v>0</v>
          </cell>
          <cell r="AL319">
            <v>999999</v>
          </cell>
          <cell r="AM319">
            <v>48</v>
          </cell>
          <cell r="AN319">
            <v>48</v>
          </cell>
          <cell r="AO319">
            <v>48</v>
          </cell>
          <cell r="AP319">
            <v>0</v>
          </cell>
          <cell r="AQ319">
            <v>0</v>
          </cell>
          <cell r="AR319">
            <v>48</v>
          </cell>
          <cell r="AS319">
            <v>0</v>
          </cell>
          <cell r="BE319">
            <v>0</v>
          </cell>
          <cell r="BG319">
            <v>0</v>
          </cell>
          <cell r="BH319">
            <v>0</v>
          </cell>
          <cell r="BI319">
            <v>0</v>
          </cell>
          <cell r="BJ319">
            <v>0</v>
          </cell>
          <cell r="BK319">
            <v>0</v>
          </cell>
          <cell r="BL319">
            <v>0</v>
          </cell>
          <cell r="BM319">
            <v>0</v>
          </cell>
          <cell r="BN319">
            <v>0</v>
          </cell>
          <cell r="BO319">
            <v>0</v>
          </cell>
          <cell r="BP319">
            <v>0</v>
          </cell>
          <cell r="CA319">
            <v>72133.30866720085</v>
          </cell>
          <cell r="CB319">
            <v>0</v>
          </cell>
          <cell r="CC319">
            <v>48</v>
          </cell>
          <cell r="CD319">
            <v>48</v>
          </cell>
          <cell r="CE319">
            <v>17</v>
          </cell>
          <cell r="CF319">
            <v>48</v>
          </cell>
          <cell r="CG319">
            <v>0</v>
          </cell>
          <cell r="CH319">
            <v>48</v>
          </cell>
          <cell r="CI319">
            <v>48</v>
          </cell>
          <cell r="CJ319">
            <v>48</v>
          </cell>
          <cell r="CV319">
            <v>288.46153846153851</v>
          </cell>
          <cell r="CX319">
            <v>0</v>
          </cell>
          <cell r="CY319">
            <v>0</v>
          </cell>
          <cell r="CZ319">
            <v>0</v>
          </cell>
          <cell r="DA319">
            <v>0</v>
          </cell>
          <cell r="DB319">
            <v>0</v>
          </cell>
          <cell r="DC319">
            <v>0</v>
          </cell>
          <cell r="DD319">
            <v>0</v>
          </cell>
          <cell r="DE319">
            <v>0</v>
          </cell>
          <cell r="DF319">
            <v>0</v>
          </cell>
          <cell r="DG319">
            <v>0</v>
          </cell>
          <cell r="DR319">
            <v>73103</v>
          </cell>
          <cell r="DS319">
            <v>48</v>
          </cell>
          <cell r="DT319">
            <v>48</v>
          </cell>
          <cell r="DU319">
            <v>999999</v>
          </cell>
          <cell r="DV319">
            <v>999999</v>
          </cell>
          <cell r="DW319">
            <v>999999</v>
          </cell>
          <cell r="DX319">
            <v>48</v>
          </cell>
          <cell r="DY319">
            <v>48</v>
          </cell>
          <cell r="DZ319">
            <v>999999</v>
          </cell>
          <cell r="EA319">
            <v>999999</v>
          </cell>
        </row>
        <row r="320">
          <cell r="N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AJ320">
            <v>0</v>
          </cell>
          <cell r="AK320">
            <v>0</v>
          </cell>
          <cell r="AL320">
            <v>999999</v>
          </cell>
          <cell r="AM320">
            <v>47</v>
          </cell>
          <cell r="AN320">
            <v>47</v>
          </cell>
          <cell r="AO320">
            <v>47</v>
          </cell>
          <cell r="AP320">
            <v>0</v>
          </cell>
          <cell r="AQ320">
            <v>0</v>
          </cell>
          <cell r="AR320">
            <v>47</v>
          </cell>
          <cell r="AS320">
            <v>0</v>
          </cell>
          <cell r="BE320">
            <v>0</v>
          </cell>
          <cell r="BG320">
            <v>0</v>
          </cell>
          <cell r="BH320">
            <v>0</v>
          </cell>
          <cell r="BI320">
            <v>0</v>
          </cell>
          <cell r="BJ320">
            <v>0</v>
          </cell>
          <cell r="BK320">
            <v>0</v>
          </cell>
          <cell r="BL320">
            <v>0</v>
          </cell>
          <cell r="BM320">
            <v>0</v>
          </cell>
          <cell r="BN320">
            <v>0</v>
          </cell>
          <cell r="BO320">
            <v>0</v>
          </cell>
          <cell r="BP320">
            <v>0</v>
          </cell>
          <cell r="CA320">
            <v>71597.253664529911</v>
          </cell>
          <cell r="CB320">
            <v>0</v>
          </cell>
          <cell r="CC320">
            <v>47</v>
          </cell>
          <cell r="CD320">
            <v>47</v>
          </cell>
          <cell r="CE320">
            <v>16</v>
          </cell>
          <cell r="CF320">
            <v>47</v>
          </cell>
          <cell r="CG320">
            <v>0</v>
          </cell>
          <cell r="CH320">
            <v>47</v>
          </cell>
          <cell r="CI320">
            <v>47</v>
          </cell>
          <cell r="CJ320">
            <v>47</v>
          </cell>
          <cell r="CV320">
            <v>288.46153846153851</v>
          </cell>
          <cell r="CX320">
            <v>0</v>
          </cell>
          <cell r="CY320">
            <v>0</v>
          </cell>
          <cell r="CZ320">
            <v>0</v>
          </cell>
          <cell r="DA320">
            <v>0</v>
          </cell>
          <cell r="DB320">
            <v>0</v>
          </cell>
          <cell r="DC320">
            <v>0</v>
          </cell>
          <cell r="DD320">
            <v>0</v>
          </cell>
          <cell r="DE320">
            <v>0</v>
          </cell>
          <cell r="DF320">
            <v>0</v>
          </cell>
          <cell r="DG320">
            <v>0</v>
          </cell>
          <cell r="DR320">
            <v>73103</v>
          </cell>
          <cell r="DS320">
            <v>47</v>
          </cell>
          <cell r="DT320">
            <v>47</v>
          </cell>
          <cell r="DU320">
            <v>999999</v>
          </cell>
          <cell r="DV320">
            <v>999999</v>
          </cell>
          <cell r="DW320">
            <v>999999</v>
          </cell>
          <cell r="DX320">
            <v>47</v>
          </cell>
          <cell r="DY320">
            <v>47</v>
          </cell>
          <cell r="DZ320">
            <v>999999</v>
          </cell>
          <cell r="EA320">
            <v>999999</v>
          </cell>
        </row>
        <row r="321">
          <cell r="N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AJ321">
            <v>0</v>
          </cell>
          <cell r="AK321">
            <v>0</v>
          </cell>
          <cell r="AL321">
            <v>999999</v>
          </cell>
          <cell r="AM321">
            <v>46</v>
          </cell>
          <cell r="AN321">
            <v>46</v>
          </cell>
          <cell r="AO321">
            <v>46</v>
          </cell>
          <cell r="AP321">
            <v>0</v>
          </cell>
          <cell r="AQ321">
            <v>0</v>
          </cell>
          <cell r="AR321">
            <v>46</v>
          </cell>
          <cell r="AS321">
            <v>0</v>
          </cell>
          <cell r="BE321">
            <v>0</v>
          </cell>
          <cell r="BG321">
            <v>0</v>
          </cell>
          <cell r="BH321">
            <v>0</v>
          </cell>
          <cell r="BI321">
            <v>0</v>
          </cell>
          <cell r="BJ321">
            <v>0</v>
          </cell>
          <cell r="BK321">
            <v>0</v>
          </cell>
          <cell r="BL321">
            <v>0</v>
          </cell>
          <cell r="BM321">
            <v>0</v>
          </cell>
          <cell r="BN321">
            <v>0</v>
          </cell>
          <cell r="BO321">
            <v>0</v>
          </cell>
          <cell r="BP321">
            <v>0</v>
          </cell>
          <cell r="CA321">
            <v>71061.198661858973</v>
          </cell>
          <cell r="CB321">
            <v>0</v>
          </cell>
          <cell r="CC321">
            <v>46</v>
          </cell>
          <cell r="CD321">
            <v>46</v>
          </cell>
          <cell r="CE321">
            <v>15</v>
          </cell>
          <cell r="CF321">
            <v>46</v>
          </cell>
          <cell r="CG321">
            <v>0</v>
          </cell>
          <cell r="CH321">
            <v>46</v>
          </cell>
          <cell r="CI321">
            <v>46</v>
          </cell>
          <cell r="CJ321">
            <v>46</v>
          </cell>
          <cell r="CV321">
            <v>288.46153846153851</v>
          </cell>
          <cell r="CX321">
            <v>0</v>
          </cell>
          <cell r="CY321">
            <v>0</v>
          </cell>
          <cell r="CZ321">
            <v>0</v>
          </cell>
          <cell r="DA321">
            <v>0</v>
          </cell>
          <cell r="DB321">
            <v>0</v>
          </cell>
          <cell r="DC321">
            <v>0</v>
          </cell>
          <cell r="DD321">
            <v>0</v>
          </cell>
          <cell r="DE321">
            <v>0</v>
          </cell>
          <cell r="DF321">
            <v>0</v>
          </cell>
          <cell r="DG321">
            <v>0</v>
          </cell>
          <cell r="DR321">
            <v>73103</v>
          </cell>
          <cell r="DS321">
            <v>46</v>
          </cell>
          <cell r="DT321">
            <v>46</v>
          </cell>
          <cell r="DU321">
            <v>999999</v>
          </cell>
          <cell r="DV321">
            <v>999999</v>
          </cell>
          <cell r="DW321">
            <v>999999</v>
          </cell>
          <cell r="DX321">
            <v>46</v>
          </cell>
          <cell r="DY321">
            <v>46</v>
          </cell>
          <cell r="DZ321">
            <v>999999</v>
          </cell>
          <cell r="EA321">
            <v>999999</v>
          </cell>
        </row>
        <row r="322">
          <cell r="N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AJ322">
            <v>0</v>
          </cell>
          <cell r="AK322">
            <v>0</v>
          </cell>
          <cell r="AL322">
            <v>999999</v>
          </cell>
          <cell r="AM322">
            <v>45</v>
          </cell>
          <cell r="AN322">
            <v>45</v>
          </cell>
          <cell r="AO322">
            <v>45</v>
          </cell>
          <cell r="AP322">
            <v>0</v>
          </cell>
          <cell r="AQ322">
            <v>0</v>
          </cell>
          <cell r="AR322">
            <v>45</v>
          </cell>
          <cell r="AS322">
            <v>0</v>
          </cell>
          <cell r="BE322">
            <v>48000</v>
          </cell>
          <cell r="BG322">
            <v>0</v>
          </cell>
          <cell r="BH322">
            <v>0</v>
          </cell>
          <cell r="BI322">
            <v>0</v>
          </cell>
          <cell r="BJ322">
            <v>0</v>
          </cell>
          <cell r="BK322">
            <v>0</v>
          </cell>
          <cell r="BL322">
            <v>0</v>
          </cell>
          <cell r="BM322">
            <v>0</v>
          </cell>
          <cell r="BN322">
            <v>0</v>
          </cell>
          <cell r="BO322">
            <v>0</v>
          </cell>
          <cell r="BP322">
            <v>0</v>
          </cell>
          <cell r="CA322">
            <v>70525.143659188034</v>
          </cell>
          <cell r="CB322">
            <v>0</v>
          </cell>
          <cell r="CC322">
            <v>45</v>
          </cell>
          <cell r="CD322">
            <v>45</v>
          </cell>
          <cell r="CE322">
            <v>14</v>
          </cell>
          <cell r="CF322">
            <v>45</v>
          </cell>
          <cell r="CG322">
            <v>0</v>
          </cell>
          <cell r="CH322">
            <v>45</v>
          </cell>
          <cell r="CI322">
            <v>45</v>
          </cell>
          <cell r="CJ322">
            <v>45</v>
          </cell>
          <cell r="CV322">
            <v>288.46153846153851</v>
          </cell>
          <cell r="CX322">
            <v>0</v>
          </cell>
          <cell r="CY322">
            <v>0</v>
          </cell>
          <cell r="CZ322">
            <v>0</v>
          </cell>
          <cell r="DA322">
            <v>0</v>
          </cell>
          <cell r="DB322">
            <v>0</v>
          </cell>
          <cell r="DC322">
            <v>0</v>
          </cell>
          <cell r="DD322">
            <v>0</v>
          </cell>
          <cell r="DE322">
            <v>0</v>
          </cell>
          <cell r="DF322">
            <v>0</v>
          </cell>
          <cell r="DG322">
            <v>0</v>
          </cell>
          <cell r="DR322">
            <v>73103</v>
          </cell>
          <cell r="DS322">
            <v>45</v>
          </cell>
          <cell r="DT322">
            <v>45</v>
          </cell>
          <cell r="DU322">
            <v>999999</v>
          </cell>
          <cell r="DV322">
            <v>999999</v>
          </cell>
          <cell r="DW322">
            <v>999999</v>
          </cell>
          <cell r="DX322">
            <v>45</v>
          </cell>
          <cell r="DY322">
            <v>45</v>
          </cell>
          <cell r="DZ322">
            <v>999999</v>
          </cell>
          <cell r="EA322">
            <v>999999</v>
          </cell>
        </row>
        <row r="323">
          <cell r="N323">
            <v>0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W323">
            <v>0</v>
          </cell>
          <cell r="X323">
            <v>0</v>
          </cell>
          <cell r="Y323">
            <v>0</v>
          </cell>
          <cell r="AJ323">
            <v>0</v>
          </cell>
          <cell r="AK323">
            <v>0</v>
          </cell>
          <cell r="AL323">
            <v>999999</v>
          </cell>
          <cell r="AM323">
            <v>44</v>
          </cell>
          <cell r="AN323">
            <v>44</v>
          </cell>
          <cell r="AO323">
            <v>44</v>
          </cell>
          <cell r="AP323">
            <v>0</v>
          </cell>
          <cell r="AQ323">
            <v>0</v>
          </cell>
          <cell r="AR323">
            <v>44</v>
          </cell>
          <cell r="AS323">
            <v>0</v>
          </cell>
          <cell r="BE323">
            <v>0</v>
          </cell>
          <cell r="BG323">
            <v>0</v>
          </cell>
          <cell r="BH323">
            <v>0</v>
          </cell>
          <cell r="BI323">
            <v>0</v>
          </cell>
          <cell r="BJ323">
            <v>0</v>
          </cell>
          <cell r="BK323">
            <v>0</v>
          </cell>
          <cell r="BL323">
            <v>0</v>
          </cell>
          <cell r="BM323">
            <v>0</v>
          </cell>
          <cell r="BN323">
            <v>0</v>
          </cell>
          <cell r="BO323">
            <v>0</v>
          </cell>
          <cell r="BP323">
            <v>0</v>
          </cell>
          <cell r="CA323">
            <v>69989.088656517095</v>
          </cell>
          <cell r="CB323">
            <v>0</v>
          </cell>
          <cell r="CC323">
            <v>44</v>
          </cell>
          <cell r="CD323">
            <v>44</v>
          </cell>
          <cell r="CE323">
            <v>13</v>
          </cell>
          <cell r="CF323">
            <v>44</v>
          </cell>
          <cell r="CG323">
            <v>0</v>
          </cell>
          <cell r="CH323">
            <v>44</v>
          </cell>
          <cell r="CI323">
            <v>44</v>
          </cell>
          <cell r="CJ323">
            <v>44</v>
          </cell>
          <cell r="CV323">
            <v>288.46153846153851</v>
          </cell>
          <cell r="CX323">
            <v>0</v>
          </cell>
          <cell r="CY323">
            <v>0</v>
          </cell>
          <cell r="CZ323">
            <v>0</v>
          </cell>
          <cell r="DA323">
            <v>0</v>
          </cell>
          <cell r="DB323">
            <v>0</v>
          </cell>
          <cell r="DC323">
            <v>0</v>
          </cell>
          <cell r="DD323">
            <v>0</v>
          </cell>
          <cell r="DE323">
            <v>0</v>
          </cell>
          <cell r="DF323">
            <v>0</v>
          </cell>
          <cell r="DG323">
            <v>0</v>
          </cell>
          <cell r="DR323">
            <v>73103</v>
          </cell>
          <cell r="DS323">
            <v>44</v>
          </cell>
          <cell r="DT323">
            <v>44</v>
          </cell>
          <cell r="DU323">
            <v>999999</v>
          </cell>
          <cell r="DV323">
            <v>999999</v>
          </cell>
          <cell r="DW323">
            <v>999999</v>
          </cell>
          <cell r="DX323">
            <v>44</v>
          </cell>
          <cell r="DY323">
            <v>44</v>
          </cell>
          <cell r="DZ323">
            <v>999999</v>
          </cell>
          <cell r="EA323">
            <v>999999</v>
          </cell>
        </row>
        <row r="324">
          <cell r="N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AJ324">
            <v>0</v>
          </cell>
          <cell r="AK324">
            <v>0</v>
          </cell>
          <cell r="AL324">
            <v>999999</v>
          </cell>
          <cell r="AM324">
            <v>43</v>
          </cell>
          <cell r="AN324">
            <v>43</v>
          </cell>
          <cell r="AO324">
            <v>43</v>
          </cell>
          <cell r="AP324">
            <v>0</v>
          </cell>
          <cell r="AQ324">
            <v>0</v>
          </cell>
          <cell r="AR324">
            <v>43</v>
          </cell>
          <cell r="AS324">
            <v>0</v>
          </cell>
          <cell r="BE324">
            <v>0</v>
          </cell>
          <cell r="BG324">
            <v>0</v>
          </cell>
          <cell r="BH324">
            <v>0</v>
          </cell>
          <cell r="BI324">
            <v>0</v>
          </cell>
          <cell r="BJ324">
            <v>0</v>
          </cell>
          <cell r="BK324">
            <v>0</v>
          </cell>
          <cell r="BL324">
            <v>0</v>
          </cell>
          <cell r="BM324">
            <v>0</v>
          </cell>
          <cell r="BN324">
            <v>0</v>
          </cell>
          <cell r="BO324">
            <v>0</v>
          </cell>
          <cell r="BP324">
            <v>0</v>
          </cell>
          <cell r="CA324">
            <v>69453.033653846156</v>
          </cell>
          <cell r="CB324">
            <v>0</v>
          </cell>
          <cell r="CC324">
            <v>43</v>
          </cell>
          <cell r="CD324">
            <v>43</v>
          </cell>
          <cell r="CE324">
            <v>12</v>
          </cell>
          <cell r="CF324">
            <v>43</v>
          </cell>
          <cell r="CG324">
            <v>0</v>
          </cell>
          <cell r="CH324">
            <v>43</v>
          </cell>
          <cell r="CI324">
            <v>43</v>
          </cell>
          <cell r="CJ324">
            <v>43</v>
          </cell>
          <cell r="CV324">
            <v>288.46153846153851</v>
          </cell>
          <cell r="CX324">
            <v>0</v>
          </cell>
          <cell r="CY324">
            <v>0</v>
          </cell>
          <cell r="CZ324">
            <v>0</v>
          </cell>
          <cell r="DA324">
            <v>0</v>
          </cell>
          <cell r="DB324">
            <v>0</v>
          </cell>
          <cell r="DC324">
            <v>0</v>
          </cell>
          <cell r="DD324">
            <v>0</v>
          </cell>
          <cell r="DE324">
            <v>0</v>
          </cell>
          <cell r="DF324">
            <v>0</v>
          </cell>
          <cell r="DG324">
            <v>0</v>
          </cell>
          <cell r="DR324">
            <v>73103</v>
          </cell>
          <cell r="DS324">
            <v>43</v>
          </cell>
          <cell r="DT324">
            <v>43</v>
          </cell>
          <cell r="DU324">
            <v>999999</v>
          </cell>
          <cell r="DV324">
            <v>999999</v>
          </cell>
          <cell r="DW324">
            <v>999999</v>
          </cell>
          <cell r="DX324">
            <v>43</v>
          </cell>
          <cell r="DY324">
            <v>43</v>
          </cell>
          <cell r="DZ324">
            <v>999999</v>
          </cell>
          <cell r="EA324">
            <v>999999</v>
          </cell>
        </row>
        <row r="325">
          <cell r="N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AJ325">
            <v>0</v>
          </cell>
          <cell r="AK325">
            <v>0</v>
          </cell>
          <cell r="AL325">
            <v>999999</v>
          </cell>
          <cell r="AM325">
            <v>42</v>
          </cell>
          <cell r="AN325">
            <v>42</v>
          </cell>
          <cell r="AO325">
            <v>42</v>
          </cell>
          <cell r="AP325">
            <v>0</v>
          </cell>
          <cell r="AQ325">
            <v>0</v>
          </cell>
          <cell r="AR325">
            <v>42</v>
          </cell>
          <cell r="AS325">
            <v>0</v>
          </cell>
          <cell r="BE325">
            <v>0</v>
          </cell>
          <cell r="BG325">
            <v>0</v>
          </cell>
          <cell r="BH325">
            <v>0</v>
          </cell>
          <cell r="BI325">
            <v>0</v>
          </cell>
          <cell r="BJ325">
            <v>0</v>
          </cell>
          <cell r="BK325">
            <v>0</v>
          </cell>
          <cell r="BL325">
            <v>0</v>
          </cell>
          <cell r="BM325">
            <v>0</v>
          </cell>
          <cell r="BN325">
            <v>0</v>
          </cell>
          <cell r="BO325">
            <v>0</v>
          </cell>
          <cell r="BP325">
            <v>0</v>
          </cell>
          <cell r="CA325">
            <v>68916.978651175217</v>
          </cell>
          <cell r="CB325">
            <v>0</v>
          </cell>
          <cell r="CC325">
            <v>42</v>
          </cell>
          <cell r="CD325">
            <v>42</v>
          </cell>
          <cell r="CE325">
            <v>11</v>
          </cell>
          <cell r="CF325">
            <v>42</v>
          </cell>
          <cell r="CG325">
            <v>0</v>
          </cell>
          <cell r="CH325">
            <v>42</v>
          </cell>
          <cell r="CI325">
            <v>42</v>
          </cell>
          <cell r="CJ325">
            <v>42</v>
          </cell>
          <cell r="CV325">
            <v>288.46153846153851</v>
          </cell>
          <cell r="CX325">
            <v>0</v>
          </cell>
          <cell r="CY325">
            <v>0</v>
          </cell>
          <cell r="CZ325">
            <v>0</v>
          </cell>
          <cell r="DA325">
            <v>0</v>
          </cell>
          <cell r="DB325">
            <v>0</v>
          </cell>
          <cell r="DC325">
            <v>0</v>
          </cell>
          <cell r="DD325">
            <v>0</v>
          </cell>
          <cell r="DE325">
            <v>0</v>
          </cell>
          <cell r="DF325">
            <v>0</v>
          </cell>
          <cell r="DG325">
            <v>0</v>
          </cell>
          <cell r="DR325">
            <v>73103</v>
          </cell>
          <cell r="DS325">
            <v>42</v>
          </cell>
          <cell r="DT325">
            <v>42</v>
          </cell>
          <cell r="DU325">
            <v>999999</v>
          </cell>
          <cell r="DV325">
            <v>999999</v>
          </cell>
          <cell r="DW325">
            <v>999999</v>
          </cell>
          <cell r="DX325">
            <v>42</v>
          </cell>
          <cell r="DY325">
            <v>42</v>
          </cell>
          <cell r="DZ325">
            <v>999999</v>
          </cell>
          <cell r="EA325">
            <v>999999</v>
          </cell>
        </row>
        <row r="326">
          <cell r="N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AJ326">
            <v>0</v>
          </cell>
          <cell r="AK326">
            <v>0</v>
          </cell>
          <cell r="AL326">
            <v>999999</v>
          </cell>
          <cell r="AM326">
            <v>41</v>
          </cell>
          <cell r="AN326">
            <v>41</v>
          </cell>
          <cell r="AO326">
            <v>41</v>
          </cell>
          <cell r="AP326">
            <v>0</v>
          </cell>
          <cell r="AQ326">
            <v>0</v>
          </cell>
          <cell r="AR326">
            <v>41</v>
          </cell>
          <cell r="AS326">
            <v>0</v>
          </cell>
          <cell r="BE326">
            <v>0</v>
          </cell>
          <cell r="BG326">
            <v>0</v>
          </cell>
          <cell r="BH326">
            <v>0</v>
          </cell>
          <cell r="BI326">
            <v>0</v>
          </cell>
          <cell r="BJ326">
            <v>0</v>
          </cell>
          <cell r="BK326">
            <v>0</v>
          </cell>
          <cell r="BL326">
            <v>0</v>
          </cell>
          <cell r="BM326">
            <v>0</v>
          </cell>
          <cell r="BN326">
            <v>0</v>
          </cell>
          <cell r="BO326">
            <v>0</v>
          </cell>
          <cell r="BP326">
            <v>0</v>
          </cell>
          <cell r="CA326">
            <v>68380.923648504278</v>
          </cell>
          <cell r="CB326">
            <v>0</v>
          </cell>
          <cell r="CC326">
            <v>41</v>
          </cell>
          <cell r="CD326">
            <v>41</v>
          </cell>
          <cell r="CE326">
            <v>10</v>
          </cell>
          <cell r="CF326">
            <v>41</v>
          </cell>
          <cell r="CG326">
            <v>0</v>
          </cell>
          <cell r="CH326">
            <v>41</v>
          </cell>
          <cell r="CI326">
            <v>41</v>
          </cell>
          <cell r="CJ326">
            <v>41</v>
          </cell>
          <cell r="CV326">
            <v>288.46153846153851</v>
          </cell>
          <cell r="CX326">
            <v>0</v>
          </cell>
          <cell r="CY326">
            <v>0</v>
          </cell>
          <cell r="CZ326">
            <v>0</v>
          </cell>
          <cell r="DA326">
            <v>0</v>
          </cell>
          <cell r="DB326">
            <v>0</v>
          </cell>
          <cell r="DC326">
            <v>0</v>
          </cell>
          <cell r="DD326">
            <v>0</v>
          </cell>
          <cell r="DE326">
            <v>0</v>
          </cell>
          <cell r="DF326">
            <v>0</v>
          </cell>
          <cell r="DG326">
            <v>0</v>
          </cell>
          <cell r="DR326">
            <v>73103</v>
          </cell>
          <cell r="DS326">
            <v>41</v>
          </cell>
          <cell r="DT326">
            <v>41</v>
          </cell>
          <cell r="DU326">
            <v>999999</v>
          </cell>
          <cell r="DV326">
            <v>999999</v>
          </cell>
          <cell r="DW326">
            <v>999999</v>
          </cell>
          <cell r="DX326">
            <v>41</v>
          </cell>
          <cell r="DY326">
            <v>41</v>
          </cell>
          <cell r="DZ326">
            <v>999999</v>
          </cell>
          <cell r="EA326">
            <v>999999</v>
          </cell>
        </row>
        <row r="327">
          <cell r="N327">
            <v>0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0</v>
          </cell>
          <cell r="X327">
            <v>0</v>
          </cell>
          <cell r="Y327">
            <v>0</v>
          </cell>
          <cell r="AJ327">
            <v>0</v>
          </cell>
          <cell r="AK327">
            <v>0</v>
          </cell>
          <cell r="AL327">
            <v>999999</v>
          </cell>
          <cell r="AM327">
            <v>40</v>
          </cell>
          <cell r="AN327">
            <v>40</v>
          </cell>
          <cell r="AO327">
            <v>40</v>
          </cell>
          <cell r="AP327">
            <v>0</v>
          </cell>
          <cell r="AQ327">
            <v>0</v>
          </cell>
          <cell r="AR327">
            <v>40</v>
          </cell>
          <cell r="AS327">
            <v>0</v>
          </cell>
          <cell r="BE327">
            <v>0</v>
          </cell>
          <cell r="BG327">
            <v>0</v>
          </cell>
          <cell r="BH327">
            <v>0</v>
          </cell>
          <cell r="BI327">
            <v>0</v>
          </cell>
          <cell r="BJ327">
            <v>0</v>
          </cell>
          <cell r="BK327">
            <v>0</v>
          </cell>
          <cell r="BL327">
            <v>0</v>
          </cell>
          <cell r="BM327">
            <v>0</v>
          </cell>
          <cell r="BN327">
            <v>0</v>
          </cell>
          <cell r="BO327">
            <v>0</v>
          </cell>
          <cell r="BP327">
            <v>0</v>
          </cell>
          <cell r="CA327">
            <v>67844.86864583334</v>
          </cell>
          <cell r="CB327">
            <v>0</v>
          </cell>
          <cell r="CC327">
            <v>40</v>
          </cell>
          <cell r="CD327">
            <v>40</v>
          </cell>
          <cell r="CE327">
            <v>9</v>
          </cell>
          <cell r="CF327">
            <v>40</v>
          </cell>
          <cell r="CG327">
            <v>0</v>
          </cell>
          <cell r="CH327">
            <v>40</v>
          </cell>
          <cell r="CI327">
            <v>40</v>
          </cell>
          <cell r="CJ327">
            <v>40</v>
          </cell>
          <cell r="CV327">
            <v>288.46153846153851</v>
          </cell>
          <cell r="CX327">
            <v>0</v>
          </cell>
          <cell r="CY327">
            <v>0</v>
          </cell>
          <cell r="CZ327">
            <v>0</v>
          </cell>
          <cell r="DA327">
            <v>0</v>
          </cell>
          <cell r="DB327">
            <v>0</v>
          </cell>
          <cell r="DC327">
            <v>0</v>
          </cell>
          <cell r="DD327">
            <v>0</v>
          </cell>
          <cell r="DE327">
            <v>0</v>
          </cell>
          <cell r="DF327">
            <v>0</v>
          </cell>
          <cell r="DG327">
            <v>0</v>
          </cell>
          <cell r="DR327">
            <v>73103</v>
          </cell>
          <cell r="DS327">
            <v>40</v>
          </cell>
          <cell r="DT327">
            <v>40</v>
          </cell>
          <cell r="DU327">
            <v>999999</v>
          </cell>
          <cell r="DV327">
            <v>999999</v>
          </cell>
          <cell r="DW327">
            <v>999999</v>
          </cell>
          <cell r="DX327">
            <v>40</v>
          </cell>
          <cell r="DY327">
            <v>40</v>
          </cell>
          <cell r="DZ327">
            <v>999999</v>
          </cell>
          <cell r="EA327">
            <v>999999</v>
          </cell>
        </row>
        <row r="328">
          <cell r="N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AJ328">
            <v>0</v>
          </cell>
          <cell r="AK328">
            <v>0</v>
          </cell>
          <cell r="AL328">
            <v>999999</v>
          </cell>
          <cell r="AM328">
            <v>39</v>
          </cell>
          <cell r="AN328">
            <v>39</v>
          </cell>
          <cell r="AO328">
            <v>39</v>
          </cell>
          <cell r="AP328">
            <v>0</v>
          </cell>
          <cell r="AQ328">
            <v>0</v>
          </cell>
          <cell r="AR328">
            <v>39</v>
          </cell>
          <cell r="AS328">
            <v>0</v>
          </cell>
          <cell r="BE328">
            <v>0</v>
          </cell>
          <cell r="BG328">
            <v>0</v>
          </cell>
          <cell r="BH328">
            <v>0</v>
          </cell>
          <cell r="BI328">
            <v>0</v>
          </cell>
          <cell r="BJ328">
            <v>0</v>
          </cell>
          <cell r="BK328">
            <v>0</v>
          </cell>
          <cell r="BL328">
            <v>0</v>
          </cell>
          <cell r="BM328">
            <v>0</v>
          </cell>
          <cell r="BN328">
            <v>0</v>
          </cell>
          <cell r="BO328">
            <v>0</v>
          </cell>
          <cell r="BP328">
            <v>0</v>
          </cell>
          <cell r="CA328">
            <v>67308.813643162401</v>
          </cell>
          <cell r="CB328">
            <v>0</v>
          </cell>
          <cell r="CC328">
            <v>39</v>
          </cell>
          <cell r="CD328">
            <v>39</v>
          </cell>
          <cell r="CE328">
            <v>8</v>
          </cell>
          <cell r="CF328">
            <v>39</v>
          </cell>
          <cell r="CG328">
            <v>0</v>
          </cell>
          <cell r="CH328">
            <v>39</v>
          </cell>
          <cell r="CI328">
            <v>39</v>
          </cell>
          <cell r="CJ328">
            <v>39</v>
          </cell>
          <cell r="CV328">
            <v>288.46153846153851</v>
          </cell>
          <cell r="CX328">
            <v>0</v>
          </cell>
          <cell r="CY328">
            <v>0</v>
          </cell>
          <cell r="CZ328">
            <v>0</v>
          </cell>
          <cell r="DA328">
            <v>0</v>
          </cell>
          <cell r="DB328">
            <v>0</v>
          </cell>
          <cell r="DC328">
            <v>0</v>
          </cell>
          <cell r="DD328">
            <v>0</v>
          </cell>
          <cell r="DE328">
            <v>0</v>
          </cell>
          <cell r="DF328">
            <v>0</v>
          </cell>
          <cell r="DG328">
            <v>0</v>
          </cell>
          <cell r="DR328">
            <v>73103</v>
          </cell>
          <cell r="DS328">
            <v>39</v>
          </cell>
          <cell r="DT328">
            <v>39</v>
          </cell>
          <cell r="DU328">
            <v>999999</v>
          </cell>
          <cell r="DV328">
            <v>999999</v>
          </cell>
          <cell r="DW328">
            <v>999999</v>
          </cell>
          <cell r="DX328">
            <v>39</v>
          </cell>
          <cell r="DY328">
            <v>39</v>
          </cell>
          <cell r="DZ328">
            <v>999999</v>
          </cell>
          <cell r="EA328">
            <v>999999</v>
          </cell>
        </row>
        <row r="329">
          <cell r="N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AJ329">
            <v>0</v>
          </cell>
          <cell r="AK329">
            <v>0</v>
          </cell>
          <cell r="AL329">
            <v>999999</v>
          </cell>
          <cell r="AM329">
            <v>38</v>
          </cell>
          <cell r="AN329">
            <v>38</v>
          </cell>
          <cell r="AO329">
            <v>38</v>
          </cell>
          <cell r="AP329">
            <v>0</v>
          </cell>
          <cell r="AQ329">
            <v>0</v>
          </cell>
          <cell r="AR329">
            <v>38</v>
          </cell>
          <cell r="AS329">
            <v>0</v>
          </cell>
          <cell r="BE329">
            <v>48000</v>
          </cell>
          <cell r="BG329">
            <v>0</v>
          </cell>
          <cell r="BH329">
            <v>0</v>
          </cell>
          <cell r="BI329">
            <v>0</v>
          </cell>
          <cell r="BJ329">
            <v>0</v>
          </cell>
          <cell r="BK329">
            <v>0</v>
          </cell>
          <cell r="BL329">
            <v>0</v>
          </cell>
          <cell r="BM329">
            <v>0</v>
          </cell>
          <cell r="BN329">
            <v>0</v>
          </cell>
          <cell r="BO329">
            <v>0</v>
          </cell>
          <cell r="BP329">
            <v>0</v>
          </cell>
          <cell r="CA329">
            <v>66772.758640491462</v>
          </cell>
          <cell r="CB329">
            <v>0</v>
          </cell>
          <cell r="CC329">
            <v>38</v>
          </cell>
          <cell r="CD329">
            <v>38</v>
          </cell>
          <cell r="CE329">
            <v>7</v>
          </cell>
          <cell r="CF329">
            <v>38</v>
          </cell>
          <cell r="CG329">
            <v>0</v>
          </cell>
          <cell r="CH329">
            <v>38</v>
          </cell>
          <cell r="CI329">
            <v>38</v>
          </cell>
          <cell r="CJ329">
            <v>38</v>
          </cell>
          <cell r="CV329">
            <v>288.46153846153851</v>
          </cell>
          <cell r="CX329">
            <v>0</v>
          </cell>
          <cell r="CY329">
            <v>0</v>
          </cell>
          <cell r="CZ329">
            <v>0</v>
          </cell>
          <cell r="DA329">
            <v>0</v>
          </cell>
          <cell r="DB329">
            <v>0</v>
          </cell>
          <cell r="DC329">
            <v>0</v>
          </cell>
          <cell r="DD329">
            <v>0</v>
          </cell>
          <cell r="DE329">
            <v>0</v>
          </cell>
          <cell r="DF329">
            <v>0</v>
          </cell>
          <cell r="DG329">
            <v>0</v>
          </cell>
          <cell r="DR329">
            <v>73103</v>
          </cell>
          <cell r="DS329">
            <v>38</v>
          </cell>
          <cell r="DT329">
            <v>38</v>
          </cell>
          <cell r="DU329">
            <v>999999</v>
          </cell>
          <cell r="DV329">
            <v>999999</v>
          </cell>
          <cell r="DW329">
            <v>999999</v>
          </cell>
          <cell r="DX329">
            <v>38</v>
          </cell>
          <cell r="DY329">
            <v>38</v>
          </cell>
          <cell r="DZ329">
            <v>999999</v>
          </cell>
          <cell r="EA329">
            <v>999999</v>
          </cell>
        </row>
        <row r="330">
          <cell r="N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AJ330">
            <v>0</v>
          </cell>
          <cell r="AK330">
            <v>0</v>
          </cell>
          <cell r="AL330">
            <v>999999</v>
          </cell>
          <cell r="AM330">
            <v>37</v>
          </cell>
          <cell r="AN330">
            <v>37</v>
          </cell>
          <cell r="AO330">
            <v>37</v>
          </cell>
          <cell r="AP330">
            <v>0</v>
          </cell>
          <cell r="AQ330">
            <v>0</v>
          </cell>
          <cell r="AR330">
            <v>37</v>
          </cell>
          <cell r="AS330">
            <v>0</v>
          </cell>
          <cell r="BE330">
            <v>0</v>
          </cell>
          <cell r="BG330">
            <v>0</v>
          </cell>
          <cell r="BH330">
            <v>0</v>
          </cell>
          <cell r="BI330">
            <v>0</v>
          </cell>
          <cell r="BJ330">
            <v>0</v>
          </cell>
          <cell r="BK330">
            <v>0</v>
          </cell>
          <cell r="BL330">
            <v>0</v>
          </cell>
          <cell r="BM330">
            <v>0</v>
          </cell>
          <cell r="BN330">
            <v>0</v>
          </cell>
          <cell r="BO330">
            <v>0</v>
          </cell>
          <cell r="BP330">
            <v>0</v>
          </cell>
          <cell r="CA330">
            <v>66236.703637820523</v>
          </cell>
          <cell r="CB330">
            <v>0</v>
          </cell>
          <cell r="CC330">
            <v>37</v>
          </cell>
          <cell r="CD330">
            <v>37</v>
          </cell>
          <cell r="CE330">
            <v>6</v>
          </cell>
          <cell r="CF330">
            <v>37</v>
          </cell>
          <cell r="CG330">
            <v>0</v>
          </cell>
          <cell r="CH330">
            <v>37</v>
          </cell>
          <cell r="CI330">
            <v>37</v>
          </cell>
          <cell r="CJ330">
            <v>37</v>
          </cell>
          <cell r="CV330">
            <v>288.46153846153851</v>
          </cell>
          <cell r="CX330">
            <v>0</v>
          </cell>
          <cell r="CY330">
            <v>0</v>
          </cell>
          <cell r="CZ330">
            <v>0</v>
          </cell>
          <cell r="DA330">
            <v>0</v>
          </cell>
          <cell r="DB330">
            <v>0</v>
          </cell>
          <cell r="DC330">
            <v>0</v>
          </cell>
          <cell r="DD330">
            <v>0</v>
          </cell>
          <cell r="DE330">
            <v>0</v>
          </cell>
          <cell r="DF330">
            <v>0</v>
          </cell>
          <cell r="DG330">
            <v>0</v>
          </cell>
          <cell r="DR330">
            <v>73103</v>
          </cell>
          <cell r="DS330">
            <v>37</v>
          </cell>
          <cell r="DT330">
            <v>37</v>
          </cell>
          <cell r="DU330">
            <v>999999</v>
          </cell>
          <cell r="DV330">
            <v>999999</v>
          </cell>
          <cell r="DW330">
            <v>999999</v>
          </cell>
          <cell r="DX330">
            <v>37</v>
          </cell>
          <cell r="DY330">
            <v>37</v>
          </cell>
          <cell r="DZ330">
            <v>999999</v>
          </cell>
          <cell r="EA330">
            <v>999999</v>
          </cell>
        </row>
        <row r="331">
          <cell r="N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V331">
            <v>0</v>
          </cell>
          <cell r="W331">
            <v>0</v>
          </cell>
          <cell r="X331">
            <v>0</v>
          </cell>
          <cell r="Y331">
            <v>0</v>
          </cell>
          <cell r="AJ331">
            <v>0</v>
          </cell>
          <cell r="AK331">
            <v>0</v>
          </cell>
          <cell r="AL331">
            <v>999999</v>
          </cell>
          <cell r="AM331">
            <v>36</v>
          </cell>
          <cell r="AN331">
            <v>36</v>
          </cell>
          <cell r="AO331">
            <v>36</v>
          </cell>
          <cell r="AP331">
            <v>0</v>
          </cell>
          <cell r="AQ331">
            <v>0</v>
          </cell>
          <cell r="AR331">
            <v>36</v>
          </cell>
          <cell r="AS331">
            <v>0</v>
          </cell>
          <cell r="BE331">
            <v>0</v>
          </cell>
          <cell r="BG331">
            <v>0</v>
          </cell>
          <cell r="BH331">
            <v>0</v>
          </cell>
          <cell r="BI331">
            <v>0</v>
          </cell>
          <cell r="BJ331">
            <v>0</v>
          </cell>
          <cell r="BK331">
            <v>0</v>
          </cell>
          <cell r="BL331">
            <v>0</v>
          </cell>
          <cell r="BM331">
            <v>0</v>
          </cell>
          <cell r="BN331">
            <v>0</v>
          </cell>
          <cell r="BO331">
            <v>0</v>
          </cell>
          <cell r="BP331">
            <v>0</v>
          </cell>
          <cell r="CA331">
            <v>65700.648635149584</v>
          </cell>
          <cell r="CB331">
            <v>0</v>
          </cell>
          <cell r="CC331">
            <v>36</v>
          </cell>
          <cell r="CD331">
            <v>36</v>
          </cell>
          <cell r="CE331">
            <v>5</v>
          </cell>
          <cell r="CF331">
            <v>36</v>
          </cell>
          <cell r="CG331">
            <v>0</v>
          </cell>
          <cell r="CH331">
            <v>36</v>
          </cell>
          <cell r="CI331">
            <v>36</v>
          </cell>
          <cell r="CJ331">
            <v>36</v>
          </cell>
          <cell r="CV331">
            <v>288.46153846153851</v>
          </cell>
          <cell r="CX331">
            <v>0</v>
          </cell>
          <cell r="CY331">
            <v>0</v>
          </cell>
          <cell r="CZ331">
            <v>0</v>
          </cell>
          <cell r="DA331">
            <v>0</v>
          </cell>
          <cell r="DB331">
            <v>0</v>
          </cell>
          <cell r="DC331">
            <v>0</v>
          </cell>
          <cell r="DD331">
            <v>0</v>
          </cell>
          <cell r="DE331">
            <v>0</v>
          </cell>
          <cell r="DF331">
            <v>0</v>
          </cell>
          <cell r="DG331">
            <v>0</v>
          </cell>
          <cell r="DR331">
            <v>73103</v>
          </cell>
          <cell r="DS331">
            <v>36</v>
          </cell>
          <cell r="DT331">
            <v>36</v>
          </cell>
          <cell r="DU331">
            <v>999999</v>
          </cell>
          <cell r="DV331">
            <v>999999</v>
          </cell>
          <cell r="DW331">
            <v>999999</v>
          </cell>
          <cell r="DX331">
            <v>36</v>
          </cell>
          <cell r="DY331">
            <v>36</v>
          </cell>
          <cell r="DZ331">
            <v>999999</v>
          </cell>
          <cell r="EA331">
            <v>999999</v>
          </cell>
        </row>
        <row r="332">
          <cell r="N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AJ332">
            <v>0</v>
          </cell>
          <cell r="AK332">
            <v>0</v>
          </cell>
          <cell r="AL332">
            <v>999999</v>
          </cell>
          <cell r="AM332">
            <v>35</v>
          </cell>
          <cell r="AN332">
            <v>35</v>
          </cell>
          <cell r="AO332">
            <v>35</v>
          </cell>
          <cell r="AP332">
            <v>0</v>
          </cell>
          <cell r="AQ332">
            <v>0</v>
          </cell>
          <cell r="AR332">
            <v>35</v>
          </cell>
          <cell r="AS332">
            <v>0</v>
          </cell>
          <cell r="BE332">
            <v>0</v>
          </cell>
          <cell r="BG332">
            <v>0</v>
          </cell>
          <cell r="BH332">
            <v>0</v>
          </cell>
          <cell r="BI332">
            <v>0</v>
          </cell>
          <cell r="BJ332">
            <v>0</v>
          </cell>
          <cell r="BK332">
            <v>0</v>
          </cell>
          <cell r="BL332">
            <v>0</v>
          </cell>
          <cell r="BM332">
            <v>0</v>
          </cell>
          <cell r="BN332">
            <v>0</v>
          </cell>
          <cell r="BO332">
            <v>0</v>
          </cell>
          <cell r="BP332">
            <v>0</v>
          </cell>
          <cell r="CA332">
            <v>65164.593632478645</v>
          </cell>
          <cell r="CB332">
            <v>0</v>
          </cell>
          <cell r="CC332">
            <v>35</v>
          </cell>
          <cell r="CD332">
            <v>35</v>
          </cell>
          <cell r="CE332">
            <v>4</v>
          </cell>
          <cell r="CF332">
            <v>35</v>
          </cell>
          <cell r="CG332">
            <v>0</v>
          </cell>
          <cell r="CH332">
            <v>35</v>
          </cell>
          <cell r="CI332">
            <v>35</v>
          </cell>
          <cell r="CJ332">
            <v>35</v>
          </cell>
          <cell r="CV332">
            <v>288.46153846153851</v>
          </cell>
          <cell r="CX332">
            <v>0</v>
          </cell>
          <cell r="CY332">
            <v>0</v>
          </cell>
          <cell r="CZ332">
            <v>0</v>
          </cell>
          <cell r="DA332">
            <v>0</v>
          </cell>
          <cell r="DB332">
            <v>0</v>
          </cell>
          <cell r="DC332">
            <v>0</v>
          </cell>
          <cell r="DD332">
            <v>0</v>
          </cell>
          <cell r="DE332">
            <v>0</v>
          </cell>
          <cell r="DF332">
            <v>0</v>
          </cell>
          <cell r="DG332">
            <v>0</v>
          </cell>
          <cell r="DR332">
            <v>73103</v>
          </cell>
          <cell r="DS332">
            <v>35</v>
          </cell>
          <cell r="DT332">
            <v>35</v>
          </cell>
          <cell r="DU332">
            <v>999999</v>
          </cell>
          <cell r="DV332">
            <v>999999</v>
          </cell>
          <cell r="DW332">
            <v>999999</v>
          </cell>
          <cell r="DX332">
            <v>35</v>
          </cell>
          <cell r="DY332">
            <v>35</v>
          </cell>
          <cell r="DZ332">
            <v>999999</v>
          </cell>
          <cell r="EA332">
            <v>999999</v>
          </cell>
        </row>
        <row r="333">
          <cell r="N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AJ333">
            <v>0</v>
          </cell>
          <cell r="AK333">
            <v>0</v>
          </cell>
          <cell r="AL333">
            <v>999999</v>
          </cell>
          <cell r="AM333">
            <v>34</v>
          </cell>
          <cell r="AN333">
            <v>34</v>
          </cell>
          <cell r="AO333">
            <v>34</v>
          </cell>
          <cell r="AP333">
            <v>0</v>
          </cell>
          <cell r="AQ333">
            <v>0</v>
          </cell>
          <cell r="AR333">
            <v>34</v>
          </cell>
          <cell r="AS333">
            <v>0</v>
          </cell>
          <cell r="BE333">
            <v>0</v>
          </cell>
          <cell r="BG333">
            <v>0</v>
          </cell>
          <cell r="BH333">
            <v>0</v>
          </cell>
          <cell r="BI333">
            <v>0</v>
          </cell>
          <cell r="BJ333">
            <v>0</v>
          </cell>
          <cell r="BK333">
            <v>0</v>
          </cell>
          <cell r="BL333">
            <v>0</v>
          </cell>
          <cell r="BM333">
            <v>0</v>
          </cell>
          <cell r="BN333">
            <v>0</v>
          </cell>
          <cell r="BO333">
            <v>0</v>
          </cell>
          <cell r="BP333">
            <v>0</v>
          </cell>
          <cell r="CA333">
            <v>64628.538629807706</v>
          </cell>
          <cell r="CB333">
            <v>0</v>
          </cell>
          <cell r="CC333">
            <v>34</v>
          </cell>
          <cell r="CD333">
            <v>34</v>
          </cell>
          <cell r="CE333">
            <v>3</v>
          </cell>
          <cell r="CF333">
            <v>34</v>
          </cell>
          <cell r="CG333">
            <v>0</v>
          </cell>
          <cell r="CH333">
            <v>34</v>
          </cell>
          <cell r="CI333">
            <v>34</v>
          </cell>
          <cell r="CJ333">
            <v>34</v>
          </cell>
          <cell r="CV333">
            <v>288.46153846153851</v>
          </cell>
          <cell r="CX333">
            <v>0</v>
          </cell>
          <cell r="CY333">
            <v>0</v>
          </cell>
          <cell r="CZ333">
            <v>0</v>
          </cell>
          <cell r="DA333">
            <v>0</v>
          </cell>
          <cell r="DB333">
            <v>0</v>
          </cell>
          <cell r="DC333">
            <v>0</v>
          </cell>
          <cell r="DD333">
            <v>0</v>
          </cell>
          <cell r="DE333">
            <v>0</v>
          </cell>
          <cell r="DF333">
            <v>0</v>
          </cell>
          <cell r="DG333">
            <v>0</v>
          </cell>
          <cell r="DR333">
            <v>73103</v>
          </cell>
          <cell r="DS333">
            <v>34</v>
          </cell>
          <cell r="DT333">
            <v>34</v>
          </cell>
          <cell r="DU333">
            <v>999999</v>
          </cell>
          <cell r="DV333">
            <v>999999</v>
          </cell>
          <cell r="DW333">
            <v>999999</v>
          </cell>
          <cell r="DX333">
            <v>34</v>
          </cell>
          <cell r="DY333">
            <v>34</v>
          </cell>
          <cell r="DZ333">
            <v>999999</v>
          </cell>
          <cell r="EA333">
            <v>999999</v>
          </cell>
        </row>
        <row r="334">
          <cell r="N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AJ334">
            <v>0</v>
          </cell>
          <cell r="AK334">
            <v>0</v>
          </cell>
          <cell r="AL334">
            <v>999999</v>
          </cell>
          <cell r="AM334">
            <v>33</v>
          </cell>
          <cell r="AN334">
            <v>33</v>
          </cell>
          <cell r="AO334">
            <v>33</v>
          </cell>
          <cell r="AP334">
            <v>0</v>
          </cell>
          <cell r="AQ334">
            <v>0</v>
          </cell>
          <cell r="AR334">
            <v>33</v>
          </cell>
          <cell r="AS334">
            <v>0</v>
          </cell>
          <cell r="BE334">
            <v>0</v>
          </cell>
          <cell r="BG334">
            <v>0</v>
          </cell>
          <cell r="BH334">
            <v>0</v>
          </cell>
          <cell r="BI334">
            <v>0</v>
          </cell>
          <cell r="BJ334">
            <v>0</v>
          </cell>
          <cell r="BK334">
            <v>0</v>
          </cell>
          <cell r="BL334">
            <v>0</v>
          </cell>
          <cell r="BM334">
            <v>0</v>
          </cell>
          <cell r="BN334">
            <v>0</v>
          </cell>
          <cell r="BO334">
            <v>0</v>
          </cell>
          <cell r="BP334">
            <v>0</v>
          </cell>
          <cell r="CA334">
            <v>64092.483627136768</v>
          </cell>
          <cell r="CB334">
            <v>0</v>
          </cell>
          <cell r="CC334">
            <v>33</v>
          </cell>
          <cell r="CD334">
            <v>33</v>
          </cell>
          <cell r="CE334">
            <v>2</v>
          </cell>
          <cell r="CF334">
            <v>33</v>
          </cell>
          <cell r="CG334">
            <v>0</v>
          </cell>
          <cell r="CH334">
            <v>33</v>
          </cell>
          <cell r="CI334">
            <v>33</v>
          </cell>
          <cell r="CJ334">
            <v>33</v>
          </cell>
          <cell r="CV334">
            <v>288.46153846153851</v>
          </cell>
          <cell r="CX334">
            <v>0</v>
          </cell>
          <cell r="CY334">
            <v>0</v>
          </cell>
          <cell r="CZ334">
            <v>0</v>
          </cell>
          <cell r="DA334">
            <v>0</v>
          </cell>
          <cell r="DB334">
            <v>0</v>
          </cell>
          <cell r="DC334">
            <v>0</v>
          </cell>
          <cell r="DD334">
            <v>0</v>
          </cell>
          <cell r="DE334">
            <v>0</v>
          </cell>
          <cell r="DF334">
            <v>0</v>
          </cell>
          <cell r="DG334">
            <v>0</v>
          </cell>
          <cell r="DR334">
            <v>73103</v>
          </cell>
          <cell r="DS334">
            <v>33</v>
          </cell>
          <cell r="DT334">
            <v>33</v>
          </cell>
          <cell r="DU334">
            <v>999999</v>
          </cell>
          <cell r="DV334">
            <v>999999</v>
          </cell>
          <cell r="DW334">
            <v>999999</v>
          </cell>
          <cell r="DX334">
            <v>33</v>
          </cell>
          <cell r="DY334">
            <v>33</v>
          </cell>
          <cell r="DZ334">
            <v>999999</v>
          </cell>
          <cell r="EA334">
            <v>999999</v>
          </cell>
        </row>
        <row r="335">
          <cell r="N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V335">
            <v>0</v>
          </cell>
          <cell r="W335">
            <v>0</v>
          </cell>
          <cell r="X335">
            <v>0</v>
          </cell>
          <cell r="Y335">
            <v>0</v>
          </cell>
          <cell r="AJ335">
            <v>0</v>
          </cell>
          <cell r="AK335">
            <v>0</v>
          </cell>
          <cell r="AL335">
            <v>999999</v>
          </cell>
          <cell r="AM335">
            <v>32</v>
          </cell>
          <cell r="AN335">
            <v>32</v>
          </cell>
          <cell r="AO335">
            <v>32</v>
          </cell>
          <cell r="AP335">
            <v>0</v>
          </cell>
          <cell r="AQ335">
            <v>0</v>
          </cell>
          <cell r="AR335">
            <v>32</v>
          </cell>
          <cell r="AS335">
            <v>0</v>
          </cell>
          <cell r="BE335">
            <v>0</v>
          </cell>
          <cell r="BG335">
            <v>0</v>
          </cell>
          <cell r="BH335">
            <v>0</v>
          </cell>
          <cell r="BI335">
            <v>0</v>
          </cell>
          <cell r="BJ335">
            <v>0</v>
          </cell>
          <cell r="BK335">
            <v>0</v>
          </cell>
          <cell r="BL335">
            <v>0</v>
          </cell>
          <cell r="BM335">
            <v>0</v>
          </cell>
          <cell r="BN335">
            <v>0</v>
          </cell>
          <cell r="BO335">
            <v>0</v>
          </cell>
          <cell r="BP335">
            <v>0</v>
          </cell>
          <cell r="CA335">
            <v>63556.428624465829</v>
          </cell>
          <cell r="CB335">
            <v>0</v>
          </cell>
          <cell r="CC335">
            <v>32</v>
          </cell>
          <cell r="CD335">
            <v>32</v>
          </cell>
          <cell r="CE335">
            <v>1</v>
          </cell>
          <cell r="CF335">
            <v>32</v>
          </cell>
          <cell r="CG335">
            <v>0</v>
          </cell>
          <cell r="CH335">
            <v>32</v>
          </cell>
          <cell r="CI335">
            <v>32</v>
          </cell>
          <cell r="CJ335">
            <v>32</v>
          </cell>
          <cell r="CV335">
            <v>288.46153846153851</v>
          </cell>
          <cell r="CX335">
            <v>0</v>
          </cell>
          <cell r="CY335">
            <v>0</v>
          </cell>
          <cell r="CZ335">
            <v>0</v>
          </cell>
          <cell r="DA335">
            <v>0</v>
          </cell>
          <cell r="DB335">
            <v>0</v>
          </cell>
          <cell r="DC335">
            <v>0</v>
          </cell>
          <cell r="DD335">
            <v>0</v>
          </cell>
          <cell r="DE335">
            <v>0</v>
          </cell>
          <cell r="DF335">
            <v>0</v>
          </cell>
          <cell r="DG335">
            <v>0</v>
          </cell>
          <cell r="DR335">
            <v>73103</v>
          </cell>
          <cell r="DS335">
            <v>32</v>
          </cell>
          <cell r="DT335">
            <v>32</v>
          </cell>
          <cell r="DU335">
            <v>999999</v>
          </cell>
          <cell r="DV335">
            <v>999999</v>
          </cell>
          <cell r="DW335">
            <v>999999</v>
          </cell>
          <cell r="DX335">
            <v>32</v>
          </cell>
          <cell r="DY335">
            <v>32</v>
          </cell>
          <cell r="DZ335">
            <v>999999</v>
          </cell>
          <cell r="EA335">
            <v>999999</v>
          </cell>
        </row>
        <row r="336">
          <cell r="N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AJ336">
            <v>0</v>
          </cell>
          <cell r="AK336">
            <v>0</v>
          </cell>
          <cell r="AL336">
            <v>999999</v>
          </cell>
          <cell r="AM336">
            <v>31</v>
          </cell>
          <cell r="AN336">
            <v>31</v>
          </cell>
          <cell r="AO336">
            <v>31</v>
          </cell>
          <cell r="AP336">
            <v>0</v>
          </cell>
          <cell r="AQ336">
            <v>0</v>
          </cell>
          <cell r="AR336">
            <v>31</v>
          </cell>
          <cell r="AS336">
            <v>0</v>
          </cell>
          <cell r="BE336">
            <v>48000</v>
          </cell>
          <cell r="BG336">
            <v>0</v>
          </cell>
          <cell r="BH336">
            <v>0</v>
          </cell>
          <cell r="BI336">
            <v>0</v>
          </cell>
          <cell r="BJ336">
            <v>0</v>
          </cell>
          <cell r="BK336">
            <v>0</v>
          </cell>
          <cell r="BL336">
            <v>0</v>
          </cell>
          <cell r="BM336">
            <v>0</v>
          </cell>
          <cell r="BN336">
            <v>0</v>
          </cell>
          <cell r="BO336">
            <v>0</v>
          </cell>
          <cell r="BP336">
            <v>0</v>
          </cell>
          <cell r="CA336">
            <v>63020.37362179489</v>
          </cell>
          <cell r="CB336">
            <v>0</v>
          </cell>
          <cell r="CC336">
            <v>31</v>
          </cell>
          <cell r="CD336">
            <v>31</v>
          </cell>
          <cell r="CE336">
            <v>0</v>
          </cell>
          <cell r="CF336">
            <v>31</v>
          </cell>
          <cell r="CG336">
            <v>0</v>
          </cell>
          <cell r="CH336">
            <v>31</v>
          </cell>
          <cell r="CI336">
            <v>31</v>
          </cell>
          <cell r="CJ336">
            <v>31</v>
          </cell>
          <cell r="CV336">
            <v>288.46153846153851</v>
          </cell>
          <cell r="CX336">
            <v>0</v>
          </cell>
          <cell r="CY336">
            <v>0</v>
          </cell>
          <cell r="CZ336">
            <v>0</v>
          </cell>
          <cell r="DA336">
            <v>0</v>
          </cell>
          <cell r="DB336">
            <v>0</v>
          </cell>
          <cell r="DC336">
            <v>0</v>
          </cell>
          <cell r="DD336">
            <v>0</v>
          </cell>
          <cell r="DE336">
            <v>0</v>
          </cell>
          <cell r="DF336">
            <v>0</v>
          </cell>
          <cell r="DG336">
            <v>0</v>
          </cell>
          <cell r="DR336">
            <v>73103</v>
          </cell>
          <cell r="DS336">
            <v>31</v>
          </cell>
          <cell r="DT336">
            <v>31</v>
          </cell>
          <cell r="DU336">
            <v>999999</v>
          </cell>
          <cell r="DV336">
            <v>999999</v>
          </cell>
          <cell r="DW336">
            <v>999999</v>
          </cell>
          <cell r="DX336">
            <v>31</v>
          </cell>
          <cell r="DY336">
            <v>31</v>
          </cell>
          <cell r="DZ336">
            <v>999999</v>
          </cell>
          <cell r="EA336">
            <v>999999</v>
          </cell>
        </row>
        <row r="337">
          <cell r="N337">
            <v>48000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AJ337">
            <v>0</v>
          </cell>
          <cell r="AK337">
            <v>0</v>
          </cell>
          <cell r="AL337">
            <v>999999</v>
          </cell>
          <cell r="AM337">
            <v>30</v>
          </cell>
          <cell r="AN337">
            <v>30</v>
          </cell>
          <cell r="AO337">
            <v>30</v>
          </cell>
          <cell r="AP337">
            <v>0</v>
          </cell>
          <cell r="AQ337">
            <v>0</v>
          </cell>
          <cell r="AR337">
            <v>30</v>
          </cell>
          <cell r="AS337">
            <v>0</v>
          </cell>
          <cell r="BE337">
            <v>0</v>
          </cell>
          <cell r="BG337">
            <v>0</v>
          </cell>
          <cell r="BH337">
            <v>0</v>
          </cell>
          <cell r="BI337">
            <v>0</v>
          </cell>
          <cell r="BJ337">
            <v>0</v>
          </cell>
          <cell r="BK337">
            <v>0</v>
          </cell>
          <cell r="BL337">
            <v>0</v>
          </cell>
          <cell r="BM337">
            <v>0</v>
          </cell>
          <cell r="BN337">
            <v>0</v>
          </cell>
          <cell r="BO337">
            <v>0</v>
          </cell>
          <cell r="BP337">
            <v>0</v>
          </cell>
          <cell r="CA337">
            <v>62480.775201095967</v>
          </cell>
          <cell r="CB337">
            <v>0</v>
          </cell>
          <cell r="CC337">
            <v>30</v>
          </cell>
          <cell r="CD337">
            <v>30</v>
          </cell>
          <cell r="CE337">
            <v>0</v>
          </cell>
          <cell r="CF337">
            <v>30</v>
          </cell>
          <cell r="CG337">
            <v>0</v>
          </cell>
          <cell r="CH337">
            <v>30</v>
          </cell>
          <cell r="CI337">
            <v>30</v>
          </cell>
          <cell r="CJ337">
            <v>30</v>
          </cell>
          <cell r="CV337">
            <v>279.15632754342431</v>
          </cell>
          <cell r="CX337">
            <v>0</v>
          </cell>
          <cell r="CY337">
            <v>0</v>
          </cell>
          <cell r="CZ337">
            <v>0</v>
          </cell>
          <cell r="DA337">
            <v>0</v>
          </cell>
          <cell r="DB337">
            <v>0</v>
          </cell>
          <cell r="DC337">
            <v>0</v>
          </cell>
          <cell r="DD337">
            <v>0</v>
          </cell>
          <cell r="DE337">
            <v>0</v>
          </cell>
          <cell r="DF337">
            <v>0</v>
          </cell>
          <cell r="DG337">
            <v>0</v>
          </cell>
          <cell r="DR337">
            <v>73103</v>
          </cell>
          <cell r="DS337">
            <v>30</v>
          </cell>
          <cell r="DT337">
            <v>30</v>
          </cell>
          <cell r="DU337">
            <v>999999</v>
          </cell>
          <cell r="DV337">
            <v>999999</v>
          </cell>
          <cell r="DW337">
            <v>999999</v>
          </cell>
          <cell r="DX337">
            <v>30</v>
          </cell>
          <cell r="DY337">
            <v>30</v>
          </cell>
          <cell r="DZ337">
            <v>999999</v>
          </cell>
          <cell r="EA337">
            <v>999999</v>
          </cell>
        </row>
        <row r="338">
          <cell r="N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AJ338">
            <v>0</v>
          </cell>
          <cell r="AK338">
            <v>0</v>
          </cell>
          <cell r="AL338">
            <v>999999</v>
          </cell>
          <cell r="AM338">
            <v>29</v>
          </cell>
          <cell r="AN338">
            <v>29</v>
          </cell>
          <cell r="AO338">
            <v>29</v>
          </cell>
          <cell r="AP338">
            <v>0</v>
          </cell>
          <cell r="AQ338">
            <v>0</v>
          </cell>
          <cell r="AR338">
            <v>29</v>
          </cell>
          <cell r="AS338">
            <v>0</v>
          </cell>
          <cell r="BE338">
            <v>0</v>
          </cell>
          <cell r="BG338">
            <v>0</v>
          </cell>
          <cell r="BH338">
            <v>0</v>
          </cell>
          <cell r="BI338">
            <v>0</v>
          </cell>
          <cell r="BJ338">
            <v>0</v>
          </cell>
          <cell r="BK338">
            <v>0</v>
          </cell>
          <cell r="BL338">
            <v>0</v>
          </cell>
          <cell r="BM338">
            <v>0</v>
          </cell>
          <cell r="BN338">
            <v>0</v>
          </cell>
          <cell r="BO338">
            <v>0</v>
          </cell>
          <cell r="BP338">
            <v>0</v>
          </cell>
          <cell r="CA338">
            <v>61941.176780397043</v>
          </cell>
          <cell r="CB338">
            <v>0</v>
          </cell>
          <cell r="CC338">
            <v>29</v>
          </cell>
          <cell r="CD338">
            <v>29</v>
          </cell>
          <cell r="CE338">
            <v>0</v>
          </cell>
          <cell r="CF338">
            <v>29</v>
          </cell>
          <cell r="CG338">
            <v>0</v>
          </cell>
          <cell r="CH338">
            <v>29</v>
          </cell>
          <cell r="CI338">
            <v>29</v>
          </cell>
          <cell r="CJ338">
            <v>29</v>
          </cell>
          <cell r="CV338">
            <v>279.15632754342431</v>
          </cell>
          <cell r="CX338">
            <v>0</v>
          </cell>
          <cell r="CY338">
            <v>0</v>
          </cell>
          <cell r="CZ338">
            <v>0</v>
          </cell>
          <cell r="DA338">
            <v>0</v>
          </cell>
          <cell r="DB338">
            <v>0</v>
          </cell>
          <cell r="DC338">
            <v>0</v>
          </cell>
          <cell r="DD338">
            <v>0</v>
          </cell>
          <cell r="DE338">
            <v>0</v>
          </cell>
          <cell r="DF338">
            <v>0</v>
          </cell>
          <cell r="DG338">
            <v>0</v>
          </cell>
          <cell r="DR338">
            <v>73103</v>
          </cell>
          <cell r="DS338">
            <v>29</v>
          </cell>
          <cell r="DT338">
            <v>29</v>
          </cell>
          <cell r="DU338">
            <v>999999</v>
          </cell>
          <cell r="DV338">
            <v>999999</v>
          </cell>
          <cell r="DW338">
            <v>999999</v>
          </cell>
          <cell r="DX338">
            <v>29</v>
          </cell>
          <cell r="DY338">
            <v>29</v>
          </cell>
          <cell r="DZ338">
            <v>999999</v>
          </cell>
          <cell r="EA338">
            <v>999999</v>
          </cell>
        </row>
        <row r="339">
          <cell r="N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AJ339">
            <v>0</v>
          </cell>
          <cell r="AK339">
            <v>0</v>
          </cell>
          <cell r="AL339">
            <v>999999</v>
          </cell>
          <cell r="AM339">
            <v>28</v>
          </cell>
          <cell r="AN339">
            <v>28</v>
          </cell>
          <cell r="AO339">
            <v>28</v>
          </cell>
          <cell r="AP339">
            <v>0</v>
          </cell>
          <cell r="AQ339">
            <v>0</v>
          </cell>
          <cell r="AR339">
            <v>28</v>
          </cell>
          <cell r="AS339">
            <v>0</v>
          </cell>
          <cell r="BE339">
            <v>0</v>
          </cell>
          <cell r="BG339">
            <v>0</v>
          </cell>
          <cell r="BH339">
            <v>0</v>
          </cell>
          <cell r="BI339">
            <v>0</v>
          </cell>
          <cell r="BJ339">
            <v>0</v>
          </cell>
          <cell r="BK339">
            <v>0</v>
          </cell>
          <cell r="BL339">
            <v>0</v>
          </cell>
          <cell r="BM339">
            <v>0</v>
          </cell>
          <cell r="BN339">
            <v>0</v>
          </cell>
          <cell r="BO339">
            <v>0</v>
          </cell>
          <cell r="BP339">
            <v>0</v>
          </cell>
          <cell r="CA339">
            <v>61401.57835969812</v>
          </cell>
          <cell r="CB339">
            <v>0</v>
          </cell>
          <cell r="CC339">
            <v>28</v>
          </cell>
          <cell r="CD339">
            <v>28</v>
          </cell>
          <cell r="CE339">
            <v>0</v>
          </cell>
          <cell r="CF339">
            <v>28</v>
          </cell>
          <cell r="CG339">
            <v>0</v>
          </cell>
          <cell r="CH339">
            <v>28</v>
          </cell>
          <cell r="CI339">
            <v>28</v>
          </cell>
          <cell r="CJ339">
            <v>28</v>
          </cell>
          <cell r="CV339">
            <v>279.15632754342431</v>
          </cell>
          <cell r="CX339">
            <v>0</v>
          </cell>
          <cell r="CY339">
            <v>0</v>
          </cell>
          <cell r="CZ339">
            <v>0</v>
          </cell>
          <cell r="DA339">
            <v>0</v>
          </cell>
          <cell r="DB339">
            <v>0</v>
          </cell>
          <cell r="DC339">
            <v>0</v>
          </cell>
          <cell r="DD339">
            <v>0</v>
          </cell>
          <cell r="DE339">
            <v>0</v>
          </cell>
          <cell r="DF339">
            <v>0</v>
          </cell>
          <cell r="DG339">
            <v>0</v>
          </cell>
          <cell r="DR339">
            <v>73103</v>
          </cell>
          <cell r="DS339">
            <v>28</v>
          </cell>
          <cell r="DT339">
            <v>28</v>
          </cell>
          <cell r="DU339">
            <v>999999</v>
          </cell>
          <cell r="DV339">
            <v>999999</v>
          </cell>
          <cell r="DW339">
            <v>999999</v>
          </cell>
          <cell r="DX339">
            <v>28</v>
          </cell>
          <cell r="DY339">
            <v>28</v>
          </cell>
          <cell r="DZ339">
            <v>999999</v>
          </cell>
          <cell r="EA339">
            <v>999999</v>
          </cell>
        </row>
        <row r="340">
          <cell r="N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AJ340">
            <v>0</v>
          </cell>
          <cell r="AK340">
            <v>0</v>
          </cell>
          <cell r="AL340">
            <v>999999</v>
          </cell>
          <cell r="AM340">
            <v>27</v>
          </cell>
          <cell r="AN340">
            <v>27</v>
          </cell>
          <cell r="AO340">
            <v>27</v>
          </cell>
          <cell r="AP340">
            <v>0</v>
          </cell>
          <cell r="AQ340">
            <v>0</v>
          </cell>
          <cell r="AR340">
            <v>27</v>
          </cell>
          <cell r="AS340">
            <v>0</v>
          </cell>
          <cell r="BE340">
            <v>0</v>
          </cell>
          <cell r="BG340">
            <v>0</v>
          </cell>
          <cell r="BH340">
            <v>0</v>
          </cell>
          <cell r="BI340">
            <v>0</v>
          </cell>
          <cell r="BJ340">
            <v>0</v>
          </cell>
          <cell r="BK340">
            <v>0</v>
          </cell>
          <cell r="BL340">
            <v>0</v>
          </cell>
          <cell r="BM340">
            <v>0</v>
          </cell>
          <cell r="BN340">
            <v>0</v>
          </cell>
          <cell r="BO340">
            <v>0</v>
          </cell>
          <cell r="BP340">
            <v>0</v>
          </cell>
          <cell r="CA340">
            <v>60861.979938999197</v>
          </cell>
          <cell r="CB340">
            <v>0</v>
          </cell>
          <cell r="CC340">
            <v>27</v>
          </cell>
          <cell r="CD340">
            <v>27</v>
          </cell>
          <cell r="CE340">
            <v>0</v>
          </cell>
          <cell r="CF340">
            <v>27</v>
          </cell>
          <cell r="CG340">
            <v>0</v>
          </cell>
          <cell r="CH340">
            <v>27</v>
          </cell>
          <cell r="CI340">
            <v>27</v>
          </cell>
          <cell r="CJ340">
            <v>27</v>
          </cell>
          <cell r="CV340">
            <v>279.15632754342431</v>
          </cell>
          <cell r="CX340">
            <v>0</v>
          </cell>
          <cell r="CY340">
            <v>0</v>
          </cell>
          <cell r="CZ340">
            <v>0</v>
          </cell>
          <cell r="DA340">
            <v>0</v>
          </cell>
          <cell r="DB340">
            <v>0</v>
          </cell>
          <cell r="DC340">
            <v>0</v>
          </cell>
          <cell r="DD340">
            <v>0</v>
          </cell>
          <cell r="DE340">
            <v>0</v>
          </cell>
          <cell r="DF340">
            <v>0</v>
          </cell>
          <cell r="DG340">
            <v>0</v>
          </cell>
          <cell r="DR340">
            <v>73103</v>
          </cell>
          <cell r="DS340">
            <v>27</v>
          </cell>
          <cell r="DT340">
            <v>27</v>
          </cell>
          <cell r="DU340">
            <v>999999</v>
          </cell>
          <cell r="DV340">
            <v>999999</v>
          </cell>
          <cell r="DW340">
            <v>999999</v>
          </cell>
          <cell r="DX340">
            <v>27</v>
          </cell>
          <cell r="DY340">
            <v>27</v>
          </cell>
          <cell r="DZ340">
            <v>999999</v>
          </cell>
          <cell r="EA340">
            <v>999999</v>
          </cell>
        </row>
        <row r="341">
          <cell r="N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AJ341">
            <v>0</v>
          </cell>
          <cell r="AK341">
            <v>0</v>
          </cell>
          <cell r="AL341">
            <v>999999</v>
          </cell>
          <cell r="AM341">
            <v>26</v>
          </cell>
          <cell r="AN341">
            <v>26</v>
          </cell>
          <cell r="AO341">
            <v>26</v>
          </cell>
          <cell r="AP341">
            <v>0</v>
          </cell>
          <cell r="AQ341">
            <v>0</v>
          </cell>
          <cell r="AR341">
            <v>26</v>
          </cell>
          <cell r="AS341">
            <v>0</v>
          </cell>
          <cell r="BE341">
            <v>0</v>
          </cell>
          <cell r="BG341">
            <v>0</v>
          </cell>
          <cell r="BH341">
            <v>0</v>
          </cell>
          <cell r="BI341">
            <v>0</v>
          </cell>
          <cell r="BJ341">
            <v>0</v>
          </cell>
          <cell r="BK341">
            <v>0</v>
          </cell>
          <cell r="BL341">
            <v>0</v>
          </cell>
          <cell r="BM341">
            <v>0</v>
          </cell>
          <cell r="BN341">
            <v>0</v>
          </cell>
          <cell r="BO341">
            <v>0</v>
          </cell>
          <cell r="BP341">
            <v>0</v>
          </cell>
          <cell r="CA341">
            <v>60322.381518300273</v>
          </cell>
          <cell r="CB341">
            <v>0</v>
          </cell>
          <cell r="CC341">
            <v>26</v>
          </cell>
          <cell r="CD341">
            <v>26</v>
          </cell>
          <cell r="CE341">
            <v>0</v>
          </cell>
          <cell r="CF341">
            <v>26</v>
          </cell>
          <cell r="CG341">
            <v>0</v>
          </cell>
          <cell r="CH341">
            <v>26</v>
          </cell>
          <cell r="CI341">
            <v>26</v>
          </cell>
          <cell r="CJ341">
            <v>26</v>
          </cell>
          <cell r="CV341">
            <v>279.15632754342431</v>
          </cell>
          <cell r="CX341">
            <v>0</v>
          </cell>
          <cell r="CY341">
            <v>0</v>
          </cell>
          <cell r="CZ341">
            <v>0</v>
          </cell>
          <cell r="DA341">
            <v>0</v>
          </cell>
          <cell r="DB341">
            <v>0</v>
          </cell>
          <cell r="DC341">
            <v>0</v>
          </cell>
          <cell r="DD341">
            <v>0</v>
          </cell>
          <cell r="DE341">
            <v>0</v>
          </cell>
          <cell r="DF341">
            <v>0</v>
          </cell>
          <cell r="DG341">
            <v>0</v>
          </cell>
          <cell r="DR341">
            <v>73103</v>
          </cell>
          <cell r="DS341">
            <v>26</v>
          </cell>
          <cell r="DT341">
            <v>26</v>
          </cell>
          <cell r="DU341">
            <v>999999</v>
          </cell>
          <cell r="DV341">
            <v>999999</v>
          </cell>
          <cell r="DW341">
            <v>999999</v>
          </cell>
          <cell r="DX341">
            <v>26</v>
          </cell>
          <cell r="DY341">
            <v>26</v>
          </cell>
          <cell r="DZ341">
            <v>999999</v>
          </cell>
          <cell r="EA341">
            <v>999999</v>
          </cell>
        </row>
        <row r="342">
          <cell r="N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AJ342">
            <v>0</v>
          </cell>
          <cell r="AK342">
            <v>0</v>
          </cell>
          <cell r="AL342">
            <v>999999</v>
          </cell>
          <cell r="AM342">
            <v>25</v>
          </cell>
          <cell r="AN342">
            <v>25</v>
          </cell>
          <cell r="AO342">
            <v>25</v>
          </cell>
          <cell r="AP342">
            <v>0</v>
          </cell>
          <cell r="AQ342">
            <v>0</v>
          </cell>
          <cell r="AR342">
            <v>25</v>
          </cell>
          <cell r="AS342">
            <v>0</v>
          </cell>
          <cell r="BE342">
            <v>0</v>
          </cell>
          <cell r="BG342">
            <v>0</v>
          </cell>
          <cell r="BH342">
            <v>0</v>
          </cell>
          <cell r="BI342">
            <v>0</v>
          </cell>
          <cell r="BJ342">
            <v>0</v>
          </cell>
          <cell r="BK342">
            <v>0</v>
          </cell>
          <cell r="BL342">
            <v>0</v>
          </cell>
          <cell r="BM342">
            <v>0</v>
          </cell>
          <cell r="BN342">
            <v>0</v>
          </cell>
          <cell r="BO342">
            <v>0</v>
          </cell>
          <cell r="BP342">
            <v>0</v>
          </cell>
          <cell r="CA342">
            <v>59782.78309760135</v>
          </cell>
          <cell r="CB342">
            <v>0</v>
          </cell>
          <cell r="CC342">
            <v>25</v>
          </cell>
          <cell r="CD342">
            <v>25</v>
          </cell>
          <cell r="CE342">
            <v>0</v>
          </cell>
          <cell r="CF342">
            <v>25</v>
          </cell>
          <cell r="CG342">
            <v>0</v>
          </cell>
          <cell r="CH342">
            <v>25</v>
          </cell>
          <cell r="CI342">
            <v>25</v>
          </cell>
          <cell r="CJ342">
            <v>25</v>
          </cell>
          <cell r="CV342">
            <v>279.15632754342431</v>
          </cell>
          <cell r="CX342">
            <v>0</v>
          </cell>
          <cell r="CY342">
            <v>0</v>
          </cell>
          <cell r="CZ342">
            <v>0</v>
          </cell>
          <cell r="DA342">
            <v>0</v>
          </cell>
          <cell r="DB342">
            <v>0</v>
          </cell>
          <cell r="DC342">
            <v>0</v>
          </cell>
          <cell r="DD342">
            <v>0</v>
          </cell>
          <cell r="DE342">
            <v>0</v>
          </cell>
          <cell r="DF342">
            <v>0</v>
          </cell>
          <cell r="DG342">
            <v>0</v>
          </cell>
          <cell r="DR342">
            <v>73103</v>
          </cell>
          <cell r="DS342">
            <v>25</v>
          </cell>
          <cell r="DT342">
            <v>25</v>
          </cell>
          <cell r="DU342">
            <v>999999</v>
          </cell>
          <cell r="DV342">
            <v>999999</v>
          </cell>
          <cell r="DW342">
            <v>999999</v>
          </cell>
          <cell r="DX342">
            <v>25</v>
          </cell>
          <cell r="DY342">
            <v>25</v>
          </cell>
          <cell r="DZ342">
            <v>999999</v>
          </cell>
          <cell r="EA342">
            <v>999999</v>
          </cell>
        </row>
        <row r="343">
          <cell r="N343">
            <v>0</v>
          </cell>
          <cell r="P343">
            <v>0</v>
          </cell>
          <cell r="Q343">
            <v>0</v>
          </cell>
          <cell r="R343">
            <v>0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0</v>
          </cell>
          <cell r="X343">
            <v>0</v>
          </cell>
          <cell r="Y343">
            <v>0</v>
          </cell>
          <cell r="AJ343">
            <v>0</v>
          </cell>
          <cell r="AK343">
            <v>0</v>
          </cell>
          <cell r="AL343">
            <v>999999</v>
          </cell>
          <cell r="AM343">
            <v>24</v>
          </cell>
          <cell r="AN343">
            <v>24</v>
          </cell>
          <cell r="AO343">
            <v>24</v>
          </cell>
          <cell r="AP343">
            <v>0</v>
          </cell>
          <cell r="AQ343">
            <v>0</v>
          </cell>
          <cell r="AR343">
            <v>24</v>
          </cell>
          <cell r="AS343">
            <v>0</v>
          </cell>
          <cell r="BE343">
            <v>48000</v>
          </cell>
          <cell r="BG343">
            <v>0</v>
          </cell>
          <cell r="BH343">
            <v>0</v>
          </cell>
          <cell r="BI343">
            <v>0</v>
          </cell>
          <cell r="BJ343">
            <v>0</v>
          </cell>
          <cell r="BK343">
            <v>0</v>
          </cell>
          <cell r="BL343">
            <v>0</v>
          </cell>
          <cell r="BM343">
            <v>0</v>
          </cell>
          <cell r="BN343">
            <v>0</v>
          </cell>
          <cell r="BO343">
            <v>0</v>
          </cell>
          <cell r="BP343">
            <v>0</v>
          </cell>
          <cell r="CA343">
            <v>59243.184676902427</v>
          </cell>
          <cell r="CB343">
            <v>0</v>
          </cell>
          <cell r="CC343">
            <v>24</v>
          </cell>
          <cell r="CD343">
            <v>24</v>
          </cell>
          <cell r="CE343">
            <v>0</v>
          </cell>
          <cell r="CF343">
            <v>24</v>
          </cell>
          <cell r="CG343">
            <v>0</v>
          </cell>
          <cell r="CH343">
            <v>24</v>
          </cell>
          <cell r="CI343">
            <v>24</v>
          </cell>
          <cell r="CJ343">
            <v>24</v>
          </cell>
          <cell r="CV343">
            <v>279.15632754342431</v>
          </cell>
          <cell r="CX343">
            <v>0</v>
          </cell>
          <cell r="CY343">
            <v>0</v>
          </cell>
          <cell r="CZ343">
            <v>0</v>
          </cell>
          <cell r="DA343">
            <v>0</v>
          </cell>
          <cell r="DB343">
            <v>0</v>
          </cell>
          <cell r="DC343">
            <v>0</v>
          </cell>
          <cell r="DD343">
            <v>0</v>
          </cell>
          <cell r="DE343">
            <v>0</v>
          </cell>
          <cell r="DF343">
            <v>0</v>
          </cell>
          <cell r="DG343">
            <v>0</v>
          </cell>
          <cell r="DR343">
            <v>73103</v>
          </cell>
          <cell r="DS343">
            <v>24</v>
          </cell>
          <cell r="DT343">
            <v>24</v>
          </cell>
          <cell r="DU343">
            <v>999999</v>
          </cell>
          <cell r="DV343">
            <v>999999</v>
          </cell>
          <cell r="DW343">
            <v>999999</v>
          </cell>
          <cell r="DX343">
            <v>24</v>
          </cell>
          <cell r="DY343">
            <v>24</v>
          </cell>
          <cell r="DZ343">
            <v>999999</v>
          </cell>
          <cell r="EA343">
            <v>999999</v>
          </cell>
        </row>
        <row r="344">
          <cell r="N344">
            <v>0</v>
          </cell>
          <cell r="P344">
            <v>0</v>
          </cell>
          <cell r="Q344">
            <v>0</v>
          </cell>
          <cell r="R344">
            <v>0</v>
          </cell>
          <cell r="S344">
            <v>0</v>
          </cell>
          <cell r="T344">
            <v>0</v>
          </cell>
          <cell r="U344">
            <v>0</v>
          </cell>
          <cell r="V344">
            <v>0</v>
          </cell>
          <cell r="W344">
            <v>0</v>
          </cell>
          <cell r="X344">
            <v>0</v>
          </cell>
          <cell r="Y344">
            <v>0</v>
          </cell>
          <cell r="AJ344">
            <v>0</v>
          </cell>
          <cell r="AK344">
            <v>0</v>
          </cell>
          <cell r="AL344">
            <v>999999</v>
          </cell>
          <cell r="AM344">
            <v>23</v>
          </cell>
          <cell r="AN344">
            <v>23</v>
          </cell>
          <cell r="AO344">
            <v>23</v>
          </cell>
          <cell r="AP344">
            <v>0</v>
          </cell>
          <cell r="AQ344">
            <v>0</v>
          </cell>
          <cell r="AR344">
            <v>23</v>
          </cell>
          <cell r="AS344">
            <v>0</v>
          </cell>
          <cell r="BE344">
            <v>0</v>
          </cell>
          <cell r="BG344">
            <v>0</v>
          </cell>
          <cell r="BH344">
            <v>0</v>
          </cell>
          <cell r="BI344">
            <v>0</v>
          </cell>
          <cell r="BJ344">
            <v>0</v>
          </cell>
          <cell r="BK344">
            <v>0</v>
          </cell>
          <cell r="BL344">
            <v>0</v>
          </cell>
          <cell r="BM344">
            <v>0</v>
          </cell>
          <cell r="BN344">
            <v>0</v>
          </cell>
          <cell r="BO344">
            <v>0</v>
          </cell>
          <cell r="BP344">
            <v>0</v>
          </cell>
          <cell r="CA344">
            <v>58703.586256203504</v>
          </cell>
          <cell r="CB344">
            <v>0</v>
          </cell>
          <cell r="CC344">
            <v>23</v>
          </cell>
          <cell r="CD344">
            <v>23</v>
          </cell>
          <cell r="CE344">
            <v>0</v>
          </cell>
          <cell r="CF344">
            <v>23</v>
          </cell>
          <cell r="CG344">
            <v>0</v>
          </cell>
          <cell r="CH344">
            <v>23</v>
          </cell>
          <cell r="CI344">
            <v>23</v>
          </cell>
          <cell r="CJ344">
            <v>23</v>
          </cell>
          <cell r="CV344">
            <v>279.15632754342431</v>
          </cell>
          <cell r="CX344">
            <v>0</v>
          </cell>
          <cell r="CY344">
            <v>0</v>
          </cell>
          <cell r="CZ344">
            <v>0</v>
          </cell>
          <cell r="DA344">
            <v>0</v>
          </cell>
          <cell r="DB344">
            <v>0</v>
          </cell>
          <cell r="DC344">
            <v>0</v>
          </cell>
          <cell r="DD344">
            <v>0</v>
          </cell>
          <cell r="DE344">
            <v>0</v>
          </cell>
          <cell r="DF344">
            <v>0</v>
          </cell>
          <cell r="DG344">
            <v>0</v>
          </cell>
          <cell r="DR344">
            <v>73103</v>
          </cell>
          <cell r="DS344">
            <v>23</v>
          </cell>
          <cell r="DT344">
            <v>23</v>
          </cell>
          <cell r="DU344">
            <v>999999</v>
          </cell>
          <cell r="DV344">
            <v>999999</v>
          </cell>
          <cell r="DW344">
            <v>999999</v>
          </cell>
          <cell r="DX344">
            <v>23</v>
          </cell>
          <cell r="DY344">
            <v>23</v>
          </cell>
          <cell r="DZ344">
            <v>999999</v>
          </cell>
          <cell r="EA344">
            <v>999999</v>
          </cell>
        </row>
        <row r="345">
          <cell r="N345">
            <v>0</v>
          </cell>
          <cell r="P345">
            <v>0</v>
          </cell>
          <cell r="Q345">
            <v>0</v>
          </cell>
          <cell r="R345">
            <v>0</v>
          </cell>
          <cell r="S345">
            <v>0</v>
          </cell>
          <cell r="T345">
            <v>0</v>
          </cell>
          <cell r="U345">
            <v>0</v>
          </cell>
          <cell r="V345">
            <v>0</v>
          </cell>
          <cell r="W345">
            <v>0</v>
          </cell>
          <cell r="X345">
            <v>0</v>
          </cell>
          <cell r="Y345">
            <v>0</v>
          </cell>
          <cell r="AJ345">
            <v>0</v>
          </cell>
          <cell r="AK345">
            <v>0</v>
          </cell>
          <cell r="AL345">
            <v>999999</v>
          </cell>
          <cell r="AM345">
            <v>22</v>
          </cell>
          <cell r="AN345">
            <v>22</v>
          </cell>
          <cell r="AO345">
            <v>22</v>
          </cell>
          <cell r="AP345">
            <v>0</v>
          </cell>
          <cell r="AQ345">
            <v>0</v>
          </cell>
          <cell r="AR345">
            <v>22</v>
          </cell>
          <cell r="AS345">
            <v>0</v>
          </cell>
          <cell r="BE345">
            <v>0</v>
          </cell>
          <cell r="BG345">
            <v>0</v>
          </cell>
          <cell r="BH345">
            <v>0</v>
          </cell>
          <cell r="BI345">
            <v>0</v>
          </cell>
          <cell r="BJ345">
            <v>0</v>
          </cell>
          <cell r="BK345">
            <v>0</v>
          </cell>
          <cell r="BL345">
            <v>0</v>
          </cell>
          <cell r="BM345">
            <v>0</v>
          </cell>
          <cell r="BN345">
            <v>0</v>
          </cell>
          <cell r="BO345">
            <v>0</v>
          </cell>
          <cell r="BP345">
            <v>0</v>
          </cell>
          <cell r="CA345">
            <v>58163.98783550458</v>
          </cell>
          <cell r="CB345">
            <v>0</v>
          </cell>
          <cell r="CC345">
            <v>22</v>
          </cell>
          <cell r="CD345">
            <v>22</v>
          </cell>
          <cell r="CE345">
            <v>0</v>
          </cell>
          <cell r="CF345">
            <v>22</v>
          </cell>
          <cell r="CG345">
            <v>0</v>
          </cell>
          <cell r="CH345">
            <v>22</v>
          </cell>
          <cell r="CI345">
            <v>22</v>
          </cell>
          <cell r="CJ345">
            <v>22</v>
          </cell>
          <cell r="CV345">
            <v>279.15632754342431</v>
          </cell>
          <cell r="CX345">
            <v>0</v>
          </cell>
          <cell r="CY345">
            <v>0</v>
          </cell>
          <cell r="CZ345">
            <v>0</v>
          </cell>
          <cell r="DA345">
            <v>0</v>
          </cell>
          <cell r="DB345">
            <v>0</v>
          </cell>
          <cell r="DC345">
            <v>0</v>
          </cell>
          <cell r="DD345">
            <v>0</v>
          </cell>
          <cell r="DE345">
            <v>0</v>
          </cell>
          <cell r="DF345">
            <v>0</v>
          </cell>
          <cell r="DG345">
            <v>0</v>
          </cell>
          <cell r="DR345">
            <v>73103</v>
          </cell>
          <cell r="DS345">
            <v>22</v>
          </cell>
          <cell r="DT345">
            <v>22</v>
          </cell>
          <cell r="DU345">
            <v>999999</v>
          </cell>
          <cell r="DV345">
            <v>999999</v>
          </cell>
          <cell r="DW345">
            <v>999999</v>
          </cell>
          <cell r="DX345">
            <v>22</v>
          </cell>
          <cell r="DY345">
            <v>22</v>
          </cell>
          <cell r="DZ345">
            <v>999999</v>
          </cell>
          <cell r="EA345">
            <v>999999</v>
          </cell>
        </row>
        <row r="346">
          <cell r="N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AJ346">
            <v>0</v>
          </cell>
          <cell r="AK346">
            <v>0</v>
          </cell>
          <cell r="AL346">
            <v>999999</v>
          </cell>
          <cell r="AM346">
            <v>21</v>
          </cell>
          <cell r="AN346">
            <v>21</v>
          </cell>
          <cell r="AO346">
            <v>21</v>
          </cell>
          <cell r="AP346">
            <v>0</v>
          </cell>
          <cell r="AQ346">
            <v>0</v>
          </cell>
          <cell r="AR346">
            <v>21</v>
          </cell>
          <cell r="AS346">
            <v>0</v>
          </cell>
          <cell r="BE346">
            <v>0</v>
          </cell>
          <cell r="BG346">
            <v>0</v>
          </cell>
          <cell r="BH346">
            <v>0</v>
          </cell>
          <cell r="BI346">
            <v>0</v>
          </cell>
          <cell r="BJ346">
            <v>0</v>
          </cell>
          <cell r="BK346">
            <v>0</v>
          </cell>
          <cell r="BL346">
            <v>0</v>
          </cell>
          <cell r="BM346">
            <v>0</v>
          </cell>
          <cell r="BN346">
            <v>0</v>
          </cell>
          <cell r="BO346">
            <v>0</v>
          </cell>
          <cell r="BP346">
            <v>0</v>
          </cell>
          <cell r="CA346">
            <v>57624.389414805657</v>
          </cell>
          <cell r="CB346">
            <v>0</v>
          </cell>
          <cell r="CC346">
            <v>21</v>
          </cell>
          <cell r="CD346">
            <v>21</v>
          </cell>
          <cell r="CE346">
            <v>0</v>
          </cell>
          <cell r="CF346">
            <v>21</v>
          </cell>
          <cell r="CG346">
            <v>0</v>
          </cell>
          <cell r="CH346">
            <v>21</v>
          </cell>
          <cell r="CI346">
            <v>21</v>
          </cell>
          <cell r="CJ346">
            <v>21</v>
          </cell>
          <cell r="CV346">
            <v>279.15632754342431</v>
          </cell>
          <cell r="CX346">
            <v>0</v>
          </cell>
          <cell r="CY346">
            <v>0</v>
          </cell>
          <cell r="CZ346">
            <v>0</v>
          </cell>
          <cell r="DA346">
            <v>0</v>
          </cell>
          <cell r="DB346">
            <v>0</v>
          </cell>
          <cell r="DC346">
            <v>0</v>
          </cell>
          <cell r="DD346">
            <v>0</v>
          </cell>
          <cell r="DE346">
            <v>0</v>
          </cell>
          <cell r="DF346">
            <v>0</v>
          </cell>
          <cell r="DG346">
            <v>0</v>
          </cell>
          <cell r="DR346">
            <v>73103</v>
          </cell>
          <cell r="DS346">
            <v>21</v>
          </cell>
          <cell r="DT346">
            <v>21</v>
          </cell>
          <cell r="DU346">
            <v>999999</v>
          </cell>
          <cell r="DV346">
            <v>999999</v>
          </cell>
          <cell r="DW346">
            <v>999999</v>
          </cell>
          <cell r="DX346">
            <v>21</v>
          </cell>
          <cell r="DY346">
            <v>21</v>
          </cell>
          <cell r="DZ346">
            <v>999999</v>
          </cell>
          <cell r="EA346">
            <v>999999</v>
          </cell>
        </row>
        <row r="347">
          <cell r="N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AJ347">
            <v>0</v>
          </cell>
          <cell r="AK347">
            <v>0</v>
          </cell>
          <cell r="AL347">
            <v>999999</v>
          </cell>
          <cell r="AM347">
            <v>20</v>
          </cell>
          <cell r="AN347">
            <v>20</v>
          </cell>
          <cell r="AO347">
            <v>20</v>
          </cell>
          <cell r="AP347">
            <v>0</v>
          </cell>
          <cell r="AQ347">
            <v>0</v>
          </cell>
          <cell r="AR347">
            <v>20</v>
          </cell>
          <cell r="AS347">
            <v>0</v>
          </cell>
          <cell r="BE347">
            <v>0</v>
          </cell>
          <cell r="BG347">
            <v>0</v>
          </cell>
          <cell r="BH347">
            <v>0</v>
          </cell>
          <cell r="BI347">
            <v>0</v>
          </cell>
          <cell r="BJ347">
            <v>0</v>
          </cell>
          <cell r="BK347">
            <v>0</v>
          </cell>
          <cell r="BL347">
            <v>0</v>
          </cell>
          <cell r="BM347">
            <v>0</v>
          </cell>
          <cell r="BN347">
            <v>0</v>
          </cell>
          <cell r="BO347">
            <v>0</v>
          </cell>
          <cell r="BP347">
            <v>0</v>
          </cell>
          <cell r="CA347">
            <v>57084.790994106734</v>
          </cell>
          <cell r="CB347">
            <v>0</v>
          </cell>
          <cell r="CC347">
            <v>20</v>
          </cell>
          <cell r="CD347">
            <v>20</v>
          </cell>
          <cell r="CE347">
            <v>0</v>
          </cell>
          <cell r="CF347">
            <v>20</v>
          </cell>
          <cell r="CG347">
            <v>0</v>
          </cell>
          <cell r="CH347">
            <v>20</v>
          </cell>
          <cell r="CI347">
            <v>20</v>
          </cell>
          <cell r="CJ347">
            <v>20</v>
          </cell>
          <cell r="CV347">
            <v>279.15632754342431</v>
          </cell>
          <cell r="CX347">
            <v>0</v>
          </cell>
          <cell r="CY347">
            <v>0</v>
          </cell>
          <cell r="CZ347">
            <v>0</v>
          </cell>
          <cell r="DA347">
            <v>0</v>
          </cell>
          <cell r="DB347">
            <v>0</v>
          </cell>
          <cell r="DC347">
            <v>0</v>
          </cell>
          <cell r="DD347">
            <v>0</v>
          </cell>
          <cell r="DE347">
            <v>0</v>
          </cell>
          <cell r="DF347">
            <v>0</v>
          </cell>
          <cell r="DG347">
            <v>0</v>
          </cell>
          <cell r="DR347">
            <v>73103</v>
          </cell>
          <cell r="DS347">
            <v>20</v>
          </cell>
          <cell r="DT347">
            <v>20</v>
          </cell>
          <cell r="DU347">
            <v>999999</v>
          </cell>
          <cell r="DV347">
            <v>999999</v>
          </cell>
          <cell r="DW347">
            <v>999999</v>
          </cell>
          <cell r="DX347">
            <v>20</v>
          </cell>
          <cell r="DY347">
            <v>20</v>
          </cell>
          <cell r="DZ347">
            <v>999999</v>
          </cell>
          <cell r="EA347">
            <v>999999</v>
          </cell>
        </row>
        <row r="348">
          <cell r="N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AJ348">
            <v>0</v>
          </cell>
          <cell r="AK348">
            <v>0</v>
          </cell>
          <cell r="AL348">
            <v>999999</v>
          </cell>
          <cell r="AM348">
            <v>19</v>
          </cell>
          <cell r="AN348">
            <v>19</v>
          </cell>
          <cell r="AO348">
            <v>19</v>
          </cell>
          <cell r="AP348">
            <v>0</v>
          </cell>
          <cell r="AQ348">
            <v>0</v>
          </cell>
          <cell r="AR348">
            <v>19</v>
          </cell>
          <cell r="AS348">
            <v>0</v>
          </cell>
          <cell r="BE348">
            <v>0</v>
          </cell>
          <cell r="BG348">
            <v>0</v>
          </cell>
          <cell r="BH348">
            <v>0</v>
          </cell>
          <cell r="BI348">
            <v>0</v>
          </cell>
          <cell r="BJ348">
            <v>0</v>
          </cell>
          <cell r="BK348">
            <v>0</v>
          </cell>
          <cell r="BL348">
            <v>0</v>
          </cell>
          <cell r="BM348">
            <v>0</v>
          </cell>
          <cell r="BN348">
            <v>0</v>
          </cell>
          <cell r="BO348">
            <v>0</v>
          </cell>
          <cell r="BP348">
            <v>0</v>
          </cell>
          <cell r="CA348">
            <v>56545.19257340781</v>
          </cell>
          <cell r="CB348">
            <v>0</v>
          </cell>
          <cell r="CC348">
            <v>19</v>
          </cell>
          <cell r="CD348">
            <v>19</v>
          </cell>
          <cell r="CE348">
            <v>0</v>
          </cell>
          <cell r="CF348">
            <v>19</v>
          </cell>
          <cell r="CG348">
            <v>0</v>
          </cell>
          <cell r="CH348">
            <v>19</v>
          </cell>
          <cell r="CI348">
            <v>19</v>
          </cell>
          <cell r="CJ348">
            <v>19</v>
          </cell>
          <cell r="CV348">
            <v>279.15632754342431</v>
          </cell>
          <cell r="CX348">
            <v>0</v>
          </cell>
          <cell r="CY348">
            <v>0</v>
          </cell>
          <cell r="CZ348">
            <v>0</v>
          </cell>
          <cell r="DA348">
            <v>0</v>
          </cell>
          <cell r="DB348">
            <v>0</v>
          </cell>
          <cell r="DC348">
            <v>0</v>
          </cell>
          <cell r="DD348">
            <v>0</v>
          </cell>
          <cell r="DE348">
            <v>0</v>
          </cell>
          <cell r="DF348">
            <v>0</v>
          </cell>
          <cell r="DG348">
            <v>0</v>
          </cell>
          <cell r="DR348">
            <v>73103</v>
          </cell>
          <cell r="DS348">
            <v>19</v>
          </cell>
          <cell r="DT348">
            <v>19</v>
          </cell>
          <cell r="DU348">
            <v>999999</v>
          </cell>
          <cell r="DV348">
            <v>999999</v>
          </cell>
          <cell r="DW348">
            <v>999999</v>
          </cell>
          <cell r="DX348">
            <v>19</v>
          </cell>
          <cell r="DY348">
            <v>19</v>
          </cell>
          <cell r="DZ348">
            <v>999999</v>
          </cell>
          <cell r="EA348">
            <v>999999</v>
          </cell>
        </row>
        <row r="349">
          <cell r="N349">
            <v>0</v>
          </cell>
          <cell r="P349">
            <v>0</v>
          </cell>
          <cell r="Q349">
            <v>0</v>
          </cell>
          <cell r="R349">
            <v>0</v>
          </cell>
          <cell r="S349">
            <v>0</v>
          </cell>
          <cell r="T349">
            <v>0</v>
          </cell>
          <cell r="U349">
            <v>0</v>
          </cell>
          <cell r="V349">
            <v>0</v>
          </cell>
          <cell r="W349">
            <v>0</v>
          </cell>
          <cell r="X349">
            <v>0</v>
          </cell>
          <cell r="Y349">
            <v>0</v>
          </cell>
          <cell r="AJ349">
            <v>0</v>
          </cell>
          <cell r="AK349">
            <v>0</v>
          </cell>
          <cell r="AL349">
            <v>999999</v>
          </cell>
          <cell r="AM349">
            <v>18</v>
          </cell>
          <cell r="AN349">
            <v>18</v>
          </cell>
          <cell r="AO349">
            <v>18</v>
          </cell>
          <cell r="AP349">
            <v>0</v>
          </cell>
          <cell r="AQ349">
            <v>0</v>
          </cell>
          <cell r="AR349">
            <v>18</v>
          </cell>
          <cell r="AS349">
            <v>0</v>
          </cell>
          <cell r="BE349">
            <v>0</v>
          </cell>
          <cell r="BG349">
            <v>0</v>
          </cell>
          <cell r="BH349">
            <v>0</v>
          </cell>
          <cell r="BI349">
            <v>0</v>
          </cell>
          <cell r="BJ349">
            <v>0</v>
          </cell>
          <cell r="BK349">
            <v>0</v>
          </cell>
          <cell r="BL349">
            <v>0</v>
          </cell>
          <cell r="BM349">
            <v>0</v>
          </cell>
          <cell r="BN349">
            <v>0</v>
          </cell>
          <cell r="BO349">
            <v>0</v>
          </cell>
          <cell r="BP349">
            <v>0</v>
          </cell>
          <cell r="CA349">
            <v>56005.594152708887</v>
          </cell>
          <cell r="CB349">
            <v>0</v>
          </cell>
          <cell r="CC349">
            <v>18</v>
          </cell>
          <cell r="CD349">
            <v>18</v>
          </cell>
          <cell r="CE349">
            <v>0</v>
          </cell>
          <cell r="CF349">
            <v>18</v>
          </cell>
          <cell r="CG349">
            <v>0</v>
          </cell>
          <cell r="CH349">
            <v>18</v>
          </cell>
          <cell r="CI349">
            <v>18</v>
          </cell>
          <cell r="CJ349">
            <v>18</v>
          </cell>
          <cell r="CV349">
            <v>279.15632754342431</v>
          </cell>
          <cell r="CX349">
            <v>0</v>
          </cell>
          <cell r="CY349">
            <v>0</v>
          </cell>
          <cell r="CZ349">
            <v>0</v>
          </cell>
          <cell r="DA349">
            <v>0</v>
          </cell>
          <cell r="DB349">
            <v>0</v>
          </cell>
          <cell r="DC349">
            <v>0</v>
          </cell>
          <cell r="DD349">
            <v>0</v>
          </cell>
          <cell r="DE349">
            <v>0</v>
          </cell>
          <cell r="DF349">
            <v>0</v>
          </cell>
          <cell r="DG349">
            <v>0</v>
          </cell>
          <cell r="DR349">
            <v>73103</v>
          </cell>
          <cell r="DS349">
            <v>18</v>
          </cell>
          <cell r="DT349">
            <v>18</v>
          </cell>
          <cell r="DU349">
            <v>999999</v>
          </cell>
          <cell r="DV349">
            <v>999999</v>
          </cell>
          <cell r="DW349">
            <v>999999</v>
          </cell>
          <cell r="DX349">
            <v>18</v>
          </cell>
          <cell r="DY349">
            <v>18</v>
          </cell>
          <cell r="DZ349">
            <v>999999</v>
          </cell>
          <cell r="EA349">
            <v>999999</v>
          </cell>
        </row>
        <row r="350">
          <cell r="N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AJ350">
            <v>0</v>
          </cell>
          <cell r="AK350">
            <v>0</v>
          </cell>
          <cell r="AL350">
            <v>999999</v>
          </cell>
          <cell r="AM350">
            <v>17</v>
          </cell>
          <cell r="AN350">
            <v>17</v>
          </cell>
          <cell r="AO350">
            <v>17</v>
          </cell>
          <cell r="AP350">
            <v>0</v>
          </cell>
          <cell r="AQ350">
            <v>0</v>
          </cell>
          <cell r="AR350">
            <v>17</v>
          </cell>
          <cell r="AS350">
            <v>0</v>
          </cell>
          <cell r="BE350">
            <v>48000</v>
          </cell>
          <cell r="BG350">
            <v>0</v>
          </cell>
          <cell r="BH350">
            <v>0</v>
          </cell>
          <cell r="BI350">
            <v>0</v>
          </cell>
          <cell r="BJ350">
            <v>0</v>
          </cell>
          <cell r="BK350">
            <v>0</v>
          </cell>
          <cell r="BL350">
            <v>0</v>
          </cell>
          <cell r="BM350">
            <v>0</v>
          </cell>
          <cell r="BN350">
            <v>0</v>
          </cell>
          <cell r="BO350">
            <v>0</v>
          </cell>
          <cell r="BP350">
            <v>0</v>
          </cell>
          <cell r="CA350">
            <v>55465.995732009964</v>
          </cell>
          <cell r="CB350">
            <v>0</v>
          </cell>
          <cell r="CC350">
            <v>17</v>
          </cell>
          <cell r="CD350">
            <v>17</v>
          </cell>
          <cell r="CE350">
            <v>0</v>
          </cell>
          <cell r="CF350">
            <v>17</v>
          </cell>
          <cell r="CG350">
            <v>0</v>
          </cell>
          <cell r="CH350">
            <v>17</v>
          </cell>
          <cell r="CI350">
            <v>17</v>
          </cell>
          <cell r="CJ350">
            <v>17</v>
          </cell>
          <cell r="CV350">
            <v>279.15632754342431</v>
          </cell>
          <cell r="CX350">
            <v>0</v>
          </cell>
          <cell r="CY350">
            <v>0</v>
          </cell>
          <cell r="CZ350">
            <v>0</v>
          </cell>
          <cell r="DA350">
            <v>0</v>
          </cell>
          <cell r="DB350">
            <v>0</v>
          </cell>
          <cell r="DC350">
            <v>0</v>
          </cell>
          <cell r="DD350">
            <v>0</v>
          </cell>
          <cell r="DE350">
            <v>0</v>
          </cell>
          <cell r="DF350">
            <v>0</v>
          </cell>
          <cell r="DG350">
            <v>0</v>
          </cell>
          <cell r="DR350">
            <v>73103</v>
          </cell>
          <cell r="DS350">
            <v>17</v>
          </cell>
          <cell r="DT350">
            <v>17</v>
          </cell>
          <cell r="DU350">
            <v>999999</v>
          </cell>
          <cell r="DV350">
            <v>999999</v>
          </cell>
          <cell r="DW350">
            <v>999999</v>
          </cell>
          <cell r="DX350">
            <v>17</v>
          </cell>
          <cell r="DY350">
            <v>17</v>
          </cell>
          <cell r="DZ350">
            <v>999999</v>
          </cell>
          <cell r="EA350">
            <v>999999</v>
          </cell>
        </row>
        <row r="351">
          <cell r="N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AJ351">
            <v>0</v>
          </cell>
          <cell r="AK351">
            <v>0</v>
          </cell>
          <cell r="AL351">
            <v>999999</v>
          </cell>
          <cell r="AM351">
            <v>16</v>
          </cell>
          <cell r="AN351">
            <v>16</v>
          </cell>
          <cell r="AO351">
            <v>16</v>
          </cell>
          <cell r="AP351">
            <v>0</v>
          </cell>
          <cell r="AQ351">
            <v>0</v>
          </cell>
          <cell r="AR351">
            <v>16</v>
          </cell>
          <cell r="AS351">
            <v>0</v>
          </cell>
          <cell r="BE351">
            <v>0</v>
          </cell>
          <cell r="BG351">
            <v>0</v>
          </cell>
          <cell r="BH351">
            <v>0</v>
          </cell>
          <cell r="BI351">
            <v>0</v>
          </cell>
          <cell r="BJ351">
            <v>0</v>
          </cell>
          <cell r="BK351">
            <v>0</v>
          </cell>
          <cell r="BL351">
            <v>0</v>
          </cell>
          <cell r="BM351">
            <v>0</v>
          </cell>
          <cell r="BN351">
            <v>0</v>
          </cell>
          <cell r="BO351">
            <v>0</v>
          </cell>
          <cell r="BP351">
            <v>0</v>
          </cell>
          <cell r="CA351">
            <v>54926.397311311041</v>
          </cell>
          <cell r="CB351">
            <v>0</v>
          </cell>
          <cell r="CC351">
            <v>16</v>
          </cell>
          <cell r="CD351">
            <v>16</v>
          </cell>
          <cell r="CE351">
            <v>0</v>
          </cell>
          <cell r="CF351">
            <v>16</v>
          </cell>
          <cell r="CG351">
            <v>0</v>
          </cell>
          <cell r="CH351">
            <v>16</v>
          </cell>
          <cell r="CI351">
            <v>16</v>
          </cell>
          <cell r="CJ351">
            <v>16</v>
          </cell>
          <cell r="CV351">
            <v>279.15632754342431</v>
          </cell>
          <cell r="CX351">
            <v>0</v>
          </cell>
          <cell r="CY351">
            <v>0</v>
          </cell>
          <cell r="CZ351">
            <v>0</v>
          </cell>
          <cell r="DA351">
            <v>0</v>
          </cell>
          <cell r="DB351">
            <v>0</v>
          </cell>
          <cell r="DC351">
            <v>0</v>
          </cell>
          <cell r="DD351">
            <v>0</v>
          </cell>
          <cell r="DE351">
            <v>0</v>
          </cell>
          <cell r="DF351">
            <v>0</v>
          </cell>
          <cell r="DG351">
            <v>0</v>
          </cell>
          <cell r="DR351">
            <v>73103</v>
          </cell>
          <cell r="DS351">
            <v>16</v>
          </cell>
          <cell r="DT351">
            <v>16</v>
          </cell>
          <cell r="DU351">
            <v>999999</v>
          </cell>
          <cell r="DV351">
            <v>999999</v>
          </cell>
          <cell r="DW351">
            <v>999999</v>
          </cell>
          <cell r="DX351">
            <v>16</v>
          </cell>
          <cell r="DY351">
            <v>16</v>
          </cell>
          <cell r="DZ351">
            <v>999999</v>
          </cell>
          <cell r="EA351">
            <v>999999</v>
          </cell>
        </row>
        <row r="352">
          <cell r="N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AJ352">
            <v>0</v>
          </cell>
          <cell r="AK352">
            <v>0</v>
          </cell>
          <cell r="AL352">
            <v>999999</v>
          </cell>
          <cell r="AM352">
            <v>15</v>
          </cell>
          <cell r="AN352">
            <v>15</v>
          </cell>
          <cell r="AO352">
            <v>15</v>
          </cell>
          <cell r="AP352">
            <v>0</v>
          </cell>
          <cell r="AQ352">
            <v>0</v>
          </cell>
          <cell r="AR352">
            <v>15</v>
          </cell>
          <cell r="AS352">
            <v>0</v>
          </cell>
          <cell r="BE352">
            <v>0</v>
          </cell>
          <cell r="BG352">
            <v>0</v>
          </cell>
          <cell r="BH352">
            <v>0</v>
          </cell>
          <cell r="BI352">
            <v>0</v>
          </cell>
          <cell r="BJ352">
            <v>0</v>
          </cell>
          <cell r="BK352">
            <v>0</v>
          </cell>
          <cell r="BL352">
            <v>0</v>
          </cell>
          <cell r="BM352">
            <v>0</v>
          </cell>
          <cell r="BN352">
            <v>0</v>
          </cell>
          <cell r="BO352">
            <v>0</v>
          </cell>
          <cell r="BP352">
            <v>0</v>
          </cell>
          <cell r="CA352">
            <v>54386.798890612117</v>
          </cell>
          <cell r="CB352">
            <v>0</v>
          </cell>
          <cell r="CC352">
            <v>15</v>
          </cell>
          <cell r="CD352">
            <v>15</v>
          </cell>
          <cell r="CE352">
            <v>0</v>
          </cell>
          <cell r="CF352">
            <v>15</v>
          </cell>
          <cell r="CG352">
            <v>0</v>
          </cell>
          <cell r="CH352">
            <v>15</v>
          </cell>
          <cell r="CI352">
            <v>15</v>
          </cell>
          <cell r="CJ352">
            <v>15</v>
          </cell>
          <cell r="CV352">
            <v>279.15632754342431</v>
          </cell>
          <cell r="CX352">
            <v>0</v>
          </cell>
          <cell r="CY352">
            <v>0</v>
          </cell>
          <cell r="CZ352">
            <v>0</v>
          </cell>
          <cell r="DA352">
            <v>0</v>
          </cell>
          <cell r="DB352">
            <v>0</v>
          </cell>
          <cell r="DC352">
            <v>0</v>
          </cell>
          <cell r="DD352">
            <v>0</v>
          </cell>
          <cell r="DE352">
            <v>0</v>
          </cell>
          <cell r="DF352">
            <v>0</v>
          </cell>
          <cell r="DG352">
            <v>0</v>
          </cell>
          <cell r="DR352">
            <v>73103</v>
          </cell>
          <cell r="DS352">
            <v>15</v>
          </cell>
          <cell r="DT352">
            <v>15</v>
          </cell>
          <cell r="DU352">
            <v>999999</v>
          </cell>
          <cell r="DV352">
            <v>999999</v>
          </cell>
          <cell r="DW352">
            <v>999999</v>
          </cell>
          <cell r="DX352">
            <v>15</v>
          </cell>
          <cell r="DY352">
            <v>15</v>
          </cell>
          <cell r="DZ352">
            <v>999999</v>
          </cell>
          <cell r="EA352">
            <v>999999</v>
          </cell>
        </row>
        <row r="353">
          <cell r="N353">
            <v>0</v>
          </cell>
          <cell r="P353">
            <v>0</v>
          </cell>
          <cell r="Q353">
            <v>0</v>
          </cell>
          <cell r="R353">
            <v>0</v>
          </cell>
          <cell r="S353">
            <v>0</v>
          </cell>
          <cell r="T353">
            <v>0</v>
          </cell>
          <cell r="U353">
            <v>0</v>
          </cell>
          <cell r="V353">
            <v>0</v>
          </cell>
          <cell r="W353">
            <v>0</v>
          </cell>
          <cell r="X353">
            <v>0</v>
          </cell>
          <cell r="Y353">
            <v>0</v>
          </cell>
          <cell r="AJ353">
            <v>0</v>
          </cell>
          <cell r="AK353">
            <v>0</v>
          </cell>
          <cell r="AL353">
            <v>999999</v>
          </cell>
          <cell r="AM353">
            <v>14</v>
          </cell>
          <cell r="AN353">
            <v>14</v>
          </cell>
          <cell r="AO353">
            <v>14</v>
          </cell>
          <cell r="AP353">
            <v>0</v>
          </cell>
          <cell r="AQ353">
            <v>0</v>
          </cell>
          <cell r="AR353">
            <v>14</v>
          </cell>
          <cell r="AS353">
            <v>0</v>
          </cell>
          <cell r="BE353">
            <v>0</v>
          </cell>
          <cell r="BG353">
            <v>0</v>
          </cell>
          <cell r="BH353">
            <v>0</v>
          </cell>
          <cell r="BI353">
            <v>0</v>
          </cell>
          <cell r="BJ353">
            <v>0</v>
          </cell>
          <cell r="BK353">
            <v>0</v>
          </cell>
          <cell r="BL353">
            <v>0</v>
          </cell>
          <cell r="BM353">
            <v>0</v>
          </cell>
          <cell r="BN353">
            <v>0</v>
          </cell>
          <cell r="BO353">
            <v>0</v>
          </cell>
          <cell r="BP353">
            <v>0</v>
          </cell>
          <cell r="CA353">
            <v>53847.200469913194</v>
          </cell>
          <cell r="CB353">
            <v>0</v>
          </cell>
          <cell r="CC353">
            <v>14</v>
          </cell>
          <cell r="CD353">
            <v>14</v>
          </cell>
          <cell r="CE353">
            <v>0</v>
          </cell>
          <cell r="CF353">
            <v>14</v>
          </cell>
          <cell r="CG353">
            <v>0</v>
          </cell>
          <cell r="CH353">
            <v>14</v>
          </cell>
          <cell r="CI353">
            <v>14</v>
          </cell>
          <cell r="CJ353">
            <v>14</v>
          </cell>
          <cell r="CV353">
            <v>279.15632754342431</v>
          </cell>
          <cell r="CX353">
            <v>0</v>
          </cell>
          <cell r="CY353">
            <v>0</v>
          </cell>
          <cell r="CZ353">
            <v>0</v>
          </cell>
          <cell r="DA353">
            <v>0</v>
          </cell>
          <cell r="DB353">
            <v>0</v>
          </cell>
          <cell r="DC353">
            <v>0</v>
          </cell>
          <cell r="DD353">
            <v>0</v>
          </cell>
          <cell r="DE353">
            <v>0</v>
          </cell>
          <cell r="DF353">
            <v>0</v>
          </cell>
          <cell r="DG353">
            <v>0</v>
          </cell>
          <cell r="DR353">
            <v>73103</v>
          </cell>
          <cell r="DS353">
            <v>14</v>
          </cell>
          <cell r="DT353">
            <v>14</v>
          </cell>
          <cell r="DU353">
            <v>999999</v>
          </cell>
          <cell r="DV353">
            <v>999999</v>
          </cell>
          <cell r="DW353">
            <v>999999</v>
          </cell>
          <cell r="DX353">
            <v>14</v>
          </cell>
          <cell r="DY353">
            <v>14</v>
          </cell>
          <cell r="DZ353">
            <v>999999</v>
          </cell>
          <cell r="EA353">
            <v>999999</v>
          </cell>
        </row>
        <row r="354">
          <cell r="N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AJ354">
            <v>0</v>
          </cell>
          <cell r="AK354">
            <v>0</v>
          </cell>
          <cell r="AL354">
            <v>999999</v>
          </cell>
          <cell r="AM354">
            <v>13</v>
          </cell>
          <cell r="AN354">
            <v>13</v>
          </cell>
          <cell r="AO354">
            <v>13</v>
          </cell>
          <cell r="AP354">
            <v>0</v>
          </cell>
          <cell r="AQ354">
            <v>0</v>
          </cell>
          <cell r="AR354">
            <v>13</v>
          </cell>
          <cell r="AS354">
            <v>0</v>
          </cell>
          <cell r="BE354">
            <v>0</v>
          </cell>
          <cell r="BG354">
            <v>0</v>
          </cell>
          <cell r="BH354">
            <v>0</v>
          </cell>
          <cell r="BI354">
            <v>0</v>
          </cell>
          <cell r="BJ354">
            <v>0</v>
          </cell>
          <cell r="BK354">
            <v>0</v>
          </cell>
          <cell r="BL354">
            <v>0</v>
          </cell>
          <cell r="BM354">
            <v>0</v>
          </cell>
          <cell r="BN354">
            <v>0</v>
          </cell>
          <cell r="BO354">
            <v>0</v>
          </cell>
          <cell r="BP354">
            <v>0</v>
          </cell>
          <cell r="CA354">
            <v>53307.602049214271</v>
          </cell>
          <cell r="CB354">
            <v>0</v>
          </cell>
          <cell r="CC354">
            <v>13</v>
          </cell>
          <cell r="CD354">
            <v>13</v>
          </cell>
          <cell r="CE354">
            <v>0</v>
          </cell>
          <cell r="CF354">
            <v>13</v>
          </cell>
          <cell r="CG354">
            <v>0</v>
          </cell>
          <cell r="CH354">
            <v>13</v>
          </cell>
          <cell r="CI354">
            <v>13</v>
          </cell>
          <cell r="CJ354">
            <v>13</v>
          </cell>
          <cell r="CV354">
            <v>279.15632754342431</v>
          </cell>
          <cell r="CX354">
            <v>0</v>
          </cell>
          <cell r="CY354">
            <v>0</v>
          </cell>
          <cell r="CZ354">
            <v>0</v>
          </cell>
          <cell r="DA354">
            <v>0</v>
          </cell>
          <cell r="DB354">
            <v>0</v>
          </cell>
          <cell r="DC354">
            <v>0</v>
          </cell>
          <cell r="DD354">
            <v>0</v>
          </cell>
          <cell r="DE354">
            <v>0</v>
          </cell>
          <cell r="DF354">
            <v>0</v>
          </cell>
          <cell r="DG354">
            <v>0</v>
          </cell>
          <cell r="DR354">
            <v>73103</v>
          </cell>
          <cell r="DS354">
            <v>13</v>
          </cell>
          <cell r="DT354">
            <v>13</v>
          </cell>
          <cell r="DU354">
            <v>999999</v>
          </cell>
          <cell r="DV354">
            <v>999999</v>
          </cell>
          <cell r="DW354">
            <v>999999</v>
          </cell>
          <cell r="DX354">
            <v>13</v>
          </cell>
          <cell r="DY354">
            <v>13</v>
          </cell>
          <cell r="DZ354">
            <v>999999</v>
          </cell>
          <cell r="EA354">
            <v>999999</v>
          </cell>
        </row>
        <row r="355">
          <cell r="N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AJ355">
            <v>0</v>
          </cell>
          <cell r="AK355">
            <v>0</v>
          </cell>
          <cell r="AL355">
            <v>999999</v>
          </cell>
          <cell r="AM355">
            <v>12</v>
          </cell>
          <cell r="AN355">
            <v>12</v>
          </cell>
          <cell r="AO355">
            <v>12</v>
          </cell>
          <cell r="AP355">
            <v>0</v>
          </cell>
          <cell r="AQ355">
            <v>0</v>
          </cell>
          <cell r="AR355">
            <v>12</v>
          </cell>
          <cell r="AS355">
            <v>0</v>
          </cell>
          <cell r="BE355">
            <v>0</v>
          </cell>
          <cell r="BG355">
            <v>0</v>
          </cell>
          <cell r="BH355">
            <v>0</v>
          </cell>
          <cell r="BI355">
            <v>0</v>
          </cell>
          <cell r="BJ355">
            <v>0</v>
          </cell>
          <cell r="BK355">
            <v>0</v>
          </cell>
          <cell r="BL355">
            <v>0</v>
          </cell>
          <cell r="BM355">
            <v>0</v>
          </cell>
          <cell r="BN355">
            <v>0</v>
          </cell>
          <cell r="BO355">
            <v>0</v>
          </cell>
          <cell r="BP355">
            <v>0</v>
          </cell>
          <cell r="CA355">
            <v>52768.003628515347</v>
          </cell>
          <cell r="CB355">
            <v>0</v>
          </cell>
          <cell r="CC355">
            <v>12</v>
          </cell>
          <cell r="CD355">
            <v>12</v>
          </cell>
          <cell r="CE355">
            <v>0</v>
          </cell>
          <cell r="CF355">
            <v>12</v>
          </cell>
          <cell r="CG355">
            <v>0</v>
          </cell>
          <cell r="CH355">
            <v>12</v>
          </cell>
          <cell r="CI355">
            <v>12</v>
          </cell>
          <cell r="CJ355">
            <v>12</v>
          </cell>
          <cell r="CV355">
            <v>279.15632754342431</v>
          </cell>
          <cell r="CX355">
            <v>0</v>
          </cell>
          <cell r="CY355">
            <v>0</v>
          </cell>
          <cell r="CZ355">
            <v>0</v>
          </cell>
          <cell r="DA355">
            <v>0</v>
          </cell>
          <cell r="DB355">
            <v>0</v>
          </cell>
          <cell r="DC355">
            <v>0</v>
          </cell>
          <cell r="DD355">
            <v>0</v>
          </cell>
          <cell r="DE355">
            <v>0</v>
          </cell>
          <cell r="DF355">
            <v>0</v>
          </cell>
          <cell r="DG355">
            <v>0</v>
          </cell>
          <cell r="DR355">
            <v>73103</v>
          </cell>
          <cell r="DS355">
            <v>12</v>
          </cell>
          <cell r="DT355">
            <v>12</v>
          </cell>
          <cell r="DU355">
            <v>999999</v>
          </cell>
          <cell r="DV355">
            <v>999999</v>
          </cell>
          <cell r="DW355">
            <v>999999</v>
          </cell>
          <cell r="DX355">
            <v>12</v>
          </cell>
          <cell r="DY355">
            <v>12</v>
          </cell>
          <cell r="DZ355">
            <v>999999</v>
          </cell>
          <cell r="EA355">
            <v>999999</v>
          </cell>
        </row>
        <row r="356">
          <cell r="N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AJ356">
            <v>0</v>
          </cell>
          <cell r="AK356">
            <v>0</v>
          </cell>
          <cell r="AL356">
            <v>999999</v>
          </cell>
          <cell r="AM356">
            <v>11</v>
          </cell>
          <cell r="AN356">
            <v>11</v>
          </cell>
          <cell r="AO356">
            <v>11</v>
          </cell>
          <cell r="AP356">
            <v>0</v>
          </cell>
          <cell r="AQ356">
            <v>0</v>
          </cell>
          <cell r="AR356">
            <v>11</v>
          </cell>
          <cell r="AS356">
            <v>0</v>
          </cell>
          <cell r="BE356">
            <v>0</v>
          </cell>
          <cell r="BG356">
            <v>0</v>
          </cell>
          <cell r="BH356">
            <v>0</v>
          </cell>
          <cell r="BI356">
            <v>0</v>
          </cell>
          <cell r="BJ356">
            <v>0</v>
          </cell>
          <cell r="BK356">
            <v>0</v>
          </cell>
          <cell r="BL356">
            <v>0</v>
          </cell>
          <cell r="BM356">
            <v>0</v>
          </cell>
          <cell r="BN356">
            <v>0</v>
          </cell>
          <cell r="BO356">
            <v>0</v>
          </cell>
          <cell r="BP356">
            <v>0</v>
          </cell>
          <cell r="CA356">
            <v>52228.405207816424</v>
          </cell>
          <cell r="CB356">
            <v>0</v>
          </cell>
          <cell r="CC356">
            <v>11</v>
          </cell>
          <cell r="CD356">
            <v>11</v>
          </cell>
          <cell r="CE356">
            <v>0</v>
          </cell>
          <cell r="CF356">
            <v>11</v>
          </cell>
          <cell r="CG356">
            <v>0</v>
          </cell>
          <cell r="CH356">
            <v>11</v>
          </cell>
          <cell r="CI356">
            <v>11</v>
          </cell>
          <cell r="CJ356">
            <v>11</v>
          </cell>
          <cell r="CV356">
            <v>279.15632754342431</v>
          </cell>
          <cell r="CX356">
            <v>0</v>
          </cell>
          <cell r="CY356">
            <v>0</v>
          </cell>
          <cell r="CZ356">
            <v>0</v>
          </cell>
          <cell r="DA356">
            <v>0</v>
          </cell>
          <cell r="DB356">
            <v>0</v>
          </cell>
          <cell r="DC356">
            <v>0</v>
          </cell>
          <cell r="DD356">
            <v>0</v>
          </cell>
          <cell r="DE356">
            <v>0</v>
          </cell>
          <cell r="DF356">
            <v>0</v>
          </cell>
          <cell r="DG356">
            <v>0</v>
          </cell>
          <cell r="DR356">
            <v>73103</v>
          </cell>
          <cell r="DS356">
            <v>11</v>
          </cell>
          <cell r="DT356">
            <v>11</v>
          </cell>
          <cell r="DU356">
            <v>999999</v>
          </cell>
          <cell r="DV356">
            <v>999999</v>
          </cell>
          <cell r="DW356">
            <v>999999</v>
          </cell>
          <cell r="DX356">
            <v>11</v>
          </cell>
          <cell r="DY356">
            <v>11</v>
          </cell>
          <cell r="DZ356">
            <v>999999</v>
          </cell>
          <cell r="EA356">
            <v>999999</v>
          </cell>
        </row>
        <row r="357">
          <cell r="N357">
            <v>0</v>
          </cell>
          <cell r="P357">
            <v>0</v>
          </cell>
          <cell r="Q357">
            <v>0</v>
          </cell>
          <cell r="R357">
            <v>0</v>
          </cell>
          <cell r="S357">
            <v>0</v>
          </cell>
          <cell r="T357">
            <v>0</v>
          </cell>
          <cell r="U357">
            <v>0</v>
          </cell>
          <cell r="V357">
            <v>0</v>
          </cell>
          <cell r="W357">
            <v>0</v>
          </cell>
          <cell r="X357">
            <v>0</v>
          </cell>
          <cell r="Y357">
            <v>0</v>
          </cell>
          <cell r="AJ357">
            <v>0</v>
          </cell>
          <cell r="AK357">
            <v>0</v>
          </cell>
          <cell r="AL357">
            <v>999999</v>
          </cell>
          <cell r="AM357">
            <v>10</v>
          </cell>
          <cell r="AN357">
            <v>10</v>
          </cell>
          <cell r="AO357">
            <v>10</v>
          </cell>
          <cell r="AP357">
            <v>0</v>
          </cell>
          <cell r="AQ357">
            <v>0</v>
          </cell>
          <cell r="AR357">
            <v>10</v>
          </cell>
          <cell r="AS357">
            <v>0</v>
          </cell>
          <cell r="BE357">
            <v>48000</v>
          </cell>
          <cell r="BG357">
            <v>0</v>
          </cell>
          <cell r="BH357">
            <v>0</v>
          </cell>
          <cell r="BI357">
            <v>0</v>
          </cell>
          <cell r="BJ357">
            <v>0</v>
          </cell>
          <cell r="BK357">
            <v>0</v>
          </cell>
          <cell r="BL357">
            <v>0</v>
          </cell>
          <cell r="BM357">
            <v>0</v>
          </cell>
          <cell r="BN357">
            <v>0</v>
          </cell>
          <cell r="BO357">
            <v>0</v>
          </cell>
          <cell r="BP357">
            <v>0</v>
          </cell>
          <cell r="CA357">
            <v>51688.806787117501</v>
          </cell>
          <cell r="CB357">
            <v>0</v>
          </cell>
          <cell r="CC357">
            <v>10</v>
          </cell>
          <cell r="CD357">
            <v>10</v>
          </cell>
          <cell r="CE357">
            <v>0</v>
          </cell>
          <cell r="CF357">
            <v>10</v>
          </cell>
          <cell r="CG357">
            <v>0</v>
          </cell>
          <cell r="CH357">
            <v>10</v>
          </cell>
          <cell r="CI357">
            <v>10</v>
          </cell>
          <cell r="CJ357">
            <v>10</v>
          </cell>
          <cell r="CV357">
            <v>279.15632754342431</v>
          </cell>
          <cell r="CX357">
            <v>0</v>
          </cell>
          <cell r="CY357">
            <v>0</v>
          </cell>
          <cell r="CZ357">
            <v>0</v>
          </cell>
          <cell r="DA357">
            <v>0</v>
          </cell>
          <cell r="DB357">
            <v>0</v>
          </cell>
          <cell r="DC357">
            <v>0</v>
          </cell>
          <cell r="DD357">
            <v>0</v>
          </cell>
          <cell r="DE357">
            <v>0</v>
          </cell>
          <cell r="DF357">
            <v>0</v>
          </cell>
          <cell r="DG357">
            <v>0</v>
          </cell>
          <cell r="DR357">
            <v>73103</v>
          </cell>
          <cell r="DS357">
            <v>10</v>
          </cell>
          <cell r="DT357">
            <v>10</v>
          </cell>
          <cell r="DU357">
            <v>999999</v>
          </cell>
          <cell r="DV357">
            <v>999999</v>
          </cell>
          <cell r="DW357">
            <v>999999</v>
          </cell>
          <cell r="DX357">
            <v>10</v>
          </cell>
          <cell r="DY357">
            <v>10</v>
          </cell>
          <cell r="DZ357">
            <v>999999</v>
          </cell>
          <cell r="EA357">
            <v>999999</v>
          </cell>
        </row>
        <row r="358">
          <cell r="N358">
            <v>48000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AJ358">
            <v>0</v>
          </cell>
          <cell r="AK358">
            <v>0</v>
          </cell>
          <cell r="AL358">
            <v>999999</v>
          </cell>
          <cell r="AM358">
            <v>9</v>
          </cell>
          <cell r="AN358">
            <v>9</v>
          </cell>
          <cell r="AO358">
            <v>9</v>
          </cell>
          <cell r="AP358">
            <v>0</v>
          </cell>
          <cell r="AQ358">
            <v>0</v>
          </cell>
          <cell r="AR358">
            <v>9</v>
          </cell>
          <cell r="AS358">
            <v>0</v>
          </cell>
          <cell r="BE358">
            <v>0</v>
          </cell>
          <cell r="BG358">
            <v>0</v>
          </cell>
          <cell r="BH358">
            <v>0</v>
          </cell>
          <cell r="BI358">
            <v>0</v>
          </cell>
          <cell r="BJ358">
            <v>0</v>
          </cell>
          <cell r="BK358">
            <v>0</v>
          </cell>
          <cell r="BL358">
            <v>0</v>
          </cell>
          <cell r="BM358">
            <v>0</v>
          </cell>
          <cell r="BN358">
            <v>0</v>
          </cell>
          <cell r="BO358">
            <v>0</v>
          </cell>
          <cell r="BP358">
            <v>0</v>
          </cell>
          <cell r="CA358">
            <v>51149.208366418577</v>
          </cell>
          <cell r="CB358">
            <v>0</v>
          </cell>
          <cell r="CC358">
            <v>9</v>
          </cell>
          <cell r="CD358">
            <v>9</v>
          </cell>
          <cell r="CE358">
            <v>0</v>
          </cell>
          <cell r="CF358">
            <v>9</v>
          </cell>
          <cell r="CG358">
            <v>0</v>
          </cell>
          <cell r="CH358">
            <v>9</v>
          </cell>
          <cell r="CI358">
            <v>9</v>
          </cell>
          <cell r="CJ358">
            <v>9</v>
          </cell>
          <cell r="CV358">
            <v>279.15632754342431</v>
          </cell>
          <cell r="CX358">
            <v>0</v>
          </cell>
          <cell r="CY358">
            <v>0</v>
          </cell>
          <cell r="CZ358">
            <v>0</v>
          </cell>
          <cell r="DA358">
            <v>0</v>
          </cell>
          <cell r="DB358">
            <v>0</v>
          </cell>
          <cell r="DC358">
            <v>0</v>
          </cell>
          <cell r="DD358">
            <v>0</v>
          </cell>
          <cell r="DE358">
            <v>0</v>
          </cell>
          <cell r="DF358">
            <v>0</v>
          </cell>
          <cell r="DG358">
            <v>0</v>
          </cell>
          <cell r="DR358">
            <v>73103</v>
          </cell>
          <cell r="DS358">
            <v>9</v>
          </cell>
          <cell r="DT358">
            <v>9</v>
          </cell>
          <cell r="DU358">
            <v>999999</v>
          </cell>
          <cell r="DV358">
            <v>999999</v>
          </cell>
          <cell r="DW358">
            <v>999999</v>
          </cell>
          <cell r="DX358">
            <v>9</v>
          </cell>
          <cell r="DY358">
            <v>9</v>
          </cell>
          <cell r="DZ358">
            <v>999999</v>
          </cell>
          <cell r="EA358">
            <v>999999</v>
          </cell>
        </row>
        <row r="359">
          <cell r="N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AJ359">
            <v>0</v>
          </cell>
          <cell r="AK359">
            <v>0</v>
          </cell>
          <cell r="AL359">
            <v>999999</v>
          </cell>
          <cell r="AM359">
            <v>8</v>
          </cell>
          <cell r="AN359">
            <v>8</v>
          </cell>
          <cell r="AO359">
            <v>8</v>
          </cell>
          <cell r="AP359">
            <v>0</v>
          </cell>
          <cell r="AQ359">
            <v>0</v>
          </cell>
          <cell r="AR359">
            <v>8</v>
          </cell>
          <cell r="AS359">
            <v>0</v>
          </cell>
          <cell r="BE359">
            <v>0</v>
          </cell>
          <cell r="BG359">
            <v>0</v>
          </cell>
          <cell r="BH359">
            <v>0</v>
          </cell>
          <cell r="BI359">
            <v>0</v>
          </cell>
          <cell r="BJ359">
            <v>0</v>
          </cell>
          <cell r="BK359">
            <v>0</v>
          </cell>
          <cell r="BL359">
            <v>0</v>
          </cell>
          <cell r="BM359">
            <v>0</v>
          </cell>
          <cell r="BN359">
            <v>0</v>
          </cell>
          <cell r="BO359">
            <v>0</v>
          </cell>
          <cell r="BP359">
            <v>0</v>
          </cell>
          <cell r="CA359">
            <v>50609.609945719654</v>
          </cell>
          <cell r="CB359">
            <v>0</v>
          </cell>
          <cell r="CC359">
            <v>8</v>
          </cell>
          <cell r="CD359">
            <v>8</v>
          </cell>
          <cell r="CE359">
            <v>0</v>
          </cell>
          <cell r="CF359">
            <v>8</v>
          </cell>
          <cell r="CG359">
            <v>0</v>
          </cell>
          <cell r="CH359">
            <v>8</v>
          </cell>
          <cell r="CI359">
            <v>8</v>
          </cell>
          <cell r="CJ359">
            <v>8</v>
          </cell>
          <cell r="CV359">
            <v>279.15632754342431</v>
          </cell>
          <cell r="CX359">
            <v>0</v>
          </cell>
          <cell r="CY359">
            <v>0</v>
          </cell>
          <cell r="CZ359">
            <v>0</v>
          </cell>
          <cell r="DA359">
            <v>0</v>
          </cell>
          <cell r="DB359">
            <v>0</v>
          </cell>
          <cell r="DC359">
            <v>0</v>
          </cell>
          <cell r="DD359">
            <v>0</v>
          </cell>
          <cell r="DE359">
            <v>0</v>
          </cell>
          <cell r="DF359">
            <v>0</v>
          </cell>
          <cell r="DG359">
            <v>0</v>
          </cell>
          <cell r="DR359">
            <v>73103</v>
          </cell>
          <cell r="DS359">
            <v>8</v>
          </cell>
          <cell r="DT359">
            <v>8</v>
          </cell>
          <cell r="DU359">
            <v>999999</v>
          </cell>
          <cell r="DV359">
            <v>999999</v>
          </cell>
          <cell r="DW359">
            <v>999999</v>
          </cell>
          <cell r="DX359">
            <v>8</v>
          </cell>
          <cell r="DY359">
            <v>8</v>
          </cell>
          <cell r="DZ359">
            <v>999999</v>
          </cell>
          <cell r="EA359">
            <v>999999</v>
          </cell>
        </row>
        <row r="360">
          <cell r="N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AJ360">
            <v>0</v>
          </cell>
          <cell r="AK360">
            <v>0</v>
          </cell>
          <cell r="AL360">
            <v>999999</v>
          </cell>
          <cell r="AM360">
            <v>7</v>
          </cell>
          <cell r="AN360">
            <v>7</v>
          </cell>
          <cell r="AO360">
            <v>7</v>
          </cell>
          <cell r="AP360">
            <v>0</v>
          </cell>
          <cell r="AQ360">
            <v>0</v>
          </cell>
          <cell r="AR360">
            <v>7</v>
          </cell>
          <cell r="AS360">
            <v>0</v>
          </cell>
          <cell r="BE360">
            <v>0</v>
          </cell>
          <cell r="BG360">
            <v>0</v>
          </cell>
          <cell r="BH360">
            <v>0</v>
          </cell>
          <cell r="BI360">
            <v>0</v>
          </cell>
          <cell r="BJ360">
            <v>0</v>
          </cell>
          <cell r="BK360">
            <v>0</v>
          </cell>
          <cell r="BL360">
            <v>0</v>
          </cell>
          <cell r="BM360">
            <v>0</v>
          </cell>
          <cell r="BN360">
            <v>0</v>
          </cell>
          <cell r="BO360">
            <v>0</v>
          </cell>
          <cell r="BP360">
            <v>0</v>
          </cell>
          <cell r="CA360">
            <v>50070.011525020731</v>
          </cell>
          <cell r="CB360">
            <v>0</v>
          </cell>
          <cell r="CC360">
            <v>7</v>
          </cell>
          <cell r="CD360">
            <v>7</v>
          </cell>
          <cell r="CE360">
            <v>0</v>
          </cell>
          <cell r="CF360">
            <v>7</v>
          </cell>
          <cell r="CG360">
            <v>0</v>
          </cell>
          <cell r="CH360">
            <v>7</v>
          </cell>
          <cell r="CI360">
            <v>7</v>
          </cell>
          <cell r="CJ360">
            <v>7</v>
          </cell>
          <cell r="CV360">
            <v>279.15632754342431</v>
          </cell>
          <cell r="CX360">
            <v>0</v>
          </cell>
          <cell r="CY360">
            <v>0</v>
          </cell>
          <cell r="CZ360">
            <v>0</v>
          </cell>
          <cell r="DA360">
            <v>0</v>
          </cell>
          <cell r="DB360">
            <v>0</v>
          </cell>
          <cell r="DC360">
            <v>0</v>
          </cell>
          <cell r="DD360">
            <v>0</v>
          </cell>
          <cell r="DE360">
            <v>0</v>
          </cell>
          <cell r="DF360">
            <v>0</v>
          </cell>
          <cell r="DG360">
            <v>0</v>
          </cell>
          <cell r="DR360">
            <v>73103</v>
          </cell>
          <cell r="DS360">
            <v>7</v>
          </cell>
          <cell r="DT360">
            <v>7</v>
          </cell>
          <cell r="DU360">
            <v>999999</v>
          </cell>
          <cell r="DV360">
            <v>999999</v>
          </cell>
          <cell r="DW360">
            <v>999999</v>
          </cell>
          <cell r="DX360">
            <v>7</v>
          </cell>
          <cell r="DY360">
            <v>7</v>
          </cell>
          <cell r="DZ360">
            <v>999999</v>
          </cell>
          <cell r="EA360">
            <v>999999</v>
          </cell>
        </row>
        <row r="361">
          <cell r="N361">
            <v>0</v>
          </cell>
          <cell r="P361">
            <v>0</v>
          </cell>
          <cell r="Q361">
            <v>0</v>
          </cell>
          <cell r="R361">
            <v>0</v>
          </cell>
          <cell r="S361">
            <v>0</v>
          </cell>
          <cell r="T361">
            <v>0</v>
          </cell>
          <cell r="U361">
            <v>0</v>
          </cell>
          <cell r="V361">
            <v>0</v>
          </cell>
          <cell r="W361">
            <v>0</v>
          </cell>
          <cell r="X361">
            <v>0</v>
          </cell>
          <cell r="Y361">
            <v>0</v>
          </cell>
          <cell r="AJ361">
            <v>0</v>
          </cell>
          <cell r="AK361">
            <v>0</v>
          </cell>
          <cell r="AL361">
            <v>999999</v>
          </cell>
          <cell r="AM361">
            <v>6</v>
          </cell>
          <cell r="AN361">
            <v>6</v>
          </cell>
          <cell r="AO361">
            <v>6</v>
          </cell>
          <cell r="AP361">
            <v>0</v>
          </cell>
          <cell r="AQ361">
            <v>0</v>
          </cell>
          <cell r="AR361">
            <v>6</v>
          </cell>
          <cell r="AS361">
            <v>0</v>
          </cell>
          <cell r="BE361">
            <v>0</v>
          </cell>
          <cell r="BG361">
            <v>0</v>
          </cell>
          <cell r="BH361">
            <v>0</v>
          </cell>
          <cell r="BI361">
            <v>0</v>
          </cell>
          <cell r="BJ361">
            <v>0</v>
          </cell>
          <cell r="BK361">
            <v>0</v>
          </cell>
          <cell r="BL361">
            <v>0</v>
          </cell>
          <cell r="BM361">
            <v>0</v>
          </cell>
          <cell r="BN361">
            <v>0</v>
          </cell>
          <cell r="BO361">
            <v>0</v>
          </cell>
          <cell r="BP361">
            <v>0</v>
          </cell>
          <cell r="CA361">
            <v>49530.413104321808</v>
          </cell>
          <cell r="CB361">
            <v>0</v>
          </cell>
          <cell r="CC361">
            <v>6</v>
          </cell>
          <cell r="CD361">
            <v>6</v>
          </cell>
          <cell r="CE361">
            <v>0</v>
          </cell>
          <cell r="CF361">
            <v>6</v>
          </cell>
          <cell r="CG361">
            <v>0</v>
          </cell>
          <cell r="CH361">
            <v>6</v>
          </cell>
          <cell r="CI361">
            <v>6</v>
          </cell>
          <cell r="CJ361">
            <v>6</v>
          </cell>
          <cell r="CV361">
            <v>279.15632754342431</v>
          </cell>
          <cell r="CX361">
            <v>0</v>
          </cell>
          <cell r="CY361">
            <v>0</v>
          </cell>
          <cell r="CZ361">
            <v>0</v>
          </cell>
          <cell r="DA361">
            <v>0</v>
          </cell>
          <cell r="DB361">
            <v>0</v>
          </cell>
          <cell r="DC361">
            <v>0</v>
          </cell>
          <cell r="DD361">
            <v>0</v>
          </cell>
          <cell r="DE361">
            <v>0</v>
          </cell>
          <cell r="DF361">
            <v>0</v>
          </cell>
          <cell r="DG361">
            <v>0</v>
          </cell>
          <cell r="DR361">
            <v>73103</v>
          </cell>
          <cell r="DS361">
            <v>6</v>
          </cell>
          <cell r="DT361">
            <v>6</v>
          </cell>
          <cell r="DU361">
            <v>999999</v>
          </cell>
          <cell r="DV361">
            <v>999999</v>
          </cell>
          <cell r="DW361">
            <v>999999</v>
          </cell>
          <cell r="DX361">
            <v>6</v>
          </cell>
          <cell r="DY361">
            <v>6</v>
          </cell>
          <cell r="DZ361">
            <v>999999</v>
          </cell>
          <cell r="EA361">
            <v>999999</v>
          </cell>
        </row>
        <row r="362">
          <cell r="N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AJ362">
            <v>0</v>
          </cell>
          <cell r="AK362">
            <v>0</v>
          </cell>
          <cell r="AL362">
            <v>999999</v>
          </cell>
          <cell r="AM362">
            <v>5</v>
          </cell>
          <cell r="AN362">
            <v>5</v>
          </cell>
          <cell r="AO362">
            <v>5</v>
          </cell>
          <cell r="AP362">
            <v>0</v>
          </cell>
          <cell r="AQ362">
            <v>0</v>
          </cell>
          <cell r="AR362">
            <v>5</v>
          </cell>
          <cell r="AS362">
            <v>0</v>
          </cell>
          <cell r="BE362">
            <v>0</v>
          </cell>
          <cell r="BG362">
            <v>0</v>
          </cell>
          <cell r="BH362">
            <v>0</v>
          </cell>
          <cell r="BI362">
            <v>0</v>
          </cell>
          <cell r="BJ362">
            <v>0</v>
          </cell>
          <cell r="BK362">
            <v>0</v>
          </cell>
          <cell r="BL362">
            <v>0</v>
          </cell>
          <cell r="BM362">
            <v>0</v>
          </cell>
          <cell r="BN362">
            <v>0</v>
          </cell>
          <cell r="BO362">
            <v>0</v>
          </cell>
          <cell r="BP362">
            <v>0</v>
          </cell>
          <cell r="CA362">
            <v>48990.814683622884</v>
          </cell>
          <cell r="CB362">
            <v>0</v>
          </cell>
          <cell r="CC362">
            <v>5</v>
          </cell>
          <cell r="CD362">
            <v>5</v>
          </cell>
          <cell r="CE362">
            <v>0</v>
          </cell>
          <cell r="CF362">
            <v>5</v>
          </cell>
          <cell r="CG362">
            <v>0</v>
          </cell>
          <cell r="CH362">
            <v>5</v>
          </cell>
          <cell r="CI362">
            <v>5</v>
          </cell>
          <cell r="CJ362">
            <v>5</v>
          </cell>
          <cell r="CV362">
            <v>279.15632754342431</v>
          </cell>
          <cell r="CX362">
            <v>0</v>
          </cell>
          <cell r="CY362">
            <v>0</v>
          </cell>
          <cell r="CZ362">
            <v>0</v>
          </cell>
          <cell r="DA362">
            <v>0</v>
          </cell>
          <cell r="DB362">
            <v>0</v>
          </cell>
          <cell r="DC362">
            <v>0</v>
          </cell>
          <cell r="DD362">
            <v>0</v>
          </cell>
          <cell r="DE362">
            <v>0</v>
          </cell>
          <cell r="DF362">
            <v>0</v>
          </cell>
          <cell r="DG362">
            <v>0</v>
          </cell>
          <cell r="DR362">
            <v>73103</v>
          </cell>
          <cell r="DS362">
            <v>5</v>
          </cell>
          <cell r="DT362">
            <v>5</v>
          </cell>
          <cell r="DU362">
            <v>999999</v>
          </cell>
          <cell r="DV362">
            <v>999999</v>
          </cell>
          <cell r="DW362">
            <v>999999</v>
          </cell>
          <cell r="DX362">
            <v>5</v>
          </cell>
          <cell r="DY362">
            <v>5</v>
          </cell>
          <cell r="DZ362">
            <v>999999</v>
          </cell>
          <cell r="EA362">
            <v>999999</v>
          </cell>
        </row>
        <row r="363">
          <cell r="N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AJ363">
            <v>0</v>
          </cell>
          <cell r="AK363">
            <v>0</v>
          </cell>
          <cell r="AL363">
            <v>999999</v>
          </cell>
          <cell r="AM363">
            <v>4</v>
          </cell>
          <cell r="AN363">
            <v>4</v>
          </cell>
          <cell r="AO363">
            <v>4</v>
          </cell>
          <cell r="AP363">
            <v>0</v>
          </cell>
          <cell r="AQ363">
            <v>0</v>
          </cell>
          <cell r="AR363">
            <v>4</v>
          </cell>
          <cell r="AS363">
            <v>0</v>
          </cell>
          <cell r="BE363">
            <v>0</v>
          </cell>
          <cell r="BG363">
            <v>0</v>
          </cell>
          <cell r="BH363">
            <v>0</v>
          </cell>
          <cell r="BI363">
            <v>0</v>
          </cell>
          <cell r="BJ363">
            <v>0</v>
          </cell>
          <cell r="BK363">
            <v>0</v>
          </cell>
          <cell r="BL363">
            <v>0</v>
          </cell>
          <cell r="BM363">
            <v>0</v>
          </cell>
          <cell r="BN363">
            <v>0</v>
          </cell>
          <cell r="BO363">
            <v>0</v>
          </cell>
          <cell r="BP363">
            <v>0</v>
          </cell>
          <cell r="CA363">
            <v>48451.216262923961</v>
          </cell>
          <cell r="CB363">
            <v>0</v>
          </cell>
          <cell r="CC363">
            <v>4</v>
          </cell>
          <cell r="CD363">
            <v>4</v>
          </cell>
          <cell r="CE363">
            <v>0</v>
          </cell>
          <cell r="CF363">
            <v>4</v>
          </cell>
          <cell r="CG363">
            <v>0</v>
          </cell>
          <cell r="CH363">
            <v>4</v>
          </cell>
          <cell r="CI363">
            <v>4</v>
          </cell>
          <cell r="CJ363">
            <v>4</v>
          </cell>
          <cell r="CV363">
            <v>279.15632754342431</v>
          </cell>
          <cell r="CX363">
            <v>0</v>
          </cell>
          <cell r="CY363">
            <v>0</v>
          </cell>
          <cell r="CZ363">
            <v>0</v>
          </cell>
          <cell r="DA363">
            <v>0</v>
          </cell>
          <cell r="DB363">
            <v>0</v>
          </cell>
          <cell r="DC363">
            <v>0</v>
          </cell>
          <cell r="DD363">
            <v>0</v>
          </cell>
          <cell r="DE363">
            <v>0</v>
          </cell>
          <cell r="DF363">
            <v>0</v>
          </cell>
          <cell r="DG363">
            <v>0</v>
          </cell>
          <cell r="DR363">
            <v>73103</v>
          </cell>
          <cell r="DS363">
            <v>4</v>
          </cell>
          <cell r="DT363">
            <v>4</v>
          </cell>
          <cell r="DU363">
            <v>999999</v>
          </cell>
          <cell r="DV363">
            <v>999999</v>
          </cell>
          <cell r="DW363">
            <v>999999</v>
          </cell>
          <cell r="DX363">
            <v>4</v>
          </cell>
          <cell r="DY363">
            <v>4</v>
          </cell>
          <cell r="DZ363">
            <v>999999</v>
          </cell>
          <cell r="EA363">
            <v>999999</v>
          </cell>
        </row>
        <row r="364">
          <cell r="N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AJ364">
            <v>0</v>
          </cell>
          <cell r="AK364">
            <v>0</v>
          </cell>
          <cell r="AL364">
            <v>999999</v>
          </cell>
          <cell r="AM364">
            <v>3</v>
          </cell>
          <cell r="AN364">
            <v>3</v>
          </cell>
          <cell r="AO364">
            <v>3</v>
          </cell>
          <cell r="AP364">
            <v>0</v>
          </cell>
          <cell r="AQ364">
            <v>0</v>
          </cell>
          <cell r="AR364">
            <v>3</v>
          </cell>
          <cell r="AS364">
            <v>0</v>
          </cell>
          <cell r="BE364">
            <v>48000</v>
          </cell>
          <cell r="BG364">
            <v>0</v>
          </cell>
          <cell r="BH364">
            <v>0</v>
          </cell>
          <cell r="BI364">
            <v>0</v>
          </cell>
          <cell r="BJ364">
            <v>0</v>
          </cell>
          <cell r="BK364">
            <v>0</v>
          </cell>
          <cell r="BL364">
            <v>0</v>
          </cell>
          <cell r="BM364">
            <v>0</v>
          </cell>
          <cell r="BN364">
            <v>0</v>
          </cell>
          <cell r="BO364">
            <v>0</v>
          </cell>
          <cell r="BP364">
            <v>0</v>
          </cell>
          <cell r="CA364">
            <v>47911.617842225038</v>
          </cell>
          <cell r="CB364">
            <v>0</v>
          </cell>
          <cell r="CC364">
            <v>3</v>
          </cell>
          <cell r="CD364">
            <v>3</v>
          </cell>
          <cell r="CE364">
            <v>0</v>
          </cell>
          <cell r="CF364">
            <v>3</v>
          </cell>
          <cell r="CG364">
            <v>0</v>
          </cell>
          <cell r="CH364">
            <v>3</v>
          </cell>
          <cell r="CI364">
            <v>3</v>
          </cell>
          <cell r="CJ364">
            <v>3</v>
          </cell>
          <cell r="CV364">
            <v>279.15632754342431</v>
          </cell>
          <cell r="CX364">
            <v>0</v>
          </cell>
          <cell r="CY364">
            <v>0</v>
          </cell>
          <cell r="CZ364">
            <v>0</v>
          </cell>
          <cell r="DA364">
            <v>0</v>
          </cell>
          <cell r="DB364">
            <v>0</v>
          </cell>
          <cell r="DC364">
            <v>0</v>
          </cell>
          <cell r="DD364">
            <v>0</v>
          </cell>
          <cell r="DE364">
            <v>0</v>
          </cell>
          <cell r="DF364">
            <v>0</v>
          </cell>
          <cell r="DG364">
            <v>0</v>
          </cell>
          <cell r="DR364">
            <v>73103</v>
          </cell>
          <cell r="DS364">
            <v>3</v>
          </cell>
          <cell r="DT364">
            <v>3</v>
          </cell>
          <cell r="DU364">
            <v>999999</v>
          </cell>
          <cell r="DV364">
            <v>999999</v>
          </cell>
          <cell r="DW364">
            <v>999999</v>
          </cell>
          <cell r="DX364">
            <v>3</v>
          </cell>
          <cell r="DY364">
            <v>3</v>
          </cell>
          <cell r="DZ364">
            <v>999999</v>
          </cell>
          <cell r="EA364">
            <v>999999</v>
          </cell>
        </row>
        <row r="365">
          <cell r="N365">
            <v>0</v>
          </cell>
          <cell r="P365">
            <v>0</v>
          </cell>
          <cell r="Q365">
            <v>0</v>
          </cell>
          <cell r="R365">
            <v>0</v>
          </cell>
          <cell r="S365">
            <v>0</v>
          </cell>
          <cell r="T365">
            <v>0</v>
          </cell>
          <cell r="U365">
            <v>0</v>
          </cell>
          <cell r="V365">
            <v>0</v>
          </cell>
          <cell r="W365">
            <v>0</v>
          </cell>
          <cell r="X365">
            <v>0</v>
          </cell>
          <cell r="Y365">
            <v>0</v>
          </cell>
          <cell r="AJ365">
            <v>0</v>
          </cell>
          <cell r="AK365">
            <v>0</v>
          </cell>
          <cell r="AL365">
            <v>999999</v>
          </cell>
          <cell r="AM365">
            <v>2</v>
          </cell>
          <cell r="AN365">
            <v>2</v>
          </cell>
          <cell r="AO365">
            <v>2</v>
          </cell>
          <cell r="AP365">
            <v>0</v>
          </cell>
          <cell r="AQ365">
            <v>0</v>
          </cell>
          <cell r="AR365">
            <v>2</v>
          </cell>
          <cell r="AS365">
            <v>0</v>
          </cell>
          <cell r="BE365">
            <v>0</v>
          </cell>
          <cell r="BG365">
            <v>0</v>
          </cell>
          <cell r="BH365">
            <v>0</v>
          </cell>
          <cell r="BI365">
            <v>0</v>
          </cell>
          <cell r="BJ365">
            <v>0</v>
          </cell>
          <cell r="BK365">
            <v>0</v>
          </cell>
          <cell r="BL365">
            <v>0</v>
          </cell>
          <cell r="BM365">
            <v>0</v>
          </cell>
          <cell r="BN365">
            <v>0</v>
          </cell>
          <cell r="BO365">
            <v>0</v>
          </cell>
          <cell r="BP365">
            <v>0</v>
          </cell>
          <cell r="CA365">
            <v>47372.019421526114</v>
          </cell>
          <cell r="CB365">
            <v>0</v>
          </cell>
          <cell r="CC365">
            <v>2</v>
          </cell>
          <cell r="CD365">
            <v>2</v>
          </cell>
          <cell r="CE365">
            <v>0</v>
          </cell>
          <cell r="CF365">
            <v>2</v>
          </cell>
          <cell r="CG365">
            <v>0</v>
          </cell>
          <cell r="CH365">
            <v>2</v>
          </cell>
          <cell r="CI365">
            <v>2</v>
          </cell>
          <cell r="CJ365">
            <v>2</v>
          </cell>
          <cell r="CV365">
            <v>279.15632754342431</v>
          </cell>
          <cell r="CX365">
            <v>0</v>
          </cell>
          <cell r="CY365">
            <v>0</v>
          </cell>
          <cell r="CZ365">
            <v>0</v>
          </cell>
          <cell r="DA365">
            <v>0</v>
          </cell>
          <cell r="DB365">
            <v>0</v>
          </cell>
          <cell r="DC365">
            <v>0</v>
          </cell>
          <cell r="DD365">
            <v>0</v>
          </cell>
          <cell r="DE365">
            <v>0</v>
          </cell>
          <cell r="DF365">
            <v>0</v>
          </cell>
          <cell r="DG365">
            <v>0</v>
          </cell>
          <cell r="DR365">
            <v>73103</v>
          </cell>
          <cell r="DS365">
            <v>2</v>
          </cell>
          <cell r="DT365">
            <v>2</v>
          </cell>
          <cell r="DU365">
            <v>999999</v>
          </cell>
          <cell r="DV365">
            <v>999999</v>
          </cell>
          <cell r="DW365">
            <v>999999</v>
          </cell>
          <cell r="DX365">
            <v>2</v>
          </cell>
          <cell r="DY365">
            <v>2</v>
          </cell>
          <cell r="DZ365">
            <v>999999</v>
          </cell>
          <cell r="EA365">
            <v>999999</v>
          </cell>
        </row>
        <row r="366">
          <cell r="N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AJ366">
            <v>0</v>
          </cell>
          <cell r="AK366">
            <v>0</v>
          </cell>
          <cell r="AL366">
            <v>999999</v>
          </cell>
          <cell r="AM366">
            <v>1</v>
          </cell>
          <cell r="AN366">
            <v>1</v>
          </cell>
          <cell r="AO366">
            <v>1</v>
          </cell>
          <cell r="AP366">
            <v>0</v>
          </cell>
          <cell r="AQ366">
            <v>0</v>
          </cell>
          <cell r="AR366">
            <v>1</v>
          </cell>
          <cell r="AS366">
            <v>0</v>
          </cell>
          <cell r="BE366">
            <v>0</v>
          </cell>
          <cell r="BG366">
            <v>0</v>
          </cell>
          <cell r="BH366">
            <v>0</v>
          </cell>
          <cell r="BI366">
            <v>0</v>
          </cell>
          <cell r="BJ366">
            <v>0</v>
          </cell>
          <cell r="BK366">
            <v>0</v>
          </cell>
          <cell r="BL366">
            <v>0</v>
          </cell>
          <cell r="BM366">
            <v>0</v>
          </cell>
          <cell r="BN366">
            <v>0</v>
          </cell>
          <cell r="BO366">
            <v>0</v>
          </cell>
          <cell r="BP366">
            <v>0</v>
          </cell>
          <cell r="CA366">
            <v>46832.421000827191</v>
          </cell>
          <cell r="CB366">
            <v>0</v>
          </cell>
          <cell r="CC366">
            <v>1</v>
          </cell>
          <cell r="CD366">
            <v>1</v>
          </cell>
          <cell r="CE366">
            <v>0</v>
          </cell>
          <cell r="CF366">
            <v>1</v>
          </cell>
          <cell r="CG366">
            <v>0</v>
          </cell>
          <cell r="CH366">
            <v>1</v>
          </cell>
          <cell r="CI366">
            <v>1</v>
          </cell>
          <cell r="CJ366">
            <v>1</v>
          </cell>
          <cell r="CV366">
            <v>279.15632754342431</v>
          </cell>
          <cell r="CX366">
            <v>0</v>
          </cell>
          <cell r="CY366">
            <v>0</v>
          </cell>
          <cell r="CZ366">
            <v>0</v>
          </cell>
          <cell r="DA366">
            <v>0</v>
          </cell>
          <cell r="DB366">
            <v>0</v>
          </cell>
          <cell r="DC366">
            <v>0</v>
          </cell>
          <cell r="DD366">
            <v>0</v>
          </cell>
          <cell r="DE366">
            <v>0</v>
          </cell>
          <cell r="DF366">
            <v>0</v>
          </cell>
          <cell r="DG366">
            <v>0</v>
          </cell>
          <cell r="DR366">
            <v>73103</v>
          </cell>
          <cell r="DS366">
            <v>1</v>
          </cell>
          <cell r="DT366">
            <v>1</v>
          </cell>
          <cell r="DU366">
            <v>999999</v>
          </cell>
          <cell r="DV366">
            <v>999999</v>
          </cell>
          <cell r="DW366">
            <v>999999</v>
          </cell>
          <cell r="DX366">
            <v>1</v>
          </cell>
          <cell r="DY366">
            <v>1</v>
          </cell>
          <cell r="DZ366">
            <v>999999</v>
          </cell>
          <cell r="EA366">
            <v>999999</v>
          </cell>
        </row>
        <row r="367">
          <cell r="N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AJ367">
            <v>0</v>
          </cell>
          <cell r="AK367">
            <v>0</v>
          </cell>
          <cell r="AL367">
            <v>999999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BE367">
            <v>0</v>
          </cell>
          <cell r="BG367">
            <v>0</v>
          </cell>
          <cell r="BH367">
            <v>0</v>
          </cell>
          <cell r="BI367">
            <v>0</v>
          </cell>
          <cell r="BJ367">
            <v>0</v>
          </cell>
          <cell r="BK367">
            <v>0</v>
          </cell>
          <cell r="BL367">
            <v>0</v>
          </cell>
          <cell r="BM367">
            <v>0</v>
          </cell>
          <cell r="BN367">
            <v>0</v>
          </cell>
          <cell r="BO367">
            <v>0</v>
          </cell>
          <cell r="BP367">
            <v>0</v>
          </cell>
          <cell r="CA367">
            <v>46292.822580128268</v>
          </cell>
          <cell r="CB367">
            <v>0</v>
          </cell>
          <cell r="CC367">
            <v>0</v>
          </cell>
          <cell r="CD367">
            <v>0</v>
          </cell>
          <cell r="CE367">
            <v>0</v>
          </cell>
          <cell r="CF367">
            <v>0</v>
          </cell>
          <cell r="CG367">
            <v>0</v>
          </cell>
          <cell r="CH367">
            <v>0</v>
          </cell>
          <cell r="CI367">
            <v>0</v>
          </cell>
          <cell r="CJ367">
            <v>0</v>
          </cell>
          <cell r="CV367">
            <v>279.15632754342431</v>
          </cell>
          <cell r="CX367">
            <v>0</v>
          </cell>
          <cell r="CY367">
            <v>0</v>
          </cell>
          <cell r="CZ367">
            <v>0</v>
          </cell>
          <cell r="DA367">
            <v>0</v>
          </cell>
          <cell r="DB367">
            <v>0</v>
          </cell>
          <cell r="DC367">
            <v>0</v>
          </cell>
          <cell r="DD367">
            <v>0</v>
          </cell>
          <cell r="DE367">
            <v>0</v>
          </cell>
          <cell r="DF367">
            <v>0</v>
          </cell>
          <cell r="DG367">
            <v>0</v>
          </cell>
          <cell r="DR367">
            <v>73103</v>
          </cell>
          <cell r="DS367">
            <v>0</v>
          </cell>
          <cell r="DT367">
            <v>0</v>
          </cell>
          <cell r="DU367">
            <v>999999</v>
          </cell>
          <cell r="DV367">
            <v>999999</v>
          </cell>
          <cell r="DW367">
            <v>999999</v>
          </cell>
          <cell r="DX367">
            <v>0</v>
          </cell>
          <cell r="DY367">
            <v>0</v>
          </cell>
          <cell r="DZ367">
            <v>999999</v>
          </cell>
          <cell r="EA367">
            <v>999999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Z368"/>
  <sheetViews>
    <sheetView tabSelected="1" workbookViewId="0">
      <pane xSplit="1" ySplit="2" topLeftCell="E3" activePane="bottomRight" state="frozen"/>
      <selection pane="topRight" activeCell="B1" sqref="B1"/>
      <selection pane="bottomLeft" activeCell="A3" sqref="A3"/>
      <selection pane="bottomRight" activeCell="H7" sqref="H7"/>
    </sheetView>
  </sheetViews>
  <sheetFormatPr defaultRowHeight="15" x14ac:dyDescent="0.25"/>
  <cols>
    <col min="1" max="1" width="23.85546875" customWidth="1"/>
    <col min="2" max="2" width="0" hidden="1" customWidth="1"/>
    <col min="3" max="3" width="12.7109375" hidden="1" customWidth="1"/>
    <col min="4" max="4" width="12.85546875" hidden="1" customWidth="1"/>
    <col min="6" max="6" width="13" customWidth="1"/>
    <col min="7" max="7" width="12.85546875" customWidth="1"/>
    <col min="9" max="9" width="11.85546875" customWidth="1"/>
    <col min="10" max="10" width="12.140625" customWidth="1"/>
  </cols>
  <sheetData>
    <row r="1" spans="1:130" x14ac:dyDescent="0.25">
      <c r="A1" s="28"/>
      <c r="B1" s="24" t="s">
        <v>3</v>
      </c>
      <c r="C1" s="24"/>
      <c r="D1" s="24"/>
      <c r="E1" s="26" t="s">
        <v>15</v>
      </c>
      <c r="F1" s="26"/>
      <c r="G1" s="26"/>
      <c r="H1" s="27" t="s">
        <v>16</v>
      </c>
      <c r="I1" s="27"/>
      <c r="J1" s="27"/>
      <c r="K1" s="24" t="s">
        <v>17</v>
      </c>
      <c r="L1" s="24"/>
      <c r="M1" s="24"/>
      <c r="N1" s="24"/>
      <c r="O1" s="24"/>
      <c r="P1" s="24"/>
      <c r="Q1" s="24"/>
      <c r="R1" s="24"/>
      <c r="S1" s="24"/>
      <c r="T1" s="24"/>
      <c r="U1" s="25" t="s">
        <v>18</v>
      </c>
      <c r="V1" s="25"/>
      <c r="W1" s="25"/>
      <c r="X1" s="25"/>
      <c r="Y1" s="25"/>
      <c r="Z1" s="25"/>
      <c r="AA1" s="25"/>
      <c r="AB1" s="25"/>
      <c r="AC1" s="25"/>
      <c r="AD1" s="25"/>
      <c r="AE1" s="23" t="s">
        <v>19</v>
      </c>
      <c r="AF1" s="23"/>
      <c r="AG1" s="23"/>
      <c r="AH1" s="23"/>
      <c r="AI1" s="23"/>
      <c r="AJ1" s="23"/>
      <c r="AK1" s="23"/>
      <c r="AL1" s="23"/>
      <c r="AM1" s="23"/>
      <c r="AN1" s="23"/>
      <c r="AO1" s="23" t="s">
        <v>26</v>
      </c>
      <c r="AP1" s="23"/>
      <c r="AQ1" s="23"/>
      <c r="AR1" s="23"/>
      <c r="AS1" s="23"/>
      <c r="AT1" s="23"/>
      <c r="AU1" s="23"/>
      <c r="AV1" s="23"/>
      <c r="AW1" s="23"/>
      <c r="AX1" s="23"/>
      <c r="AY1" s="24" t="s">
        <v>20</v>
      </c>
      <c r="AZ1" s="24"/>
      <c r="BA1" s="24"/>
      <c r="BB1" s="24"/>
      <c r="BC1" s="24"/>
      <c r="BD1" s="24"/>
      <c r="BE1" s="24"/>
      <c r="BF1" s="24"/>
      <c r="BG1" s="24"/>
      <c r="BH1" s="24"/>
      <c r="BI1" s="25" t="s">
        <v>21</v>
      </c>
      <c r="BJ1" s="25"/>
      <c r="BK1" s="25"/>
      <c r="BL1" s="25"/>
      <c r="BM1" s="25"/>
      <c r="BN1" s="25"/>
      <c r="BO1" s="25"/>
      <c r="BP1" s="25"/>
      <c r="BQ1" s="25"/>
      <c r="BR1" s="25"/>
      <c r="BS1" s="23" t="s">
        <v>22</v>
      </c>
      <c r="BT1" s="23"/>
      <c r="BU1" s="23"/>
      <c r="BV1" s="23"/>
      <c r="BW1" s="23"/>
      <c r="BX1" s="23"/>
      <c r="BY1" s="23"/>
      <c r="BZ1" s="23"/>
      <c r="CA1" s="23"/>
      <c r="CB1" s="23"/>
      <c r="CC1" s="23" t="s">
        <v>27</v>
      </c>
      <c r="CD1" s="23"/>
      <c r="CE1" s="23"/>
      <c r="CF1" s="23"/>
      <c r="CG1" s="23"/>
      <c r="CH1" s="23"/>
      <c r="CI1" s="23"/>
      <c r="CJ1" s="23"/>
      <c r="CK1" s="23"/>
      <c r="CL1" s="23"/>
      <c r="CM1" s="24" t="s">
        <v>23</v>
      </c>
      <c r="CN1" s="24"/>
      <c r="CO1" s="24"/>
      <c r="CP1" s="24"/>
      <c r="CQ1" s="24"/>
      <c r="CR1" s="24"/>
      <c r="CS1" s="24"/>
      <c r="CT1" s="24"/>
      <c r="CU1" s="24"/>
      <c r="CV1" s="24"/>
      <c r="CW1" s="25" t="s">
        <v>24</v>
      </c>
      <c r="CX1" s="25"/>
      <c r="CY1" s="25"/>
      <c r="CZ1" s="25"/>
      <c r="DA1" s="25"/>
      <c r="DB1" s="25"/>
      <c r="DC1" s="25"/>
      <c r="DD1" s="25"/>
      <c r="DE1" s="25"/>
      <c r="DF1" s="25"/>
      <c r="DG1" s="23" t="s">
        <v>25</v>
      </c>
      <c r="DH1" s="23"/>
      <c r="DI1" s="23"/>
      <c r="DJ1" s="23"/>
      <c r="DK1" s="23"/>
      <c r="DL1" s="23"/>
      <c r="DM1" s="23"/>
      <c r="DN1" s="23"/>
      <c r="DO1" s="23"/>
      <c r="DP1" s="23"/>
      <c r="DQ1" s="23" t="s">
        <v>28</v>
      </c>
      <c r="DR1" s="23"/>
      <c r="DS1" s="23"/>
      <c r="DT1" s="23"/>
      <c r="DU1" s="23"/>
      <c r="DV1" s="23"/>
      <c r="DW1" s="23"/>
      <c r="DX1" s="23"/>
      <c r="DY1" s="23"/>
      <c r="DZ1" s="23"/>
    </row>
    <row r="2" spans="1:130" ht="19.5" customHeight="1" x14ac:dyDescent="0.25">
      <c r="A2" s="28"/>
      <c r="B2" s="7" t="s">
        <v>0</v>
      </c>
      <c r="C2" s="7" t="s">
        <v>1</v>
      </c>
      <c r="D2" s="7" t="s">
        <v>2</v>
      </c>
      <c r="E2" s="8" t="s">
        <v>0</v>
      </c>
      <c r="F2" s="8" t="s">
        <v>1</v>
      </c>
      <c r="G2" s="8" t="s">
        <v>2</v>
      </c>
      <c r="H2" s="9" t="s">
        <v>0</v>
      </c>
      <c r="I2" s="9" t="s">
        <v>1</v>
      </c>
      <c r="J2" s="9" t="s">
        <v>2</v>
      </c>
      <c r="K2" s="10" t="s">
        <v>4</v>
      </c>
      <c r="L2" s="10" t="s">
        <v>7</v>
      </c>
      <c r="M2" s="10" t="s">
        <v>8</v>
      </c>
      <c r="N2" s="10" t="s">
        <v>6</v>
      </c>
      <c r="O2" s="10" t="s">
        <v>5</v>
      </c>
      <c r="P2" s="10" t="s">
        <v>10</v>
      </c>
      <c r="Q2" s="10" t="s">
        <v>11</v>
      </c>
      <c r="R2" s="10" t="s">
        <v>12</v>
      </c>
      <c r="S2" s="10" t="s">
        <v>13</v>
      </c>
      <c r="T2" s="10" t="s">
        <v>14</v>
      </c>
      <c r="U2" s="11" t="s">
        <v>4</v>
      </c>
      <c r="V2" s="11" t="s">
        <v>7</v>
      </c>
      <c r="W2" s="11" t="s">
        <v>8</v>
      </c>
      <c r="X2" s="11" t="s">
        <v>6</v>
      </c>
      <c r="Y2" s="11" t="s">
        <v>5</v>
      </c>
      <c r="Z2" s="11" t="s">
        <v>10</v>
      </c>
      <c r="AA2" s="11" t="s">
        <v>11</v>
      </c>
      <c r="AB2" s="11" t="s">
        <v>12</v>
      </c>
      <c r="AC2" s="11" t="s">
        <v>13</v>
      </c>
      <c r="AD2" s="11" t="s">
        <v>14</v>
      </c>
      <c r="AE2" s="12" t="s">
        <v>4</v>
      </c>
      <c r="AF2" s="12" t="s">
        <v>7</v>
      </c>
      <c r="AG2" s="12" t="s">
        <v>8</v>
      </c>
      <c r="AH2" s="12" t="s">
        <v>6</v>
      </c>
      <c r="AI2" s="12" t="s">
        <v>5</v>
      </c>
      <c r="AJ2" s="12" t="s">
        <v>10</v>
      </c>
      <c r="AK2" s="12" t="s">
        <v>11</v>
      </c>
      <c r="AL2" s="12" t="s">
        <v>12</v>
      </c>
      <c r="AM2" s="12" t="s">
        <v>13</v>
      </c>
      <c r="AN2" s="12" t="s">
        <v>14</v>
      </c>
      <c r="AO2" s="12" t="s">
        <v>4</v>
      </c>
      <c r="AP2" s="12" t="s">
        <v>7</v>
      </c>
      <c r="AQ2" s="12" t="s">
        <v>8</v>
      </c>
      <c r="AR2" s="12" t="s">
        <v>6</v>
      </c>
      <c r="AS2" s="12" t="s">
        <v>5</v>
      </c>
      <c r="AT2" s="12" t="s">
        <v>10</v>
      </c>
      <c r="AU2" s="12" t="s">
        <v>11</v>
      </c>
      <c r="AV2" s="12" t="s">
        <v>12</v>
      </c>
      <c r="AW2" s="12" t="s">
        <v>13</v>
      </c>
      <c r="AX2" s="12" t="s">
        <v>14</v>
      </c>
      <c r="AY2" s="10" t="s">
        <v>4</v>
      </c>
      <c r="AZ2" s="10" t="s">
        <v>7</v>
      </c>
      <c r="BA2" s="10" t="s">
        <v>8</v>
      </c>
      <c r="BB2" s="10" t="s">
        <v>6</v>
      </c>
      <c r="BC2" s="10" t="s">
        <v>5</v>
      </c>
      <c r="BD2" s="10" t="s">
        <v>10</v>
      </c>
      <c r="BE2" s="10" t="s">
        <v>11</v>
      </c>
      <c r="BF2" s="10" t="s">
        <v>12</v>
      </c>
      <c r="BG2" s="10" t="s">
        <v>13</v>
      </c>
      <c r="BH2" s="10" t="s">
        <v>14</v>
      </c>
      <c r="BI2" s="11" t="s">
        <v>4</v>
      </c>
      <c r="BJ2" s="11" t="s">
        <v>7</v>
      </c>
      <c r="BK2" s="11" t="s">
        <v>8</v>
      </c>
      <c r="BL2" s="11" t="s">
        <v>6</v>
      </c>
      <c r="BM2" s="11" t="s">
        <v>5</v>
      </c>
      <c r="BN2" s="11" t="s">
        <v>10</v>
      </c>
      <c r="BO2" s="11" t="s">
        <v>11</v>
      </c>
      <c r="BP2" s="11" t="s">
        <v>12</v>
      </c>
      <c r="BQ2" s="11" t="s">
        <v>13</v>
      </c>
      <c r="BR2" s="11" t="s">
        <v>14</v>
      </c>
      <c r="BS2" s="12" t="s">
        <v>4</v>
      </c>
      <c r="BT2" s="12" t="s">
        <v>7</v>
      </c>
      <c r="BU2" s="12" t="s">
        <v>8</v>
      </c>
      <c r="BV2" s="12" t="s">
        <v>6</v>
      </c>
      <c r="BW2" s="12" t="s">
        <v>5</v>
      </c>
      <c r="BX2" s="12" t="s">
        <v>10</v>
      </c>
      <c r="BY2" s="12" t="s">
        <v>11</v>
      </c>
      <c r="BZ2" s="12" t="s">
        <v>12</v>
      </c>
      <c r="CA2" s="12" t="s">
        <v>13</v>
      </c>
      <c r="CB2" s="12" t="s">
        <v>14</v>
      </c>
      <c r="CC2" s="12" t="s">
        <v>4</v>
      </c>
      <c r="CD2" s="12" t="s">
        <v>7</v>
      </c>
      <c r="CE2" s="12" t="s">
        <v>8</v>
      </c>
      <c r="CF2" s="12" t="s">
        <v>6</v>
      </c>
      <c r="CG2" s="12" t="s">
        <v>5</v>
      </c>
      <c r="CH2" s="12" t="s">
        <v>10</v>
      </c>
      <c r="CI2" s="12" t="s">
        <v>11</v>
      </c>
      <c r="CJ2" s="12" t="s">
        <v>12</v>
      </c>
      <c r="CK2" s="12" t="s">
        <v>13</v>
      </c>
      <c r="CL2" s="12" t="s">
        <v>14</v>
      </c>
      <c r="CM2" s="10" t="s">
        <v>4</v>
      </c>
      <c r="CN2" s="10" t="s">
        <v>7</v>
      </c>
      <c r="CO2" s="10" t="s">
        <v>8</v>
      </c>
      <c r="CP2" s="10" t="s">
        <v>6</v>
      </c>
      <c r="CQ2" s="10" t="s">
        <v>5</v>
      </c>
      <c r="CR2" s="10" t="s">
        <v>10</v>
      </c>
      <c r="CS2" s="10" t="s">
        <v>11</v>
      </c>
      <c r="CT2" s="10" t="s">
        <v>12</v>
      </c>
      <c r="CU2" s="10" t="s">
        <v>13</v>
      </c>
      <c r="CV2" s="10" t="s">
        <v>14</v>
      </c>
      <c r="CW2" s="11" t="s">
        <v>4</v>
      </c>
      <c r="CX2" s="11" t="s">
        <v>7</v>
      </c>
      <c r="CY2" s="11" t="s">
        <v>8</v>
      </c>
      <c r="CZ2" s="11" t="s">
        <v>6</v>
      </c>
      <c r="DA2" s="11" t="s">
        <v>5</v>
      </c>
      <c r="DB2" s="11" t="s">
        <v>10</v>
      </c>
      <c r="DC2" s="11" t="s">
        <v>11</v>
      </c>
      <c r="DD2" s="11" t="s">
        <v>12</v>
      </c>
      <c r="DE2" s="11" t="s">
        <v>13</v>
      </c>
      <c r="DF2" s="11" t="s">
        <v>14</v>
      </c>
      <c r="DG2" s="12" t="s">
        <v>4</v>
      </c>
      <c r="DH2" s="12" t="s">
        <v>7</v>
      </c>
      <c r="DI2" s="12" t="s">
        <v>8</v>
      </c>
      <c r="DJ2" s="12" t="s">
        <v>6</v>
      </c>
      <c r="DK2" s="12" t="s">
        <v>5</v>
      </c>
      <c r="DL2" s="12" t="s">
        <v>10</v>
      </c>
      <c r="DM2" s="12" t="s">
        <v>11</v>
      </c>
      <c r="DN2" s="12" t="s">
        <v>12</v>
      </c>
      <c r="DO2" s="12" t="s">
        <v>13</v>
      </c>
      <c r="DP2" s="12" t="s">
        <v>14</v>
      </c>
      <c r="DQ2" s="12" t="s">
        <v>4</v>
      </c>
      <c r="DR2" s="12" t="s">
        <v>7</v>
      </c>
      <c r="DS2" s="12" t="s">
        <v>8</v>
      </c>
      <c r="DT2" s="12" t="s">
        <v>6</v>
      </c>
      <c r="DU2" s="12" t="s">
        <v>5</v>
      </c>
      <c r="DV2" s="12" t="s">
        <v>10</v>
      </c>
      <c r="DW2" s="12" t="s">
        <v>11</v>
      </c>
      <c r="DX2" s="12" t="s">
        <v>12</v>
      </c>
      <c r="DY2" s="12" t="s">
        <v>13</v>
      </c>
      <c r="DZ2" s="12" t="s">
        <v>14</v>
      </c>
    </row>
    <row r="3" spans="1:130" s="6" customFormat="1" x14ac:dyDescent="0.25">
      <c r="A3" s="13"/>
      <c r="B3" s="14"/>
      <c r="C3" s="14"/>
      <c r="D3" s="14"/>
      <c r="E3" s="14">
        <f>[1]Sheet2!N2</f>
        <v>0</v>
      </c>
      <c r="F3" s="14">
        <f>[1]Sheet2!BE2</f>
        <v>0</v>
      </c>
      <c r="G3" s="14">
        <f>[1]Sheet2!CV2</f>
        <v>0</v>
      </c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>
        <v>3000</v>
      </c>
      <c r="V3" s="14">
        <v>2000</v>
      </c>
      <c r="W3" s="14">
        <v>0</v>
      </c>
      <c r="X3" s="14">
        <v>2000</v>
      </c>
      <c r="Y3" s="14">
        <v>1000</v>
      </c>
      <c r="Z3" s="14">
        <v>3000</v>
      </c>
      <c r="AA3" s="14">
        <v>2500</v>
      </c>
      <c r="AB3" s="14">
        <v>2000</v>
      </c>
      <c r="AC3" s="14">
        <v>2100</v>
      </c>
      <c r="AD3" s="14">
        <v>2000</v>
      </c>
      <c r="AE3" s="14">
        <f>IF([1]Sheet2!AJ2=999999,"NA",[1]Sheet2!AJ2)</f>
        <v>127</v>
      </c>
      <c r="AF3" s="14">
        <f>IF([1]Sheet2!AK2=999999,"NA",[1]Sheet2!AK2)</f>
        <v>58</v>
      </c>
      <c r="AG3" s="14" t="str">
        <f>IF([1]Sheet2!AL2=999999,"NA",[1]Sheet2!AL2)</f>
        <v>NA</v>
      </c>
      <c r="AH3" s="14">
        <f>IF([1]Sheet2!AM2=999999,"NA",[1]Sheet2!AM2)</f>
        <v>365</v>
      </c>
      <c r="AI3" s="14">
        <f>IF([1]Sheet2!AN2=999999,"NA",[1]Sheet2!AN2)</f>
        <v>365</v>
      </c>
      <c r="AJ3" s="14">
        <f>IF([1]Sheet2!AO2=999999,"NA",[1]Sheet2!AO2)</f>
        <v>365</v>
      </c>
      <c r="AK3" s="14">
        <f>IF([1]Sheet2!AP2=999999,"NA",[1]Sheet2!AP2)</f>
        <v>110</v>
      </c>
      <c r="AL3" s="14">
        <f>IF([1]Sheet2!AQ2=999999,"NA",[1]Sheet2!AQ2)</f>
        <v>241</v>
      </c>
      <c r="AM3" s="14">
        <f>IF([1]Sheet2!AR2=999999,"NA",[1]Sheet2!AR2)</f>
        <v>365</v>
      </c>
      <c r="AN3" s="14">
        <f>IF([1]Sheet2!AS2=999999,"NA",[1]Sheet2!AS2)</f>
        <v>297</v>
      </c>
      <c r="AO3" s="14">
        <f>[1]Sheet2!P2</f>
        <v>0</v>
      </c>
      <c r="AP3" s="14">
        <f>[1]Sheet2!Q2</f>
        <v>0</v>
      </c>
      <c r="AQ3" s="14">
        <f>[1]Sheet2!R2</f>
        <v>0</v>
      </c>
      <c r="AR3" s="14">
        <f>[1]Sheet2!S2</f>
        <v>0</v>
      </c>
      <c r="AS3" s="14">
        <f>[1]Sheet2!T2</f>
        <v>0</v>
      </c>
      <c r="AT3" s="14">
        <f>[1]Sheet2!U2</f>
        <v>0</v>
      </c>
      <c r="AU3" s="14">
        <f>[1]Sheet2!V2</f>
        <v>0</v>
      </c>
      <c r="AV3" s="14">
        <f>[1]Sheet2!W2</f>
        <v>0</v>
      </c>
      <c r="AW3" s="14">
        <f>[1]Sheet2!X2</f>
        <v>0</v>
      </c>
      <c r="AX3" s="14">
        <f>[1]Sheet2!Y2</f>
        <v>0</v>
      </c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>
        <v>3000</v>
      </c>
      <c r="BJ3" s="14">
        <v>5000</v>
      </c>
      <c r="BK3" s="14">
        <v>2000</v>
      </c>
      <c r="BL3" s="14">
        <v>3000</v>
      </c>
      <c r="BM3" s="14">
        <v>3000</v>
      </c>
      <c r="BN3" s="14">
        <v>2000</v>
      </c>
      <c r="BO3" s="14">
        <v>3000</v>
      </c>
      <c r="BP3" s="14">
        <v>2000</v>
      </c>
      <c r="BQ3" s="14">
        <v>3000</v>
      </c>
      <c r="BR3" s="14">
        <v>2500</v>
      </c>
      <c r="BS3" s="14">
        <f>IF([1]Sheet2!CA2=999999,"NA",[1]Sheet2!CA2)</f>
        <v>218979</v>
      </c>
      <c r="BT3" s="14">
        <f>IF([1]Sheet2!CB2=999999,"NA",[1]Sheet2!CB2)</f>
        <v>287</v>
      </c>
      <c r="BU3" s="14">
        <f>IF([1]Sheet2!CC2=999999,"NA",[1]Sheet2!CC2)</f>
        <v>365</v>
      </c>
      <c r="BV3" s="14">
        <f>IF([1]Sheet2!CD2=999999,"NA",[1]Sheet2!CD2)</f>
        <v>365</v>
      </c>
      <c r="BW3" s="14">
        <f>IF([1]Sheet2!CE2=999999,"NA",[1]Sheet2!CE2)</f>
        <v>327</v>
      </c>
      <c r="BX3" s="14">
        <f>IF([1]Sheet2!CF2=999999,"NA",[1]Sheet2!CF2)</f>
        <v>365</v>
      </c>
      <c r="BY3" s="14">
        <f>IF([1]Sheet2!CG2=999999,"NA",[1]Sheet2!CG2)</f>
        <v>259</v>
      </c>
      <c r="BZ3" s="14">
        <f>IF([1]Sheet2!CH2=999999,"NA",[1]Sheet2!CH2)</f>
        <v>365</v>
      </c>
      <c r="CA3" s="14">
        <f>IF([1]Sheet2!CI2=999999,"NA",[1]Sheet2!CI2)</f>
        <v>365</v>
      </c>
      <c r="CB3" s="14">
        <f>IF([1]Sheet2!CJ2=999999,"NA",[1]Sheet2!CJ2)</f>
        <v>365</v>
      </c>
      <c r="CC3" s="14">
        <f>[1]Sheet2!BG2</f>
        <v>0</v>
      </c>
      <c r="CD3" s="14">
        <f>[1]Sheet2!BH2</f>
        <v>0</v>
      </c>
      <c r="CE3" s="14">
        <f>[1]Sheet2!BI2</f>
        <v>0</v>
      </c>
      <c r="CF3" s="14">
        <f>[1]Sheet2!BJ2</f>
        <v>0</v>
      </c>
      <c r="CG3" s="14">
        <f>[1]Sheet2!BK2</f>
        <v>0</v>
      </c>
      <c r="CH3" s="14">
        <f>[1]Sheet2!BL2</f>
        <v>0</v>
      </c>
      <c r="CI3" s="14">
        <f>[1]Sheet2!BM2</f>
        <v>0</v>
      </c>
      <c r="CJ3" s="14">
        <f>[1]Sheet2!BN2</f>
        <v>0</v>
      </c>
      <c r="CK3" s="14">
        <f>[1]Sheet2!BO2</f>
        <v>0</v>
      </c>
      <c r="CL3" s="14">
        <f>[1]Sheet2!BP2</f>
        <v>0</v>
      </c>
      <c r="CM3" s="14"/>
      <c r="CN3" s="14"/>
      <c r="CO3" s="14"/>
      <c r="CP3" s="14"/>
      <c r="CQ3" s="14"/>
      <c r="CR3" s="14"/>
      <c r="CS3" s="14"/>
      <c r="CT3" s="14"/>
      <c r="CU3" s="14"/>
      <c r="CV3" s="14"/>
      <c r="CW3" s="14">
        <v>1000</v>
      </c>
      <c r="CX3" s="14">
        <v>500</v>
      </c>
      <c r="CY3" s="14">
        <v>0</v>
      </c>
      <c r="CZ3" s="14">
        <v>0</v>
      </c>
      <c r="DA3" s="14">
        <v>0</v>
      </c>
      <c r="DB3" s="14">
        <v>1000</v>
      </c>
      <c r="DC3" s="14">
        <v>500</v>
      </c>
      <c r="DD3" s="14">
        <v>0</v>
      </c>
      <c r="DE3" s="14">
        <v>0</v>
      </c>
      <c r="DF3" s="14">
        <v>0</v>
      </c>
      <c r="DG3" s="14">
        <f>IF([1]Sheet2!DR2=999999,"NA",[1]Sheet2!DR2)</f>
        <v>73103</v>
      </c>
      <c r="DH3" s="14">
        <f>IF([1]Sheet2!DS2=999999,"NA",[1]Sheet2!DS2)</f>
        <v>365</v>
      </c>
      <c r="DI3" s="14">
        <f>IF([1]Sheet2!DT2=999999,"NA",[1]Sheet2!DT2)</f>
        <v>365</v>
      </c>
      <c r="DJ3" s="14" t="str">
        <f>IF([1]Sheet2!DU2=999999,"NA",[1]Sheet2!DU2)</f>
        <v>NA</v>
      </c>
      <c r="DK3" s="14" t="str">
        <f>IF([1]Sheet2!DV2=999999,"NA",[1]Sheet2!DV2)</f>
        <v>NA</v>
      </c>
      <c r="DL3" s="14" t="str">
        <f>IF([1]Sheet2!DW2=999999,"NA",[1]Sheet2!DW2)</f>
        <v>NA</v>
      </c>
      <c r="DM3" s="14">
        <f>IF([1]Sheet2!DX2=999999,"NA",[1]Sheet2!DX2)</f>
        <v>365</v>
      </c>
      <c r="DN3" s="14">
        <f>IF([1]Sheet2!DY2=999999,"NA",[1]Sheet2!DY2)</f>
        <v>365</v>
      </c>
      <c r="DO3" s="14" t="str">
        <f>IF([1]Sheet2!DZ2=999999,"NA",[1]Sheet2!DZ2)</f>
        <v>NA</v>
      </c>
      <c r="DP3" s="14" t="str">
        <f>IF([1]Sheet2!EA2=999999,"NA",[1]Sheet2!EA2)</f>
        <v>NA</v>
      </c>
      <c r="DQ3" s="14">
        <f>[1]Sheet2!CX2</f>
        <v>0</v>
      </c>
      <c r="DR3" s="14">
        <f>[1]Sheet2!CY2</f>
        <v>0</v>
      </c>
      <c r="DS3" s="14">
        <f>[1]Sheet2!CZ2</f>
        <v>0</v>
      </c>
      <c r="DT3" s="14">
        <f>[1]Sheet2!DA2</f>
        <v>0</v>
      </c>
      <c r="DU3" s="14">
        <f>[1]Sheet2!DB2</f>
        <v>0</v>
      </c>
      <c r="DV3" s="14">
        <f>[1]Sheet2!DC2</f>
        <v>0</v>
      </c>
      <c r="DW3" s="14">
        <f>[1]Sheet2!DD2</f>
        <v>0</v>
      </c>
      <c r="DX3" s="14">
        <f>[1]Sheet2!DE2</f>
        <v>0</v>
      </c>
      <c r="DY3" s="14">
        <f>[1]Sheet2!DF2</f>
        <v>0</v>
      </c>
      <c r="DZ3" s="14">
        <f>[1]Sheet2!DG2</f>
        <v>0</v>
      </c>
    </row>
    <row r="4" spans="1:130" x14ac:dyDescent="0.25">
      <c r="A4" s="15">
        <v>43466</v>
      </c>
      <c r="B4" s="1"/>
      <c r="C4" s="1"/>
      <c r="D4" s="1"/>
      <c r="E4" s="14">
        <f>[1]Sheet2!N3</f>
        <v>0</v>
      </c>
      <c r="F4" s="14">
        <f>[1]Sheet2!BE3</f>
        <v>0</v>
      </c>
      <c r="G4" s="14">
        <f>[1]Sheet2!CV3</f>
        <v>271.83622828784121</v>
      </c>
      <c r="H4" s="1">
        <v>40000</v>
      </c>
      <c r="I4" s="1">
        <v>50000</v>
      </c>
      <c r="J4" s="1">
        <v>50000</v>
      </c>
      <c r="K4" s="16">
        <f>Demand_CWRS!B$3/31</f>
        <v>313.22137613730359</v>
      </c>
      <c r="L4" s="16">
        <f>Demand_CWRS!C$3/31</f>
        <v>241.71000827129859</v>
      </c>
      <c r="M4" s="16">
        <f>Demand_CWRS!D$3/31</f>
        <v>0</v>
      </c>
      <c r="N4" s="16">
        <f>Demand_CWRS!E$3/31</f>
        <v>98.872001654259719</v>
      </c>
      <c r="O4" s="16">
        <f>Demand_CWRS!F$3/31</f>
        <v>198.36900072373859</v>
      </c>
      <c r="P4" s="16">
        <f>Demand_CWRS!G$3/31</f>
        <v>309.67741935483872</v>
      </c>
      <c r="Q4" s="16">
        <f>Demand_CWRS!H$3/31</f>
        <v>241.71000827129859</v>
      </c>
      <c r="R4" s="16">
        <f>Demand_CWRS!I$3/31</f>
        <v>200</v>
      </c>
      <c r="S4" s="16">
        <f>Demand_CWRS!J$3/31</f>
        <v>209.67741935483872</v>
      </c>
      <c r="T4" s="16">
        <f>Demand_CWRS!K$3/31</f>
        <v>216.12903225806451</v>
      </c>
      <c r="U4" s="16">
        <f>U3-K4+AO4</f>
        <v>2686.7786238626963</v>
      </c>
      <c r="V4" s="16">
        <f t="shared" ref="V4:AD4" si="0">V3-L4+AP4</f>
        <v>1758.2899917287014</v>
      </c>
      <c r="W4" s="16">
        <f t="shared" si="0"/>
        <v>0</v>
      </c>
      <c r="X4" s="16">
        <f t="shared" si="0"/>
        <v>1901.1279983457403</v>
      </c>
      <c r="Y4" s="16">
        <f t="shared" si="0"/>
        <v>801.63099927626138</v>
      </c>
      <c r="Z4" s="16">
        <f t="shared" si="0"/>
        <v>2690.3225806451615</v>
      </c>
      <c r="AA4" s="16">
        <f t="shared" si="0"/>
        <v>2258.2899917287014</v>
      </c>
      <c r="AB4" s="16">
        <f t="shared" si="0"/>
        <v>1800</v>
      </c>
      <c r="AC4" s="16">
        <f t="shared" si="0"/>
        <v>1890.3225806451612</v>
      </c>
      <c r="AD4" s="16">
        <f t="shared" si="0"/>
        <v>1783.8709677419356</v>
      </c>
      <c r="AE4" s="14">
        <f>IF([1]Sheet2!AJ3=999999,"NA",[1]Sheet2!AJ3)</f>
        <v>126</v>
      </c>
      <c r="AF4" s="14">
        <f>IF([1]Sheet2!AK3=999999,"NA",[1]Sheet2!AK3)</f>
        <v>57</v>
      </c>
      <c r="AG4" s="14" t="str">
        <f>IF([1]Sheet2!AL3=999999,"NA",[1]Sheet2!AL3)</f>
        <v>NA</v>
      </c>
      <c r="AH4" s="14">
        <f>IF([1]Sheet2!AM3=999999,"NA",[1]Sheet2!AM3)</f>
        <v>364</v>
      </c>
      <c r="AI4" s="14">
        <f>IF([1]Sheet2!AN3=999999,"NA",[1]Sheet2!AN3)</f>
        <v>364</v>
      </c>
      <c r="AJ4" s="14">
        <f>IF([1]Sheet2!AO3=999999,"NA",[1]Sheet2!AO3)</f>
        <v>364</v>
      </c>
      <c r="AK4" s="14">
        <f>IF([1]Sheet2!AP3=999999,"NA",[1]Sheet2!AP3)</f>
        <v>109</v>
      </c>
      <c r="AL4" s="14">
        <f>IF([1]Sheet2!AQ3=999999,"NA",[1]Sheet2!AQ3)</f>
        <v>240</v>
      </c>
      <c r="AM4" s="14">
        <f>IF([1]Sheet2!AR3=999999,"NA",[1]Sheet2!AR3)</f>
        <v>364</v>
      </c>
      <c r="AN4" s="14">
        <f>IF([1]Sheet2!AS3=999999,"NA",[1]Sheet2!AS3)</f>
        <v>296</v>
      </c>
      <c r="AO4" s="22">
        <f>[1]Sheet2!P3</f>
        <v>0</v>
      </c>
      <c r="AP4" s="22">
        <f>[1]Sheet2!Q3</f>
        <v>0</v>
      </c>
      <c r="AQ4" s="14">
        <f>[1]Sheet2!R3</f>
        <v>0</v>
      </c>
      <c r="AR4" s="14">
        <f>[1]Sheet2!S3</f>
        <v>0</v>
      </c>
      <c r="AS4" s="14">
        <f>[1]Sheet2!T3</f>
        <v>0</v>
      </c>
      <c r="AT4" s="14">
        <f>[1]Sheet2!U3</f>
        <v>0</v>
      </c>
      <c r="AU4" s="14">
        <f>[1]Sheet2!V3</f>
        <v>0</v>
      </c>
      <c r="AV4" s="14">
        <f>[1]Sheet2!W3</f>
        <v>0</v>
      </c>
      <c r="AW4" s="14">
        <f>[1]Sheet2!X3</f>
        <v>0</v>
      </c>
      <c r="AX4" s="14">
        <f>[1]Sheet2!Y3</f>
        <v>0</v>
      </c>
      <c r="AY4" s="16">
        <f>Demand_LP!B$3/31</f>
        <v>503.00172404880072</v>
      </c>
      <c r="AZ4" s="16">
        <f>Demand_LP!C$3/31</f>
        <v>792.35864350703059</v>
      </c>
      <c r="BA4" s="16">
        <f>Demand_LP!D$3/31</f>
        <v>231.20967741935488</v>
      </c>
      <c r="BB4" s="16">
        <f>Demand_LP!E$3/31</f>
        <v>696.53949545078569</v>
      </c>
      <c r="BC4" s="16">
        <f>Demand_LP!F$3/31</f>
        <v>482.27093930934655</v>
      </c>
      <c r="BD4" s="16">
        <f>Demand_LP!G$3/31</f>
        <v>516.12903225806451</v>
      </c>
      <c r="BE4" s="16">
        <f>Demand_LP!H$3/31</f>
        <v>774.19354838709683</v>
      </c>
      <c r="BF4" s="16">
        <f>Demand_LP!I$3/31</f>
        <v>451.61290322580646</v>
      </c>
      <c r="BG4" s="16">
        <f>Demand_LP!J$3/31</f>
        <v>387.09677419354841</v>
      </c>
      <c r="BH4" s="16">
        <f>Demand_LP!K$3/31</f>
        <v>419.35483870967744</v>
      </c>
      <c r="BI4" s="16" t="e">
        <f>BI3-AY4+CC4</f>
        <v>#VALUE!</v>
      </c>
      <c r="BJ4" s="16">
        <f t="shared" ref="BJ4:BR4" si="1">BJ3-AZ4+CD4</f>
        <v>4207.6413564929699</v>
      </c>
      <c r="BK4" s="16">
        <f t="shared" si="1"/>
        <v>1768.7903225806451</v>
      </c>
      <c r="BL4" s="16">
        <f t="shared" si="1"/>
        <v>2303.4605045492144</v>
      </c>
      <c r="BM4" s="16">
        <f t="shared" si="1"/>
        <v>2517.7290606906536</v>
      </c>
      <c r="BN4" s="16">
        <f t="shared" si="1"/>
        <v>1483.8709677419356</v>
      </c>
      <c r="BO4" s="16">
        <f t="shared" si="1"/>
        <v>2225.8064516129034</v>
      </c>
      <c r="BP4" s="16">
        <f t="shared" si="1"/>
        <v>1548.3870967741937</v>
      </c>
      <c r="BQ4" s="16">
        <f t="shared" si="1"/>
        <v>2612.9032258064517</v>
      </c>
      <c r="BR4" s="16">
        <f t="shared" si="1"/>
        <v>2080.6451612903224</v>
      </c>
      <c r="BS4" s="14">
        <f>IF([1]Sheet2!CA3=999999,"NA",[1]Sheet2!CA3)</f>
        <v>218559.64516129033</v>
      </c>
      <c r="BT4" s="14">
        <f>IF([1]Sheet2!CB3=999999,"NA",[1]Sheet2!CB3)</f>
        <v>286</v>
      </c>
      <c r="BU4" s="14">
        <f>IF([1]Sheet2!CC3=999999,"NA",[1]Sheet2!CC3)</f>
        <v>364</v>
      </c>
      <c r="BV4" s="14">
        <f>IF([1]Sheet2!CD3=999999,"NA",[1]Sheet2!CD3)</f>
        <v>364</v>
      </c>
      <c r="BW4" s="14">
        <f>IF([1]Sheet2!CE3=999999,"NA",[1]Sheet2!CE3)</f>
        <v>326</v>
      </c>
      <c r="BX4" s="14">
        <f>IF([1]Sheet2!CF3=999999,"NA",[1]Sheet2!CF3)</f>
        <v>364</v>
      </c>
      <c r="BY4" s="14">
        <f>IF([1]Sheet2!CG3=999999,"NA",[1]Sheet2!CG3)</f>
        <v>258</v>
      </c>
      <c r="BZ4" s="14">
        <f>IF([1]Sheet2!CH3=999999,"NA",[1]Sheet2!CH3)</f>
        <v>364</v>
      </c>
      <c r="CA4" s="14">
        <f>IF([1]Sheet2!CI3=999999,"NA",[1]Sheet2!CI3)</f>
        <v>364</v>
      </c>
      <c r="CB4" s="14">
        <f>IF([1]Sheet2!CJ3=999999,"NA",[1]Sheet2!CJ3)</f>
        <v>364</v>
      </c>
      <c r="CC4" s="22" t="str">
        <f>[1]Sheet2!BG3</f>
        <v>Rus</v>
      </c>
      <c r="CD4" s="22">
        <f>[1]Sheet2!BH3</f>
        <v>0</v>
      </c>
      <c r="CE4" s="22">
        <f>[1]Sheet2!BI3</f>
        <v>0</v>
      </c>
      <c r="CF4" s="14">
        <f>[1]Sheet2!BJ3</f>
        <v>0</v>
      </c>
      <c r="CG4" s="14">
        <f>[1]Sheet2!BK3</f>
        <v>0</v>
      </c>
      <c r="CH4" s="14">
        <f>[1]Sheet2!BL3</f>
        <v>0</v>
      </c>
      <c r="CI4" s="14">
        <f>[1]Sheet2!BM3</f>
        <v>0</v>
      </c>
      <c r="CJ4" s="14">
        <f>[1]Sheet2!BN3</f>
        <v>0</v>
      </c>
      <c r="CK4" s="14">
        <f>[1]Sheet2!BO3</f>
        <v>0</v>
      </c>
      <c r="CL4" s="14">
        <f>[1]Sheet2!BP3</f>
        <v>0</v>
      </c>
      <c r="CM4" s="16">
        <f>Demand_SW!B$3/31</f>
        <v>139.57816377171216</v>
      </c>
      <c r="CN4" s="16">
        <f>Demand_SW!C$3/31</f>
        <v>0</v>
      </c>
      <c r="CO4" s="16">
        <f>Demand_SW!D$3/31</f>
        <v>0</v>
      </c>
      <c r="CP4" s="16">
        <f>Demand_SW!E$3/31</f>
        <v>0</v>
      </c>
      <c r="CQ4" s="16">
        <f>Demand_SW!F$3/31</f>
        <v>0</v>
      </c>
      <c r="CR4" s="16">
        <f>Demand_SW!G$3/31</f>
        <v>132.25806451612902</v>
      </c>
      <c r="CS4" s="16">
        <f>Demand_SW!H$3/31</f>
        <v>0</v>
      </c>
      <c r="CT4" s="16">
        <f>Demand_SW!I$3/31</f>
        <v>0</v>
      </c>
      <c r="CU4" s="16">
        <f>Demand_SW!J$3/31</f>
        <v>0</v>
      </c>
      <c r="CV4" s="16">
        <f>Demand_SW!K$3/31</f>
        <v>0</v>
      </c>
      <c r="CW4" s="16">
        <f>CW3-CM4+DQ4</f>
        <v>50860.421836228285</v>
      </c>
      <c r="CX4" s="16">
        <f t="shared" ref="CX4:DF4" si="2">CX3-CN4+DR4</f>
        <v>500</v>
      </c>
      <c r="CY4" s="16">
        <f t="shared" si="2"/>
        <v>0</v>
      </c>
      <c r="CZ4" s="16">
        <f t="shared" si="2"/>
        <v>0</v>
      </c>
      <c r="DA4" s="16">
        <f t="shared" si="2"/>
        <v>0</v>
      </c>
      <c r="DB4" s="16">
        <f t="shared" si="2"/>
        <v>867.74193548387098</v>
      </c>
      <c r="DC4" s="16">
        <f t="shared" si="2"/>
        <v>500</v>
      </c>
      <c r="DD4" s="16">
        <f t="shared" si="2"/>
        <v>0</v>
      </c>
      <c r="DE4" s="16">
        <f t="shared" si="2"/>
        <v>0</v>
      </c>
      <c r="DF4" s="16">
        <f t="shared" si="2"/>
        <v>0</v>
      </c>
      <c r="DG4" s="14">
        <f>IF([1]Sheet2!DR3=999999,"NA",[1]Sheet2!DR3)</f>
        <v>73103</v>
      </c>
      <c r="DH4" s="14">
        <f>IF([1]Sheet2!DS3=999999,"NA",[1]Sheet2!DS3)</f>
        <v>364</v>
      </c>
      <c r="DI4" s="14">
        <f>IF([1]Sheet2!DT3=999999,"NA",[1]Sheet2!DT3)</f>
        <v>364</v>
      </c>
      <c r="DJ4" s="14" t="str">
        <f>IF([1]Sheet2!DU3=999999,"NA",[1]Sheet2!DU3)</f>
        <v>NA</v>
      </c>
      <c r="DK4" s="14" t="str">
        <f>IF([1]Sheet2!DV3=999999,"NA",[1]Sheet2!DV3)</f>
        <v>NA</v>
      </c>
      <c r="DL4" s="14" t="str">
        <f>IF([1]Sheet2!DW3=999999,"NA",[1]Sheet2!DW3)</f>
        <v>NA</v>
      </c>
      <c r="DM4" s="14">
        <f>IF([1]Sheet2!DX3=999999,"NA",[1]Sheet2!DX3)</f>
        <v>364</v>
      </c>
      <c r="DN4" s="14">
        <f>IF([1]Sheet2!DY3=999999,"NA",[1]Sheet2!DY3)</f>
        <v>364</v>
      </c>
      <c r="DO4" s="14" t="str">
        <f>IF([1]Sheet2!DZ3=999999,"NA",[1]Sheet2!DZ3)</f>
        <v>NA</v>
      </c>
      <c r="DP4" s="14" t="str">
        <f>IF([1]Sheet2!EA3=999999,"NA",[1]Sheet2!EA3)</f>
        <v>NA</v>
      </c>
      <c r="DQ4" s="14">
        <f>[1]Sheet2!CX3</f>
        <v>50000</v>
      </c>
      <c r="DR4" s="14">
        <f>[1]Sheet2!CY3</f>
        <v>0</v>
      </c>
      <c r="DS4" s="14">
        <f>[1]Sheet2!CZ3</f>
        <v>0</v>
      </c>
      <c r="DT4" s="14">
        <f>[1]Sheet2!DA3</f>
        <v>0</v>
      </c>
      <c r="DU4" s="14">
        <f>[1]Sheet2!DB3</f>
        <v>0</v>
      </c>
      <c r="DV4" s="14">
        <f>[1]Sheet2!DC3</f>
        <v>0</v>
      </c>
      <c r="DW4" s="14">
        <f>[1]Sheet2!DD3</f>
        <v>0</v>
      </c>
      <c r="DX4" s="14">
        <f>[1]Sheet2!DE3</f>
        <v>0</v>
      </c>
      <c r="DY4" s="14">
        <f>[1]Sheet2!DF3</f>
        <v>0</v>
      </c>
      <c r="DZ4" s="14">
        <f>[1]Sheet2!DG3</f>
        <v>0</v>
      </c>
    </row>
    <row r="5" spans="1:130" x14ac:dyDescent="0.25">
      <c r="A5" s="15">
        <v>43467</v>
      </c>
      <c r="B5" s="1"/>
      <c r="C5" s="1"/>
      <c r="D5" s="1"/>
      <c r="E5" s="14">
        <f>[1]Sheet2!N4</f>
        <v>0</v>
      </c>
      <c r="F5" s="14">
        <f>[1]Sheet2!BE4</f>
        <v>0</v>
      </c>
      <c r="G5" s="14">
        <f>[1]Sheet2!CV4</f>
        <v>271.83622828784121</v>
      </c>
      <c r="H5" s="1"/>
      <c r="I5" s="1"/>
      <c r="J5" s="1"/>
      <c r="K5" s="16">
        <f>Demand_CWRS!B$3/31</f>
        <v>313.22137613730359</v>
      </c>
      <c r="L5" s="16">
        <f>Demand_CWRS!C$3/31</f>
        <v>241.71000827129859</v>
      </c>
      <c r="M5" s="16">
        <f>Demand_CWRS!D$3/31</f>
        <v>0</v>
      </c>
      <c r="N5" s="16">
        <f>Demand_CWRS!E$3/31</f>
        <v>98.872001654259719</v>
      </c>
      <c r="O5" s="16">
        <f>Demand_CWRS!F$3/31</f>
        <v>198.36900072373859</v>
      </c>
      <c r="P5" s="16">
        <f>Demand_CWRS!G$3/31</f>
        <v>309.67741935483872</v>
      </c>
      <c r="Q5" s="16">
        <f>Demand_CWRS!H$3/31</f>
        <v>241.71000827129859</v>
      </c>
      <c r="R5" s="16">
        <f>Demand_CWRS!I$3/31</f>
        <v>200</v>
      </c>
      <c r="S5" s="16">
        <f>Demand_CWRS!J$3/31</f>
        <v>209.67741935483872</v>
      </c>
      <c r="T5" s="16">
        <f>Demand_CWRS!K$3/31</f>
        <v>216.12903225806451</v>
      </c>
      <c r="U5" s="16">
        <f t="shared" ref="U5:U68" si="3">U4-K5+AO5</f>
        <v>2373.5572477253927</v>
      </c>
      <c r="V5" s="16">
        <f t="shared" ref="V5:V68" si="4">V4-L5+AP5</f>
        <v>1516.5799834574027</v>
      </c>
      <c r="W5" s="16">
        <f t="shared" ref="W5:W68" si="5">W4-M5+AQ5</f>
        <v>0</v>
      </c>
      <c r="X5" s="16">
        <f t="shared" ref="X5:X68" si="6">X4-N5+AR5</f>
        <v>1802.2559966914805</v>
      </c>
      <c r="Y5" s="16">
        <f t="shared" ref="Y5:Y68" si="7">Y4-O5+AS5</f>
        <v>603.26199855252275</v>
      </c>
      <c r="Z5" s="16">
        <f t="shared" ref="Z5:Z68" si="8">Z4-P5+AT5</f>
        <v>2380.6451612903229</v>
      </c>
      <c r="AA5" s="16">
        <f t="shared" ref="AA5:AA68" si="9">AA4-Q5+AU5</f>
        <v>2016.5799834574027</v>
      </c>
      <c r="AB5" s="16">
        <f t="shared" ref="AB5:AB68" si="10">AB4-R5+AV5</f>
        <v>1600</v>
      </c>
      <c r="AC5" s="16">
        <f t="shared" ref="AC5:AC68" si="11">AC4-S5+AW5</f>
        <v>1680.6451612903224</v>
      </c>
      <c r="AD5" s="16">
        <f t="shared" ref="AD5:AD68" si="12">AD4-T5+AX5</f>
        <v>1567.7419354838712</v>
      </c>
      <c r="AE5" s="14">
        <f>IF([1]Sheet2!AJ4=999999,"NA",[1]Sheet2!AJ4)</f>
        <v>125</v>
      </c>
      <c r="AF5" s="14">
        <f>IF([1]Sheet2!AK4=999999,"NA",[1]Sheet2!AK4)</f>
        <v>56</v>
      </c>
      <c r="AG5" s="14" t="str">
        <f>IF([1]Sheet2!AL4=999999,"NA",[1]Sheet2!AL4)</f>
        <v>NA</v>
      </c>
      <c r="AH5" s="14">
        <f>IF([1]Sheet2!AM4=999999,"NA",[1]Sheet2!AM4)</f>
        <v>363</v>
      </c>
      <c r="AI5" s="14">
        <f>IF([1]Sheet2!AN4=999999,"NA",[1]Sheet2!AN4)</f>
        <v>363</v>
      </c>
      <c r="AJ5" s="14">
        <f>IF([1]Sheet2!AO4=999999,"NA",[1]Sheet2!AO4)</f>
        <v>363</v>
      </c>
      <c r="AK5" s="14">
        <f>IF([1]Sheet2!AP4=999999,"NA",[1]Sheet2!AP4)</f>
        <v>108</v>
      </c>
      <c r="AL5" s="14">
        <f>IF([1]Sheet2!AQ4=999999,"NA",[1]Sheet2!AQ4)</f>
        <v>239</v>
      </c>
      <c r="AM5" s="14">
        <f>IF([1]Sheet2!AR4=999999,"NA",[1]Sheet2!AR4)</f>
        <v>363</v>
      </c>
      <c r="AN5" s="14">
        <f>IF([1]Sheet2!AS4=999999,"NA",[1]Sheet2!AS4)</f>
        <v>295</v>
      </c>
      <c r="AO5" s="14">
        <f>[1]Sheet2!P4</f>
        <v>0</v>
      </c>
      <c r="AP5" s="14">
        <f>[1]Sheet2!Q4</f>
        <v>0</v>
      </c>
      <c r="AQ5" s="14">
        <f>[1]Sheet2!R4</f>
        <v>0</v>
      </c>
      <c r="AR5" s="14">
        <f>[1]Sheet2!S4</f>
        <v>0</v>
      </c>
      <c r="AS5" s="14">
        <f>[1]Sheet2!T4</f>
        <v>0</v>
      </c>
      <c r="AT5" s="14">
        <f>[1]Sheet2!U4</f>
        <v>0</v>
      </c>
      <c r="AU5" s="14">
        <f>[1]Sheet2!V4</f>
        <v>0</v>
      </c>
      <c r="AV5" s="14">
        <f>[1]Sheet2!W4</f>
        <v>0</v>
      </c>
      <c r="AW5" s="14">
        <f>[1]Sheet2!X4</f>
        <v>0</v>
      </c>
      <c r="AX5" s="14">
        <f>[1]Sheet2!Y4</f>
        <v>0</v>
      </c>
      <c r="AY5" s="16">
        <f>Demand_LP!B$3/31</f>
        <v>503.00172404880072</v>
      </c>
      <c r="AZ5" s="16">
        <f>Demand_LP!C$3/31</f>
        <v>792.35864350703059</v>
      </c>
      <c r="BA5" s="16">
        <f>Demand_LP!D$3/31</f>
        <v>231.20967741935488</v>
      </c>
      <c r="BB5" s="16">
        <f>Demand_LP!E$3/31</f>
        <v>696.53949545078569</v>
      </c>
      <c r="BC5" s="16">
        <f>Demand_LP!F$3/31</f>
        <v>482.27093930934655</v>
      </c>
      <c r="BD5" s="16">
        <f>Demand_LP!G$3/31</f>
        <v>516.12903225806451</v>
      </c>
      <c r="BE5" s="16">
        <f>Demand_LP!H$3/31</f>
        <v>774.19354838709683</v>
      </c>
      <c r="BF5" s="16">
        <f>Demand_LP!I$3/31</f>
        <v>451.61290322580646</v>
      </c>
      <c r="BG5" s="16">
        <f>Demand_LP!J$3/31</f>
        <v>387.09677419354841</v>
      </c>
      <c r="BH5" s="16">
        <f>Demand_LP!K$3/31</f>
        <v>419.35483870967744</v>
      </c>
      <c r="BI5" s="16" t="e">
        <f t="shared" ref="BI5:BI68" si="13">BI4-AY5+CC5</f>
        <v>#VALUE!</v>
      </c>
      <c r="BJ5" s="16">
        <f t="shared" ref="BJ5:BJ68" si="14">BJ4-AZ5+CD5</f>
        <v>3415.2827129859393</v>
      </c>
      <c r="BK5" s="16">
        <f t="shared" ref="BK5:BK68" si="15">BK4-BA5+CE5</f>
        <v>1537.5806451612902</v>
      </c>
      <c r="BL5" s="16">
        <f t="shared" ref="BL5:BL68" si="16">BL4-BB5+CF5</f>
        <v>1606.9210090984288</v>
      </c>
      <c r="BM5" s="16">
        <f t="shared" ref="BM5:BM68" si="17">BM4-BC5+CG5</f>
        <v>2035.4581213813071</v>
      </c>
      <c r="BN5" s="16">
        <f t="shared" ref="BN5:BN68" si="18">BN4-BD5+CH5</f>
        <v>967.74193548387109</v>
      </c>
      <c r="BO5" s="16">
        <f t="shared" ref="BO5:BO68" si="19">BO4-BE5+CI5</f>
        <v>1451.6129032258066</v>
      </c>
      <c r="BP5" s="16">
        <f t="shared" ref="BP5:BP68" si="20">BP4-BF5+CJ5</f>
        <v>1096.7741935483873</v>
      </c>
      <c r="BQ5" s="16">
        <f t="shared" ref="BQ5:BQ68" si="21">BQ4-BG5+CK5</f>
        <v>2225.8064516129034</v>
      </c>
      <c r="BR5" s="16">
        <f t="shared" ref="BR5:BR68" si="22">BR4-BH5+CL5</f>
        <v>1661.2903225806449</v>
      </c>
      <c r="BS5" s="14">
        <f>IF([1]Sheet2!CA4=999999,"NA",[1]Sheet2!CA4)</f>
        <v>218140.29032258067</v>
      </c>
      <c r="BT5" s="14">
        <f>IF([1]Sheet2!CB4=999999,"NA",[1]Sheet2!CB4)</f>
        <v>285</v>
      </c>
      <c r="BU5" s="14">
        <f>IF([1]Sheet2!CC4=999999,"NA",[1]Sheet2!CC4)</f>
        <v>363</v>
      </c>
      <c r="BV5" s="14">
        <f>IF([1]Sheet2!CD4=999999,"NA",[1]Sheet2!CD4)</f>
        <v>363</v>
      </c>
      <c r="BW5" s="14">
        <f>IF([1]Sheet2!CE4=999999,"NA",[1]Sheet2!CE4)</f>
        <v>325</v>
      </c>
      <c r="BX5" s="14">
        <f>IF([1]Sheet2!CF4=999999,"NA",[1]Sheet2!CF4)</f>
        <v>363</v>
      </c>
      <c r="BY5" s="14">
        <f>IF([1]Sheet2!CG4=999999,"NA",[1]Sheet2!CG4)</f>
        <v>257</v>
      </c>
      <c r="BZ5" s="14">
        <f>IF([1]Sheet2!CH4=999999,"NA",[1]Sheet2!CH4)</f>
        <v>363</v>
      </c>
      <c r="CA5" s="14">
        <f>IF([1]Sheet2!CI4=999999,"NA",[1]Sheet2!CI4)</f>
        <v>363</v>
      </c>
      <c r="CB5" s="14">
        <f>IF([1]Sheet2!CJ4=999999,"NA",[1]Sheet2!CJ4)</f>
        <v>363</v>
      </c>
      <c r="CC5" s="14">
        <f>[1]Sheet2!BG4</f>
        <v>0</v>
      </c>
      <c r="CD5" s="14">
        <f>[1]Sheet2!BH4</f>
        <v>0</v>
      </c>
      <c r="CE5" s="14">
        <f>[1]Sheet2!BI4</f>
        <v>0</v>
      </c>
      <c r="CF5" s="14">
        <f>[1]Sheet2!BJ4</f>
        <v>0</v>
      </c>
      <c r="CG5" s="14">
        <f>[1]Sheet2!BK4</f>
        <v>0</v>
      </c>
      <c r="CH5" s="14">
        <f>[1]Sheet2!BL4</f>
        <v>0</v>
      </c>
      <c r="CI5" s="14">
        <f>[1]Sheet2!BM4</f>
        <v>0</v>
      </c>
      <c r="CJ5" s="14">
        <f>[1]Sheet2!BN4</f>
        <v>0</v>
      </c>
      <c r="CK5" s="14">
        <f>[1]Sheet2!BO4</f>
        <v>0</v>
      </c>
      <c r="CL5" s="14">
        <f>[1]Sheet2!BP4</f>
        <v>0</v>
      </c>
      <c r="CM5" s="16">
        <f>Demand_SW!B$3/31</f>
        <v>139.57816377171216</v>
      </c>
      <c r="CN5" s="16">
        <f>Demand_SW!C$3/31</f>
        <v>0</v>
      </c>
      <c r="CO5" s="16">
        <f>Demand_SW!D$3/31</f>
        <v>0</v>
      </c>
      <c r="CP5" s="16">
        <f>Demand_SW!E$3/31</f>
        <v>0</v>
      </c>
      <c r="CQ5" s="16">
        <f>Demand_SW!F$3/31</f>
        <v>0</v>
      </c>
      <c r="CR5" s="16">
        <f>Demand_SW!G$3/31</f>
        <v>132.25806451612902</v>
      </c>
      <c r="CS5" s="16">
        <f>Demand_SW!H$3/31</f>
        <v>0</v>
      </c>
      <c r="CT5" s="16">
        <f>Demand_SW!I$3/31</f>
        <v>0</v>
      </c>
      <c r="CU5" s="16">
        <f>Demand_SW!J$3/31</f>
        <v>0</v>
      </c>
      <c r="CV5" s="16">
        <f>Demand_SW!K$3/31</f>
        <v>0</v>
      </c>
      <c r="CW5" s="16">
        <f t="shared" ref="CW5:CW68" si="23">CW4-CM5+DQ5</f>
        <v>50720.843672456569</v>
      </c>
      <c r="CX5" s="16">
        <f t="shared" ref="CX5:CX68" si="24">CX4-CN5+DR5</f>
        <v>500</v>
      </c>
      <c r="CY5" s="16">
        <f t="shared" ref="CY5:CY68" si="25">CY4-CO5+DS5</f>
        <v>0</v>
      </c>
      <c r="CZ5" s="16">
        <f t="shared" ref="CZ5:CZ68" si="26">CZ4-CP5+DT5</f>
        <v>0</v>
      </c>
      <c r="DA5" s="16">
        <f t="shared" ref="DA5:DA68" si="27">DA4-CQ5+DU5</f>
        <v>0</v>
      </c>
      <c r="DB5" s="16">
        <f t="shared" ref="DB5:DB68" si="28">DB4-CR5+DV5</f>
        <v>735.48387096774195</v>
      </c>
      <c r="DC5" s="16">
        <f t="shared" ref="DC5:DC68" si="29">DC4-CS5+DW5</f>
        <v>500</v>
      </c>
      <c r="DD5" s="16">
        <f t="shared" ref="DD5:DD68" si="30">DD4-CT5+DX5</f>
        <v>0</v>
      </c>
      <c r="DE5" s="16">
        <f t="shared" ref="DE5:DE68" si="31">DE4-CU5+DY5</f>
        <v>0</v>
      </c>
      <c r="DF5" s="16">
        <f t="shared" ref="DF5:DF68" si="32">DF4-CV5+DZ5</f>
        <v>0</v>
      </c>
      <c r="DG5" s="14">
        <f>IF([1]Sheet2!DR4=999999,"NA",[1]Sheet2!DR4)</f>
        <v>73103</v>
      </c>
      <c r="DH5" s="14">
        <f>IF([1]Sheet2!DS4=999999,"NA",[1]Sheet2!DS4)</f>
        <v>363</v>
      </c>
      <c r="DI5" s="14">
        <f>IF([1]Sheet2!DT4=999999,"NA",[1]Sheet2!DT4)</f>
        <v>363</v>
      </c>
      <c r="DJ5" s="14" t="str">
        <f>IF([1]Sheet2!DU4=999999,"NA",[1]Sheet2!DU4)</f>
        <v>NA</v>
      </c>
      <c r="DK5" s="14" t="str">
        <f>IF([1]Sheet2!DV4=999999,"NA",[1]Sheet2!DV4)</f>
        <v>NA</v>
      </c>
      <c r="DL5" s="14" t="str">
        <f>IF([1]Sheet2!DW4=999999,"NA",[1]Sheet2!DW4)</f>
        <v>NA</v>
      </c>
      <c r="DM5" s="14">
        <f>IF([1]Sheet2!DX4=999999,"NA",[1]Sheet2!DX4)</f>
        <v>363</v>
      </c>
      <c r="DN5" s="14">
        <f>IF([1]Sheet2!DY4=999999,"NA",[1]Sheet2!DY4)</f>
        <v>363</v>
      </c>
      <c r="DO5" s="14" t="str">
        <f>IF([1]Sheet2!DZ4=999999,"NA",[1]Sheet2!DZ4)</f>
        <v>NA</v>
      </c>
      <c r="DP5" s="14" t="str">
        <f>IF([1]Sheet2!EA4=999999,"NA",[1]Sheet2!EA4)</f>
        <v>NA</v>
      </c>
      <c r="DQ5" s="14">
        <f>[1]Sheet2!CX4</f>
        <v>0</v>
      </c>
      <c r="DR5" s="14">
        <f>[1]Sheet2!CY4</f>
        <v>0</v>
      </c>
      <c r="DS5" s="14">
        <f>[1]Sheet2!CZ4</f>
        <v>0</v>
      </c>
      <c r="DT5" s="14">
        <f>[1]Sheet2!DA4</f>
        <v>0</v>
      </c>
      <c r="DU5" s="14">
        <f>[1]Sheet2!DB4</f>
        <v>0</v>
      </c>
      <c r="DV5" s="14">
        <f>[1]Sheet2!DC4</f>
        <v>0</v>
      </c>
      <c r="DW5" s="14">
        <f>[1]Sheet2!DD4</f>
        <v>0</v>
      </c>
      <c r="DX5" s="14">
        <f>[1]Sheet2!DE4</f>
        <v>0</v>
      </c>
      <c r="DY5" s="14">
        <f>[1]Sheet2!DF4</f>
        <v>0</v>
      </c>
      <c r="DZ5" s="14">
        <f>[1]Sheet2!DG4</f>
        <v>0</v>
      </c>
    </row>
    <row r="6" spans="1:130" x14ac:dyDescent="0.25">
      <c r="A6" s="15">
        <v>43468</v>
      </c>
      <c r="B6" s="1"/>
      <c r="C6" s="1"/>
      <c r="D6" s="1"/>
      <c r="E6" s="14">
        <f>[1]Sheet2!N5</f>
        <v>0</v>
      </c>
      <c r="F6" s="14">
        <f>[1]Sheet2!BE5</f>
        <v>0</v>
      </c>
      <c r="G6" s="14">
        <f>[1]Sheet2!CV5</f>
        <v>271.83622828784121</v>
      </c>
      <c r="H6" s="1"/>
      <c r="I6" s="1"/>
      <c r="J6" s="1"/>
      <c r="K6" s="16">
        <f>Demand_CWRS!B$3/31</f>
        <v>313.22137613730359</v>
      </c>
      <c r="L6" s="16">
        <f>Demand_CWRS!C$3/31</f>
        <v>241.71000827129859</v>
      </c>
      <c r="M6" s="16">
        <f>Demand_CWRS!D$3/31</f>
        <v>0</v>
      </c>
      <c r="N6" s="16">
        <f>Demand_CWRS!E$3/31</f>
        <v>98.872001654259719</v>
      </c>
      <c r="O6" s="16">
        <f>Demand_CWRS!F$3/31</f>
        <v>198.36900072373859</v>
      </c>
      <c r="P6" s="16">
        <f>Demand_CWRS!G$3/31</f>
        <v>309.67741935483872</v>
      </c>
      <c r="Q6" s="16">
        <f>Demand_CWRS!H$3/31</f>
        <v>241.71000827129859</v>
      </c>
      <c r="R6" s="16">
        <f>Demand_CWRS!I$3/31</f>
        <v>200</v>
      </c>
      <c r="S6" s="16">
        <f>Demand_CWRS!J$3/31</f>
        <v>209.67741935483872</v>
      </c>
      <c r="T6" s="16">
        <f>Demand_CWRS!K$3/31</f>
        <v>216.12903225806451</v>
      </c>
      <c r="U6" s="16">
        <f t="shared" si="3"/>
        <v>2060.335871588089</v>
      </c>
      <c r="V6" s="16">
        <f t="shared" si="4"/>
        <v>1274.8699751861041</v>
      </c>
      <c r="W6" s="16">
        <f t="shared" si="5"/>
        <v>0</v>
      </c>
      <c r="X6" s="16">
        <f t="shared" si="6"/>
        <v>1703.3839950372208</v>
      </c>
      <c r="Y6" s="16">
        <f t="shared" si="7"/>
        <v>404.89299782878413</v>
      </c>
      <c r="Z6" s="16">
        <f t="shared" si="8"/>
        <v>2070.9677419354844</v>
      </c>
      <c r="AA6" s="16">
        <f t="shared" si="9"/>
        <v>1774.8699751861041</v>
      </c>
      <c r="AB6" s="16">
        <f t="shared" si="10"/>
        <v>1400</v>
      </c>
      <c r="AC6" s="16">
        <f t="shared" si="11"/>
        <v>1470.9677419354837</v>
      </c>
      <c r="AD6" s="16">
        <f t="shared" si="12"/>
        <v>1351.6129032258068</v>
      </c>
      <c r="AE6" s="14">
        <f>IF([1]Sheet2!AJ5=999999,"NA",[1]Sheet2!AJ5)</f>
        <v>124</v>
      </c>
      <c r="AF6" s="14">
        <f>IF([1]Sheet2!AK5=999999,"NA",[1]Sheet2!AK5)</f>
        <v>55</v>
      </c>
      <c r="AG6" s="14" t="str">
        <f>IF([1]Sheet2!AL5=999999,"NA",[1]Sheet2!AL5)</f>
        <v>NA</v>
      </c>
      <c r="AH6" s="14">
        <f>IF([1]Sheet2!AM5=999999,"NA",[1]Sheet2!AM5)</f>
        <v>362</v>
      </c>
      <c r="AI6" s="14">
        <f>IF([1]Sheet2!AN5=999999,"NA",[1]Sheet2!AN5)</f>
        <v>362</v>
      </c>
      <c r="AJ6" s="14">
        <f>IF([1]Sheet2!AO5=999999,"NA",[1]Sheet2!AO5)</f>
        <v>362</v>
      </c>
      <c r="AK6" s="14">
        <f>IF([1]Sheet2!AP5=999999,"NA",[1]Sheet2!AP5)</f>
        <v>107</v>
      </c>
      <c r="AL6" s="14">
        <f>IF([1]Sheet2!AQ5=999999,"NA",[1]Sheet2!AQ5)</f>
        <v>238</v>
      </c>
      <c r="AM6" s="14">
        <f>IF([1]Sheet2!AR5=999999,"NA",[1]Sheet2!AR5)</f>
        <v>362</v>
      </c>
      <c r="AN6" s="14">
        <f>IF([1]Sheet2!AS5=999999,"NA",[1]Sheet2!AS5)</f>
        <v>294</v>
      </c>
      <c r="AO6" s="14">
        <f>[1]Sheet2!P5</f>
        <v>0</v>
      </c>
      <c r="AP6" s="14">
        <f>[1]Sheet2!Q5</f>
        <v>0</v>
      </c>
      <c r="AQ6" s="14">
        <f>[1]Sheet2!R5</f>
        <v>0</v>
      </c>
      <c r="AR6" s="14">
        <f>[1]Sheet2!S5</f>
        <v>0</v>
      </c>
      <c r="AS6" s="14">
        <f>[1]Sheet2!T5</f>
        <v>0</v>
      </c>
      <c r="AT6" s="14">
        <f>[1]Sheet2!U5</f>
        <v>0</v>
      </c>
      <c r="AU6" s="14">
        <f>[1]Sheet2!V5</f>
        <v>0</v>
      </c>
      <c r="AV6" s="14">
        <f>[1]Sheet2!W5</f>
        <v>0</v>
      </c>
      <c r="AW6" s="14">
        <f>[1]Sheet2!X5</f>
        <v>0</v>
      </c>
      <c r="AX6" s="14">
        <f>[1]Sheet2!Y5</f>
        <v>0</v>
      </c>
      <c r="AY6" s="16">
        <f>Demand_LP!B$3/31</f>
        <v>503.00172404880072</v>
      </c>
      <c r="AZ6" s="16">
        <f>Demand_LP!C$3/31</f>
        <v>792.35864350703059</v>
      </c>
      <c r="BA6" s="16">
        <f>Demand_LP!D$3/31</f>
        <v>231.20967741935488</v>
      </c>
      <c r="BB6" s="16">
        <f>Demand_LP!E$3/31</f>
        <v>696.53949545078569</v>
      </c>
      <c r="BC6" s="16">
        <f>Demand_LP!F$3/31</f>
        <v>482.27093930934655</v>
      </c>
      <c r="BD6" s="16">
        <f>Demand_LP!G$3/31</f>
        <v>516.12903225806451</v>
      </c>
      <c r="BE6" s="16">
        <f>Demand_LP!H$3/31</f>
        <v>774.19354838709683</v>
      </c>
      <c r="BF6" s="16">
        <f>Demand_LP!I$3/31</f>
        <v>451.61290322580646</v>
      </c>
      <c r="BG6" s="16">
        <f>Demand_LP!J$3/31</f>
        <v>387.09677419354841</v>
      </c>
      <c r="BH6" s="16">
        <f>Demand_LP!K$3/31</f>
        <v>419.35483870967744</v>
      </c>
      <c r="BI6" s="16" t="e">
        <f t="shared" si="13"/>
        <v>#VALUE!</v>
      </c>
      <c r="BJ6" s="16">
        <f t="shared" si="14"/>
        <v>2622.9240694789087</v>
      </c>
      <c r="BK6" s="16">
        <f t="shared" si="15"/>
        <v>1306.3709677419354</v>
      </c>
      <c r="BL6" s="16">
        <f t="shared" si="16"/>
        <v>910.38151364764315</v>
      </c>
      <c r="BM6" s="16">
        <f t="shared" si="17"/>
        <v>1553.1871820719607</v>
      </c>
      <c r="BN6" s="16">
        <f t="shared" si="18"/>
        <v>451.61290322580658</v>
      </c>
      <c r="BO6" s="16">
        <f t="shared" si="19"/>
        <v>677.41935483870975</v>
      </c>
      <c r="BP6" s="16">
        <f t="shared" si="20"/>
        <v>645.16129032258084</v>
      </c>
      <c r="BQ6" s="16">
        <f t="shared" si="21"/>
        <v>1838.7096774193551</v>
      </c>
      <c r="BR6" s="16">
        <f t="shared" si="22"/>
        <v>1241.9354838709673</v>
      </c>
      <c r="BS6" s="14">
        <f>IF([1]Sheet2!CA5=999999,"NA",[1]Sheet2!CA5)</f>
        <v>217720.935483871</v>
      </c>
      <c r="BT6" s="14">
        <f>IF([1]Sheet2!CB5=999999,"NA",[1]Sheet2!CB5)</f>
        <v>284</v>
      </c>
      <c r="BU6" s="14">
        <f>IF([1]Sheet2!CC5=999999,"NA",[1]Sheet2!CC5)</f>
        <v>362</v>
      </c>
      <c r="BV6" s="14">
        <f>IF([1]Sheet2!CD5=999999,"NA",[1]Sheet2!CD5)</f>
        <v>362</v>
      </c>
      <c r="BW6" s="14">
        <f>IF([1]Sheet2!CE5=999999,"NA",[1]Sheet2!CE5)</f>
        <v>324</v>
      </c>
      <c r="BX6" s="14">
        <f>IF([1]Sheet2!CF5=999999,"NA",[1]Sheet2!CF5)</f>
        <v>362</v>
      </c>
      <c r="BY6" s="14">
        <f>IF([1]Sheet2!CG5=999999,"NA",[1]Sheet2!CG5)</f>
        <v>256</v>
      </c>
      <c r="BZ6" s="14">
        <f>IF([1]Sheet2!CH5=999999,"NA",[1]Sheet2!CH5)</f>
        <v>362</v>
      </c>
      <c r="CA6" s="14">
        <f>IF([1]Sheet2!CI5=999999,"NA",[1]Sheet2!CI5)</f>
        <v>362</v>
      </c>
      <c r="CB6" s="14">
        <f>IF([1]Sheet2!CJ5=999999,"NA",[1]Sheet2!CJ5)</f>
        <v>362</v>
      </c>
      <c r="CC6" s="14">
        <f>[1]Sheet2!BG5</f>
        <v>0</v>
      </c>
      <c r="CD6" s="14">
        <f>[1]Sheet2!BH5</f>
        <v>0</v>
      </c>
      <c r="CE6" s="14">
        <f>[1]Sheet2!BI5</f>
        <v>0</v>
      </c>
      <c r="CF6" s="14">
        <f>[1]Sheet2!BJ5</f>
        <v>0</v>
      </c>
      <c r="CG6" s="14">
        <f>[1]Sheet2!BK5</f>
        <v>0</v>
      </c>
      <c r="CH6" s="14">
        <f>[1]Sheet2!BL5</f>
        <v>0</v>
      </c>
      <c r="CI6" s="14">
        <f>[1]Sheet2!BM5</f>
        <v>0</v>
      </c>
      <c r="CJ6" s="14">
        <f>[1]Sheet2!BN5</f>
        <v>0</v>
      </c>
      <c r="CK6" s="14">
        <f>[1]Sheet2!BO5</f>
        <v>0</v>
      </c>
      <c r="CL6" s="14">
        <f>[1]Sheet2!BP5</f>
        <v>0</v>
      </c>
      <c r="CM6" s="16">
        <f>Demand_SW!B$3/31</f>
        <v>139.57816377171216</v>
      </c>
      <c r="CN6" s="16">
        <f>Demand_SW!C$3/31</f>
        <v>0</v>
      </c>
      <c r="CO6" s="16">
        <f>Demand_SW!D$3/31</f>
        <v>0</v>
      </c>
      <c r="CP6" s="16">
        <f>Demand_SW!E$3/31</f>
        <v>0</v>
      </c>
      <c r="CQ6" s="16">
        <f>Demand_SW!F$3/31</f>
        <v>0</v>
      </c>
      <c r="CR6" s="16">
        <f>Demand_SW!G$3/31</f>
        <v>132.25806451612902</v>
      </c>
      <c r="CS6" s="16">
        <f>Demand_SW!H$3/31</f>
        <v>0</v>
      </c>
      <c r="CT6" s="16">
        <f>Demand_SW!I$3/31</f>
        <v>0</v>
      </c>
      <c r="CU6" s="16">
        <f>Demand_SW!J$3/31</f>
        <v>0</v>
      </c>
      <c r="CV6" s="16">
        <f>Demand_SW!K$3/31</f>
        <v>0</v>
      </c>
      <c r="CW6" s="16">
        <f t="shared" si="23"/>
        <v>50581.265508684854</v>
      </c>
      <c r="CX6" s="16">
        <f t="shared" si="24"/>
        <v>500</v>
      </c>
      <c r="CY6" s="16">
        <f t="shared" si="25"/>
        <v>0</v>
      </c>
      <c r="CZ6" s="16">
        <f t="shared" si="26"/>
        <v>0</v>
      </c>
      <c r="DA6" s="16">
        <f t="shared" si="27"/>
        <v>0</v>
      </c>
      <c r="DB6" s="16">
        <f t="shared" si="28"/>
        <v>603.22580645161293</v>
      </c>
      <c r="DC6" s="16">
        <f t="shared" si="29"/>
        <v>500</v>
      </c>
      <c r="DD6" s="16">
        <f t="shared" si="30"/>
        <v>0</v>
      </c>
      <c r="DE6" s="16">
        <f t="shared" si="31"/>
        <v>0</v>
      </c>
      <c r="DF6" s="16">
        <f t="shared" si="32"/>
        <v>0</v>
      </c>
      <c r="DG6" s="14">
        <f>IF([1]Sheet2!DR5=999999,"NA",[1]Sheet2!DR5)</f>
        <v>73103</v>
      </c>
      <c r="DH6" s="14">
        <f>IF([1]Sheet2!DS5=999999,"NA",[1]Sheet2!DS5)</f>
        <v>362</v>
      </c>
      <c r="DI6" s="14">
        <f>IF([1]Sheet2!DT5=999999,"NA",[1]Sheet2!DT5)</f>
        <v>362</v>
      </c>
      <c r="DJ6" s="14" t="str">
        <f>IF([1]Sheet2!DU5=999999,"NA",[1]Sheet2!DU5)</f>
        <v>NA</v>
      </c>
      <c r="DK6" s="14" t="str">
        <f>IF([1]Sheet2!DV5=999999,"NA",[1]Sheet2!DV5)</f>
        <v>NA</v>
      </c>
      <c r="DL6" s="14" t="str">
        <f>IF([1]Sheet2!DW5=999999,"NA",[1]Sheet2!DW5)</f>
        <v>NA</v>
      </c>
      <c r="DM6" s="14">
        <f>IF([1]Sheet2!DX5=999999,"NA",[1]Sheet2!DX5)</f>
        <v>362</v>
      </c>
      <c r="DN6" s="14">
        <f>IF([1]Sheet2!DY5=999999,"NA",[1]Sheet2!DY5)</f>
        <v>362</v>
      </c>
      <c r="DO6" s="14" t="str">
        <f>IF([1]Sheet2!DZ5=999999,"NA",[1]Sheet2!DZ5)</f>
        <v>NA</v>
      </c>
      <c r="DP6" s="14" t="str">
        <f>IF([1]Sheet2!EA5=999999,"NA",[1]Sheet2!EA5)</f>
        <v>NA</v>
      </c>
      <c r="DQ6" s="14">
        <f>[1]Sheet2!CX5</f>
        <v>0</v>
      </c>
      <c r="DR6" s="14">
        <f>[1]Sheet2!CY5</f>
        <v>0</v>
      </c>
      <c r="DS6" s="14">
        <f>[1]Sheet2!CZ5</f>
        <v>0</v>
      </c>
      <c r="DT6" s="14">
        <f>[1]Sheet2!DA5</f>
        <v>0</v>
      </c>
      <c r="DU6" s="14">
        <f>[1]Sheet2!DB5</f>
        <v>0</v>
      </c>
      <c r="DV6" s="14">
        <f>[1]Sheet2!DC5</f>
        <v>0</v>
      </c>
      <c r="DW6" s="14">
        <f>[1]Sheet2!DD5</f>
        <v>0</v>
      </c>
      <c r="DX6" s="14">
        <f>[1]Sheet2!DE5</f>
        <v>0</v>
      </c>
      <c r="DY6" s="14">
        <f>[1]Sheet2!DF5</f>
        <v>0</v>
      </c>
      <c r="DZ6" s="14">
        <f>[1]Sheet2!DG5</f>
        <v>0</v>
      </c>
    </row>
    <row r="7" spans="1:130" x14ac:dyDescent="0.25">
      <c r="A7" s="15">
        <v>43469</v>
      </c>
      <c r="B7" s="1"/>
      <c r="C7" s="1"/>
      <c r="D7" s="1"/>
      <c r="E7" s="14">
        <f>[1]Sheet2!N6</f>
        <v>0</v>
      </c>
      <c r="F7" s="14">
        <f>[1]Sheet2!BE6</f>
        <v>0</v>
      </c>
      <c r="G7" s="14">
        <f>[1]Sheet2!CV6</f>
        <v>271.83622828784121</v>
      </c>
      <c r="H7" s="1"/>
      <c r="I7" s="1"/>
      <c r="K7" s="16">
        <f>Demand_CWRS!B$3/31</f>
        <v>313.22137613730359</v>
      </c>
      <c r="L7" s="16">
        <f>Demand_CWRS!C$3/31</f>
        <v>241.71000827129859</v>
      </c>
      <c r="M7" s="16">
        <f>Demand_CWRS!D$3/31</f>
        <v>0</v>
      </c>
      <c r="N7" s="16">
        <f>Demand_CWRS!E$3/31</f>
        <v>98.872001654259719</v>
      </c>
      <c r="O7" s="16">
        <f>Demand_CWRS!F$3/31</f>
        <v>198.36900072373859</v>
      </c>
      <c r="P7" s="16">
        <f>Demand_CWRS!G$3/31</f>
        <v>309.67741935483872</v>
      </c>
      <c r="Q7" s="16">
        <f>Demand_CWRS!H$3/31</f>
        <v>241.71000827129859</v>
      </c>
      <c r="R7" s="16">
        <f>Demand_CWRS!I$3/31</f>
        <v>200</v>
      </c>
      <c r="S7" s="16">
        <f>Demand_CWRS!J$3/31</f>
        <v>209.67741935483872</v>
      </c>
      <c r="T7" s="16">
        <f>Demand_CWRS!K$3/31</f>
        <v>216.12903225806451</v>
      </c>
      <c r="U7" s="16">
        <f t="shared" si="3"/>
        <v>1747.1144954507854</v>
      </c>
      <c r="V7" s="16">
        <f t="shared" si="4"/>
        <v>1033.1599669148054</v>
      </c>
      <c r="W7" s="16">
        <f t="shared" si="5"/>
        <v>0</v>
      </c>
      <c r="X7" s="16">
        <f t="shared" si="6"/>
        <v>1604.511993382961</v>
      </c>
      <c r="Y7" s="16">
        <f t="shared" si="7"/>
        <v>206.52399710504554</v>
      </c>
      <c r="Z7" s="16">
        <f t="shared" si="8"/>
        <v>1761.2903225806456</v>
      </c>
      <c r="AA7" s="16">
        <f t="shared" si="9"/>
        <v>1533.1599669148054</v>
      </c>
      <c r="AB7" s="16">
        <f t="shared" si="10"/>
        <v>1200</v>
      </c>
      <c r="AC7" s="16">
        <f t="shared" si="11"/>
        <v>1261.2903225806449</v>
      </c>
      <c r="AD7" s="16">
        <f t="shared" si="12"/>
        <v>1135.4838709677424</v>
      </c>
      <c r="AE7" s="14">
        <f>IF([1]Sheet2!AJ6=999999,"NA",[1]Sheet2!AJ6)</f>
        <v>123</v>
      </c>
      <c r="AF7" s="14">
        <f>IF([1]Sheet2!AK6=999999,"NA",[1]Sheet2!AK6)</f>
        <v>54</v>
      </c>
      <c r="AG7" s="14" t="str">
        <f>IF([1]Sheet2!AL6=999999,"NA",[1]Sheet2!AL6)</f>
        <v>NA</v>
      </c>
      <c r="AH7" s="14">
        <f>IF([1]Sheet2!AM6=999999,"NA",[1]Sheet2!AM6)</f>
        <v>361</v>
      </c>
      <c r="AI7" s="14">
        <f>IF([1]Sheet2!AN6=999999,"NA",[1]Sheet2!AN6)</f>
        <v>361</v>
      </c>
      <c r="AJ7" s="14">
        <f>IF([1]Sheet2!AO6=999999,"NA",[1]Sheet2!AO6)</f>
        <v>361</v>
      </c>
      <c r="AK7" s="14">
        <f>IF([1]Sheet2!AP6=999999,"NA",[1]Sheet2!AP6)</f>
        <v>106</v>
      </c>
      <c r="AL7" s="14">
        <f>IF([1]Sheet2!AQ6=999999,"NA",[1]Sheet2!AQ6)</f>
        <v>237</v>
      </c>
      <c r="AM7" s="14">
        <f>IF([1]Sheet2!AR6=999999,"NA",[1]Sheet2!AR6)</f>
        <v>361</v>
      </c>
      <c r="AN7" s="14">
        <f>IF([1]Sheet2!AS6=999999,"NA",[1]Sheet2!AS6)</f>
        <v>293</v>
      </c>
      <c r="AO7" s="14">
        <f>[1]Sheet2!P6</f>
        <v>0</v>
      </c>
      <c r="AP7" s="14">
        <f>[1]Sheet2!Q6</f>
        <v>0</v>
      </c>
      <c r="AQ7" s="14">
        <f>[1]Sheet2!R6</f>
        <v>0</v>
      </c>
      <c r="AR7" s="14">
        <f>[1]Sheet2!S6</f>
        <v>0</v>
      </c>
      <c r="AS7" s="14">
        <f>[1]Sheet2!T6</f>
        <v>0</v>
      </c>
      <c r="AT7" s="14">
        <f>[1]Sheet2!U6</f>
        <v>0</v>
      </c>
      <c r="AU7" s="14">
        <f>[1]Sheet2!V6</f>
        <v>0</v>
      </c>
      <c r="AV7" s="14">
        <f>[1]Sheet2!W6</f>
        <v>0</v>
      </c>
      <c r="AW7" s="14">
        <f>[1]Sheet2!X6</f>
        <v>0</v>
      </c>
      <c r="AX7" s="14">
        <f>[1]Sheet2!Y6</f>
        <v>0</v>
      </c>
      <c r="AY7" s="16">
        <f>Demand_LP!B$3/31</f>
        <v>503.00172404880072</v>
      </c>
      <c r="AZ7" s="16">
        <f>Demand_LP!C$3/31</f>
        <v>792.35864350703059</v>
      </c>
      <c r="BA7" s="16">
        <f>Demand_LP!D$3/31</f>
        <v>231.20967741935488</v>
      </c>
      <c r="BB7" s="16">
        <f>Demand_LP!E$3/31</f>
        <v>696.53949545078569</v>
      </c>
      <c r="BC7" s="16">
        <f>Demand_LP!F$3/31</f>
        <v>482.27093930934655</v>
      </c>
      <c r="BD7" s="16">
        <f>Demand_LP!G$3/31</f>
        <v>516.12903225806451</v>
      </c>
      <c r="BE7" s="16">
        <f>Demand_LP!H$3/31</f>
        <v>774.19354838709683</v>
      </c>
      <c r="BF7" s="16">
        <f>Demand_LP!I$3/31</f>
        <v>451.61290322580646</v>
      </c>
      <c r="BG7" s="16">
        <f>Demand_LP!J$3/31</f>
        <v>387.09677419354841</v>
      </c>
      <c r="BH7" s="16">
        <f>Demand_LP!K$3/31</f>
        <v>419.35483870967744</v>
      </c>
      <c r="BI7" s="16" t="e">
        <f t="shared" si="13"/>
        <v>#VALUE!</v>
      </c>
      <c r="BJ7" s="16">
        <f t="shared" si="14"/>
        <v>1830.5654259718781</v>
      </c>
      <c r="BK7" s="16">
        <f t="shared" si="15"/>
        <v>1075.1612903225805</v>
      </c>
      <c r="BL7" s="16">
        <f t="shared" si="16"/>
        <v>213.84201819685745</v>
      </c>
      <c r="BM7" s="16">
        <f t="shared" si="17"/>
        <v>1070.9162427626143</v>
      </c>
      <c r="BN7" s="16">
        <f t="shared" si="18"/>
        <v>-64.516129032257936</v>
      </c>
      <c r="BO7" s="16">
        <f t="shared" si="19"/>
        <v>-96.774193548387075</v>
      </c>
      <c r="BP7" s="16">
        <f t="shared" si="20"/>
        <v>193.54838709677438</v>
      </c>
      <c r="BQ7" s="16">
        <f t="shared" si="21"/>
        <v>1451.6129032258068</v>
      </c>
      <c r="BR7" s="16">
        <f t="shared" si="22"/>
        <v>822.58064516128991</v>
      </c>
      <c r="BS7" s="14">
        <f>IF([1]Sheet2!CA6=999999,"NA",[1]Sheet2!CA6)</f>
        <v>217301.58064516133</v>
      </c>
      <c r="BT7" s="14">
        <f>IF([1]Sheet2!CB6=999999,"NA",[1]Sheet2!CB6)</f>
        <v>283</v>
      </c>
      <c r="BU7" s="14">
        <f>IF([1]Sheet2!CC6=999999,"NA",[1]Sheet2!CC6)</f>
        <v>361</v>
      </c>
      <c r="BV7" s="14">
        <f>IF([1]Sheet2!CD6=999999,"NA",[1]Sheet2!CD6)</f>
        <v>361</v>
      </c>
      <c r="BW7" s="14">
        <f>IF([1]Sheet2!CE6=999999,"NA",[1]Sheet2!CE6)</f>
        <v>323</v>
      </c>
      <c r="BX7" s="14">
        <f>IF([1]Sheet2!CF6=999999,"NA",[1]Sheet2!CF6)</f>
        <v>361</v>
      </c>
      <c r="BY7" s="14">
        <f>IF([1]Sheet2!CG6=999999,"NA",[1]Sheet2!CG6)</f>
        <v>255</v>
      </c>
      <c r="BZ7" s="14">
        <f>IF([1]Sheet2!CH6=999999,"NA",[1]Sheet2!CH6)</f>
        <v>361</v>
      </c>
      <c r="CA7" s="14">
        <f>IF([1]Sheet2!CI6=999999,"NA",[1]Sheet2!CI6)</f>
        <v>361</v>
      </c>
      <c r="CB7" s="14">
        <f>IF([1]Sheet2!CJ6=999999,"NA",[1]Sheet2!CJ6)</f>
        <v>361</v>
      </c>
      <c r="CC7" s="14">
        <f>[1]Sheet2!BG6</f>
        <v>0</v>
      </c>
      <c r="CD7" s="14">
        <f>[1]Sheet2!BH6</f>
        <v>0</v>
      </c>
      <c r="CE7" s="14">
        <f>[1]Sheet2!BI6</f>
        <v>0</v>
      </c>
      <c r="CF7" s="14">
        <f>[1]Sheet2!BJ6</f>
        <v>0</v>
      </c>
      <c r="CG7" s="14">
        <f>[1]Sheet2!BK6</f>
        <v>0</v>
      </c>
      <c r="CH7" s="14">
        <f>[1]Sheet2!BL6</f>
        <v>0</v>
      </c>
      <c r="CI7" s="14">
        <f>[1]Sheet2!BM6</f>
        <v>0</v>
      </c>
      <c r="CJ7" s="14">
        <f>[1]Sheet2!BN6</f>
        <v>0</v>
      </c>
      <c r="CK7" s="14">
        <f>[1]Sheet2!BO6</f>
        <v>0</v>
      </c>
      <c r="CL7" s="14">
        <f>[1]Sheet2!BP6</f>
        <v>0</v>
      </c>
      <c r="CM7" s="16">
        <f>Demand_SW!B$3/31</f>
        <v>139.57816377171216</v>
      </c>
      <c r="CN7" s="16">
        <f>Demand_SW!C$3/31</f>
        <v>0</v>
      </c>
      <c r="CO7" s="16">
        <f>Demand_SW!D$3/31</f>
        <v>0</v>
      </c>
      <c r="CP7" s="16">
        <f>Demand_SW!E$3/31</f>
        <v>0</v>
      </c>
      <c r="CQ7" s="16">
        <f>Demand_SW!F$3/31</f>
        <v>0</v>
      </c>
      <c r="CR7" s="16">
        <f>Demand_SW!G$3/31</f>
        <v>132.25806451612902</v>
      </c>
      <c r="CS7" s="16">
        <f>Demand_SW!H$3/31</f>
        <v>0</v>
      </c>
      <c r="CT7" s="16">
        <f>Demand_SW!I$3/31</f>
        <v>0</v>
      </c>
      <c r="CU7" s="16">
        <f>Demand_SW!J$3/31</f>
        <v>0</v>
      </c>
      <c r="CV7" s="16">
        <f>Demand_SW!K$3/31</f>
        <v>0</v>
      </c>
      <c r="CW7" s="16">
        <f t="shared" si="23"/>
        <v>50441.687344913138</v>
      </c>
      <c r="CX7" s="16">
        <f t="shared" si="24"/>
        <v>500</v>
      </c>
      <c r="CY7" s="16">
        <f t="shared" si="25"/>
        <v>0</v>
      </c>
      <c r="CZ7" s="16">
        <f t="shared" si="26"/>
        <v>0</v>
      </c>
      <c r="DA7" s="16">
        <f t="shared" si="27"/>
        <v>0</v>
      </c>
      <c r="DB7" s="16">
        <f t="shared" si="28"/>
        <v>470.9677419354839</v>
      </c>
      <c r="DC7" s="16">
        <f t="shared" si="29"/>
        <v>500</v>
      </c>
      <c r="DD7" s="16">
        <f t="shared" si="30"/>
        <v>0</v>
      </c>
      <c r="DE7" s="16">
        <f t="shared" si="31"/>
        <v>0</v>
      </c>
      <c r="DF7" s="16">
        <f t="shared" si="32"/>
        <v>0</v>
      </c>
      <c r="DG7" s="14">
        <f>IF([1]Sheet2!DR6=999999,"NA",[1]Sheet2!DR6)</f>
        <v>73103</v>
      </c>
      <c r="DH7" s="14">
        <f>IF([1]Sheet2!DS6=999999,"NA",[1]Sheet2!DS6)</f>
        <v>361</v>
      </c>
      <c r="DI7" s="14">
        <f>IF([1]Sheet2!DT6=999999,"NA",[1]Sheet2!DT6)</f>
        <v>361</v>
      </c>
      <c r="DJ7" s="14" t="str">
        <f>IF([1]Sheet2!DU6=999999,"NA",[1]Sheet2!DU6)</f>
        <v>NA</v>
      </c>
      <c r="DK7" s="14" t="str">
        <f>IF([1]Sheet2!DV6=999999,"NA",[1]Sheet2!DV6)</f>
        <v>NA</v>
      </c>
      <c r="DL7" s="14" t="str">
        <f>IF([1]Sheet2!DW6=999999,"NA",[1]Sheet2!DW6)</f>
        <v>NA</v>
      </c>
      <c r="DM7" s="14">
        <f>IF([1]Sheet2!DX6=999999,"NA",[1]Sheet2!DX6)</f>
        <v>361</v>
      </c>
      <c r="DN7" s="14">
        <f>IF([1]Sheet2!DY6=999999,"NA",[1]Sheet2!DY6)</f>
        <v>361</v>
      </c>
      <c r="DO7" s="14" t="str">
        <f>IF([1]Sheet2!DZ6=999999,"NA",[1]Sheet2!DZ6)</f>
        <v>NA</v>
      </c>
      <c r="DP7" s="14" t="str">
        <f>IF([1]Sheet2!EA6=999999,"NA",[1]Sheet2!EA6)</f>
        <v>NA</v>
      </c>
      <c r="DQ7" s="14">
        <f>[1]Sheet2!CX6</f>
        <v>0</v>
      </c>
      <c r="DR7" s="14">
        <f>[1]Sheet2!CY6</f>
        <v>0</v>
      </c>
      <c r="DS7" s="14">
        <f>[1]Sheet2!CZ6</f>
        <v>0</v>
      </c>
      <c r="DT7" s="14">
        <f>[1]Sheet2!DA6</f>
        <v>0</v>
      </c>
      <c r="DU7" s="14">
        <f>[1]Sheet2!DB6</f>
        <v>0</v>
      </c>
      <c r="DV7" s="14">
        <f>[1]Sheet2!DC6</f>
        <v>0</v>
      </c>
      <c r="DW7" s="14">
        <f>[1]Sheet2!DD6</f>
        <v>0</v>
      </c>
      <c r="DX7" s="14">
        <f>[1]Sheet2!DE6</f>
        <v>0</v>
      </c>
      <c r="DY7" s="14">
        <f>[1]Sheet2!DF6</f>
        <v>0</v>
      </c>
      <c r="DZ7" s="14">
        <f>[1]Sheet2!DG6</f>
        <v>0</v>
      </c>
    </row>
    <row r="8" spans="1:130" x14ac:dyDescent="0.25">
      <c r="A8" s="15">
        <v>43470</v>
      </c>
      <c r="B8" s="1"/>
      <c r="C8" s="1"/>
      <c r="D8" s="1"/>
      <c r="E8" s="14">
        <f>[1]Sheet2!N7</f>
        <v>0</v>
      </c>
      <c r="F8" s="14">
        <f>[1]Sheet2!BE7</f>
        <v>0</v>
      </c>
      <c r="G8" s="14">
        <f>[1]Sheet2!CV7</f>
        <v>271.83622828784121</v>
      </c>
      <c r="H8" s="1"/>
      <c r="I8" s="1"/>
      <c r="J8" s="1"/>
      <c r="K8" s="16">
        <f>Demand_CWRS!B$3/31</f>
        <v>313.22137613730359</v>
      </c>
      <c r="L8" s="16">
        <f>Demand_CWRS!C$3/31</f>
        <v>241.71000827129859</v>
      </c>
      <c r="M8" s="16">
        <f>Demand_CWRS!D$3/31</f>
        <v>0</v>
      </c>
      <c r="N8" s="16">
        <f>Demand_CWRS!E$3/31</f>
        <v>98.872001654259719</v>
      </c>
      <c r="O8" s="16">
        <f>Demand_CWRS!F$3/31</f>
        <v>198.36900072373859</v>
      </c>
      <c r="P8" s="16">
        <f>Demand_CWRS!G$3/31</f>
        <v>309.67741935483872</v>
      </c>
      <c r="Q8" s="16">
        <f>Demand_CWRS!H$3/31</f>
        <v>241.71000827129859</v>
      </c>
      <c r="R8" s="16">
        <f>Demand_CWRS!I$3/31</f>
        <v>200</v>
      </c>
      <c r="S8" s="16">
        <f>Demand_CWRS!J$3/31</f>
        <v>209.67741935483872</v>
      </c>
      <c r="T8" s="16">
        <f>Demand_CWRS!K$3/31</f>
        <v>216.12903225806451</v>
      </c>
      <c r="U8" s="16">
        <f t="shared" si="3"/>
        <v>1433.8931193134817</v>
      </c>
      <c r="V8" s="16">
        <f t="shared" si="4"/>
        <v>791.44995864350676</v>
      </c>
      <c r="W8" s="16">
        <f t="shared" si="5"/>
        <v>0</v>
      </c>
      <c r="X8" s="16">
        <f t="shared" si="6"/>
        <v>1505.6399917287013</v>
      </c>
      <c r="Y8" s="16">
        <f t="shared" si="7"/>
        <v>8.1549963813069439</v>
      </c>
      <c r="Z8" s="16">
        <f t="shared" si="8"/>
        <v>1451.6129032258068</v>
      </c>
      <c r="AA8" s="16">
        <f t="shared" si="9"/>
        <v>1291.4499586435068</v>
      </c>
      <c r="AB8" s="16">
        <f t="shared" si="10"/>
        <v>1000</v>
      </c>
      <c r="AC8" s="16">
        <f t="shared" si="11"/>
        <v>1051.6129032258061</v>
      </c>
      <c r="AD8" s="16">
        <f t="shared" si="12"/>
        <v>919.35483870967789</v>
      </c>
      <c r="AE8" s="14">
        <f>IF([1]Sheet2!AJ7=999999,"NA",[1]Sheet2!AJ7)</f>
        <v>122</v>
      </c>
      <c r="AF8" s="14">
        <f>IF([1]Sheet2!AK7=999999,"NA",[1]Sheet2!AK7)</f>
        <v>53</v>
      </c>
      <c r="AG8" s="14" t="str">
        <f>IF([1]Sheet2!AL7=999999,"NA",[1]Sheet2!AL7)</f>
        <v>NA</v>
      </c>
      <c r="AH8" s="14">
        <f>IF([1]Sheet2!AM7=999999,"NA",[1]Sheet2!AM7)</f>
        <v>360</v>
      </c>
      <c r="AI8" s="14">
        <f>IF([1]Sheet2!AN7=999999,"NA",[1]Sheet2!AN7)</f>
        <v>360</v>
      </c>
      <c r="AJ8" s="14">
        <f>IF([1]Sheet2!AO7=999999,"NA",[1]Sheet2!AO7)</f>
        <v>360</v>
      </c>
      <c r="AK8" s="14">
        <f>IF([1]Sheet2!AP7=999999,"NA",[1]Sheet2!AP7)</f>
        <v>105</v>
      </c>
      <c r="AL8" s="14">
        <f>IF([1]Sheet2!AQ7=999999,"NA",[1]Sheet2!AQ7)</f>
        <v>236</v>
      </c>
      <c r="AM8" s="14">
        <f>IF([1]Sheet2!AR7=999999,"NA",[1]Sheet2!AR7)</f>
        <v>360</v>
      </c>
      <c r="AN8" s="14">
        <f>IF([1]Sheet2!AS7=999999,"NA",[1]Sheet2!AS7)</f>
        <v>292</v>
      </c>
      <c r="AO8" s="14">
        <f>[1]Sheet2!P7</f>
        <v>0</v>
      </c>
      <c r="AP8" s="14">
        <f>[1]Sheet2!Q7</f>
        <v>0</v>
      </c>
      <c r="AQ8" s="14">
        <f>[1]Sheet2!R7</f>
        <v>0</v>
      </c>
      <c r="AR8" s="14">
        <f>[1]Sheet2!S7</f>
        <v>0</v>
      </c>
      <c r="AS8" s="14">
        <f>[1]Sheet2!T7</f>
        <v>0</v>
      </c>
      <c r="AT8" s="14">
        <f>[1]Sheet2!U7</f>
        <v>0</v>
      </c>
      <c r="AU8" s="14">
        <f>[1]Sheet2!V7</f>
        <v>0</v>
      </c>
      <c r="AV8" s="14">
        <f>[1]Sheet2!W7</f>
        <v>0</v>
      </c>
      <c r="AW8" s="14">
        <f>[1]Sheet2!X7</f>
        <v>0</v>
      </c>
      <c r="AX8" s="14">
        <f>[1]Sheet2!Y7</f>
        <v>0</v>
      </c>
      <c r="AY8" s="16">
        <f>Demand_LP!B$3/31</f>
        <v>503.00172404880072</v>
      </c>
      <c r="AZ8" s="16">
        <f>Demand_LP!C$3/31</f>
        <v>792.35864350703059</v>
      </c>
      <c r="BA8" s="16">
        <f>Demand_LP!D$3/31</f>
        <v>231.20967741935488</v>
      </c>
      <c r="BB8" s="16">
        <f>Demand_LP!E$3/31</f>
        <v>696.53949545078569</v>
      </c>
      <c r="BC8" s="16">
        <f>Demand_LP!F$3/31</f>
        <v>482.27093930934655</v>
      </c>
      <c r="BD8" s="16">
        <f>Demand_LP!G$3/31</f>
        <v>516.12903225806451</v>
      </c>
      <c r="BE8" s="16">
        <f>Demand_LP!H$3/31</f>
        <v>774.19354838709683</v>
      </c>
      <c r="BF8" s="16">
        <f>Demand_LP!I$3/31</f>
        <v>451.61290322580646</v>
      </c>
      <c r="BG8" s="16">
        <f>Demand_LP!J$3/31</f>
        <v>387.09677419354841</v>
      </c>
      <c r="BH8" s="16">
        <f>Demand_LP!K$3/31</f>
        <v>419.35483870967744</v>
      </c>
      <c r="BI8" s="16" t="e">
        <f t="shared" si="13"/>
        <v>#VALUE!</v>
      </c>
      <c r="BJ8" s="16">
        <f t="shared" si="14"/>
        <v>1038.2067824648475</v>
      </c>
      <c r="BK8" s="16">
        <f t="shared" si="15"/>
        <v>843.95161290322562</v>
      </c>
      <c r="BL8" s="16">
        <f t="shared" si="16"/>
        <v>-482.69747725392824</v>
      </c>
      <c r="BM8" s="16">
        <f t="shared" si="17"/>
        <v>588.64530345326773</v>
      </c>
      <c r="BN8" s="16">
        <f t="shared" si="18"/>
        <v>-580.64516129032245</v>
      </c>
      <c r="BO8" s="16">
        <f t="shared" si="19"/>
        <v>-870.9677419354839</v>
      </c>
      <c r="BP8" s="16">
        <f t="shared" si="20"/>
        <v>-258.06451612903209</v>
      </c>
      <c r="BQ8" s="16">
        <f t="shared" si="21"/>
        <v>1064.5161290322585</v>
      </c>
      <c r="BR8" s="16">
        <f t="shared" si="22"/>
        <v>403.22580645161247</v>
      </c>
      <c r="BS8" s="14">
        <f>IF([1]Sheet2!CA7=999999,"NA",[1]Sheet2!CA7)</f>
        <v>216882.22580645166</v>
      </c>
      <c r="BT8" s="14">
        <f>IF([1]Sheet2!CB7=999999,"NA",[1]Sheet2!CB7)</f>
        <v>282</v>
      </c>
      <c r="BU8" s="14">
        <f>IF([1]Sheet2!CC7=999999,"NA",[1]Sheet2!CC7)</f>
        <v>360</v>
      </c>
      <c r="BV8" s="14">
        <f>IF([1]Sheet2!CD7=999999,"NA",[1]Sheet2!CD7)</f>
        <v>360</v>
      </c>
      <c r="BW8" s="14">
        <f>IF([1]Sheet2!CE7=999999,"NA",[1]Sheet2!CE7)</f>
        <v>322</v>
      </c>
      <c r="BX8" s="14">
        <f>IF([1]Sheet2!CF7=999999,"NA",[1]Sheet2!CF7)</f>
        <v>360</v>
      </c>
      <c r="BY8" s="14">
        <f>IF([1]Sheet2!CG7=999999,"NA",[1]Sheet2!CG7)</f>
        <v>254</v>
      </c>
      <c r="BZ8" s="14">
        <f>IF([1]Sheet2!CH7=999999,"NA",[1]Sheet2!CH7)</f>
        <v>360</v>
      </c>
      <c r="CA8" s="14">
        <f>IF([1]Sheet2!CI7=999999,"NA",[1]Sheet2!CI7)</f>
        <v>360</v>
      </c>
      <c r="CB8" s="14">
        <f>IF([1]Sheet2!CJ7=999999,"NA",[1]Sheet2!CJ7)</f>
        <v>360</v>
      </c>
      <c r="CC8" s="14">
        <f>[1]Sheet2!BG7</f>
        <v>0</v>
      </c>
      <c r="CD8" s="14">
        <f>[1]Sheet2!BH7</f>
        <v>0</v>
      </c>
      <c r="CE8" s="14">
        <f>[1]Sheet2!BI7</f>
        <v>0</v>
      </c>
      <c r="CF8" s="14">
        <f>[1]Sheet2!BJ7</f>
        <v>0</v>
      </c>
      <c r="CG8" s="14">
        <f>[1]Sheet2!BK7</f>
        <v>0</v>
      </c>
      <c r="CH8" s="14">
        <f>[1]Sheet2!BL7</f>
        <v>0</v>
      </c>
      <c r="CI8" s="14">
        <f>[1]Sheet2!BM7</f>
        <v>0</v>
      </c>
      <c r="CJ8" s="14">
        <f>[1]Sheet2!BN7</f>
        <v>0</v>
      </c>
      <c r="CK8" s="14">
        <f>[1]Sheet2!BO7</f>
        <v>0</v>
      </c>
      <c r="CL8" s="14">
        <f>[1]Sheet2!BP7</f>
        <v>0</v>
      </c>
      <c r="CM8" s="16">
        <f>Demand_SW!B$3/31</f>
        <v>139.57816377171216</v>
      </c>
      <c r="CN8" s="16">
        <f>Demand_SW!C$3/31</f>
        <v>0</v>
      </c>
      <c r="CO8" s="16">
        <f>Demand_SW!D$3/31</f>
        <v>0</v>
      </c>
      <c r="CP8" s="16">
        <f>Demand_SW!E$3/31</f>
        <v>0</v>
      </c>
      <c r="CQ8" s="16">
        <f>Demand_SW!F$3/31</f>
        <v>0</v>
      </c>
      <c r="CR8" s="16">
        <f>Demand_SW!G$3/31</f>
        <v>132.25806451612902</v>
      </c>
      <c r="CS8" s="16">
        <f>Demand_SW!H$3/31</f>
        <v>0</v>
      </c>
      <c r="CT8" s="16">
        <f>Demand_SW!I$3/31</f>
        <v>0</v>
      </c>
      <c r="CU8" s="16">
        <f>Demand_SW!J$3/31</f>
        <v>0</v>
      </c>
      <c r="CV8" s="16">
        <f>Demand_SW!K$3/31</f>
        <v>0</v>
      </c>
      <c r="CW8" s="16">
        <f t="shared" si="23"/>
        <v>50302.109181141423</v>
      </c>
      <c r="CX8" s="16">
        <f t="shared" si="24"/>
        <v>500</v>
      </c>
      <c r="CY8" s="16">
        <f t="shared" si="25"/>
        <v>0</v>
      </c>
      <c r="CZ8" s="16">
        <f t="shared" si="26"/>
        <v>0</v>
      </c>
      <c r="DA8" s="16">
        <f t="shared" si="27"/>
        <v>0</v>
      </c>
      <c r="DB8" s="16">
        <f t="shared" si="28"/>
        <v>338.70967741935488</v>
      </c>
      <c r="DC8" s="16">
        <f t="shared" si="29"/>
        <v>500</v>
      </c>
      <c r="DD8" s="16">
        <f t="shared" si="30"/>
        <v>0</v>
      </c>
      <c r="DE8" s="16">
        <f t="shared" si="31"/>
        <v>0</v>
      </c>
      <c r="DF8" s="16">
        <f t="shared" si="32"/>
        <v>0</v>
      </c>
      <c r="DG8" s="14">
        <f>IF([1]Sheet2!DR7=999999,"NA",[1]Sheet2!DR7)</f>
        <v>73103</v>
      </c>
      <c r="DH8" s="14">
        <f>IF([1]Sheet2!DS7=999999,"NA",[1]Sheet2!DS7)</f>
        <v>360</v>
      </c>
      <c r="DI8" s="14">
        <f>IF([1]Sheet2!DT7=999999,"NA",[1]Sheet2!DT7)</f>
        <v>360</v>
      </c>
      <c r="DJ8" s="14" t="str">
        <f>IF([1]Sheet2!DU7=999999,"NA",[1]Sheet2!DU7)</f>
        <v>NA</v>
      </c>
      <c r="DK8" s="14" t="str">
        <f>IF([1]Sheet2!DV7=999999,"NA",[1]Sheet2!DV7)</f>
        <v>NA</v>
      </c>
      <c r="DL8" s="14" t="str">
        <f>IF([1]Sheet2!DW7=999999,"NA",[1]Sheet2!DW7)</f>
        <v>NA</v>
      </c>
      <c r="DM8" s="14">
        <f>IF([1]Sheet2!DX7=999999,"NA",[1]Sheet2!DX7)</f>
        <v>360</v>
      </c>
      <c r="DN8" s="14">
        <f>IF([1]Sheet2!DY7=999999,"NA",[1]Sheet2!DY7)</f>
        <v>360</v>
      </c>
      <c r="DO8" s="14" t="str">
        <f>IF([1]Sheet2!DZ7=999999,"NA",[1]Sheet2!DZ7)</f>
        <v>NA</v>
      </c>
      <c r="DP8" s="14" t="str">
        <f>IF([1]Sheet2!EA7=999999,"NA",[1]Sheet2!EA7)</f>
        <v>NA</v>
      </c>
      <c r="DQ8" s="14">
        <f>[1]Sheet2!CX7</f>
        <v>0</v>
      </c>
      <c r="DR8" s="14">
        <f>[1]Sheet2!CY7</f>
        <v>0</v>
      </c>
      <c r="DS8" s="14">
        <f>[1]Sheet2!CZ7</f>
        <v>0</v>
      </c>
      <c r="DT8" s="14">
        <f>[1]Sheet2!DA7</f>
        <v>0</v>
      </c>
      <c r="DU8" s="14">
        <f>[1]Sheet2!DB7</f>
        <v>0</v>
      </c>
      <c r="DV8" s="14">
        <f>[1]Sheet2!DC7</f>
        <v>0</v>
      </c>
      <c r="DW8" s="14">
        <f>[1]Sheet2!DD7</f>
        <v>0</v>
      </c>
      <c r="DX8" s="14">
        <f>[1]Sheet2!DE7</f>
        <v>0</v>
      </c>
      <c r="DY8" s="14">
        <f>[1]Sheet2!DF7</f>
        <v>0</v>
      </c>
      <c r="DZ8" s="14">
        <f>[1]Sheet2!DG7</f>
        <v>0</v>
      </c>
    </row>
    <row r="9" spans="1:130" x14ac:dyDescent="0.25">
      <c r="A9" s="15">
        <v>43471</v>
      </c>
      <c r="B9" s="1"/>
      <c r="C9" s="1"/>
      <c r="D9" s="1"/>
      <c r="E9" s="14">
        <f>[1]Sheet2!N8</f>
        <v>0</v>
      </c>
      <c r="F9" s="14">
        <f>[1]Sheet2!BE8</f>
        <v>0</v>
      </c>
      <c r="G9" s="14">
        <f>[1]Sheet2!CV8</f>
        <v>271.83622828784121</v>
      </c>
      <c r="H9" s="1"/>
      <c r="I9" s="1"/>
      <c r="J9" s="1"/>
      <c r="K9" s="16">
        <f>Demand_CWRS!B$3/31</f>
        <v>313.22137613730359</v>
      </c>
      <c r="L9" s="16">
        <f>Demand_CWRS!C$3/31</f>
        <v>241.71000827129859</v>
      </c>
      <c r="M9" s="16">
        <f>Demand_CWRS!D$3/31</f>
        <v>0</v>
      </c>
      <c r="N9" s="16">
        <f>Demand_CWRS!E$3/31</f>
        <v>98.872001654259719</v>
      </c>
      <c r="O9" s="16">
        <f>Demand_CWRS!F$3/31</f>
        <v>198.36900072373859</v>
      </c>
      <c r="P9" s="16">
        <f>Demand_CWRS!G$3/31</f>
        <v>309.67741935483872</v>
      </c>
      <c r="Q9" s="16">
        <f>Demand_CWRS!H$3/31</f>
        <v>241.71000827129859</v>
      </c>
      <c r="R9" s="16">
        <f>Demand_CWRS!I$3/31</f>
        <v>200</v>
      </c>
      <c r="S9" s="16">
        <f>Demand_CWRS!J$3/31</f>
        <v>209.67741935483872</v>
      </c>
      <c r="T9" s="16">
        <f>Demand_CWRS!K$3/31</f>
        <v>216.12903225806451</v>
      </c>
      <c r="U9" s="16">
        <f t="shared" si="3"/>
        <v>1120.6717431761781</v>
      </c>
      <c r="V9" s="16">
        <f t="shared" si="4"/>
        <v>549.73995037220811</v>
      </c>
      <c r="W9" s="16">
        <f t="shared" si="5"/>
        <v>0</v>
      </c>
      <c r="X9" s="16">
        <f t="shared" si="6"/>
        <v>1406.7679900744415</v>
      </c>
      <c r="Y9" s="16">
        <f t="shared" si="7"/>
        <v>-190.21400434243165</v>
      </c>
      <c r="Z9" s="16">
        <f t="shared" si="8"/>
        <v>1141.935483870968</v>
      </c>
      <c r="AA9" s="16">
        <f t="shared" si="9"/>
        <v>1049.7399503722081</v>
      </c>
      <c r="AB9" s="16">
        <f t="shared" si="10"/>
        <v>800</v>
      </c>
      <c r="AC9" s="16">
        <f t="shared" si="11"/>
        <v>841.93548387096735</v>
      </c>
      <c r="AD9" s="16">
        <f t="shared" si="12"/>
        <v>703.22580645161338</v>
      </c>
      <c r="AE9" s="14">
        <f>IF([1]Sheet2!AJ8=999999,"NA",[1]Sheet2!AJ8)</f>
        <v>121</v>
      </c>
      <c r="AF9" s="14">
        <f>IF([1]Sheet2!AK8=999999,"NA",[1]Sheet2!AK8)</f>
        <v>52</v>
      </c>
      <c r="AG9" s="14" t="str">
        <f>IF([1]Sheet2!AL8=999999,"NA",[1]Sheet2!AL8)</f>
        <v>NA</v>
      </c>
      <c r="AH9" s="14">
        <f>IF([1]Sheet2!AM8=999999,"NA",[1]Sheet2!AM8)</f>
        <v>359</v>
      </c>
      <c r="AI9" s="14">
        <f>IF([1]Sheet2!AN8=999999,"NA",[1]Sheet2!AN8)</f>
        <v>359</v>
      </c>
      <c r="AJ9" s="14">
        <f>IF([1]Sheet2!AO8=999999,"NA",[1]Sheet2!AO8)</f>
        <v>359</v>
      </c>
      <c r="AK9" s="14">
        <f>IF([1]Sheet2!AP8=999999,"NA",[1]Sheet2!AP8)</f>
        <v>104</v>
      </c>
      <c r="AL9" s="14">
        <f>IF([1]Sheet2!AQ8=999999,"NA",[1]Sheet2!AQ8)</f>
        <v>235</v>
      </c>
      <c r="AM9" s="14">
        <f>IF([1]Sheet2!AR8=999999,"NA",[1]Sheet2!AR8)</f>
        <v>359</v>
      </c>
      <c r="AN9" s="14">
        <f>IF([1]Sheet2!AS8=999999,"NA",[1]Sheet2!AS8)</f>
        <v>291</v>
      </c>
      <c r="AO9" s="14">
        <f>[1]Sheet2!P8</f>
        <v>0</v>
      </c>
      <c r="AP9" s="14">
        <f>[1]Sheet2!Q8</f>
        <v>0</v>
      </c>
      <c r="AQ9" s="14">
        <f>[1]Sheet2!R8</f>
        <v>0</v>
      </c>
      <c r="AR9" s="14">
        <f>[1]Sheet2!S8</f>
        <v>0</v>
      </c>
      <c r="AS9" s="14">
        <f>[1]Sheet2!T8</f>
        <v>0</v>
      </c>
      <c r="AT9" s="14">
        <f>[1]Sheet2!U8</f>
        <v>0</v>
      </c>
      <c r="AU9" s="14">
        <f>[1]Sheet2!V8</f>
        <v>0</v>
      </c>
      <c r="AV9" s="14">
        <f>[1]Sheet2!W8</f>
        <v>0</v>
      </c>
      <c r="AW9" s="14">
        <f>[1]Sheet2!X8</f>
        <v>0</v>
      </c>
      <c r="AX9" s="14">
        <f>[1]Sheet2!Y8</f>
        <v>0</v>
      </c>
      <c r="AY9" s="16">
        <f>Demand_LP!B$3/31</f>
        <v>503.00172404880072</v>
      </c>
      <c r="AZ9" s="16">
        <f>Demand_LP!C$3/31</f>
        <v>792.35864350703059</v>
      </c>
      <c r="BA9" s="16">
        <f>Demand_LP!D$3/31</f>
        <v>231.20967741935488</v>
      </c>
      <c r="BB9" s="16">
        <f>Demand_LP!E$3/31</f>
        <v>696.53949545078569</v>
      </c>
      <c r="BC9" s="16">
        <f>Demand_LP!F$3/31</f>
        <v>482.27093930934655</v>
      </c>
      <c r="BD9" s="16">
        <f>Demand_LP!G$3/31</f>
        <v>516.12903225806451</v>
      </c>
      <c r="BE9" s="16">
        <f>Demand_LP!H$3/31</f>
        <v>774.19354838709683</v>
      </c>
      <c r="BF9" s="16">
        <f>Demand_LP!I$3/31</f>
        <v>451.61290322580646</v>
      </c>
      <c r="BG9" s="16">
        <f>Demand_LP!J$3/31</f>
        <v>387.09677419354841</v>
      </c>
      <c r="BH9" s="16">
        <f>Demand_LP!K$3/31</f>
        <v>419.35483870967744</v>
      </c>
      <c r="BI9" s="16" t="e">
        <f t="shared" si="13"/>
        <v>#VALUE!</v>
      </c>
      <c r="BJ9" s="16">
        <f t="shared" si="14"/>
        <v>245.8481389578169</v>
      </c>
      <c r="BK9" s="16">
        <f t="shared" si="15"/>
        <v>612.74193548387075</v>
      </c>
      <c r="BL9" s="16">
        <f t="shared" si="16"/>
        <v>-1179.2369727047139</v>
      </c>
      <c r="BM9" s="16">
        <f t="shared" si="17"/>
        <v>106.37436414392118</v>
      </c>
      <c r="BN9" s="16">
        <f t="shared" si="18"/>
        <v>-1096.7741935483868</v>
      </c>
      <c r="BO9" s="16">
        <f t="shared" si="19"/>
        <v>-1645.1612903225807</v>
      </c>
      <c r="BP9" s="16">
        <f t="shared" si="20"/>
        <v>-709.67741935483855</v>
      </c>
      <c r="BQ9" s="16">
        <f t="shared" si="21"/>
        <v>677.41935483871009</v>
      </c>
      <c r="BR9" s="16">
        <f t="shared" si="22"/>
        <v>-16.129032258064967</v>
      </c>
      <c r="BS9" s="14">
        <f>IF([1]Sheet2!CA8=999999,"NA",[1]Sheet2!CA8)</f>
        <v>216462.870967742</v>
      </c>
      <c r="BT9" s="14">
        <f>IF([1]Sheet2!CB8=999999,"NA",[1]Sheet2!CB8)</f>
        <v>281</v>
      </c>
      <c r="BU9" s="14">
        <f>IF([1]Sheet2!CC8=999999,"NA",[1]Sheet2!CC8)</f>
        <v>359</v>
      </c>
      <c r="BV9" s="14">
        <f>IF([1]Sheet2!CD8=999999,"NA",[1]Sheet2!CD8)</f>
        <v>359</v>
      </c>
      <c r="BW9" s="14">
        <f>IF([1]Sheet2!CE8=999999,"NA",[1]Sheet2!CE8)</f>
        <v>321</v>
      </c>
      <c r="BX9" s="14">
        <f>IF([1]Sheet2!CF8=999999,"NA",[1]Sheet2!CF8)</f>
        <v>359</v>
      </c>
      <c r="BY9" s="14">
        <f>IF([1]Sheet2!CG8=999999,"NA",[1]Sheet2!CG8)</f>
        <v>253</v>
      </c>
      <c r="BZ9" s="14">
        <f>IF([1]Sheet2!CH8=999999,"NA",[1]Sheet2!CH8)</f>
        <v>359</v>
      </c>
      <c r="CA9" s="14">
        <f>IF([1]Sheet2!CI8=999999,"NA",[1]Sheet2!CI8)</f>
        <v>359</v>
      </c>
      <c r="CB9" s="14">
        <f>IF([1]Sheet2!CJ8=999999,"NA",[1]Sheet2!CJ8)</f>
        <v>359</v>
      </c>
      <c r="CC9" s="14">
        <f>[1]Sheet2!BG8</f>
        <v>0</v>
      </c>
      <c r="CD9" s="14">
        <f>[1]Sheet2!BH8</f>
        <v>0</v>
      </c>
      <c r="CE9" s="14">
        <f>[1]Sheet2!BI8</f>
        <v>0</v>
      </c>
      <c r="CF9" s="14">
        <f>[1]Sheet2!BJ8</f>
        <v>0</v>
      </c>
      <c r="CG9" s="14">
        <f>[1]Sheet2!BK8</f>
        <v>0</v>
      </c>
      <c r="CH9" s="14">
        <f>[1]Sheet2!BL8</f>
        <v>0</v>
      </c>
      <c r="CI9" s="14">
        <f>[1]Sheet2!BM8</f>
        <v>0</v>
      </c>
      <c r="CJ9" s="14">
        <f>[1]Sheet2!BN8</f>
        <v>0</v>
      </c>
      <c r="CK9" s="14">
        <f>[1]Sheet2!BO8</f>
        <v>0</v>
      </c>
      <c r="CL9" s="14">
        <f>[1]Sheet2!BP8</f>
        <v>0</v>
      </c>
      <c r="CM9" s="16">
        <f>Demand_SW!B$3/31</f>
        <v>139.57816377171216</v>
      </c>
      <c r="CN9" s="16">
        <f>Demand_SW!C$3/31</f>
        <v>0</v>
      </c>
      <c r="CO9" s="16">
        <f>Demand_SW!D$3/31</f>
        <v>0</v>
      </c>
      <c r="CP9" s="16">
        <f>Demand_SW!E$3/31</f>
        <v>0</v>
      </c>
      <c r="CQ9" s="16">
        <f>Demand_SW!F$3/31</f>
        <v>0</v>
      </c>
      <c r="CR9" s="16">
        <f>Demand_SW!G$3/31</f>
        <v>132.25806451612902</v>
      </c>
      <c r="CS9" s="16">
        <f>Demand_SW!H$3/31</f>
        <v>0</v>
      </c>
      <c r="CT9" s="16">
        <f>Demand_SW!I$3/31</f>
        <v>0</v>
      </c>
      <c r="CU9" s="16">
        <f>Demand_SW!J$3/31</f>
        <v>0</v>
      </c>
      <c r="CV9" s="16">
        <f>Demand_SW!K$3/31</f>
        <v>0</v>
      </c>
      <c r="CW9" s="16">
        <f t="shared" si="23"/>
        <v>50162.531017369707</v>
      </c>
      <c r="CX9" s="16">
        <f t="shared" si="24"/>
        <v>500</v>
      </c>
      <c r="CY9" s="16">
        <f t="shared" si="25"/>
        <v>0</v>
      </c>
      <c r="CZ9" s="16">
        <f t="shared" si="26"/>
        <v>0</v>
      </c>
      <c r="DA9" s="16">
        <f t="shared" si="27"/>
        <v>0</v>
      </c>
      <c r="DB9" s="16">
        <f t="shared" si="28"/>
        <v>206.45161290322585</v>
      </c>
      <c r="DC9" s="16">
        <f t="shared" si="29"/>
        <v>500</v>
      </c>
      <c r="DD9" s="16">
        <f t="shared" si="30"/>
        <v>0</v>
      </c>
      <c r="DE9" s="16">
        <f t="shared" si="31"/>
        <v>0</v>
      </c>
      <c r="DF9" s="16">
        <f t="shared" si="32"/>
        <v>0</v>
      </c>
      <c r="DG9" s="14">
        <f>IF([1]Sheet2!DR8=999999,"NA",[1]Sheet2!DR8)</f>
        <v>73103</v>
      </c>
      <c r="DH9" s="14">
        <f>IF([1]Sheet2!DS8=999999,"NA",[1]Sheet2!DS8)</f>
        <v>359</v>
      </c>
      <c r="DI9" s="14">
        <f>IF([1]Sheet2!DT8=999999,"NA",[1]Sheet2!DT8)</f>
        <v>359</v>
      </c>
      <c r="DJ9" s="14" t="str">
        <f>IF([1]Sheet2!DU8=999999,"NA",[1]Sheet2!DU8)</f>
        <v>NA</v>
      </c>
      <c r="DK9" s="14" t="str">
        <f>IF([1]Sheet2!DV8=999999,"NA",[1]Sheet2!DV8)</f>
        <v>NA</v>
      </c>
      <c r="DL9" s="14" t="str">
        <f>IF([1]Sheet2!DW8=999999,"NA",[1]Sheet2!DW8)</f>
        <v>NA</v>
      </c>
      <c r="DM9" s="14">
        <f>IF([1]Sheet2!DX8=999999,"NA",[1]Sheet2!DX8)</f>
        <v>359</v>
      </c>
      <c r="DN9" s="14">
        <f>IF([1]Sheet2!DY8=999999,"NA",[1]Sheet2!DY8)</f>
        <v>359</v>
      </c>
      <c r="DO9" s="14" t="str">
        <f>IF([1]Sheet2!DZ8=999999,"NA",[1]Sheet2!DZ8)</f>
        <v>NA</v>
      </c>
      <c r="DP9" s="14" t="str">
        <f>IF([1]Sheet2!EA8=999999,"NA",[1]Sheet2!EA8)</f>
        <v>NA</v>
      </c>
      <c r="DQ9" s="14">
        <f>[1]Sheet2!CX8</f>
        <v>0</v>
      </c>
      <c r="DR9" s="14">
        <f>[1]Sheet2!CY8</f>
        <v>0</v>
      </c>
      <c r="DS9" s="14">
        <f>[1]Sheet2!CZ8</f>
        <v>0</v>
      </c>
      <c r="DT9" s="14">
        <f>[1]Sheet2!DA8</f>
        <v>0</v>
      </c>
      <c r="DU9" s="14">
        <f>[1]Sheet2!DB8</f>
        <v>0</v>
      </c>
      <c r="DV9" s="14">
        <f>[1]Sheet2!DC8</f>
        <v>0</v>
      </c>
      <c r="DW9" s="14">
        <f>[1]Sheet2!DD8</f>
        <v>0</v>
      </c>
      <c r="DX9" s="14">
        <f>[1]Sheet2!DE8</f>
        <v>0</v>
      </c>
      <c r="DY9" s="14">
        <f>[1]Sheet2!DF8</f>
        <v>0</v>
      </c>
      <c r="DZ9" s="14">
        <f>[1]Sheet2!DG8</f>
        <v>0</v>
      </c>
    </row>
    <row r="10" spans="1:130" x14ac:dyDescent="0.25">
      <c r="A10" s="15">
        <v>43472</v>
      </c>
      <c r="B10" s="1"/>
      <c r="C10" s="1"/>
      <c r="D10" s="1"/>
      <c r="E10" s="14">
        <f>[1]Sheet2!N9</f>
        <v>0</v>
      </c>
      <c r="F10" s="14">
        <f>[1]Sheet2!BE9</f>
        <v>0</v>
      </c>
      <c r="G10" s="14">
        <f>[1]Sheet2!CV9</f>
        <v>271.83622828784121</v>
      </c>
      <c r="H10" s="1"/>
      <c r="I10" s="1"/>
      <c r="J10" s="1"/>
      <c r="K10" s="16">
        <f>Demand_CWRS!B$3/31</f>
        <v>313.22137613730359</v>
      </c>
      <c r="L10" s="16">
        <f>Demand_CWRS!C$3/31</f>
        <v>241.71000827129859</v>
      </c>
      <c r="M10" s="16">
        <f>Demand_CWRS!D$3/31</f>
        <v>0</v>
      </c>
      <c r="N10" s="16">
        <f>Demand_CWRS!E$3/31</f>
        <v>98.872001654259719</v>
      </c>
      <c r="O10" s="16">
        <f>Demand_CWRS!F$3/31</f>
        <v>198.36900072373859</v>
      </c>
      <c r="P10" s="16">
        <f>Demand_CWRS!G$3/31</f>
        <v>309.67741935483872</v>
      </c>
      <c r="Q10" s="16">
        <f>Demand_CWRS!H$3/31</f>
        <v>241.71000827129859</v>
      </c>
      <c r="R10" s="16">
        <f>Demand_CWRS!I$3/31</f>
        <v>200</v>
      </c>
      <c r="S10" s="16">
        <f>Demand_CWRS!J$3/31</f>
        <v>209.67741935483872</v>
      </c>
      <c r="T10" s="16">
        <f>Demand_CWRS!K$3/31</f>
        <v>216.12903225806451</v>
      </c>
      <c r="U10" s="16">
        <f t="shared" si="3"/>
        <v>807.45036703887445</v>
      </c>
      <c r="V10" s="16">
        <f t="shared" si="4"/>
        <v>308.02994210090952</v>
      </c>
      <c r="W10" s="16">
        <f t="shared" si="5"/>
        <v>0</v>
      </c>
      <c r="X10" s="16">
        <f t="shared" si="6"/>
        <v>1307.8959884201818</v>
      </c>
      <c r="Y10" s="16">
        <f t="shared" si="7"/>
        <v>-388.58300506617024</v>
      </c>
      <c r="Z10" s="16">
        <f t="shared" si="8"/>
        <v>832.25806451612925</v>
      </c>
      <c r="AA10" s="16">
        <f t="shared" si="9"/>
        <v>808.02994210090947</v>
      </c>
      <c r="AB10" s="16">
        <f t="shared" si="10"/>
        <v>600</v>
      </c>
      <c r="AC10" s="16">
        <f t="shared" si="11"/>
        <v>632.25806451612857</v>
      </c>
      <c r="AD10" s="16">
        <f t="shared" si="12"/>
        <v>487.09677419354887</v>
      </c>
      <c r="AE10" s="14">
        <f>IF([1]Sheet2!AJ9=999999,"NA",[1]Sheet2!AJ9)</f>
        <v>120</v>
      </c>
      <c r="AF10" s="14">
        <f>IF([1]Sheet2!AK9=999999,"NA",[1]Sheet2!AK9)</f>
        <v>51</v>
      </c>
      <c r="AG10" s="14" t="str">
        <f>IF([1]Sheet2!AL9=999999,"NA",[1]Sheet2!AL9)</f>
        <v>NA</v>
      </c>
      <c r="AH10" s="14">
        <f>IF([1]Sheet2!AM9=999999,"NA",[1]Sheet2!AM9)</f>
        <v>358</v>
      </c>
      <c r="AI10" s="14">
        <f>IF([1]Sheet2!AN9=999999,"NA",[1]Sheet2!AN9)</f>
        <v>358</v>
      </c>
      <c r="AJ10" s="14">
        <f>IF([1]Sheet2!AO9=999999,"NA",[1]Sheet2!AO9)</f>
        <v>358</v>
      </c>
      <c r="AK10" s="14">
        <f>IF([1]Sheet2!AP9=999999,"NA",[1]Sheet2!AP9)</f>
        <v>103</v>
      </c>
      <c r="AL10" s="14">
        <f>IF([1]Sheet2!AQ9=999999,"NA",[1]Sheet2!AQ9)</f>
        <v>234</v>
      </c>
      <c r="AM10" s="14">
        <f>IF([1]Sheet2!AR9=999999,"NA",[1]Sheet2!AR9)</f>
        <v>358</v>
      </c>
      <c r="AN10" s="14">
        <f>IF([1]Sheet2!AS9=999999,"NA",[1]Sheet2!AS9)</f>
        <v>290</v>
      </c>
      <c r="AO10" s="14">
        <f>[1]Sheet2!P9</f>
        <v>0</v>
      </c>
      <c r="AP10" s="14">
        <f>[1]Sheet2!Q9</f>
        <v>0</v>
      </c>
      <c r="AQ10" s="14">
        <f>[1]Sheet2!R9</f>
        <v>0</v>
      </c>
      <c r="AR10" s="22">
        <f>[1]Sheet2!S9</f>
        <v>0</v>
      </c>
      <c r="AS10" s="14">
        <f>[1]Sheet2!T9</f>
        <v>0</v>
      </c>
      <c r="AT10" s="14">
        <f>[1]Sheet2!U9</f>
        <v>0</v>
      </c>
      <c r="AU10" s="14">
        <f>[1]Sheet2!V9</f>
        <v>0</v>
      </c>
      <c r="AV10" s="14">
        <f>[1]Sheet2!W9</f>
        <v>0</v>
      </c>
      <c r="AW10" s="14">
        <f>[1]Sheet2!X9</f>
        <v>0</v>
      </c>
      <c r="AX10" s="14">
        <f>[1]Sheet2!Y9</f>
        <v>0</v>
      </c>
      <c r="AY10" s="16">
        <f>Demand_LP!B$3/31</f>
        <v>503.00172404880072</v>
      </c>
      <c r="AZ10" s="16">
        <f>Demand_LP!C$3/31</f>
        <v>792.35864350703059</v>
      </c>
      <c r="BA10" s="16">
        <f>Demand_LP!D$3/31</f>
        <v>231.20967741935488</v>
      </c>
      <c r="BB10" s="16">
        <f>Demand_LP!E$3/31</f>
        <v>696.53949545078569</v>
      </c>
      <c r="BC10" s="16">
        <f>Demand_LP!F$3/31</f>
        <v>482.27093930934655</v>
      </c>
      <c r="BD10" s="16">
        <f>Demand_LP!G$3/31</f>
        <v>516.12903225806451</v>
      </c>
      <c r="BE10" s="16">
        <f>Demand_LP!H$3/31</f>
        <v>774.19354838709683</v>
      </c>
      <c r="BF10" s="16">
        <f>Demand_LP!I$3/31</f>
        <v>451.61290322580646</v>
      </c>
      <c r="BG10" s="16">
        <f>Demand_LP!J$3/31</f>
        <v>387.09677419354841</v>
      </c>
      <c r="BH10" s="16">
        <f>Demand_LP!K$3/31</f>
        <v>419.35483870967744</v>
      </c>
      <c r="BI10" s="16" t="e">
        <f t="shared" si="13"/>
        <v>#VALUE!</v>
      </c>
      <c r="BJ10" s="16">
        <f t="shared" si="14"/>
        <v>-546.51050454921369</v>
      </c>
      <c r="BK10" s="16">
        <f t="shared" si="15"/>
        <v>381.53225806451587</v>
      </c>
      <c r="BL10" s="16">
        <f t="shared" si="16"/>
        <v>-1875.7764681554995</v>
      </c>
      <c r="BM10" s="16">
        <f t="shared" si="17"/>
        <v>-375.89657516542536</v>
      </c>
      <c r="BN10" s="16">
        <f t="shared" si="18"/>
        <v>-1612.9032258064512</v>
      </c>
      <c r="BO10" s="16">
        <f t="shared" si="19"/>
        <v>-2419.3548387096776</v>
      </c>
      <c r="BP10" s="16">
        <f t="shared" si="20"/>
        <v>-1161.2903225806449</v>
      </c>
      <c r="BQ10" s="16">
        <f t="shared" si="21"/>
        <v>290.32258064516168</v>
      </c>
      <c r="BR10" s="16">
        <f t="shared" si="22"/>
        <v>-435.4838709677424</v>
      </c>
      <c r="BS10" s="14">
        <f>IF([1]Sheet2!CA9=999999,"NA",[1]Sheet2!CA9)</f>
        <v>216043.51612903233</v>
      </c>
      <c r="BT10" s="14">
        <f>IF([1]Sheet2!CB9=999999,"NA",[1]Sheet2!CB9)</f>
        <v>280</v>
      </c>
      <c r="BU10" s="14">
        <f>IF([1]Sheet2!CC9=999999,"NA",[1]Sheet2!CC9)</f>
        <v>358</v>
      </c>
      <c r="BV10" s="14">
        <f>IF([1]Sheet2!CD9=999999,"NA",[1]Sheet2!CD9)</f>
        <v>358</v>
      </c>
      <c r="BW10" s="14">
        <f>IF([1]Sheet2!CE9=999999,"NA",[1]Sheet2!CE9)</f>
        <v>320</v>
      </c>
      <c r="BX10" s="14">
        <f>IF([1]Sheet2!CF9=999999,"NA",[1]Sheet2!CF9)</f>
        <v>358</v>
      </c>
      <c r="BY10" s="14">
        <f>IF([1]Sheet2!CG9=999999,"NA",[1]Sheet2!CG9)</f>
        <v>252</v>
      </c>
      <c r="BZ10" s="14">
        <f>IF([1]Sheet2!CH9=999999,"NA",[1]Sheet2!CH9)</f>
        <v>358</v>
      </c>
      <c r="CA10" s="14">
        <f>IF([1]Sheet2!CI9=999999,"NA",[1]Sheet2!CI9)</f>
        <v>358</v>
      </c>
      <c r="CB10" s="14">
        <f>IF([1]Sheet2!CJ9=999999,"NA",[1]Sheet2!CJ9)</f>
        <v>358</v>
      </c>
      <c r="CC10" s="14">
        <f>[1]Sheet2!BG9</f>
        <v>0</v>
      </c>
      <c r="CD10" s="14">
        <f>[1]Sheet2!BH9</f>
        <v>0</v>
      </c>
      <c r="CE10" s="14">
        <f>[1]Sheet2!BI9</f>
        <v>0</v>
      </c>
      <c r="CF10" s="22">
        <f>[1]Sheet2!BJ9</f>
        <v>0</v>
      </c>
      <c r="CG10" s="14">
        <f>[1]Sheet2!BK9</f>
        <v>0</v>
      </c>
      <c r="CH10" s="14">
        <f>[1]Sheet2!BL9</f>
        <v>0</v>
      </c>
      <c r="CI10" s="14">
        <f>[1]Sheet2!BM9</f>
        <v>0</v>
      </c>
      <c r="CJ10" s="14">
        <f>[1]Sheet2!BN9</f>
        <v>0</v>
      </c>
      <c r="CK10" s="14">
        <f>[1]Sheet2!BO9</f>
        <v>0</v>
      </c>
      <c r="CL10" s="14">
        <f>[1]Sheet2!BP9</f>
        <v>0</v>
      </c>
      <c r="CM10" s="16">
        <f>Demand_SW!B$3/31</f>
        <v>139.57816377171216</v>
      </c>
      <c r="CN10" s="16">
        <f>Demand_SW!C$3/31</f>
        <v>0</v>
      </c>
      <c r="CO10" s="16">
        <f>Demand_SW!D$3/31</f>
        <v>0</v>
      </c>
      <c r="CP10" s="16">
        <f>Demand_SW!E$3/31</f>
        <v>0</v>
      </c>
      <c r="CQ10" s="16">
        <f>Demand_SW!F$3/31</f>
        <v>0</v>
      </c>
      <c r="CR10" s="16">
        <f>Demand_SW!G$3/31</f>
        <v>132.25806451612902</v>
      </c>
      <c r="CS10" s="16">
        <f>Demand_SW!H$3/31</f>
        <v>0</v>
      </c>
      <c r="CT10" s="16">
        <f>Demand_SW!I$3/31</f>
        <v>0</v>
      </c>
      <c r="CU10" s="16">
        <f>Demand_SW!J$3/31</f>
        <v>0</v>
      </c>
      <c r="CV10" s="16">
        <f>Demand_SW!K$3/31</f>
        <v>0</v>
      </c>
      <c r="CW10" s="16">
        <f t="shared" si="23"/>
        <v>50022.952853597992</v>
      </c>
      <c r="CX10" s="16">
        <f t="shared" si="24"/>
        <v>500</v>
      </c>
      <c r="CY10" s="16">
        <f t="shared" si="25"/>
        <v>0</v>
      </c>
      <c r="CZ10" s="16">
        <f t="shared" si="26"/>
        <v>0</v>
      </c>
      <c r="DA10" s="16">
        <f t="shared" si="27"/>
        <v>0</v>
      </c>
      <c r="DB10" s="16">
        <f t="shared" si="28"/>
        <v>74.193548387096826</v>
      </c>
      <c r="DC10" s="16">
        <f t="shared" si="29"/>
        <v>500</v>
      </c>
      <c r="DD10" s="16">
        <f t="shared" si="30"/>
        <v>0</v>
      </c>
      <c r="DE10" s="16">
        <f t="shared" si="31"/>
        <v>0</v>
      </c>
      <c r="DF10" s="16">
        <f t="shared" si="32"/>
        <v>0</v>
      </c>
      <c r="DG10" s="14">
        <f>IF([1]Sheet2!DR9=999999,"NA",[1]Sheet2!DR9)</f>
        <v>73103</v>
      </c>
      <c r="DH10" s="14">
        <f>IF([1]Sheet2!DS9=999999,"NA",[1]Sheet2!DS9)</f>
        <v>358</v>
      </c>
      <c r="DI10" s="14">
        <f>IF([1]Sheet2!DT9=999999,"NA",[1]Sheet2!DT9)</f>
        <v>358</v>
      </c>
      <c r="DJ10" s="14" t="str">
        <f>IF([1]Sheet2!DU9=999999,"NA",[1]Sheet2!DU9)</f>
        <v>NA</v>
      </c>
      <c r="DK10" s="14" t="str">
        <f>IF([1]Sheet2!DV9=999999,"NA",[1]Sheet2!DV9)</f>
        <v>NA</v>
      </c>
      <c r="DL10" s="14" t="str">
        <f>IF([1]Sheet2!DW9=999999,"NA",[1]Sheet2!DW9)</f>
        <v>NA</v>
      </c>
      <c r="DM10" s="14">
        <f>IF([1]Sheet2!DX9=999999,"NA",[1]Sheet2!DX9)</f>
        <v>358</v>
      </c>
      <c r="DN10" s="14">
        <f>IF([1]Sheet2!DY9=999999,"NA",[1]Sheet2!DY9)</f>
        <v>358</v>
      </c>
      <c r="DO10" s="14" t="str">
        <f>IF([1]Sheet2!DZ9=999999,"NA",[1]Sheet2!DZ9)</f>
        <v>NA</v>
      </c>
      <c r="DP10" s="14" t="str">
        <f>IF([1]Sheet2!EA9=999999,"NA",[1]Sheet2!EA9)</f>
        <v>NA</v>
      </c>
      <c r="DQ10" s="14">
        <f>[1]Sheet2!CX9</f>
        <v>0</v>
      </c>
      <c r="DR10" s="14">
        <f>[1]Sheet2!CY9</f>
        <v>0</v>
      </c>
      <c r="DS10" s="14">
        <f>[1]Sheet2!CZ9</f>
        <v>0</v>
      </c>
      <c r="DT10" s="14">
        <f>[1]Sheet2!DA9</f>
        <v>0</v>
      </c>
      <c r="DU10" s="14">
        <f>[1]Sheet2!DB9</f>
        <v>0</v>
      </c>
      <c r="DV10" s="14">
        <f>[1]Sheet2!DC9</f>
        <v>0</v>
      </c>
      <c r="DW10" s="14">
        <f>[1]Sheet2!DD9</f>
        <v>0</v>
      </c>
      <c r="DX10" s="14">
        <f>[1]Sheet2!DE9</f>
        <v>0</v>
      </c>
      <c r="DY10" s="14">
        <f>[1]Sheet2!DF9</f>
        <v>0</v>
      </c>
      <c r="DZ10" s="14">
        <f>[1]Sheet2!DG9</f>
        <v>0</v>
      </c>
    </row>
    <row r="11" spans="1:130" x14ac:dyDescent="0.25">
      <c r="A11" s="15">
        <v>43473</v>
      </c>
      <c r="B11" s="1"/>
      <c r="C11" s="1"/>
      <c r="D11" s="1"/>
      <c r="E11" s="14">
        <f>[1]Sheet2!N10</f>
        <v>0</v>
      </c>
      <c r="F11" s="14">
        <f>[1]Sheet2!BE10</f>
        <v>0</v>
      </c>
      <c r="G11" s="14">
        <f>[1]Sheet2!CV10</f>
        <v>271.83622828784121</v>
      </c>
      <c r="H11" s="1"/>
      <c r="I11" s="1"/>
      <c r="J11" s="1"/>
      <c r="K11" s="16">
        <f>Demand_CWRS!B$3/31</f>
        <v>313.22137613730359</v>
      </c>
      <c r="L11" s="16">
        <f>Demand_CWRS!C$3/31</f>
        <v>241.71000827129859</v>
      </c>
      <c r="M11" s="16">
        <f>Demand_CWRS!D$3/31</f>
        <v>0</v>
      </c>
      <c r="N11" s="16">
        <f>Demand_CWRS!E$3/31</f>
        <v>98.872001654259719</v>
      </c>
      <c r="O11" s="16">
        <f>Demand_CWRS!F$3/31</f>
        <v>198.36900072373859</v>
      </c>
      <c r="P11" s="16">
        <f>Demand_CWRS!G$3/31</f>
        <v>309.67741935483872</v>
      </c>
      <c r="Q11" s="16">
        <f>Demand_CWRS!H$3/31</f>
        <v>241.71000827129859</v>
      </c>
      <c r="R11" s="16">
        <f>Demand_CWRS!I$3/31</f>
        <v>200</v>
      </c>
      <c r="S11" s="16">
        <f>Demand_CWRS!J$3/31</f>
        <v>209.67741935483872</v>
      </c>
      <c r="T11" s="16">
        <f>Demand_CWRS!K$3/31</f>
        <v>216.12903225806451</v>
      </c>
      <c r="U11" s="16">
        <f t="shared" si="3"/>
        <v>494.22899090157085</v>
      </c>
      <c r="V11" s="16">
        <f t="shared" si="4"/>
        <v>66.319933829610932</v>
      </c>
      <c r="W11" s="16">
        <f t="shared" si="5"/>
        <v>0</v>
      </c>
      <c r="X11" s="16">
        <f t="shared" si="6"/>
        <v>1209.023986765922</v>
      </c>
      <c r="Y11" s="16">
        <f t="shared" si="7"/>
        <v>-586.95200578990887</v>
      </c>
      <c r="Z11" s="16">
        <f t="shared" si="8"/>
        <v>522.58064516129048</v>
      </c>
      <c r="AA11" s="16">
        <f t="shared" si="9"/>
        <v>566.31993382961082</v>
      </c>
      <c r="AB11" s="16">
        <f t="shared" si="10"/>
        <v>400</v>
      </c>
      <c r="AC11" s="16">
        <f t="shared" si="11"/>
        <v>422.58064516128985</v>
      </c>
      <c r="AD11" s="16">
        <f t="shared" si="12"/>
        <v>270.96774193548436</v>
      </c>
      <c r="AE11" s="14">
        <f>IF([1]Sheet2!AJ10=999999,"NA",[1]Sheet2!AJ10)</f>
        <v>119</v>
      </c>
      <c r="AF11" s="14">
        <f>IF([1]Sheet2!AK10=999999,"NA",[1]Sheet2!AK10)</f>
        <v>50</v>
      </c>
      <c r="AG11" s="14" t="str">
        <f>IF([1]Sheet2!AL10=999999,"NA",[1]Sheet2!AL10)</f>
        <v>NA</v>
      </c>
      <c r="AH11" s="14">
        <f>IF([1]Sheet2!AM10=999999,"NA",[1]Sheet2!AM10)</f>
        <v>357</v>
      </c>
      <c r="AI11" s="14">
        <f>IF([1]Sheet2!AN10=999999,"NA",[1]Sheet2!AN10)</f>
        <v>357</v>
      </c>
      <c r="AJ11" s="14">
        <f>IF([1]Sheet2!AO10=999999,"NA",[1]Sheet2!AO10)</f>
        <v>357</v>
      </c>
      <c r="AK11" s="14">
        <f>IF([1]Sheet2!AP10=999999,"NA",[1]Sheet2!AP10)</f>
        <v>102</v>
      </c>
      <c r="AL11" s="14">
        <f>IF([1]Sheet2!AQ10=999999,"NA",[1]Sheet2!AQ10)</f>
        <v>233</v>
      </c>
      <c r="AM11" s="14">
        <f>IF([1]Sheet2!AR10=999999,"NA",[1]Sheet2!AR10)</f>
        <v>357</v>
      </c>
      <c r="AN11" s="14">
        <f>IF([1]Sheet2!AS10=999999,"NA",[1]Sheet2!AS10)</f>
        <v>289</v>
      </c>
      <c r="AO11" s="14">
        <f>[1]Sheet2!P10</f>
        <v>0</v>
      </c>
      <c r="AP11" s="14">
        <f>[1]Sheet2!Q10</f>
        <v>0</v>
      </c>
      <c r="AQ11" s="14">
        <f>[1]Sheet2!R10</f>
        <v>0</v>
      </c>
      <c r="AR11" s="14">
        <f>[1]Sheet2!S10</f>
        <v>0</v>
      </c>
      <c r="AS11" s="14">
        <f>[1]Sheet2!T10</f>
        <v>0</v>
      </c>
      <c r="AT11" s="14">
        <f>[1]Sheet2!U10</f>
        <v>0</v>
      </c>
      <c r="AU11" s="14">
        <f>[1]Sheet2!V10</f>
        <v>0</v>
      </c>
      <c r="AV11" s="14">
        <f>[1]Sheet2!W10</f>
        <v>0</v>
      </c>
      <c r="AW11" s="14">
        <f>[1]Sheet2!X10</f>
        <v>0</v>
      </c>
      <c r="AX11" s="14">
        <f>[1]Sheet2!Y10</f>
        <v>0</v>
      </c>
      <c r="AY11" s="16">
        <f>Demand_LP!B$3/31</f>
        <v>503.00172404880072</v>
      </c>
      <c r="AZ11" s="16">
        <f>Demand_LP!C$3/31</f>
        <v>792.35864350703059</v>
      </c>
      <c r="BA11" s="16">
        <f>Demand_LP!D$3/31</f>
        <v>231.20967741935488</v>
      </c>
      <c r="BB11" s="16">
        <f>Demand_LP!E$3/31</f>
        <v>696.53949545078569</v>
      </c>
      <c r="BC11" s="16">
        <f>Demand_LP!F$3/31</f>
        <v>482.27093930934655</v>
      </c>
      <c r="BD11" s="16">
        <f>Demand_LP!G$3/31</f>
        <v>516.12903225806451</v>
      </c>
      <c r="BE11" s="16">
        <f>Demand_LP!H$3/31</f>
        <v>774.19354838709683</v>
      </c>
      <c r="BF11" s="16">
        <f>Demand_LP!I$3/31</f>
        <v>451.61290322580646</v>
      </c>
      <c r="BG11" s="16">
        <f>Demand_LP!J$3/31</f>
        <v>387.09677419354841</v>
      </c>
      <c r="BH11" s="16">
        <f>Demand_LP!K$3/31</f>
        <v>419.35483870967744</v>
      </c>
      <c r="BI11" s="16" t="e">
        <f t="shared" si="13"/>
        <v>#VALUE!</v>
      </c>
      <c r="BJ11" s="16">
        <f t="shared" si="14"/>
        <v>-1338.8691480562443</v>
      </c>
      <c r="BK11" s="16">
        <f t="shared" si="15"/>
        <v>150.322580645161</v>
      </c>
      <c r="BL11" s="16">
        <f t="shared" si="16"/>
        <v>-2572.3159636062851</v>
      </c>
      <c r="BM11" s="16">
        <f t="shared" si="17"/>
        <v>-858.16751447477191</v>
      </c>
      <c r="BN11" s="16">
        <f t="shared" si="18"/>
        <v>-2129.0322580645156</v>
      </c>
      <c r="BO11" s="16">
        <f t="shared" si="19"/>
        <v>-3193.5483870967746</v>
      </c>
      <c r="BP11" s="16">
        <f t="shared" si="20"/>
        <v>-1612.9032258064512</v>
      </c>
      <c r="BQ11" s="16">
        <f t="shared" si="21"/>
        <v>-96.774193548386734</v>
      </c>
      <c r="BR11" s="16">
        <f t="shared" si="22"/>
        <v>-854.83870967741984</v>
      </c>
      <c r="BS11" s="14">
        <f>IF([1]Sheet2!CA10=999999,"NA",[1]Sheet2!CA10)</f>
        <v>215624.16129032266</v>
      </c>
      <c r="BT11" s="14">
        <f>IF([1]Sheet2!CB10=999999,"NA",[1]Sheet2!CB10)</f>
        <v>279</v>
      </c>
      <c r="BU11" s="14">
        <f>IF([1]Sheet2!CC10=999999,"NA",[1]Sheet2!CC10)</f>
        <v>357</v>
      </c>
      <c r="BV11" s="14">
        <f>IF([1]Sheet2!CD10=999999,"NA",[1]Sheet2!CD10)</f>
        <v>357</v>
      </c>
      <c r="BW11" s="14">
        <f>IF([1]Sheet2!CE10=999999,"NA",[1]Sheet2!CE10)</f>
        <v>319</v>
      </c>
      <c r="BX11" s="14">
        <f>IF([1]Sheet2!CF10=999999,"NA",[1]Sheet2!CF10)</f>
        <v>357</v>
      </c>
      <c r="BY11" s="14">
        <f>IF([1]Sheet2!CG10=999999,"NA",[1]Sheet2!CG10)</f>
        <v>251</v>
      </c>
      <c r="BZ11" s="14">
        <f>IF([1]Sheet2!CH10=999999,"NA",[1]Sheet2!CH10)</f>
        <v>357</v>
      </c>
      <c r="CA11" s="14">
        <f>IF([1]Sheet2!CI10=999999,"NA",[1]Sheet2!CI10)</f>
        <v>357</v>
      </c>
      <c r="CB11" s="14">
        <f>IF([1]Sheet2!CJ10=999999,"NA",[1]Sheet2!CJ10)</f>
        <v>357</v>
      </c>
      <c r="CC11" s="14">
        <f>[1]Sheet2!BG10</f>
        <v>0</v>
      </c>
      <c r="CD11" s="14">
        <f>[1]Sheet2!BH10</f>
        <v>0</v>
      </c>
      <c r="CE11" s="14">
        <f>[1]Sheet2!BI10</f>
        <v>0</v>
      </c>
      <c r="CF11" s="14">
        <f>[1]Sheet2!BJ10</f>
        <v>0</v>
      </c>
      <c r="CG11" s="14">
        <f>[1]Sheet2!BK10</f>
        <v>0</v>
      </c>
      <c r="CH11" s="14">
        <f>[1]Sheet2!BL10</f>
        <v>0</v>
      </c>
      <c r="CI11" s="14">
        <f>[1]Sheet2!BM10</f>
        <v>0</v>
      </c>
      <c r="CJ11" s="14">
        <f>[1]Sheet2!BN10</f>
        <v>0</v>
      </c>
      <c r="CK11" s="14">
        <f>[1]Sheet2!BO10</f>
        <v>0</v>
      </c>
      <c r="CL11" s="14">
        <f>[1]Sheet2!BP10</f>
        <v>0</v>
      </c>
      <c r="CM11" s="16">
        <f>Demand_SW!B$3/31</f>
        <v>139.57816377171216</v>
      </c>
      <c r="CN11" s="16">
        <f>Demand_SW!C$3/31</f>
        <v>0</v>
      </c>
      <c r="CO11" s="16">
        <f>Demand_SW!D$3/31</f>
        <v>0</v>
      </c>
      <c r="CP11" s="16">
        <f>Demand_SW!E$3/31</f>
        <v>0</v>
      </c>
      <c r="CQ11" s="16">
        <f>Demand_SW!F$3/31</f>
        <v>0</v>
      </c>
      <c r="CR11" s="16">
        <f>Demand_SW!G$3/31</f>
        <v>132.25806451612902</v>
      </c>
      <c r="CS11" s="16">
        <f>Demand_SW!H$3/31</f>
        <v>0</v>
      </c>
      <c r="CT11" s="16">
        <f>Demand_SW!I$3/31</f>
        <v>0</v>
      </c>
      <c r="CU11" s="16">
        <f>Demand_SW!J$3/31</f>
        <v>0</v>
      </c>
      <c r="CV11" s="16">
        <f>Demand_SW!K$3/31</f>
        <v>0</v>
      </c>
      <c r="CW11" s="16">
        <f t="shared" si="23"/>
        <v>49883.374689826276</v>
      </c>
      <c r="CX11" s="16">
        <f t="shared" si="24"/>
        <v>500</v>
      </c>
      <c r="CY11" s="16">
        <f t="shared" si="25"/>
        <v>0</v>
      </c>
      <c r="CZ11" s="16">
        <f t="shared" si="26"/>
        <v>0</v>
      </c>
      <c r="DA11" s="16">
        <f t="shared" si="27"/>
        <v>0</v>
      </c>
      <c r="DB11" s="16">
        <f t="shared" si="28"/>
        <v>-58.064516129032199</v>
      </c>
      <c r="DC11" s="16">
        <f t="shared" si="29"/>
        <v>500</v>
      </c>
      <c r="DD11" s="16">
        <f t="shared" si="30"/>
        <v>0</v>
      </c>
      <c r="DE11" s="16">
        <f t="shared" si="31"/>
        <v>0</v>
      </c>
      <c r="DF11" s="16">
        <f t="shared" si="32"/>
        <v>0</v>
      </c>
      <c r="DG11" s="14">
        <f>IF([1]Sheet2!DR10=999999,"NA",[1]Sheet2!DR10)</f>
        <v>73103</v>
      </c>
      <c r="DH11" s="14">
        <f>IF([1]Sheet2!DS10=999999,"NA",[1]Sheet2!DS10)</f>
        <v>357</v>
      </c>
      <c r="DI11" s="14">
        <f>IF([1]Sheet2!DT10=999999,"NA",[1]Sheet2!DT10)</f>
        <v>357</v>
      </c>
      <c r="DJ11" s="14" t="str">
        <f>IF([1]Sheet2!DU10=999999,"NA",[1]Sheet2!DU10)</f>
        <v>NA</v>
      </c>
      <c r="DK11" s="14" t="str">
        <f>IF([1]Sheet2!DV10=999999,"NA",[1]Sheet2!DV10)</f>
        <v>NA</v>
      </c>
      <c r="DL11" s="14" t="str">
        <f>IF([1]Sheet2!DW10=999999,"NA",[1]Sheet2!DW10)</f>
        <v>NA</v>
      </c>
      <c r="DM11" s="14">
        <f>IF([1]Sheet2!DX10=999999,"NA",[1]Sheet2!DX10)</f>
        <v>357</v>
      </c>
      <c r="DN11" s="14">
        <f>IF([1]Sheet2!DY10=999999,"NA",[1]Sheet2!DY10)</f>
        <v>357</v>
      </c>
      <c r="DO11" s="14" t="str">
        <f>IF([1]Sheet2!DZ10=999999,"NA",[1]Sheet2!DZ10)</f>
        <v>NA</v>
      </c>
      <c r="DP11" s="14" t="str">
        <f>IF([1]Sheet2!EA10=999999,"NA",[1]Sheet2!EA10)</f>
        <v>NA</v>
      </c>
      <c r="DQ11" s="14">
        <f>[1]Sheet2!CX10</f>
        <v>0</v>
      </c>
      <c r="DR11" s="14">
        <f>[1]Sheet2!CY10</f>
        <v>0</v>
      </c>
      <c r="DS11" s="14">
        <f>[1]Sheet2!CZ10</f>
        <v>0</v>
      </c>
      <c r="DT11" s="14">
        <f>[1]Sheet2!DA10</f>
        <v>0</v>
      </c>
      <c r="DU11" s="14">
        <f>[1]Sheet2!DB10</f>
        <v>0</v>
      </c>
      <c r="DV11" s="14">
        <f>[1]Sheet2!DC10</f>
        <v>0</v>
      </c>
      <c r="DW11" s="14">
        <f>[1]Sheet2!DD10</f>
        <v>0</v>
      </c>
      <c r="DX11" s="14">
        <f>[1]Sheet2!DE10</f>
        <v>0</v>
      </c>
      <c r="DY11" s="14">
        <f>[1]Sheet2!DF10</f>
        <v>0</v>
      </c>
      <c r="DZ11" s="14">
        <f>[1]Sheet2!DG10</f>
        <v>0</v>
      </c>
    </row>
    <row r="12" spans="1:130" x14ac:dyDescent="0.25">
      <c r="A12" s="15">
        <v>43474</v>
      </c>
      <c r="B12" s="1"/>
      <c r="C12" s="1"/>
      <c r="D12" s="1"/>
      <c r="E12" s="14">
        <f>[1]Sheet2!N11</f>
        <v>0</v>
      </c>
      <c r="F12" s="14">
        <f>[1]Sheet2!BE11</f>
        <v>0</v>
      </c>
      <c r="G12" s="14">
        <f>[1]Sheet2!CV11</f>
        <v>271.83622828784121</v>
      </c>
      <c r="H12" s="1"/>
      <c r="I12" s="1"/>
      <c r="J12" s="1"/>
      <c r="K12" s="16">
        <f>Demand_CWRS!B$3/31</f>
        <v>313.22137613730359</v>
      </c>
      <c r="L12" s="16">
        <f>Demand_CWRS!C$3/31</f>
        <v>241.71000827129859</v>
      </c>
      <c r="M12" s="16">
        <f>Demand_CWRS!D$3/31</f>
        <v>0</v>
      </c>
      <c r="N12" s="16">
        <f>Demand_CWRS!E$3/31</f>
        <v>98.872001654259719</v>
      </c>
      <c r="O12" s="16">
        <f>Demand_CWRS!F$3/31</f>
        <v>198.36900072373859</v>
      </c>
      <c r="P12" s="16">
        <f>Demand_CWRS!G$3/31</f>
        <v>309.67741935483872</v>
      </c>
      <c r="Q12" s="16">
        <f>Demand_CWRS!H$3/31</f>
        <v>241.71000827129859</v>
      </c>
      <c r="R12" s="16">
        <f>Demand_CWRS!I$3/31</f>
        <v>200</v>
      </c>
      <c r="S12" s="16">
        <f>Demand_CWRS!J$3/31</f>
        <v>209.67741935483872</v>
      </c>
      <c r="T12" s="16">
        <f>Demand_CWRS!K$3/31</f>
        <v>216.12903225806451</v>
      </c>
      <c r="U12" s="16">
        <f t="shared" si="3"/>
        <v>181.00761476426726</v>
      </c>
      <c r="V12" s="16">
        <f t="shared" si="4"/>
        <v>-175.39007444168766</v>
      </c>
      <c r="W12" s="16">
        <f t="shared" si="5"/>
        <v>0</v>
      </c>
      <c r="X12" s="16">
        <f t="shared" si="6"/>
        <v>1110.1519851116623</v>
      </c>
      <c r="Y12" s="16">
        <f t="shared" si="7"/>
        <v>-785.32100651364749</v>
      </c>
      <c r="Z12" s="16">
        <f t="shared" si="8"/>
        <v>212.90322580645176</v>
      </c>
      <c r="AA12" s="16">
        <f t="shared" si="9"/>
        <v>324.60992555831223</v>
      </c>
      <c r="AB12" s="16">
        <f t="shared" si="10"/>
        <v>200</v>
      </c>
      <c r="AC12" s="16">
        <f t="shared" si="11"/>
        <v>212.90322580645113</v>
      </c>
      <c r="AD12" s="16">
        <f t="shared" si="12"/>
        <v>54.838709677419843</v>
      </c>
      <c r="AE12" s="14">
        <f>IF([1]Sheet2!AJ11=999999,"NA",[1]Sheet2!AJ11)</f>
        <v>118</v>
      </c>
      <c r="AF12" s="14">
        <f>IF([1]Sheet2!AK11=999999,"NA",[1]Sheet2!AK11)</f>
        <v>49</v>
      </c>
      <c r="AG12" s="14" t="str">
        <f>IF([1]Sheet2!AL11=999999,"NA",[1]Sheet2!AL11)</f>
        <v>NA</v>
      </c>
      <c r="AH12" s="14">
        <f>IF([1]Sheet2!AM11=999999,"NA",[1]Sheet2!AM11)</f>
        <v>356</v>
      </c>
      <c r="AI12" s="14">
        <f>IF([1]Sheet2!AN11=999999,"NA",[1]Sheet2!AN11)</f>
        <v>356</v>
      </c>
      <c r="AJ12" s="14">
        <f>IF([1]Sheet2!AO11=999999,"NA",[1]Sheet2!AO11)</f>
        <v>356</v>
      </c>
      <c r="AK12" s="14">
        <f>IF([1]Sheet2!AP11=999999,"NA",[1]Sheet2!AP11)</f>
        <v>101</v>
      </c>
      <c r="AL12" s="14">
        <f>IF([1]Sheet2!AQ11=999999,"NA",[1]Sheet2!AQ11)</f>
        <v>232</v>
      </c>
      <c r="AM12" s="14">
        <f>IF([1]Sheet2!AR11=999999,"NA",[1]Sheet2!AR11)</f>
        <v>356</v>
      </c>
      <c r="AN12" s="14">
        <f>IF([1]Sheet2!AS11=999999,"NA",[1]Sheet2!AS11)</f>
        <v>288</v>
      </c>
      <c r="AO12" s="14">
        <f>[1]Sheet2!P11</f>
        <v>0</v>
      </c>
      <c r="AP12" s="14">
        <f>[1]Sheet2!Q11</f>
        <v>0</v>
      </c>
      <c r="AQ12" s="14">
        <f>[1]Sheet2!R11</f>
        <v>0</v>
      </c>
      <c r="AR12" s="14">
        <f>[1]Sheet2!S11</f>
        <v>0</v>
      </c>
      <c r="AS12" s="14">
        <f>[1]Sheet2!T11</f>
        <v>0</v>
      </c>
      <c r="AT12" s="14">
        <f>[1]Sheet2!U11</f>
        <v>0</v>
      </c>
      <c r="AU12" s="14">
        <f>[1]Sheet2!V11</f>
        <v>0</v>
      </c>
      <c r="AV12" s="14">
        <f>[1]Sheet2!W11</f>
        <v>0</v>
      </c>
      <c r="AW12" s="14">
        <f>[1]Sheet2!X11</f>
        <v>0</v>
      </c>
      <c r="AX12" s="14">
        <f>[1]Sheet2!Y11</f>
        <v>0</v>
      </c>
      <c r="AY12" s="16">
        <f>Demand_LP!B$3/31</f>
        <v>503.00172404880072</v>
      </c>
      <c r="AZ12" s="16">
        <f>Demand_LP!C$3/31</f>
        <v>792.35864350703059</v>
      </c>
      <c r="BA12" s="16">
        <f>Demand_LP!D$3/31</f>
        <v>231.20967741935488</v>
      </c>
      <c r="BB12" s="16">
        <f>Demand_LP!E$3/31</f>
        <v>696.53949545078569</v>
      </c>
      <c r="BC12" s="16">
        <f>Demand_LP!F$3/31</f>
        <v>482.27093930934655</v>
      </c>
      <c r="BD12" s="16">
        <f>Demand_LP!G$3/31</f>
        <v>516.12903225806451</v>
      </c>
      <c r="BE12" s="16">
        <f>Demand_LP!H$3/31</f>
        <v>774.19354838709683</v>
      </c>
      <c r="BF12" s="16">
        <f>Demand_LP!I$3/31</f>
        <v>451.61290322580646</v>
      </c>
      <c r="BG12" s="16">
        <f>Demand_LP!J$3/31</f>
        <v>387.09677419354841</v>
      </c>
      <c r="BH12" s="16">
        <f>Demand_LP!K$3/31</f>
        <v>419.35483870967744</v>
      </c>
      <c r="BI12" s="16" t="e">
        <f t="shared" si="13"/>
        <v>#VALUE!</v>
      </c>
      <c r="BJ12" s="16">
        <f t="shared" si="14"/>
        <v>-2131.2277915632749</v>
      </c>
      <c r="BK12" s="16">
        <f t="shared" si="15"/>
        <v>-80.887096774193878</v>
      </c>
      <c r="BL12" s="16">
        <f t="shared" si="16"/>
        <v>-3268.8554590570707</v>
      </c>
      <c r="BM12" s="16">
        <f t="shared" si="17"/>
        <v>-1340.4384537841183</v>
      </c>
      <c r="BN12" s="16">
        <f t="shared" si="18"/>
        <v>-2645.16129032258</v>
      </c>
      <c r="BO12" s="16">
        <f t="shared" si="19"/>
        <v>-3967.7419354838712</v>
      </c>
      <c r="BP12" s="16">
        <f t="shared" si="20"/>
        <v>-2064.5161290322576</v>
      </c>
      <c r="BQ12" s="16">
        <f t="shared" si="21"/>
        <v>-483.87096774193515</v>
      </c>
      <c r="BR12" s="16">
        <f t="shared" si="22"/>
        <v>-1274.1935483870973</v>
      </c>
      <c r="BS12" s="14">
        <f>IF([1]Sheet2!CA11=999999,"NA",[1]Sheet2!CA11)</f>
        <v>215204.806451613</v>
      </c>
      <c r="BT12" s="14">
        <f>IF([1]Sheet2!CB11=999999,"NA",[1]Sheet2!CB11)</f>
        <v>278</v>
      </c>
      <c r="BU12" s="14">
        <f>IF([1]Sheet2!CC11=999999,"NA",[1]Sheet2!CC11)</f>
        <v>356</v>
      </c>
      <c r="BV12" s="14">
        <f>IF([1]Sheet2!CD11=999999,"NA",[1]Sheet2!CD11)</f>
        <v>356</v>
      </c>
      <c r="BW12" s="14">
        <f>IF([1]Sheet2!CE11=999999,"NA",[1]Sheet2!CE11)</f>
        <v>318</v>
      </c>
      <c r="BX12" s="14">
        <f>IF([1]Sheet2!CF11=999999,"NA",[1]Sheet2!CF11)</f>
        <v>356</v>
      </c>
      <c r="BY12" s="14">
        <f>IF([1]Sheet2!CG11=999999,"NA",[1]Sheet2!CG11)</f>
        <v>250</v>
      </c>
      <c r="BZ12" s="14">
        <f>IF([1]Sheet2!CH11=999999,"NA",[1]Sheet2!CH11)</f>
        <v>356</v>
      </c>
      <c r="CA12" s="14">
        <f>IF([1]Sheet2!CI11=999999,"NA",[1]Sheet2!CI11)</f>
        <v>356</v>
      </c>
      <c r="CB12" s="14">
        <f>IF([1]Sheet2!CJ11=999999,"NA",[1]Sheet2!CJ11)</f>
        <v>356</v>
      </c>
      <c r="CC12" s="14">
        <f>[1]Sheet2!BG11</f>
        <v>0</v>
      </c>
      <c r="CD12" s="14">
        <f>[1]Sheet2!BH11</f>
        <v>0</v>
      </c>
      <c r="CE12" s="14">
        <f>[1]Sheet2!BI11</f>
        <v>0</v>
      </c>
      <c r="CF12" s="14">
        <f>[1]Sheet2!BJ11</f>
        <v>0</v>
      </c>
      <c r="CG12" s="14">
        <f>[1]Sheet2!BK11</f>
        <v>0</v>
      </c>
      <c r="CH12" s="14">
        <f>[1]Sheet2!BL11</f>
        <v>0</v>
      </c>
      <c r="CI12" s="14">
        <f>[1]Sheet2!BM11</f>
        <v>0</v>
      </c>
      <c r="CJ12" s="14">
        <f>[1]Sheet2!BN11</f>
        <v>0</v>
      </c>
      <c r="CK12" s="14">
        <f>[1]Sheet2!BO11</f>
        <v>0</v>
      </c>
      <c r="CL12" s="14">
        <f>[1]Sheet2!BP11</f>
        <v>0</v>
      </c>
      <c r="CM12" s="16">
        <f>Demand_SW!B$3/31</f>
        <v>139.57816377171216</v>
      </c>
      <c r="CN12" s="16">
        <f>Demand_SW!C$3/31</f>
        <v>0</v>
      </c>
      <c r="CO12" s="16">
        <f>Demand_SW!D$3/31</f>
        <v>0</v>
      </c>
      <c r="CP12" s="16">
        <f>Demand_SW!E$3/31</f>
        <v>0</v>
      </c>
      <c r="CQ12" s="16">
        <f>Demand_SW!F$3/31</f>
        <v>0</v>
      </c>
      <c r="CR12" s="16">
        <f>Demand_SW!G$3/31</f>
        <v>132.25806451612902</v>
      </c>
      <c r="CS12" s="16">
        <f>Demand_SW!H$3/31</f>
        <v>0</v>
      </c>
      <c r="CT12" s="16">
        <f>Demand_SW!I$3/31</f>
        <v>0</v>
      </c>
      <c r="CU12" s="16">
        <f>Demand_SW!J$3/31</f>
        <v>0</v>
      </c>
      <c r="CV12" s="16">
        <f>Demand_SW!K$3/31</f>
        <v>0</v>
      </c>
      <c r="CW12" s="16">
        <f t="shared" si="23"/>
        <v>49743.796526054561</v>
      </c>
      <c r="CX12" s="16">
        <f t="shared" si="24"/>
        <v>500</v>
      </c>
      <c r="CY12" s="16">
        <f t="shared" si="25"/>
        <v>0</v>
      </c>
      <c r="CZ12" s="16">
        <f t="shared" si="26"/>
        <v>0</v>
      </c>
      <c r="DA12" s="16">
        <f t="shared" si="27"/>
        <v>0</v>
      </c>
      <c r="DB12" s="16">
        <f t="shared" si="28"/>
        <v>-190.32258064516122</v>
      </c>
      <c r="DC12" s="16">
        <f t="shared" si="29"/>
        <v>500</v>
      </c>
      <c r="DD12" s="16">
        <f t="shared" si="30"/>
        <v>0</v>
      </c>
      <c r="DE12" s="16">
        <f t="shared" si="31"/>
        <v>0</v>
      </c>
      <c r="DF12" s="16">
        <f t="shared" si="32"/>
        <v>0</v>
      </c>
      <c r="DG12" s="14">
        <f>IF([1]Sheet2!DR11=999999,"NA",[1]Sheet2!DR11)</f>
        <v>73103</v>
      </c>
      <c r="DH12" s="14">
        <f>IF([1]Sheet2!DS11=999999,"NA",[1]Sheet2!DS11)</f>
        <v>356</v>
      </c>
      <c r="DI12" s="14">
        <f>IF([1]Sheet2!DT11=999999,"NA",[1]Sheet2!DT11)</f>
        <v>356</v>
      </c>
      <c r="DJ12" s="14" t="str">
        <f>IF([1]Sheet2!DU11=999999,"NA",[1]Sheet2!DU11)</f>
        <v>NA</v>
      </c>
      <c r="DK12" s="14" t="str">
        <f>IF([1]Sheet2!DV11=999999,"NA",[1]Sheet2!DV11)</f>
        <v>NA</v>
      </c>
      <c r="DL12" s="14" t="str">
        <f>IF([1]Sheet2!DW11=999999,"NA",[1]Sheet2!DW11)</f>
        <v>NA</v>
      </c>
      <c r="DM12" s="14">
        <f>IF([1]Sheet2!DX11=999999,"NA",[1]Sheet2!DX11)</f>
        <v>356</v>
      </c>
      <c r="DN12" s="14">
        <f>IF([1]Sheet2!DY11=999999,"NA",[1]Sheet2!DY11)</f>
        <v>356</v>
      </c>
      <c r="DO12" s="14" t="str">
        <f>IF([1]Sheet2!DZ11=999999,"NA",[1]Sheet2!DZ11)</f>
        <v>NA</v>
      </c>
      <c r="DP12" s="14" t="str">
        <f>IF([1]Sheet2!EA11=999999,"NA",[1]Sheet2!EA11)</f>
        <v>NA</v>
      </c>
      <c r="DQ12" s="14">
        <f>[1]Sheet2!CX11</f>
        <v>0</v>
      </c>
      <c r="DR12" s="14">
        <f>[1]Sheet2!CY11</f>
        <v>0</v>
      </c>
      <c r="DS12" s="14">
        <f>[1]Sheet2!CZ11</f>
        <v>0</v>
      </c>
      <c r="DT12" s="14">
        <f>[1]Sheet2!DA11</f>
        <v>0</v>
      </c>
      <c r="DU12" s="14">
        <f>[1]Sheet2!DB11</f>
        <v>0</v>
      </c>
      <c r="DV12" s="14">
        <f>[1]Sheet2!DC11</f>
        <v>0</v>
      </c>
      <c r="DW12" s="14">
        <f>[1]Sheet2!DD11</f>
        <v>0</v>
      </c>
      <c r="DX12" s="14">
        <f>[1]Sheet2!DE11</f>
        <v>0</v>
      </c>
      <c r="DY12" s="14">
        <f>[1]Sheet2!DF11</f>
        <v>0</v>
      </c>
      <c r="DZ12" s="14">
        <f>[1]Sheet2!DG11</f>
        <v>0</v>
      </c>
    </row>
    <row r="13" spans="1:130" x14ac:dyDescent="0.25">
      <c r="A13" s="15">
        <v>43475</v>
      </c>
      <c r="B13" s="1"/>
      <c r="C13" s="1"/>
      <c r="D13" s="1"/>
      <c r="E13" s="14">
        <f>[1]Sheet2!N12</f>
        <v>0</v>
      </c>
      <c r="F13" s="14">
        <f>[1]Sheet2!BE12</f>
        <v>0</v>
      </c>
      <c r="G13" s="14">
        <f>[1]Sheet2!CV12</f>
        <v>271.83622828784121</v>
      </c>
      <c r="H13" s="1"/>
      <c r="I13" s="1"/>
      <c r="J13" s="1"/>
      <c r="K13" s="16">
        <f>Demand_CWRS!B$3/31</f>
        <v>313.22137613730359</v>
      </c>
      <c r="L13" s="16">
        <f>Demand_CWRS!C$3/31</f>
        <v>241.71000827129859</v>
      </c>
      <c r="M13" s="16">
        <f>Demand_CWRS!D$3/31</f>
        <v>0</v>
      </c>
      <c r="N13" s="16">
        <f>Demand_CWRS!E$3/31</f>
        <v>98.872001654259719</v>
      </c>
      <c r="O13" s="16">
        <f>Demand_CWRS!F$3/31</f>
        <v>198.36900072373859</v>
      </c>
      <c r="P13" s="16">
        <f>Demand_CWRS!G$3/31</f>
        <v>309.67741935483872</v>
      </c>
      <c r="Q13" s="16">
        <f>Demand_CWRS!H$3/31</f>
        <v>241.71000827129859</v>
      </c>
      <c r="R13" s="16">
        <f>Demand_CWRS!I$3/31</f>
        <v>200</v>
      </c>
      <c r="S13" s="16">
        <f>Demand_CWRS!J$3/31</f>
        <v>209.67741935483872</v>
      </c>
      <c r="T13" s="16">
        <f>Demand_CWRS!K$3/31</f>
        <v>216.12903225806451</v>
      </c>
      <c r="U13" s="16">
        <f t="shared" si="3"/>
        <v>-132.21376137303633</v>
      </c>
      <c r="V13" s="16">
        <f t="shared" si="4"/>
        <v>-417.10008271298625</v>
      </c>
      <c r="W13" s="16">
        <f t="shared" si="5"/>
        <v>0</v>
      </c>
      <c r="X13" s="16">
        <f t="shared" si="6"/>
        <v>1011.2799834574025</v>
      </c>
      <c r="Y13" s="16">
        <f t="shared" si="7"/>
        <v>-983.69000723738611</v>
      </c>
      <c r="Z13" s="16">
        <f t="shared" si="8"/>
        <v>-96.774193548386961</v>
      </c>
      <c r="AA13" s="16">
        <f t="shared" si="9"/>
        <v>82.899917287013636</v>
      </c>
      <c r="AB13" s="16">
        <f t="shared" si="10"/>
        <v>0</v>
      </c>
      <c r="AC13" s="16">
        <f t="shared" si="11"/>
        <v>3.2258064516124136</v>
      </c>
      <c r="AD13" s="16">
        <f t="shared" si="12"/>
        <v>-161.29032258064467</v>
      </c>
      <c r="AE13" s="14">
        <f>IF([1]Sheet2!AJ12=999999,"NA",[1]Sheet2!AJ12)</f>
        <v>117</v>
      </c>
      <c r="AF13" s="14">
        <f>IF([1]Sheet2!AK12=999999,"NA",[1]Sheet2!AK12)</f>
        <v>48</v>
      </c>
      <c r="AG13" s="14" t="str">
        <f>IF([1]Sheet2!AL12=999999,"NA",[1]Sheet2!AL12)</f>
        <v>NA</v>
      </c>
      <c r="AH13" s="14">
        <f>IF([1]Sheet2!AM12=999999,"NA",[1]Sheet2!AM12)</f>
        <v>355</v>
      </c>
      <c r="AI13" s="14">
        <f>IF([1]Sheet2!AN12=999999,"NA",[1]Sheet2!AN12)</f>
        <v>355</v>
      </c>
      <c r="AJ13" s="14">
        <f>IF([1]Sheet2!AO12=999999,"NA",[1]Sheet2!AO12)</f>
        <v>355</v>
      </c>
      <c r="AK13" s="14">
        <f>IF([1]Sheet2!AP12=999999,"NA",[1]Sheet2!AP12)</f>
        <v>100</v>
      </c>
      <c r="AL13" s="14">
        <f>IF([1]Sheet2!AQ12=999999,"NA",[1]Sheet2!AQ12)</f>
        <v>231</v>
      </c>
      <c r="AM13" s="14">
        <f>IF([1]Sheet2!AR12=999999,"NA",[1]Sheet2!AR12)</f>
        <v>355</v>
      </c>
      <c r="AN13" s="14">
        <f>IF([1]Sheet2!AS12=999999,"NA",[1]Sheet2!AS12)</f>
        <v>287</v>
      </c>
      <c r="AO13" s="14">
        <f>[1]Sheet2!P12</f>
        <v>0</v>
      </c>
      <c r="AP13" s="14">
        <f>[1]Sheet2!Q12</f>
        <v>0</v>
      </c>
      <c r="AQ13" s="14">
        <f>[1]Sheet2!R12</f>
        <v>0</v>
      </c>
      <c r="AR13" s="14">
        <f>[1]Sheet2!S12</f>
        <v>0</v>
      </c>
      <c r="AS13" s="14">
        <f>[1]Sheet2!T12</f>
        <v>0</v>
      </c>
      <c r="AT13" s="14">
        <f>[1]Sheet2!U12</f>
        <v>0</v>
      </c>
      <c r="AU13" s="14">
        <f>[1]Sheet2!V12</f>
        <v>0</v>
      </c>
      <c r="AV13" s="14">
        <f>[1]Sheet2!W12</f>
        <v>0</v>
      </c>
      <c r="AW13" s="14">
        <f>[1]Sheet2!X12</f>
        <v>0</v>
      </c>
      <c r="AX13" s="14">
        <f>[1]Sheet2!Y12</f>
        <v>0</v>
      </c>
      <c r="AY13" s="16">
        <f>Demand_LP!B$3/31</f>
        <v>503.00172404880072</v>
      </c>
      <c r="AZ13" s="16">
        <f>Demand_LP!C$3/31</f>
        <v>792.35864350703059</v>
      </c>
      <c r="BA13" s="16">
        <f>Demand_LP!D$3/31</f>
        <v>231.20967741935488</v>
      </c>
      <c r="BB13" s="16">
        <f>Demand_LP!E$3/31</f>
        <v>696.53949545078569</v>
      </c>
      <c r="BC13" s="16">
        <f>Demand_LP!F$3/31</f>
        <v>482.27093930934655</v>
      </c>
      <c r="BD13" s="16">
        <f>Demand_LP!G$3/31</f>
        <v>516.12903225806451</v>
      </c>
      <c r="BE13" s="16">
        <f>Demand_LP!H$3/31</f>
        <v>774.19354838709683</v>
      </c>
      <c r="BF13" s="16">
        <f>Demand_LP!I$3/31</f>
        <v>451.61290322580646</v>
      </c>
      <c r="BG13" s="16">
        <f>Demand_LP!J$3/31</f>
        <v>387.09677419354841</v>
      </c>
      <c r="BH13" s="16">
        <f>Demand_LP!K$3/31</f>
        <v>419.35483870967744</v>
      </c>
      <c r="BI13" s="16" t="e">
        <f t="shared" si="13"/>
        <v>#VALUE!</v>
      </c>
      <c r="BJ13" s="16">
        <f t="shared" si="14"/>
        <v>-2923.5864350703055</v>
      </c>
      <c r="BK13" s="16">
        <f t="shared" si="15"/>
        <v>-312.09677419354875</v>
      </c>
      <c r="BL13" s="16">
        <f t="shared" si="16"/>
        <v>-3965.3949545078563</v>
      </c>
      <c r="BM13" s="16">
        <f t="shared" si="17"/>
        <v>-1822.7093930934648</v>
      </c>
      <c r="BN13" s="16">
        <f t="shared" si="18"/>
        <v>-3161.2903225806444</v>
      </c>
      <c r="BO13" s="16">
        <f t="shared" si="19"/>
        <v>-4741.9354838709678</v>
      </c>
      <c r="BP13" s="16">
        <f t="shared" si="20"/>
        <v>-2516.1290322580639</v>
      </c>
      <c r="BQ13" s="16">
        <f t="shared" si="21"/>
        <v>-870.96774193548356</v>
      </c>
      <c r="BR13" s="16">
        <f t="shared" si="22"/>
        <v>-1693.5483870967746</v>
      </c>
      <c r="BS13" s="14">
        <f>IF([1]Sheet2!CA12=999999,"NA",[1]Sheet2!CA12)</f>
        <v>214785.45161290333</v>
      </c>
      <c r="BT13" s="14">
        <f>IF([1]Sheet2!CB12=999999,"NA",[1]Sheet2!CB12)</f>
        <v>277</v>
      </c>
      <c r="BU13" s="14">
        <f>IF([1]Sheet2!CC12=999999,"NA",[1]Sheet2!CC12)</f>
        <v>355</v>
      </c>
      <c r="BV13" s="14">
        <f>IF([1]Sheet2!CD12=999999,"NA",[1]Sheet2!CD12)</f>
        <v>355</v>
      </c>
      <c r="BW13" s="14">
        <f>IF([1]Sheet2!CE12=999999,"NA",[1]Sheet2!CE12)</f>
        <v>317</v>
      </c>
      <c r="BX13" s="14">
        <f>IF([1]Sheet2!CF12=999999,"NA",[1]Sheet2!CF12)</f>
        <v>355</v>
      </c>
      <c r="BY13" s="14">
        <f>IF([1]Sheet2!CG12=999999,"NA",[1]Sheet2!CG12)</f>
        <v>249</v>
      </c>
      <c r="BZ13" s="14">
        <f>IF([1]Sheet2!CH12=999999,"NA",[1]Sheet2!CH12)</f>
        <v>355</v>
      </c>
      <c r="CA13" s="14">
        <f>IF([1]Sheet2!CI12=999999,"NA",[1]Sheet2!CI12)</f>
        <v>355</v>
      </c>
      <c r="CB13" s="14">
        <f>IF([1]Sheet2!CJ12=999999,"NA",[1]Sheet2!CJ12)</f>
        <v>355</v>
      </c>
      <c r="CC13" s="14">
        <f>[1]Sheet2!BG12</f>
        <v>0</v>
      </c>
      <c r="CD13" s="14">
        <f>[1]Sheet2!BH12</f>
        <v>0</v>
      </c>
      <c r="CE13" s="14">
        <f>[1]Sheet2!BI12</f>
        <v>0</v>
      </c>
      <c r="CF13" s="14">
        <f>[1]Sheet2!BJ12</f>
        <v>0</v>
      </c>
      <c r="CG13" s="14">
        <f>[1]Sheet2!BK12</f>
        <v>0</v>
      </c>
      <c r="CH13" s="14">
        <f>[1]Sheet2!BL12</f>
        <v>0</v>
      </c>
      <c r="CI13" s="14">
        <f>[1]Sheet2!BM12</f>
        <v>0</v>
      </c>
      <c r="CJ13" s="14">
        <f>[1]Sheet2!BN12</f>
        <v>0</v>
      </c>
      <c r="CK13" s="14">
        <f>[1]Sheet2!BO12</f>
        <v>0</v>
      </c>
      <c r="CL13" s="14">
        <f>[1]Sheet2!BP12</f>
        <v>0</v>
      </c>
      <c r="CM13" s="16">
        <f>Demand_SW!B$3/31</f>
        <v>139.57816377171216</v>
      </c>
      <c r="CN13" s="16">
        <f>Demand_SW!C$3/31</f>
        <v>0</v>
      </c>
      <c r="CO13" s="16">
        <f>Demand_SW!D$3/31</f>
        <v>0</v>
      </c>
      <c r="CP13" s="16">
        <f>Demand_SW!E$3/31</f>
        <v>0</v>
      </c>
      <c r="CQ13" s="16">
        <f>Demand_SW!F$3/31</f>
        <v>0</v>
      </c>
      <c r="CR13" s="16">
        <f>Demand_SW!G$3/31</f>
        <v>132.25806451612902</v>
      </c>
      <c r="CS13" s="16">
        <f>Demand_SW!H$3/31</f>
        <v>0</v>
      </c>
      <c r="CT13" s="16">
        <f>Demand_SW!I$3/31</f>
        <v>0</v>
      </c>
      <c r="CU13" s="16">
        <f>Demand_SW!J$3/31</f>
        <v>0</v>
      </c>
      <c r="CV13" s="16">
        <f>Demand_SW!K$3/31</f>
        <v>0</v>
      </c>
      <c r="CW13" s="16">
        <f t="shared" si="23"/>
        <v>49604.218362282845</v>
      </c>
      <c r="CX13" s="16">
        <f t="shared" si="24"/>
        <v>500</v>
      </c>
      <c r="CY13" s="16">
        <f t="shared" si="25"/>
        <v>0</v>
      </c>
      <c r="CZ13" s="16">
        <f t="shared" si="26"/>
        <v>0</v>
      </c>
      <c r="DA13" s="16">
        <f t="shared" si="27"/>
        <v>0</v>
      </c>
      <c r="DB13" s="16">
        <f t="shared" si="28"/>
        <v>-322.58064516129025</v>
      </c>
      <c r="DC13" s="16">
        <f t="shared" si="29"/>
        <v>500</v>
      </c>
      <c r="DD13" s="16">
        <f t="shared" si="30"/>
        <v>0</v>
      </c>
      <c r="DE13" s="16">
        <f t="shared" si="31"/>
        <v>0</v>
      </c>
      <c r="DF13" s="16">
        <f t="shared" si="32"/>
        <v>0</v>
      </c>
      <c r="DG13" s="14">
        <f>IF([1]Sheet2!DR12=999999,"NA",[1]Sheet2!DR12)</f>
        <v>73103</v>
      </c>
      <c r="DH13" s="14">
        <f>IF([1]Sheet2!DS12=999999,"NA",[1]Sheet2!DS12)</f>
        <v>355</v>
      </c>
      <c r="DI13" s="14">
        <f>IF([1]Sheet2!DT12=999999,"NA",[1]Sheet2!DT12)</f>
        <v>355</v>
      </c>
      <c r="DJ13" s="14" t="str">
        <f>IF([1]Sheet2!DU12=999999,"NA",[1]Sheet2!DU12)</f>
        <v>NA</v>
      </c>
      <c r="DK13" s="14" t="str">
        <f>IF([1]Sheet2!DV12=999999,"NA",[1]Sheet2!DV12)</f>
        <v>NA</v>
      </c>
      <c r="DL13" s="14" t="str">
        <f>IF([1]Sheet2!DW12=999999,"NA",[1]Sheet2!DW12)</f>
        <v>NA</v>
      </c>
      <c r="DM13" s="14">
        <f>IF([1]Sheet2!DX12=999999,"NA",[1]Sheet2!DX12)</f>
        <v>355</v>
      </c>
      <c r="DN13" s="14">
        <f>IF([1]Sheet2!DY12=999999,"NA",[1]Sheet2!DY12)</f>
        <v>355</v>
      </c>
      <c r="DO13" s="14" t="str">
        <f>IF([1]Sheet2!DZ12=999999,"NA",[1]Sheet2!DZ12)</f>
        <v>NA</v>
      </c>
      <c r="DP13" s="14" t="str">
        <f>IF([1]Sheet2!EA12=999999,"NA",[1]Sheet2!EA12)</f>
        <v>NA</v>
      </c>
      <c r="DQ13" s="14">
        <f>[1]Sheet2!CX12</f>
        <v>0</v>
      </c>
      <c r="DR13" s="14">
        <f>[1]Sheet2!CY12</f>
        <v>0</v>
      </c>
      <c r="DS13" s="14">
        <f>[1]Sheet2!CZ12</f>
        <v>0</v>
      </c>
      <c r="DT13" s="14">
        <f>[1]Sheet2!DA12</f>
        <v>0</v>
      </c>
      <c r="DU13" s="14">
        <f>[1]Sheet2!DB12</f>
        <v>0</v>
      </c>
      <c r="DV13" s="14">
        <f>[1]Sheet2!DC12</f>
        <v>0</v>
      </c>
      <c r="DW13" s="14">
        <f>[1]Sheet2!DD12</f>
        <v>0</v>
      </c>
      <c r="DX13" s="14">
        <f>[1]Sheet2!DE12</f>
        <v>0</v>
      </c>
      <c r="DY13" s="14">
        <f>[1]Sheet2!DF12</f>
        <v>0</v>
      </c>
      <c r="DZ13" s="14">
        <f>[1]Sheet2!DG12</f>
        <v>0</v>
      </c>
    </row>
    <row r="14" spans="1:130" x14ac:dyDescent="0.25">
      <c r="A14" s="15">
        <v>43476</v>
      </c>
      <c r="B14" s="1"/>
      <c r="C14" s="1"/>
      <c r="D14" s="1"/>
      <c r="E14" s="14">
        <f>[1]Sheet2!N13</f>
        <v>0</v>
      </c>
      <c r="F14" s="14">
        <f>[1]Sheet2!BE13</f>
        <v>0</v>
      </c>
      <c r="G14" s="14">
        <f>[1]Sheet2!CV13</f>
        <v>271.83622828784121</v>
      </c>
      <c r="H14" s="1"/>
      <c r="I14" s="1"/>
      <c r="J14" s="1"/>
      <c r="K14" s="16">
        <f>Demand_CWRS!B$3/31</f>
        <v>313.22137613730359</v>
      </c>
      <c r="L14" s="16">
        <f>Demand_CWRS!C$3/31</f>
        <v>241.71000827129859</v>
      </c>
      <c r="M14" s="16">
        <f>Demand_CWRS!D$3/31</f>
        <v>0</v>
      </c>
      <c r="N14" s="16">
        <f>Demand_CWRS!E$3/31</f>
        <v>98.872001654259719</v>
      </c>
      <c r="O14" s="16">
        <f>Demand_CWRS!F$3/31</f>
        <v>198.36900072373859</v>
      </c>
      <c r="P14" s="16">
        <f>Demand_CWRS!G$3/31</f>
        <v>309.67741935483872</v>
      </c>
      <c r="Q14" s="16">
        <f>Demand_CWRS!H$3/31</f>
        <v>241.71000827129859</v>
      </c>
      <c r="R14" s="16">
        <f>Demand_CWRS!I$3/31</f>
        <v>200</v>
      </c>
      <c r="S14" s="16">
        <f>Demand_CWRS!J$3/31</f>
        <v>209.67741935483872</v>
      </c>
      <c r="T14" s="16">
        <f>Demand_CWRS!K$3/31</f>
        <v>216.12903225806451</v>
      </c>
      <c r="U14" s="16">
        <f t="shared" si="3"/>
        <v>-445.43513751033993</v>
      </c>
      <c r="V14" s="16">
        <f t="shared" si="4"/>
        <v>-658.8100909842849</v>
      </c>
      <c r="W14" s="16">
        <f t="shared" si="5"/>
        <v>0</v>
      </c>
      <c r="X14" s="16">
        <f t="shared" si="6"/>
        <v>912.40798180314277</v>
      </c>
      <c r="Y14" s="16">
        <f t="shared" si="7"/>
        <v>-1182.0590079611247</v>
      </c>
      <c r="Z14" s="16">
        <f t="shared" si="8"/>
        <v>-406.45161290322568</v>
      </c>
      <c r="AA14" s="16">
        <f t="shared" si="9"/>
        <v>-158.81009098428495</v>
      </c>
      <c r="AB14" s="16">
        <f t="shared" si="10"/>
        <v>-200</v>
      </c>
      <c r="AC14" s="16">
        <f t="shared" si="11"/>
        <v>-206.45161290322631</v>
      </c>
      <c r="AD14" s="16">
        <f t="shared" si="12"/>
        <v>-377.41935483870918</v>
      </c>
      <c r="AE14" s="14">
        <f>IF([1]Sheet2!AJ13=999999,"NA",[1]Sheet2!AJ13)</f>
        <v>116</v>
      </c>
      <c r="AF14" s="14">
        <f>IF([1]Sheet2!AK13=999999,"NA",[1]Sheet2!AK13)</f>
        <v>47</v>
      </c>
      <c r="AG14" s="14" t="str">
        <f>IF([1]Sheet2!AL13=999999,"NA",[1]Sheet2!AL13)</f>
        <v>NA</v>
      </c>
      <c r="AH14" s="14">
        <f>IF([1]Sheet2!AM13=999999,"NA",[1]Sheet2!AM13)</f>
        <v>354</v>
      </c>
      <c r="AI14" s="14">
        <f>IF([1]Sheet2!AN13=999999,"NA",[1]Sheet2!AN13)</f>
        <v>354</v>
      </c>
      <c r="AJ14" s="14">
        <f>IF([1]Sheet2!AO13=999999,"NA",[1]Sheet2!AO13)</f>
        <v>354</v>
      </c>
      <c r="AK14" s="14">
        <f>IF([1]Sheet2!AP13=999999,"NA",[1]Sheet2!AP13)</f>
        <v>99</v>
      </c>
      <c r="AL14" s="14">
        <f>IF([1]Sheet2!AQ13=999999,"NA",[1]Sheet2!AQ13)</f>
        <v>230</v>
      </c>
      <c r="AM14" s="14">
        <f>IF([1]Sheet2!AR13=999999,"NA",[1]Sheet2!AR13)</f>
        <v>354</v>
      </c>
      <c r="AN14" s="14">
        <f>IF([1]Sheet2!AS13=999999,"NA",[1]Sheet2!AS13)</f>
        <v>286</v>
      </c>
      <c r="AO14" s="14">
        <f>[1]Sheet2!P13</f>
        <v>0</v>
      </c>
      <c r="AP14" s="14">
        <f>[1]Sheet2!Q13</f>
        <v>0</v>
      </c>
      <c r="AQ14" s="14">
        <f>[1]Sheet2!R13</f>
        <v>0</v>
      </c>
      <c r="AR14" s="14">
        <f>[1]Sheet2!S13</f>
        <v>0</v>
      </c>
      <c r="AS14" s="14">
        <f>[1]Sheet2!T13</f>
        <v>0</v>
      </c>
      <c r="AT14" s="14">
        <f>[1]Sheet2!U13</f>
        <v>0</v>
      </c>
      <c r="AU14" s="14">
        <f>[1]Sheet2!V13</f>
        <v>0</v>
      </c>
      <c r="AV14" s="14">
        <f>[1]Sheet2!W13</f>
        <v>0</v>
      </c>
      <c r="AW14" s="14">
        <f>[1]Sheet2!X13</f>
        <v>0</v>
      </c>
      <c r="AX14" s="14">
        <f>[1]Sheet2!Y13</f>
        <v>0</v>
      </c>
      <c r="AY14" s="16">
        <f>Demand_LP!B$3/31</f>
        <v>503.00172404880072</v>
      </c>
      <c r="AZ14" s="16">
        <f>Demand_LP!C$3/31</f>
        <v>792.35864350703059</v>
      </c>
      <c r="BA14" s="16">
        <f>Demand_LP!D$3/31</f>
        <v>231.20967741935488</v>
      </c>
      <c r="BB14" s="16">
        <f>Demand_LP!E$3/31</f>
        <v>696.53949545078569</v>
      </c>
      <c r="BC14" s="16">
        <f>Demand_LP!F$3/31</f>
        <v>482.27093930934655</v>
      </c>
      <c r="BD14" s="16">
        <f>Demand_LP!G$3/31</f>
        <v>516.12903225806451</v>
      </c>
      <c r="BE14" s="16">
        <f>Demand_LP!H$3/31</f>
        <v>774.19354838709683</v>
      </c>
      <c r="BF14" s="16">
        <f>Demand_LP!I$3/31</f>
        <v>451.61290322580646</v>
      </c>
      <c r="BG14" s="16">
        <f>Demand_LP!J$3/31</f>
        <v>387.09677419354841</v>
      </c>
      <c r="BH14" s="16">
        <f>Demand_LP!K$3/31</f>
        <v>419.35483870967744</v>
      </c>
      <c r="BI14" s="16" t="e">
        <f t="shared" si="13"/>
        <v>#VALUE!</v>
      </c>
      <c r="BJ14" s="16">
        <f t="shared" si="14"/>
        <v>-3715.9450785773361</v>
      </c>
      <c r="BK14" s="16">
        <f t="shared" si="15"/>
        <v>-543.30645161290363</v>
      </c>
      <c r="BL14" s="16">
        <f t="shared" si="16"/>
        <v>-4661.9344499586423</v>
      </c>
      <c r="BM14" s="16">
        <f t="shared" si="17"/>
        <v>-2304.9803324028112</v>
      </c>
      <c r="BN14" s="16">
        <f t="shared" si="18"/>
        <v>-3677.4193548387088</v>
      </c>
      <c r="BO14" s="16">
        <f t="shared" si="19"/>
        <v>-5516.1290322580644</v>
      </c>
      <c r="BP14" s="16">
        <f t="shared" si="20"/>
        <v>-2967.7419354838703</v>
      </c>
      <c r="BQ14" s="16">
        <f t="shared" si="21"/>
        <v>-1258.064516129032</v>
      </c>
      <c r="BR14" s="16">
        <f t="shared" si="22"/>
        <v>-2112.9032258064522</v>
      </c>
      <c r="BS14" s="14">
        <f>IF([1]Sheet2!CA13=999999,"NA",[1]Sheet2!CA13)</f>
        <v>214366.09677419366</v>
      </c>
      <c r="BT14" s="14">
        <f>IF([1]Sheet2!CB13=999999,"NA",[1]Sheet2!CB13)</f>
        <v>276</v>
      </c>
      <c r="BU14" s="14">
        <f>IF([1]Sheet2!CC13=999999,"NA",[1]Sheet2!CC13)</f>
        <v>354</v>
      </c>
      <c r="BV14" s="14">
        <f>IF([1]Sheet2!CD13=999999,"NA",[1]Sheet2!CD13)</f>
        <v>354</v>
      </c>
      <c r="BW14" s="14">
        <f>IF([1]Sheet2!CE13=999999,"NA",[1]Sheet2!CE13)</f>
        <v>316</v>
      </c>
      <c r="BX14" s="14">
        <f>IF([1]Sheet2!CF13=999999,"NA",[1]Sheet2!CF13)</f>
        <v>354</v>
      </c>
      <c r="BY14" s="14">
        <f>IF([1]Sheet2!CG13=999999,"NA",[1]Sheet2!CG13)</f>
        <v>248</v>
      </c>
      <c r="BZ14" s="14">
        <f>IF([1]Sheet2!CH13=999999,"NA",[1]Sheet2!CH13)</f>
        <v>354</v>
      </c>
      <c r="CA14" s="14">
        <f>IF([1]Sheet2!CI13=999999,"NA",[1]Sheet2!CI13)</f>
        <v>354</v>
      </c>
      <c r="CB14" s="14">
        <f>IF([1]Sheet2!CJ13=999999,"NA",[1]Sheet2!CJ13)</f>
        <v>354</v>
      </c>
      <c r="CC14" s="14">
        <f>[1]Sheet2!BG13</f>
        <v>0</v>
      </c>
      <c r="CD14" s="14">
        <f>[1]Sheet2!BH13</f>
        <v>0</v>
      </c>
      <c r="CE14" s="14">
        <f>[1]Sheet2!BI13</f>
        <v>0</v>
      </c>
      <c r="CF14" s="14">
        <f>[1]Sheet2!BJ13</f>
        <v>0</v>
      </c>
      <c r="CG14" s="14">
        <f>[1]Sheet2!BK13</f>
        <v>0</v>
      </c>
      <c r="CH14" s="14">
        <f>[1]Sheet2!BL13</f>
        <v>0</v>
      </c>
      <c r="CI14" s="14">
        <f>[1]Sheet2!BM13</f>
        <v>0</v>
      </c>
      <c r="CJ14" s="14">
        <f>[1]Sheet2!BN13</f>
        <v>0</v>
      </c>
      <c r="CK14" s="14">
        <f>[1]Sheet2!BO13</f>
        <v>0</v>
      </c>
      <c r="CL14" s="14">
        <f>[1]Sheet2!BP13</f>
        <v>0</v>
      </c>
      <c r="CM14" s="16">
        <f>Demand_SW!B$3/31</f>
        <v>139.57816377171216</v>
      </c>
      <c r="CN14" s="16">
        <f>Demand_SW!C$3/31</f>
        <v>0</v>
      </c>
      <c r="CO14" s="16">
        <f>Demand_SW!D$3/31</f>
        <v>0</v>
      </c>
      <c r="CP14" s="16">
        <f>Demand_SW!E$3/31</f>
        <v>0</v>
      </c>
      <c r="CQ14" s="16">
        <f>Demand_SW!F$3/31</f>
        <v>0</v>
      </c>
      <c r="CR14" s="16">
        <f>Demand_SW!G$3/31</f>
        <v>132.25806451612902</v>
      </c>
      <c r="CS14" s="16">
        <f>Demand_SW!H$3/31</f>
        <v>0</v>
      </c>
      <c r="CT14" s="16">
        <f>Demand_SW!I$3/31</f>
        <v>0</v>
      </c>
      <c r="CU14" s="16">
        <f>Demand_SW!J$3/31</f>
        <v>0</v>
      </c>
      <c r="CV14" s="16">
        <f>Demand_SW!K$3/31</f>
        <v>0</v>
      </c>
      <c r="CW14" s="16">
        <f t="shared" si="23"/>
        <v>49464.64019851113</v>
      </c>
      <c r="CX14" s="16">
        <f t="shared" si="24"/>
        <v>500</v>
      </c>
      <c r="CY14" s="16">
        <f t="shared" si="25"/>
        <v>0</v>
      </c>
      <c r="CZ14" s="16">
        <f t="shared" si="26"/>
        <v>0</v>
      </c>
      <c r="DA14" s="16">
        <f t="shared" si="27"/>
        <v>0</v>
      </c>
      <c r="DB14" s="16">
        <f t="shared" si="28"/>
        <v>-454.83870967741927</v>
      </c>
      <c r="DC14" s="16">
        <f t="shared" si="29"/>
        <v>500</v>
      </c>
      <c r="DD14" s="16">
        <f t="shared" si="30"/>
        <v>0</v>
      </c>
      <c r="DE14" s="16">
        <f t="shared" si="31"/>
        <v>0</v>
      </c>
      <c r="DF14" s="16">
        <f t="shared" si="32"/>
        <v>0</v>
      </c>
      <c r="DG14" s="14">
        <f>IF([1]Sheet2!DR13=999999,"NA",[1]Sheet2!DR13)</f>
        <v>73103</v>
      </c>
      <c r="DH14" s="14">
        <f>IF([1]Sheet2!DS13=999999,"NA",[1]Sheet2!DS13)</f>
        <v>354</v>
      </c>
      <c r="DI14" s="14">
        <f>IF([1]Sheet2!DT13=999999,"NA",[1]Sheet2!DT13)</f>
        <v>354</v>
      </c>
      <c r="DJ14" s="14" t="str">
        <f>IF([1]Sheet2!DU13=999999,"NA",[1]Sheet2!DU13)</f>
        <v>NA</v>
      </c>
      <c r="DK14" s="14" t="str">
        <f>IF([1]Sheet2!DV13=999999,"NA",[1]Sheet2!DV13)</f>
        <v>NA</v>
      </c>
      <c r="DL14" s="14" t="str">
        <f>IF([1]Sheet2!DW13=999999,"NA",[1]Sheet2!DW13)</f>
        <v>NA</v>
      </c>
      <c r="DM14" s="14">
        <f>IF([1]Sheet2!DX13=999999,"NA",[1]Sheet2!DX13)</f>
        <v>354</v>
      </c>
      <c r="DN14" s="14">
        <f>IF([1]Sheet2!DY13=999999,"NA",[1]Sheet2!DY13)</f>
        <v>354</v>
      </c>
      <c r="DO14" s="14" t="str">
        <f>IF([1]Sheet2!DZ13=999999,"NA",[1]Sheet2!DZ13)</f>
        <v>NA</v>
      </c>
      <c r="DP14" s="14" t="str">
        <f>IF([1]Sheet2!EA13=999999,"NA",[1]Sheet2!EA13)</f>
        <v>NA</v>
      </c>
      <c r="DQ14" s="14">
        <f>[1]Sheet2!CX13</f>
        <v>0</v>
      </c>
      <c r="DR14" s="14">
        <f>[1]Sheet2!CY13</f>
        <v>0</v>
      </c>
      <c r="DS14" s="14">
        <f>[1]Sheet2!CZ13</f>
        <v>0</v>
      </c>
      <c r="DT14" s="14">
        <f>[1]Sheet2!DA13</f>
        <v>0</v>
      </c>
      <c r="DU14" s="14">
        <f>[1]Sheet2!DB13</f>
        <v>0</v>
      </c>
      <c r="DV14" s="14">
        <f>[1]Sheet2!DC13</f>
        <v>0</v>
      </c>
      <c r="DW14" s="14">
        <f>[1]Sheet2!DD13</f>
        <v>0</v>
      </c>
      <c r="DX14" s="14">
        <f>[1]Sheet2!DE13</f>
        <v>0</v>
      </c>
      <c r="DY14" s="14">
        <f>[1]Sheet2!DF13</f>
        <v>0</v>
      </c>
      <c r="DZ14" s="14">
        <f>[1]Sheet2!DG13</f>
        <v>0</v>
      </c>
    </row>
    <row r="15" spans="1:130" x14ac:dyDescent="0.25">
      <c r="A15" s="15">
        <v>43477</v>
      </c>
      <c r="B15" s="1"/>
      <c r="C15" s="1"/>
      <c r="D15" s="1"/>
      <c r="E15" s="14">
        <f>[1]Sheet2!N14</f>
        <v>0</v>
      </c>
      <c r="F15" s="14">
        <f>[1]Sheet2!BE14</f>
        <v>0</v>
      </c>
      <c r="G15" s="14">
        <f>[1]Sheet2!CV14</f>
        <v>271.83622828784121</v>
      </c>
      <c r="H15" s="1">
        <v>40000</v>
      </c>
      <c r="I15" s="1">
        <v>50000</v>
      </c>
      <c r="J15" s="1">
        <v>50000</v>
      </c>
      <c r="K15" s="16">
        <f>Demand_CWRS!B$3/31</f>
        <v>313.22137613730359</v>
      </c>
      <c r="L15" s="16">
        <f>Demand_CWRS!C$3/31</f>
        <v>241.71000827129859</v>
      </c>
      <c r="M15" s="16">
        <f>Demand_CWRS!D$3/31</f>
        <v>0</v>
      </c>
      <c r="N15" s="16">
        <f>Demand_CWRS!E$3/31</f>
        <v>98.872001654259719</v>
      </c>
      <c r="O15" s="16">
        <f>Demand_CWRS!F$3/31</f>
        <v>198.36900072373859</v>
      </c>
      <c r="P15" s="16">
        <f>Demand_CWRS!G$3/31</f>
        <v>309.67741935483872</v>
      </c>
      <c r="Q15" s="16">
        <f>Demand_CWRS!H$3/31</f>
        <v>241.71000827129859</v>
      </c>
      <c r="R15" s="16">
        <f>Demand_CWRS!I$3/31</f>
        <v>200</v>
      </c>
      <c r="S15" s="16">
        <f>Demand_CWRS!J$3/31</f>
        <v>209.67741935483872</v>
      </c>
      <c r="T15" s="16">
        <f>Demand_CWRS!K$3/31</f>
        <v>216.12903225806451</v>
      </c>
      <c r="U15" s="16">
        <f t="shared" si="3"/>
        <v>-758.65651364764358</v>
      </c>
      <c r="V15" s="16">
        <f t="shared" si="4"/>
        <v>-900.52009925558355</v>
      </c>
      <c r="W15" s="16">
        <f t="shared" si="5"/>
        <v>0</v>
      </c>
      <c r="X15" s="16">
        <f t="shared" si="6"/>
        <v>813.53598014888303</v>
      </c>
      <c r="Y15" s="16">
        <f t="shared" si="7"/>
        <v>-1380.4280086848632</v>
      </c>
      <c r="Z15" s="16">
        <f t="shared" si="8"/>
        <v>-716.1290322580644</v>
      </c>
      <c r="AA15" s="16">
        <f t="shared" si="9"/>
        <v>-400.52009925558355</v>
      </c>
      <c r="AB15" s="16">
        <f t="shared" si="10"/>
        <v>-400</v>
      </c>
      <c r="AC15" s="16">
        <f t="shared" si="11"/>
        <v>-416.12903225806502</v>
      </c>
      <c r="AD15" s="16">
        <f t="shared" si="12"/>
        <v>-593.54838709677369</v>
      </c>
      <c r="AE15" s="14">
        <f>IF([1]Sheet2!AJ14=999999,"NA",[1]Sheet2!AJ14)</f>
        <v>115</v>
      </c>
      <c r="AF15" s="14">
        <f>IF([1]Sheet2!AK14=999999,"NA",[1]Sheet2!AK14)</f>
        <v>46</v>
      </c>
      <c r="AG15" s="14" t="str">
        <f>IF([1]Sheet2!AL14=999999,"NA",[1]Sheet2!AL14)</f>
        <v>NA</v>
      </c>
      <c r="AH15" s="14">
        <f>IF([1]Sheet2!AM14=999999,"NA",[1]Sheet2!AM14)</f>
        <v>353</v>
      </c>
      <c r="AI15" s="14">
        <f>IF([1]Sheet2!AN14=999999,"NA",[1]Sheet2!AN14)</f>
        <v>353</v>
      </c>
      <c r="AJ15" s="14">
        <f>IF([1]Sheet2!AO14=999999,"NA",[1]Sheet2!AO14)</f>
        <v>353</v>
      </c>
      <c r="AK15" s="14">
        <f>IF([1]Sheet2!AP14=999999,"NA",[1]Sheet2!AP14)</f>
        <v>98</v>
      </c>
      <c r="AL15" s="14">
        <f>IF([1]Sheet2!AQ14=999999,"NA",[1]Sheet2!AQ14)</f>
        <v>229</v>
      </c>
      <c r="AM15" s="14">
        <f>IF([1]Sheet2!AR14=999999,"NA",[1]Sheet2!AR14)</f>
        <v>353</v>
      </c>
      <c r="AN15" s="14">
        <f>IF([1]Sheet2!AS14=999999,"NA",[1]Sheet2!AS14)</f>
        <v>285</v>
      </c>
      <c r="AO15" s="14">
        <f>[1]Sheet2!P14</f>
        <v>0</v>
      </c>
      <c r="AP15" s="14">
        <f>[1]Sheet2!Q14</f>
        <v>0</v>
      </c>
      <c r="AQ15" s="14">
        <f>[1]Sheet2!R14</f>
        <v>0</v>
      </c>
      <c r="AR15" s="14">
        <v>0</v>
      </c>
      <c r="AS15" s="22">
        <f>[1]Sheet2!T14</f>
        <v>0</v>
      </c>
      <c r="AT15" s="14">
        <f>[1]Sheet2!U14</f>
        <v>0</v>
      </c>
      <c r="AU15" s="14">
        <f>[1]Sheet2!V14</f>
        <v>0</v>
      </c>
      <c r="AV15" s="14">
        <f>[1]Sheet2!W14</f>
        <v>0</v>
      </c>
      <c r="AW15" s="14">
        <f>[1]Sheet2!X14</f>
        <v>0</v>
      </c>
      <c r="AX15" s="14">
        <f>[1]Sheet2!Y14</f>
        <v>0</v>
      </c>
      <c r="AY15" s="16">
        <f>Demand_LP!B$3/31</f>
        <v>503.00172404880072</v>
      </c>
      <c r="AZ15" s="16">
        <f>Demand_LP!C$3/31</f>
        <v>792.35864350703059</v>
      </c>
      <c r="BA15" s="16">
        <f>Demand_LP!D$3/31</f>
        <v>231.20967741935488</v>
      </c>
      <c r="BB15" s="16">
        <f>Demand_LP!E$3/31</f>
        <v>696.53949545078569</v>
      </c>
      <c r="BC15" s="16">
        <f>Demand_LP!F$3/31</f>
        <v>482.27093930934655</v>
      </c>
      <c r="BD15" s="16">
        <f>Demand_LP!G$3/31</f>
        <v>516.12903225806451</v>
      </c>
      <c r="BE15" s="16">
        <f>Demand_LP!H$3/31</f>
        <v>774.19354838709683</v>
      </c>
      <c r="BF15" s="16">
        <f>Demand_LP!I$3/31</f>
        <v>451.61290322580646</v>
      </c>
      <c r="BG15" s="16">
        <f>Demand_LP!J$3/31</f>
        <v>387.09677419354841</v>
      </c>
      <c r="BH15" s="16">
        <f>Demand_LP!K$3/31</f>
        <v>419.35483870967744</v>
      </c>
      <c r="BI15" s="16" t="e">
        <f t="shared" si="13"/>
        <v>#VALUE!</v>
      </c>
      <c r="BJ15" s="16">
        <f t="shared" si="14"/>
        <v>-4508.3037220843671</v>
      </c>
      <c r="BK15" s="16">
        <f t="shared" si="15"/>
        <v>-774.5161290322585</v>
      </c>
      <c r="BL15" s="16">
        <f t="shared" si="16"/>
        <v>-5358.4739454094279</v>
      </c>
      <c r="BM15" s="16">
        <f t="shared" si="17"/>
        <v>-2787.2512717121576</v>
      </c>
      <c r="BN15" s="16">
        <f t="shared" si="18"/>
        <v>-4193.5483870967737</v>
      </c>
      <c r="BO15" s="16">
        <f t="shared" si="19"/>
        <v>-6290.322580645161</v>
      </c>
      <c r="BP15" s="16">
        <f t="shared" si="20"/>
        <v>-3419.3548387096766</v>
      </c>
      <c r="BQ15" s="16">
        <f t="shared" si="21"/>
        <v>-1645.1612903225805</v>
      </c>
      <c r="BR15" s="16">
        <f t="shared" si="22"/>
        <v>-2532.2580645161297</v>
      </c>
      <c r="BS15" s="14">
        <f>IF([1]Sheet2!CA14=999999,"NA",[1]Sheet2!CA14)</f>
        <v>213946.74193548399</v>
      </c>
      <c r="BT15" s="14">
        <f>IF([1]Sheet2!CB14=999999,"NA",[1]Sheet2!CB14)</f>
        <v>275</v>
      </c>
      <c r="BU15" s="14">
        <f>IF([1]Sheet2!CC14=999999,"NA",[1]Sheet2!CC14)</f>
        <v>353</v>
      </c>
      <c r="BV15" s="14">
        <f>IF([1]Sheet2!CD14=999999,"NA",[1]Sheet2!CD14)</f>
        <v>353</v>
      </c>
      <c r="BW15" s="14">
        <f>IF([1]Sheet2!CE14=999999,"NA",[1]Sheet2!CE14)</f>
        <v>315</v>
      </c>
      <c r="BX15" s="14">
        <f>IF([1]Sheet2!CF14=999999,"NA",[1]Sheet2!CF14)</f>
        <v>353</v>
      </c>
      <c r="BY15" s="14">
        <f>IF([1]Sheet2!CG14=999999,"NA",[1]Sheet2!CG14)</f>
        <v>247</v>
      </c>
      <c r="BZ15" s="14">
        <f>IF([1]Sheet2!CH14=999999,"NA",[1]Sheet2!CH14)</f>
        <v>353</v>
      </c>
      <c r="CA15" s="14">
        <f>IF([1]Sheet2!CI14=999999,"NA",[1]Sheet2!CI14)</f>
        <v>353</v>
      </c>
      <c r="CB15" s="14">
        <f>IF([1]Sheet2!CJ14=999999,"NA",[1]Sheet2!CJ14)</f>
        <v>353</v>
      </c>
      <c r="CC15" s="14">
        <f>[1]Sheet2!BG14</f>
        <v>0</v>
      </c>
      <c r="CD15" s="14">
        <f>[1]Sheet2!BH14</f>
        <v>0</v>
      </c>
      <c r="CE15" s="14">
        <f>[1]Sheet2!BI14</f>
        <v>0</v>
      </c>
      <c r="CF15" s="14">
        <f>[1]Sheet2!BJ14</f>
        <v>0</v>
      </c>
      <c r="CG15" s="22">
        <f>[1]Sheet2!BK14</f>
        <v>0</v>
      </c>
      <c r="CH15" s="14">
        <f>[1]Sheet2!BL14</f>
        <v>0</v>
      </c>
      <c r="CI15" s="14">
        <f>[1]Sheet2!BM14</f>
        <v>0</v>
      </c>
      <c r="CJ15" s="14">
        <f>[1]Sheet2!BN14</f>
        <v>0</v>
      </c>
      <c r="CK15" s="14">
        <f>[1]Sheet2!BO14</f>
        <v>0</v>
      </c>
      <c r="CL15" s="14">
        <f>[1]Sheet2!BP14</f>
        <v>0</v>
      </c>
      <c r="CM15" s="16">
        <f>Demand_SW!B$3/31</f>
        <v>139.57816377171216</v>
      </c>
      <c r="CN15" s="16">
        <f>Demand_SW!C$3/31</f>
        <v>0</v>
      </c>
      <c r="CO15" s="16">
        <f>Demand_SW!D$3/31</f>
        <v>0</v>
      </c>
      <c r="CP15" s="16">
        <f>Demand_SW!E$3/31</f>
        <v>0</v>
      </c>
      <c r="CQ15" s="16">
        <f>Demand_SW!F$3/31</f>
        <v>0</v>
      </c>
      <c r="CR15" s="16">
        <f>Demand_SW!G$3/31</f>
        <v>132.25806451612902</v>
      </c>
      <c r="CS15" s="16">
        <f>Demand_SW!H$3/31</f>
        <v>0</v>
      </c>
      <c r="CT15" s="16">
        <f>Demand_SW!I$3/31</f>
        <v>0</v>
      </c>
      <c r="CU15" s="16">
        <f>Demand_SW!J$3/31</f>
        <v>0</v>
      </c>
      <c r="CV15" s="16">
        <f>Demand_SW!K$3/31</f>
        <v>0</v>
      </c>
      <c r="CW15" s="16">
        <f t="shared" si="23"/>
        <v>49325.062034739414</v>
      </c>
      <c r="CX15" s="16">
        <f t="shared" si="24"/>
        <v>500</v>
      </c>
      <c r="CY15" s="16">
        <f t="shared" si="25"/>
        <v>0</v>
      </c>
      <c r="CZ15" s="16">
        <f t="shared" si="26"/>
        <v>0</v>
      </c>
      <c r="DA15" s="16">
        <f t="shared" si="27"/>
        <v>0</v>
      </c>
      <c r="DB15" s="16">
        <f t="shared" si="28"/>
        <v>-587.0967741935483</v>
      </c>
      <c r="DC15" s="16">
        <f t="shared" si="29"/>
        <v>500</v>
      </c>
      <c r="DD15" s="16">
        <f t="shared" si="30"/>
        <v>0</v>
      </c>
      <c r="DE15" s="16">
        <f t="shared" si="31"/>
        <v>0</v>
      </c>
      <c r="DF15" s="16">
        <f t="shared" si="32"/>
        <v>0</v>
      </c>
      <c r="DG15" s="14">
        <f>IF([1]Sheet2!DR14=999999,"NA",[1]Sheet2!DR14)</f>
        <v>73103</v>
      </c>
      <c r="DH15" s="14">
        <f>IF([1]Sheet2!DS14=999999,"NA",[1]Sheet2!DS14)</f>
        <v>353</v>
      </c>
      <c r="DI15" s="14">
        <f>IF([1]Sheet2!DT14=999999,"NA",[1]Sheet2!DT14)</f>
        <v>353</v>
      </c>
      <c r="DJ15" s="14" t="str">
        <f>IF([1]Sheet2!DU14=999999,"NA",[1]Sheet2!DU14)</f>
        <v>NA</v>
      </c>
      <c r="DK15" s="14" t="str">
        <f>IF([1]Sheet2!DV14=999999,"NA",[1]Sheet2!DV14)</f>
        <v>NA</v>
      </c>
      <c r="DL15" s="14" t="str">
        <f>IF([1]Sheet2!DW14=999999,"NA",[1]Sheet2!DW14)</f>
        <v>NA</v>
      </c>
      <c r="DM15" s="14">
        <f>IF([1]Sheet2!DX14=999999,"NA",[1]Sheet2!DX14)</f>
        <v>353</v>
      </c>
      <c r="DN15" s="14">
        <f>IF([1]Sheet2!DY14=999999,"NA",[1]Sheet2!DY14)</f>
        <v>353</v>
      </c>
      <c r="DO15" s="14" t="str">
        <f>IF([1]Sheet2!DZ14=999999,"NA",[1]Sheet2!DZ14)</f>
        <v>NA</v>
      </c>
      <c r="DP15" s="14" t="str">
        <f>IF([1]Sheet2!EA14=999999,"NA",[1]Sheet2!EA14)</f>
        <v>NA</v>
      </c>
      <c r="DQ15" s="14">
        <f>[1]Sheet2!CX14</f>
        <v>0</v>
      </c>
      <c r="DR15" s="14">
        <f>[1]Sheet2!CY14</f>
        <v>0</v>
      </c>
      <c r="DS15" s="14">
        <f>[1]Sheet2!CZ14</f>
        <v>0</v>
      </c>
      <c r="DT15" s="14">
        <f>[1]Sheet2!DA14</f>
        <v>0</v>
      </c>
      <c r="DU15" s="14">
        <f>[1]Sheet2!DB14</f>
        <v>0</v>
      </c>
      <c r="DV15" s="14">
        <f>[1]Sheet2!DC14</f>
        <v>0</v>
      </c>
      <c r="DW15" s="14">
        <f>[1]Sheet2!DD14</f>
        <v>0</v>
      </c>
      <c r="DX15" s="14">
        <f>[1]Sheet2!DE14</f>
        <v>0</v>
      </c>
      <c r="DY15" s="14">
        <f>[1]Sheet2!DF14</f>
        <v>0</v>
      </c>
      <c r="DZ15" s="14">
        <f>[1]Sheet2!DG14</f>
        <v>0</v>
      </c>
    </row>
    <row r="16" spans="1:130" x14ac:dyDescent="0.25">
      <c r="A16" s="15">
        <v>43478</v>
      </c>
      <c r="B16" s="1"/>
      <c r="C16" s="1"/>
      <c r="D16" s="1"/>
      <c r="E16" s="14">
        <f>[1]Sheet2!N15</f>
        <v>0</v>
      </c>
      <c r="F16" s="14">
        <f>[1]Sheet2!BE15</f>
        <v>0</v>
      </c>
      <c r="G16" s="14">
        <f>[1]Sheet2!CV15</f>
        <v>271.83622828784121</v>
      </c>
      <c r="H16" s="1"/>
      <c r="I16" s="1"/>
      <c r="J16" s="1"/>
      <c r="K16" s="16">
        <f>Demand_CWRS!B$3/31</f>
        <v>313.22137613730359</v>
      </c>
      <c r="L16" s="16">
        <f>Demand_CWRS!C$3/31</f>
        <v>241.71000827129859</v>
      </c>
      <c r="M16" s="16">
        <f>Demand_CWRS!D$3/31</f>
        <v>0</v>
      </c>
      <c r="N16" s="16">
        <f>Demand_CWRS!E$3/31</f>
        <v>98.872001654259719</v>
      </c>
      <c r="O16" s="16">
        <f>Demand_CWRS!F$3/31</f>
        <v>198.36900072373859</v>
      </c>
      <c r="P16" s="16">
        <f>Demand_CWRS!G$3/31</f>
        <v>309.67741935483872</v>
      </c>
      <c r="Q16" s="16">
        <f>Demand_CWRS!H$3/31</f>
        <v>241.71000827129859</v>
      </c>
      <c r="R16" s="16">
        <f>Demand_CWRS!I$3/31</f>
        <v>200</v>
      </c>
      <c r="S16" s="16">
        <f>Demand_CWRS!J$3/31</f>
        <v>209.67741935483872</v>
      </c>
      <c r="T16" s="16">
        <f>Demand_CWRS!K$3/31</f>
        <v>216.12903225806451</v>
      </c>
      <c r="U16" s="16">
        <f t="shared" si="3"/>
        <v>-1071.8778897849472</v>
      </c>
      <c r="V16" s="16">
        <f t="shared" si="4"/>
        <v>-1142.2301075268822</v>
      </c>
      <c r="W16" s="16">
        <f t="shared" si="5"/>
        <v>0</v>
      </c>
      <c r="X16" s="16">
        <f t="shared" si="6"/>
        <v>714.66397849462328</v>
      </c>
      <c r="Y16" s="16">
        <f t="shared" si="7"/>
        <v>-1578.7970094086018</v>
      </c>
      <c r="Z16" s="16">
        <f t="shared" si="8"/>
        <v>-1025.8064516129032</v>
      </c>
      <c r="AA16" s="16">
        <f t="shared" si="9"/>
        <v>-642.23010752688219</v>
      </c>
      <c r="AB16" s="16">
        <f t="shared" si="10"/>
        <v>-600</v>
      </c>
      <c r="AC16" s="16">
        <f t="shared" si="11"/>
        <v>-625.80645161290374</v>
      </c>
      <c r="AD16" s="16">
        <f t="shared" si="12"/>
        <v>-809.67741935483821</v>
      </c>
      <c r="AE16" s="14">
        <f>IF([1]Sheet2!AJ15=999999,"NA",[1]Sheet2!AJ15)</f>
        <v>114</v>
      </c>
      <c r="AF16" s="14">
        <f>IF([1]Sheet2!AK15=999999,"NA",[1]Sheet2!AK15)</f>
        <v>45</v>
      </c>
      <c r="AG16" s="14" t="str">
        <f>IF([1]Sheet2!AL15=999999,"NA",[1]Sheet2!AL15)</f>
        <v>NA</v>
      </c>
      <c r="AH16" s="14">
        <f>IF([1]Sheet2!AM15=999999,"NA",[1]Sheet2!AM15)</f>
        <v>352</v>
      </c>
      <c r="AI16" s="14">
        <f>IF([1]Sheet2!AN15=999999,"NA",[1]Sheet2!AN15)</f>
        <v>352</v>
      </c>
      <c r="AJ16" s="14">
        <f>IF([1]Sheet2!AO15=999999,"NA",[1]Sheet2!AO15)</f>
        <v>352</v>
      </c>
      <c r="AK16" s="14">
        <f>IF([1]Sheet2!AP15=999999,"NA",[1]Sheet2!AP15)</f>
        <v>97</v>
      </c>
      <c r="AL16" s="14">
        <f>IF([1]Sheet2!AQ15=999999,"NA",[1]Sheet2!AQ15)</f>
        <v>228</v>
      </c>
      <c r="AM16" s="14">
        <f>IF([1]Sheet2!AR15=999999,"NA",[1]Sheet2!AR15)</f>
        <v>352</v>
      </c>
      <c r="AN16" s="14">
        <f>IF([1]Sheet2!AS15=999999,"NA",[1]Sheet2!AS15)</f>
        <v>284</v>
      </c>
      <c r="AO16" s="14">
        <f>[1]Sheet2!P15</f>
        <v>0</v>
      </c>
      <c r="AP16" s="14">
        <f>[1]Sheet2!Q15</f>
        <v>0</v>
      </c>
      <c r="AQ16" s="14">
        <f>[1]Sheet2!R15</f>
        <v>0</v>
      </c>
      <c r="AR16" s="14">
        <f>[1]Sheet2!S15</f>
        <v>0</v>
      </c>
      <c r="AS16" s="14">
        <f>[1]Sheet2!T15</f>
        <v>0</v>
      </c>
      <c r="AT16" s="14">
        <f>[1]Sheet2!U15</f>
        <v>0</v>
      </c>
      <c r="AU16" s="14">
        <f>[1]Sheet2!V15</f>
        <v>0</v>
      </c>
      <c r="AV16" s="14">
        <f>[1]Sheet2!W15</f>
        <v>0</v>
      </c>
      <c r="AW16" s="14">
        <f>[1]Sheet2!X15</f>
        <v>0</v>
      </c>
      <c r="AX16" s="14">
        <f>[1]Sheet2!Y15</f>
        <v>0</v>
      </c>
      <c r="AY16" s="16">
        <f>Demand_LP!B$3/31</f>
        <v>503.00172404880072</v>
      </c>
      <c r="AZ16" s="16">
        <f>Demand_LP!C$3/31</f>
        <v>792.35864350703059</v>
      </c>
      <c r="BA16" s="16">
        <f>Demand_LP!D$3/31</f>
        <v>231.20967741935488</v>
      </c>
      <c r="BB16" s="16">
        <f>Demand_LP!E$3/31</f>
        <v>696.53949545078569</v>
      </c>
      <c r="BC16" s="16">
        <f>Demand_LP!F$3/31</f>
        <v>482.27093930934655</v>
      </c>
      <c r="BD16" s="16">
        <f>Demand_LP!G$3/31</f>
        <v>516.12903225806451</v>
      </c>
      <c r="BE16" s="16">
        <f>Demand_LP!H$3/31</f>
        <v>774.19354838709683</v>
      </c>
      <c r="BF16" s="16">
        <f>Demand_LP!I$3/31</f>
        <v>451.61290322580646</v>
      </c>
      <c r="BG16" s="16">
        <f>Demand_LP!J$3/31</f>
        <v>387.09677419354841</v>
      </c>
      <c r="BH16" s="16">
        <f>Demand_LP!K$3/31</f>
        <v>419.35483870967744</v>
      </c>
      <c r="BI16" s="16" t="e">
        <f t="shared" si="13"/>
        <v>#VALUE!</v>
      </c>
      <c r="BJ16" s="16">
        <f t="shared" si="14"/>
        <v>-5300.6623655913972</v>
      </c>
      <c r="BK16" s="16">
        <f t="shared" si="15"/>
        <v>-1005.7258064516134</v>
      </c>
      <c r="BL16" s="16">
        <f t="shared" si="16"/>
        <v>-6055.0134408602134</v>
      </c>
      <c r="BM16" s="16">
        <f t="shared" si="17"/>
        <v>-3269.5222110215041</v>
      </c>
      <c r="BN16" s="16">
        <f t="shared" si="18"/>
        <v>-4709.6774193548381</v>
      </c>
      <c r="BO16" s="16">
        <f t="shared" si="19"/>
        <v>-7064.5161290322576</v>
      </c>
      <c r="BP16" s="16">
        <f t="shared" si="20"/>
        <v>-3870.967741935483</v>
      </c>
      <c r="BQ16" s="16">
        <f t="shared" si="21"/>
        <v>-2032.2580645161288</v>
      </c>
      <c r="BR16" s="16">
        <f t="shared" si="22"/>
        <v>-2951.6129032258073</v>
      </c>
      <c r="BS16" s="14">
        <f>IF([1]Sheet2!CA15=999999,"NA",[1]Sheet2!CA15)</f>
        <v>213527.38709677433</v>
      </c>
      <c r="BT16" s="14">
        <f>IF([1]Sheet2!CB15=999999,"NA",[1]Sheet2!CB15)</f>
        <v>274</v>
      </c>
      <c r="BU16" s="14">
        <f>IF([1]Sheet2!CC15=999999,"NA",[1]Sheet2!CC15)</f>
        <v>352</v>
      </c>
      <c r="BV16" s="14">
        <f>IF([1]Sheet2!CD15=999999,"NA",[1]Sheet2!CD15)</f>
        <v>352</v>
      </c>
      <c r="BW16" s="14">
        <f>IF([1]Sheet2!CE15=999999,"NA",[1]Sheet2!CE15)</f>
        <v>314</v>
      </c>
      <c r="BX16" s="14">
        <f>IF([1]Sheet2!CF15=999999,"NA",[1]Sheet2!CF15)</f>
        <v>352</v>
      </c>
      <c r="BY16" s="14">
        <f>IF([1]Sheet2!CG15=999999,"NA",[1]Sheet2!CG15)</f>
        <v>246</v>
      </c>
      <c r="BZ16" s="14">
        <f>IF([1]Sheet2!CH15=999999,"NA",[1]Sheet2!CH15)</f>
        <v>352</v>
      </c>
      <c r="CA16" s="14">
        <f>IF([1]Sheet2!CI15=999999,"NA",[1]Sheet2!CI15)</f>
        <v>352</v>
      </c>
      <c r="CB16" s="14">
        <f>IF([1]Sheet2!CJ15=999999,"NA",[1]Sheet2!CJ15)</f>
        <v>352</v>
      </c>
      <c r="CC16" s="14">
        <f>[1]Sheet2!BG15</f>
        <v>0</v>
      </c>
      <c r="CD16" s="14">
        <f>[1]Sheet2!BH15</f>
        <v>0</v>
      </c>
      <c r="CE16" s="14">
        <f>[1]Sheet2!BI15</f>
        <v>0</v>
      </c>
      <c r="CF16" s="14">
        <f>[1]Sheet2!BJ15</f>
        <v>0</v>
      </c>
      <c r="CG16" s="14">
        <f>[1]Sheet2!BK15</f>
        <v>0</v>
      </c>
      <c r="CH16" s="14">
        <f>[1]Sheet2!BL15</f>
        <v>0</v>
      </c>
      <c r="CI16" s="14">
        <f>[1]Sheet2!BM15</f>
        <v>0</v>
      </c>
      <c r="CJ16" s="14">
        <f>[1]Sheet2!BN15</f>
        <v>0</v>
      </c>
      <c r="CK16" s="14">
        <f>[1]Sheet2!BO15</f>
        <v>0</v>
      </c>
      <c r="CL16" s="14">
        <f>[1]Sheet2!BP15</f>
        <v>0</v>
      </c>
      <c r="CM16" s="16">
        <f>Demand_SW!B$3/31</f>
        <v>139.57816377171216</v>
      </c>
      <c r="CN16" s="16">
        <f>Demand_SW!C$3/31</f>
        <v>0</v>
      </c>
      <c r="CO16" s="16">
        <f>Demand_SW!D$3/31</f>
        <v>0</v>
      </c>
      <c r="CP16" s="16">
        <f>Demand_SW!E$3/31</f>
        <v>0</v>
      </c>
      <c r="CQ16" s="16">
        <f>Demand_SW!F$3/31</f>
        <v>0</v>
      </c>
      <c r="CR16" s="16">
        <f>Demand_SW!G$3/31</f>
        <v>132.25806451612902</v>
      </c>
      <c r="CS16" s="16">
        <f>Demand_SW!H$3/31</f>
        <v>0</v>
      </c>
      <c r="CT16" s="16">
        <f>Demand_SW!I$3/31</f>
        <v>0</v>
      </c>
      <c r="CU16" s="16">
        <f>Demand_SW!J$3/31</f>
        <v>0</v>
      </c>
      <c r="CV16" s="16">
        <f>Demand_SW!K$3/31</f>
        <v>0</v>
      </c>
      <c r="CW16" s="16">
        <f t="shared" si="23"/>
        <v>49185.483870967699</v>
      </c>
      <c r="CX16" s="16">
        <f t="shared" si="24"/>
        <v>500</v>
      </c>
      <c r="CY16" s="16">
        <f t="shared" si="25"/>
        <v>0</v>
      </c>
      <c r="CZ16" s="16">
        <f t="shared" si="26"/>
        <v>0</v>
      </c>
      <c r="DA16" s="16">
        <f t="shared" si="27"/>
        <v>0</v>
      </c>
      <c r="DB16" s="16">
        <f t="shared" si="28"/>
        <v>-719.35483870967732</v>
      </c>
      <c r="DC16" s="16">
        <f t="shared" si="29"/>
        <v>500</v>
      </c>
      <c r="DD16" s="16">
        <f t="shared" si="30"/>
        <v>0</v>
      </c>
      <c r="DE16" s="16">
        <f t="shared" si="31"/>
        <v>0</v>
      </c>
      <c r="DF16" s="16">
        <f t="shared" si="32"/>
        <v>0</v>
      </c>
      <c r="DG16" s="14">
        <f>IF([1]Sheet2!DR15=999999,"NA",[1]Sheet2!DR15)</f>
        <v>73103</v>
      </c>
      <c r="DH16" s="14">
        <f>IF([1]Sheet2!DS15=999999,"NA",[1]Sheet2!DS15)</f>
        <v>352</v>
      </c>
      <c r="DI16" s="14">
        <f>IF([1]Sheet2!DT15=999999,"NA",[1]Sheet2!DT15)</f>
        <v>352</v>
      </c>
      <c r="DJ16" s="14" t="str">
        <f>IF([1]Sheet2!DU15=999999,"NA",[1]Sheet2!DU15)</f>
        <v>NA</v>
      </c>
      <c r="DK16" s="14" t="str">
        <f>IF([1]Sheet2!DV15=999999,"NA",[1]Sheet2!DV15)</f>
        <v>NA</v>
      </c>
      <c r="DL16" s="14" t="str">
        <f>IF([1]Sheet2!DW15=999999,"NA",[1]Sheet2!DW15)</f>
        <v>NA</v>
      </c>
      <c r="DM16" s="14">
        <f>IF([1]Sheet2!DX15=999999,"NA",[1]Sheet2!DX15)</f>
        <v>352</v>
      </c>
      <c r="DN16" s="14">
        <f>IF([1]Sheet2!DY15=999999,"NA",[1]Sheet2!DY15)</f>
        <v>352</v>
      </c>
      <c r="DO16" s="14" t="str">
        <f>IF([1]Sheet2!DZ15=999999,"NA",[1]Sheet2!DZ15)</f>
        <v>NA</v>
      </c>
      <c r="DP16" s="14" t="str">
        <f>IF([1]Sheet2!EA15=999999,"NA",[1]Sheet2!EA15)</f>
        <v>NA</v>
      </c>
      <c r="DQ16" s="14">
        <f>[1]Sheet2!CX15</f>
        <v>0</v>
      </c>
      <c r="DR16" s="14">
        <f>[1]Sheet2!CY15</f>
        <v>0</v>
      </c>
      <c r="DS16" s="14">
        <f>[1]Sheet2!CZ15</f>
        <v>0</v>
      </c>
      <c r="DT16" s="14">
        <f>[1]Sheet2!DA15</f>
        <v>0</v>
      </c>
      <c r="DU16" s="14">
        <f>[1]Sheet2!DB15</f>
        <v>0</v>
      </c>
      <c r="DV16" s="14">
        <f>[1]Sheet2!DC15</f>
        <v>0</v>
      </c>
      <c r="DW16" s="14">
        <f>[1]Sheet2!DD15</f>
        <v>0</v>
      </c>
      <c r="DX16" s="14">
        <f>[1]Sheet2!DE15</f>
        <v>0</v>
      </c>
      <c r="DY16" s="14">
        <f>[1]Sheet2!DF15</f>
        <v>0</v>
      </c>
      <c r="DZ16" s="14">
        <f>[1]Sheet2!DG15</f>
        <v>0</v>
      </c>
    </row>
    <row r="17" spans="1:130" x14ac:dyDescent="0.25">
      <c r="A17" s="15">
        <v>43479</v>
      </c>
      <c r="B17" s="1"/>
      <c r="C17" s="1"/>
      <c r="D17" s="1"/>
      <c r="E17" s="14">
        <f>[1]Sheet2!N16</f>
        <v>0</v>
      </c>
      <c r="F17" s="14">
        <f>[1]Sheet2!BE16</f>
        <v>0</v>
      </c>
      <c r="G17" s="14">
        <f>[1]Sheet2!CV16</f>
        <v>271.83622828784121</v>
      </c>
      <c r="H17" s="1"/>
      <c r="I17" s="1"/>
      <c r="J17" s="1"/>
      <c r="K17" s="16">
        <f>Demand_CWRS!B$3/31</f>
        <v>313.22137613730359</v>
      </c>
      <c r="L17" s="16">
        <f>Demand_CWRS!C$3/31</f>
        <v>241.71000827129859</v>
      </c>
      <c r="M17" s="16">
        <f>Demand_CWRS!D$3/31</f>
        <v>0</v>
      </c>
      <c r="N17" s="16">
        <f>Demand_CWRS!E$3/31</f>
        <v>98.872001654259719</v>
      </c>
      <c r="O17" s="16">
        <f>Demand_CWRS!F$3/31</f>
        <v>198.36900072373859</v>
      </c>
      <c r="P17" s="16">
        <f>Demand_CWRS!G$3/31</f>
        <v>309.67741935483872</v>
      </c>
      <c r="Q17" s="16">
        <f>Demand_CWRS!H$3/31</f>
        <v>241.71000827129859</v>
      </c>
      <c r="R17" s="16">
        <f>Demand_CWRS!I$3/31</f>
        <v>200</v>
      </c>
      <c r="S17" s="16">
        <f>Demand_CWRS!J$3/31</f>
        <v>209.67741935483872</v>
      </c>
      <c r="T17" s="16">
        <f>Demand_CWRS!K$3/31</f>
        <v>216.12903225806451</v>
      </c>
      <c r="U17" s="16">
        <f t="shared" si="3"/>
        <v>-1385.0992659222509</v>
      </c>
      <c r="V17" s="16">
        <f t="shared" si="4"/>
        <v>-1383.9401157981808</v>
      </c>
      <c r="W17" s="16">
        <f t="shared" si="5"/>
        <v>0</v>
      </c>
      <c r="X17" s="16">
        <f t="shared" si="6"/>
        <v>615.79197684036353</v>
      </c>
      <c r="Y17" s="16">
        <f t="shared" si="7"/>
        <v>-1777.1660101323403</v>
      </c>
      <c r="Z17" s="16">
        <f t="shared" si="8"/>
        <v>-1335.483870967742</v>
      </c>
      <c r="AA17" s="16">
        <f t="shared" si="9"/>
        <v>-883.94011579818084</v>
      </c>
      <c r="AB17" s="16">
        <f t="shared" si="10"/>
        <v>-800</v>
      </c>
      <c r="AC17" s="16">
        <f t="shared" si="11"/>
        <v>-835.4838709677424</v>
      </c>
      <c r="AD17" s="16">
        <f t="shared" si="12"/>
        <v>-1025.8064516129027</v>
      </c>
      <c r="AE17" s="14">
        <f>IF([1]Sheet2!AJ16=999999,"NA",[1]Sheet2!AJ16)</f>
        <v>113</v>
      </c>
      <c r="AF17" s="14">
        <f>IF([1]Sheet2!AK16=999999,"NA",[1]Sheet2!AK16)</f>
        <v>44</v>
      </c>
      <c r="AG17" s="14" t="str">
        <f>IF([1]Sheet2!AL16=999999,"NA",[1]Sheet2!AL16)</f>
        <v>NA</v>
      </c>
      <c r="AH17" s="14">
        <f>IF([1]Sheet2!AM16=999999,"NA",[1]Sheet2!AM16)</f>
        <v>351</v>
      </c>
      <c r="AI17" s="14">
        <f>IF([1]Sheet2!AN16=999999,"NA",[1]Sheet2!AN16)</f>
        <v>351</v>
      </c>
      <c r="AJ17" s="14">
        <f>IF([1]Sheet2!AO16=999999,"NA",[1]Sheet2!AO16)</f>
        <v>351</v>
      </c>
      <c r="AK17" s="14">
        <f>IF([1]Sheet2!AP16=999999,"NA",[1]Sheet2!AP16)</f>
        <v>96</v>
      </c>
      <c r="AL17" s="14">
        <f>IF([1]Sheet2!AQ16=999999,"NA",[1]Sheet2!AQ16)</f>
        <v>227</v>
      </c>
      <c r="AM17" s="14">
        <f>IF([1]Sheet2!AR16=999999,"NA",[1]Sheet2!AR16)</f>
        <v>351</v>
      </c>
      <c r="AN17" s="14">
        <f>IF([1]Sheet2!AS16=999999,"NA",[1]Sheet2!AS16)</f>
        <v>283</v>
      </c>
      <c r="AO17" s="14">
        <f>[1]Sheet2!P16</f>
        <v>0</v>
      </c>
      <c r="AP17" s="14">
        <f>[1]Sheet2!Q16</f>
        <v>0</v>
      </c>
      <c r="AQ17" s="14">
        <f>[1]Sheet2!R16</f>
        <v>0</v>
      </c>
      <c r="AR17" s="14">
        <f>[1]Sheet2!S16</f>
        <v>0</v>
      </c>
      <c r="AS17" s="14">
        <f>[1]Sheet2!T16</f>
        <v>0</v>
      </c>
      <c r="AT17" s="14">
        <f>[1]Sheet2!U16</f>
        <v>0</v>
      </c>
      <c r="AU17" s="14">
        <f>[1]Sheet2!V16</f>
        <v>0</v>
      </c>
      <c r="AV17" s="14">
        <f>[1]Sheet2!W16</f>
        <v>0</v>
      </c>
      <c r="AW17" s="14">
        <f>[1]Sheet2!X16</f>
        <v>0</v>
      </c>
      <c r="AX17" s="14">
        <f>[1]Sheet2!Y16</f>
        <v>0</v>
      </c>
      <c r="AY17" s="16">
        <f>Demand_LP!B$3/31</f>
        <v>503.00172404880072</v>
      </c>
      <c r="AZ17" s="16">
        <f>Demand_LP!C$3/31</f>
        <v>792.35864350703059</v>
      </c>
      <c r="BA17" s="16">
        <f>Demand_LP!D$3/31</f>
        <v>231.20967741935488</v>
      </c>
      <c r="BB17" s="16">
        <f>Demand_LP!E$3/31</f>
        <v>696.53949545078569</v>
      </c>
      <c r="BC17" s="16">
        <f>Demand_LP!F$3/31</f>
        <v>482.27093930934655</v>
      </c>
      <c r="BD17" s="16">
        <f>Demand_LP!G$3/31</f>
        <v>516.12903225806451</v>
      </c>
      <c r="BE17" s="16">
        <f>Demand_LP!H$3/31</f>
        <v>774.19354838709683</v>
      </c>
      <c r="BF17" s="16">
        <f>Demand_LP!I$3/31</f>
        <v>451.61290322580646</v>
      </c>
      <c r="BG17" s="16">
        <f>Demand_LP!J$3/31</f>
        <v>387.09677419354841</v>
      </c>
      <c r="BH17" s="16">
        <f>Demand_LP!K$3/31</f>
        <v>419.35483870967744</v>
      </c>
      <c r="BI17" s="16" t="e">
        <f t="shared" si="13"/>
        <v>#VALUE!</v>
      </c>
      <c r="BJ17" s="16">
        <f t="shared" si="14"/>
        <v>-6093.0210090984274</v>
      </c>
      <c r="BK17" s="16">
        <f t="shared" si="15"/>
        <v>-1236.9354838709683</v>
      </c>
      <c r="BL17" s="16">
        <f t="shared" si="16"/>
        <v>-6751.552936310999</v>
      </c>
      <c r="BM17" s="16">
        <f t="shared" si="17"/>
        <v>-3751.7931503308505</v>
      </c>
      <c r="BN17" s="16">
        <f t="shared" si="18"/>
        <v>-5225.8064516129025</v>
      </c>
      <c r="BO17" s="16">
        <f t="shared" si="19"/>
        <v>-7838.7096774193542</v>
      </c>
      <c r="BP17" s="16">
        <f t="shared" si="20"/>
        <v>-4322.5806451612898</v>
      </c>
      <c r="BQ17" s="16">
        <f t="shared" si="21"/>
        <v>-2419.3548387096771</v>
      </c>
      <c r="BR17" s="16">
        <f t="shared" si="22"/>
        <v>-3370.9677419354848</v>
      </c>
      <c r="BS17" s="14">
        <f>IF([1]Sheet2!CA16=999999,"NA",[1]Sheet2!CA16)</f>
        <v>213108.03225806466</v>
      </c>
      <c r="BT17" s="14">
        <f>IF([1]Sheet2!CB16=999999,"NA",[1]Sheet2!CB16)</f>
        <v>273</v>
      </c>
      <c r="BU17" s="14">
        <f>IF([1]Sheet2!CC16=999999,"NA",[1]Sheet2!CC16)</f>
        <v>351</v>
      </c>
      <c r="BV17" s="14">
        <f>IF([1]Sheet2!CD16=999999,"NA",[1]Sheet2!CD16)</f>
        <v>351</v>
      </c>
      <c r="BW17" s="14">
        <f>IF([1]Sheet2!CE16=999999,"NA",[1]Sheet2!CE16)</f>
        <v>313</v>
      </c>
      <c r="BX17" s="14">
        <f>IF([1]Sheet2!CF16=999999,"NA",[1]Sheet2!CF16)</f>
        <v>351</v>
      </c>
      <c r="BY17" s="14">
        <f>IF([1]Sheet2!CG16=999999,"NA",[1]Sheet2!CG16)</f>
        <v>245</v>
      </c>
      <c r="BZ17" s="14">
        <f>IF([1]Sheet2!CH16=999999,"NA",[1]Sheet2!CH16)</f>
        <v>351</v>
      </c>
      <c r="CA17" s="14">
        <f>IF([1]Sheet2!CI16=999999,"NA",[1]Sheet2!CI16)</f>
        <v>351</v>
      </c>
      <c r="CB17" s="14">
        <f>IF([1]Sheet2!CJ16=999999,"NA",[1]Sheet2!CJ16)</f>
        <v>351</v>
      </c>
      <c r="CC17" s="14">
        <f>[1]Sheet2!BG16</f>
        <v>0</v>
      </c>
      <c r="CD17" s="14">
        <f>[1]Sheet2!BH16</f>
        <v>0</v>
      </c>
      <c r="CE17" s="14">
        <f>[1]Sheet2!BI16</f>
        <v>0</v>
      </c>
      <c r="CF17" s="14">
        <f>[1]Sheet2!BJ16</f>
        <v>0</v>
      </c>
      <c r="CG17" s="14">
        <f>[1]Sheet2!BK16</f>
        <v>0</v>
      </c>
      <c r="CH17" s="14">
        <f>[1]Sheet2!BL16</f>
        <v>0</v>
      </c>
      <c r="CI17" s="14">
        <f>[1]Sheet2!BM16</f>
        <v>0</v>
      </c>
      <c r="CJ17" s="14">
        <f>[1]Sheet2!BN16</f>
        <v>0</v>
      </c>
      <c r="CK17" s="14">
        <f>[1]Sheet2!BO16</f>
        <v>0</v>
      </c>
      <c r="CL17" s="14">
        <f>[1]Sheet2!BP16</f>
        <v>0</v>
      </c>
      <c r="CM17" s="16">
        <f>Demand_SW!B$3/31</f>
        <v>139.57816377171216</v>
      </c>
      <c r="CN17" s="16">
        <f>Demand_SW!C$3/31</f>
        <v>0</v>
      </c>
      <c r="CO17" s="16">
        <f>Demand_SW!D$3/31</f>
        <v>0</v>
      </c>
      <c r="CP17" s="16">
        <f>Demand_SW!E$3/31</f>
        <v>0</v>
      </c>
      <c r="CQ17" s="16">
        <f>Demand_SW!F$3/31</f>
        <v>0</v>
      </c>
      <c r="CR17" s="16">
        <f>Demand_SW!G$3/31</f>
        <v>132.25806451612902</v>
      </c>
      <c r="CS17" s="16">
        <f>Demand_SW!H$3/31</f>
        <v>0</v>
      </c>
      <c r="CT17" s="16">
        <f>Demand_SW!I$3/31</f>
        <v>0</v>
      </c>
      <c r="CU17" s="16">
        <f>Demand_SW!J$3/31</f>
        <v>0</v>
      </c>
      <c r="CV17" s="16">
        <f>Demand_SW!K$3/31</f>
        <v>0</v>
      </c>
      <c r="CW17" s="16">
        <f t="shared" si="23"/>
        <v>49045.905707195983</v>
      </c>
      <c r="CX17" s="16">
        <f t="shared" si="24"/>
        <v>500</v>
      </c>
      <c r="CY17" s="16">
        <f t="shared" si="25"/>
        <v>0</v>
      </c>
      <c r="CZ17" s="16">
        <f t="shared" si="26"/>
        <v>0</v>
      </c>
      <c r="DA17" s="16">
        <f t="shared" si="27"/>
        <v>0</v>
      </c>
      <c r="DB17" s="16">
        <f t="shared" si="28"/>
        <v>-851.61290322580635</v>
      </c>
      <c r="DC17" s="16">
        <f t="shared" si="29"/>
        <v>500</v>
      </c>
      <c r="DD17" s="16">
        <f t="shared" si="30"/>
        <v>0</v>
      </c>
      <c r="DE17" s="16">
        <f t="shared" si="31"/>
        <v>0</v>
      </c>
      <c r="DF17" s="16">
        <f t="shared" si="32"/>
        <v>0</v>
      </c>
      <c r="DG17" s="14">
        <f>IF([1]Sheet2!DR16=999999,"NA",[1]Sheet2!DR16)</f>
        <v>73103</v>
      </c>
      <c r="DH17" s="14">
        <f>IF([1]Sheet2!DS16=999999,"NA",[1]Sheet2!DS16)</f>
        <v>351</v>
      </c>
      <c r="DI17" s="14">
        <f>IF([1]Sheet2!DT16=999999,"NA",[1]Sheet2!DT16)</f>
        <v>351</v>
      </c>
      <c r="DJ17" s="14" t="str">
        <f>IF([1]Sheet2!DU16=999999,"NA",[1]Sheet2!DU16)</f>
        <v>NA</v>
      </c>
      <c r="DK17" s="14" t="str">
        <f>IF([1]Sheet2!DV16=999999,"NA",[1]Sheet2!DV16)</f>
        <v>NA</v>
      </c>
      <c r="DL17" s="14" t="str">
        <f>IF([1]Sheet2!DW16=999999,"NA",[1]Sheet2!DW16)</f>
        <v>NA</v>
      </c>
      <c r="DM17" s="14">
        <f>IF([1]Sheet2!DX16=999999,"NA",[1]Sheet2!DX16)</f>
        <v>351</v>
      </c>
      <c r="DN17" s="14">
        <f>IF([1]Sheet2!DY16=999999,"NA",[1]Sheet2!DY16)</f>
        <v>351</v>
      </c>
      <c r="DO17" s="14" t="str">
        <f>IF([1]Sheet2!DZ16=999999,"NA",[1]Sheet2!DZ16)</f>
        <v>NA</v>
      </c>
      <c r="DP17" s="14" t="str">
        <f>IF([1]Sheet2!EA16=999999,"NA",[1]Sheet2!EA16)</f>
        <v>NA</v>
      </c>
      <c r="DQ17" s="14">
        <f>[1]Sheet2!CX16</f>
        <v>0</v>
      </c>
      <c r="DR17" s="14">
        <f>[1]Sheet2!CY16</f>
        <v>0</v>
      </c>
      <c r="DS17" s="14">
        <f>[1]Sheet2!CZ16</f>
        <v>0</v>
      </c>
      <c r="DT17" s="14">
        <f>[1]Sheet2!DA16</f>
        <v>0</v>
      </c>
      <c r="DU17" s="14">
        <f>[1]Sheet2!DB16</f>
        <v>0</v>
      </c>
      <c r="DV17" s="14">
        <f>[1]Sheet2!DC16</f>
        <v>0</v>
      </c>
      <c r="DW17" s="14">
        <f>[1]Sheet2!DD16</f>
        <v>0</v>
      </c>
      <c r="DX17" s="14">
        <f>[1]Sheet2!DE16</f>
        <v>0</v>
      </c>
      <c r="DY17" s="14">
        <f>[1]Sheet2!DF16</f>
        <v>0</v>
      </c>
      <c r="DZ17" s="14">
        <f>[1]Sheet2!DG16</f>
        <v>0</v>
      </c>
    </row>
    <row r="18" spans="1:130" x14ac:dyDescent="0.25">
      <c r="A18" s="15">
        <v>43480</v>
      </c>
      <c r="B18" s="1"/>
      <c r="C18" s="1"/>
      <c r="D18" s="1"/>
      <c r="E18" s="14">
        <f>[1]Sheet2!N17</f>
        <v>0</v>
      </c>
      <c r="F18" s="14">
        <f>[1]Sheet2!BE17</f>
        <v>0</v>
      </c>
      <c r="G18" s="14">
        <f>[1]Sheet2!CV17</f>
        <v>271.83622828784121</v>
      </c>
      <c r="H18" s="1"/>
      <c r="I18" s="1"/>
      <c r="J18" s="1"/>
      <c r="K18" s="16">
        <f>Demand_CWRS!B$3/31</f>
        <v>313.22137613730359</v>
      </c>
      <c r="L18" s="16">
        <f>Demand_CWRS!C$3/31</f>
        <v>241.71000827129859</v>
      </c>
      <c r="M18" s="16">
        <f>Demand_CWRS!D$3/31</f>
        <v>0</v>
      </c>
      <c r="N18" s="16">
        <f>Demand_CWRS!E$3/31</f>
        <v>98.872001654259719</v>
      </c>
      <c r="O18" s="16">
        <f>Demand_CWRS!F$3/31</f>
        <v>198.36900072373859</v>
      </c>
      <c r="P18" s="16">
        <f>Demand_CWRS!G$3/31</f>
        <v>309.67741935483872</v>
      </c>
      <c r="Q18" s="16">
        <f>Demand_CWRS!H$3/31</f>
        <v>241.71000827129859</v>
      </c>
      <c r="R18" s="16">
        <f>Demand_CWRS!I$3/31</f>
        <v>200</v>
      </c>
      <c r="S18" s="16">
        <f>Demand_CWRS!J$3/31</f>
        <v>209.67741935483872</v>
      </c>
      <c r="T18" s="16">
        <f>Demand_CWRS!K$3/31</f>
        <v>216.12903225806451</v>
      </c>
      <c r="U18" s="16">
        <f t="shared" si="3"/>
        <v>-1698.3206420595545</v>
      </c>
      <c r="V18" s="16">
        <f t="shared" si="4"/>
        <v>-1625.6501240694795</v>
      </c>
      <c r="W18" s="16">
        <f t="shared" si="5"/>
        <v>0</v>
      </c>
      <c r="X18" s="16">
        <f t="shared" si="6"/>
        <v>516.91997518610378</v>
      </c>
      <c r="Y18" s="16">
        <f t="shared" si="7"/>
        <v>-1975.5350108560788</v>
      </c>
      <c r="Z18" s="16">
        <f t="shared" si="8"/>
        <v>-1645.1612903225807</v>
      </c>
      <c r="AA18" s="16">
        <f t="shared" si="9"/>
        <v>-1125.6501240694795</v>
      </c>
      <c r="AB18" s="16">
        <f t="shared" si="10"/>
        <v>-1000</v>
      </c>
      <c r="AC18" s="16">
        <f t="shared" si="11"/>
        <v>-1045.1612903225812</v>
      </c>
      <c r="AD18" s="16">
        <f t="shared" si="12"/>
        <v>-1241.9354838709673</v>
      </c>
      <c r="AE18" s="14">
        <f>IF([1]Sheet2!AJ17=999999,"NA",[1]Sheet2!AJ17)</f>
        <v>112</v>
      </c>
      <c r="AF18" s="14">
        <f>IF([1]Sheet2!AK17=999999,"NA",[1]Sheet2!AK17)</f>
        <v>43</v>
      </c>
      <c r="AG18" s="14" t="str">
        <f>IF([1]Sheet2!AL17=999999,"NA",[1]Sheet2!AL17)</f>
        <v>NA</v>
      </c>
      <c r="AH18" s="14">
        <f>IF([1]Sheet2!AM17=999999,"NA",[1]Sheet2!AM17)</f>
        <v>350</v>
      </c>
      <c r="AI18" s="14">
        <f>IF([1]Sheet2!AN17=999999,"NA",[1]Sheet2!AN17)</f>
        <v>350</v>
      </c>
      <c r="AJ18" s="14">
        <f>IF([1]Sheet2!AO17=999999,"NA",[1]Sheet2!AO17)</f>
        <v>350</v>
      </c>
      <c r="AK18" s="14">
        <f>IF([1]Sheet2!AP17=999999,"NA",[1]Sheet2!AP17)</f>
        <v>95</v>
      </c>
      <c r="AL18" s="14">
        <f>IF([1]Sheet2!AQ17=999999,"NA",[1]Sheet2!AQ17)</f>
        <v>226</v>
      </c>
      <c r="AM18" s="14">
        <f>IF([1]Sheet2!AR17=999999,"NA",[1]Sheet2!AR17)</f>
        <v>350</v>
      </c>
      <c r="AN18" s="14">
        <f>IF([1]Sheet2!AS17=999999,"NA",[1]Sheet2!AS17)</f>
        <v>282</v>
      </c>
      <c r="AO18" s="14">
        <f>[1]Sheet2!P17</f>
        <v>0</v>
      </c>
      <c r="AP18" s="14">
        <f>[1]Sheet2!Q17</f>
        <v>0</v>
      </c>
      <c r="AQ18" s="14">
        <f>[1]Sheet2!R17</f>
        <v>0</v>
      </c>
      <c r="AR18" s="14">
        <f>[1]Sheet2!S17</f>
        <v>0</v>
      </c>
      <c r="AS18" s="14">
        <f>[1]Sheet2!T17</f>
        <v>0</v>
      </c>
      <c r="AT18" s="14">
        <f>[1]Sheet2!U17</f>
        <v>0</v>
      </c>
      <c r="AU18" s="14">
        <f>[1]Sheet2!V17</f>
        <v>0</v>
      </c>
      <c r="AV18" s="14">
        <f>[1]Sheet2!W17</f>
        <v>0</v>
      </c>
      <c r="AW18" s="14">
        <f>[1]Sheet2!X17</f>
        <v>0</v>
      </c>
      <c r="AX18" s="14">
        <f>[1]Sheet2!Y17</f>
        <v>0</v>
      </c>
      <c r="AY18" s="16">
        <f>Demand_LP!B$3/31</f>
        <v>503.00172404880072</v>
      </c>
      <c r="AZ18" s="16">
        <f>Demand_LP!C$3/31</f>
        <v>792.35864350703059</v>
      </c>
      <c r="BA18" s="16">
        <f>Demand_LP!D$3/31</f>
        <v>231.20967741935488</v>
      </c>
      <c r="BB18" s="16">
        <f>Demand_LP!E$3/31</f>
        <v>696.53949545078569</v>
      </c>
      <c r="BC18" s="16">
        <f>Demand_LP!F$3/31</f>
        <v>482.27093930934655</v>
      </c>
      <c r="BD18" s="16">
        <f>Demand_LP!G$3/31</f>
        <v>516.12903225806451</v>
      </c>
      <c r="BE18" s="16">
        <f>Demand_LP!H$3/31</f>
        <v>774.19354838709683</v>
      </c>
      <c r="BF18" s="16">
        <f>Demand_LP!I$3/31</f>
        <v>451.61290322580646</v>
      </c>
      <c r="BG18" s="16">
        <f>Demand_LP!J$3/31</f>
        <v>387.09677419354841</v>
      </c>
      <c r="BH18" s="16">
        <f>Demand_LP!K$3/31</f>
        <v>419.35483870967744</v>
      </c>
      <c r="BI18" s="16" t="e">
        <f t="shared" si="13"/>
        <v>#VALUE!</v>
      </c>
      <c r="BJ18" s="16">
        <f t="shared" si="14"/>
        <v>-6885.3796526054575</v>
      </c>
      <c r="BK18" s="16">
        <f t="shared" si="15"/>
        <v>-1468.1451612903231</v>
      </c>
      <c r="BL18" s="16">
        <f t="shared" si="16"/>
        <v>-7448.0924317617846</v>
      </c>
      <c r="BM18" s="16">
        <f t="shared" si="17"/>
        <v>-4234.0640896401974</v>
      </c>
      <c r="BN18" s="16">
        <f t="shared" si="18"/>
        <v>-5741.9354838709669</v>
      </c>
      <c r="BO18" s="16">
        <f t="shared" si="19"/>
        <v>-8612.9032258064508</v>
      </c>
      <c r="BP18" s="16">
        <f t="shared" si="20"/>
        <v>-4774.1935483870966</v>
      </c>
      <c r="BQ18" s="16">
        <f t="shared" si="21"/>
        <v>-2806.4516129032254</v>
      </c>
      <c r="BR18" s="16">
        <f t="shared" si="22"/>
        <v>-3790.3225806451624</v>
      </c>
      <c r="BS18" s="14">
        <f>IF([1]Sheet2!CA17=999999,"NA",[1]Sheet2!CA17)</f>
        <v>212688.67741935499</v>
      </c>
      <c r="BT18" s="14">
        <f>IF([1]Sheet2!CB17=999999,"NA",[1]Sheet2!CB17)</f>
        <v>272</v>
      </c>
      <c r="BU18" s="14">
        <f>IF([1]Sheet2!CC17=999999,"NA",[1]Sheet2!CC17)</f>
        <v>350</v>
      </c>
      <c r="BV18" s="14">
        <f>IF([1]Sheet2!CD17=999999,"NA",[1]Sheet2!CD17)</f>
        <v>350</v>
      </c>
      <c r="BW18" s="14">
        <f>IF([1]Sheet2!CE17=999999,"NA",[1]Sheet2!CE17)</f>
        <v>312</v>
      </c>
      <c r="BX18" s="14">
        <f>IF([1]Sheet2!CF17=999999,"NA",[1]Sheet2!CF17)</f>
        <v>350</v>
      </c>
      <c r="BY18" s="14">
        <f>IF([1]Sheet2!CG17=999999,"NA",[1]Sheet2!CG17)</f>
        <v>244</v>
      </c>
      <c r="BZ18" s="14">
        <f>IF([1]Sheet2!CH17=999999,"NA",[1]Sheet2!CH17)</f>
        <v>350</v>
      </c>
      <c r="CA18" s="14">
        <f>IF([1]Sheet2!CI17=999999,"NA",[1]Sheet2!CI17)</f>
        <v>350</v>
      </c>
      <c r="CB18" s="14">
        <f>IF([1]Sheet2!CJ17=999999,"NA",[1]Sheet2!CJ17)</f>
        <v>350</v>
      </c>
      <c r="CC18" s="14">
        <f>[1]Sheet2!BG17</f>
        <v>0</v>
      </c>
      <c r="CD18" s="14">
        <f>[1]Sheet2!BH17</f>
        <v>0</v>
      </c>
      <c r="CE18" s="14">
        <f>[1]Sheet2!BI17</f>
        <v>0</v>
      </c>
      <c r="CF18" s="14">
        <f>[1]Sheet2!BJ17</f>
        <v>0</v>
      </c>
      <c r="CG18" s="14">
        <f>[1]Sheet2!BK17</f>
        <v>0</v>
      </c>
      <c r="CH18" s="14">
        <f>[1]Sheet2!BL17</f>
        <v>0</v>
      </c>
      <c r="CI18" s="14">
        <f>[1]Sheet2!BM17</f>
        <v>0</v>
      </c>
      <c r="CJ18" s="14">
        <f>[1]Sheet2!BN17</f>
        <v>0</v>
      </c>
      <c r="CK18" s="14">
        <f>[1]Sheet2!BO17</f>
        <v>0</v>
      </c>
      <c r="CL18" s="14">
        <f>[1]Sheet2!BP17</f>
        <v>0</v>
      </c>
      <c r="CM18" s="16">
        <f>Demand_SW!B$3/31</f>
        <v>139.57816377171216</v>
      </c>
      <c r="CN18" s="16">
        <f>Demand_SW!C$3/31</f>
        <v>0</v>
      </c>
      <c r="CO18" s="16">
        <f>Demand_SW!D$3/31</f>
        <v>0</v>
      </c>
      <c r="CP18" s="16">
        <f>Demand_SW!E$3/31</f>
        <v>0</v>
      </c>
      <c r="CQ18" s="16">
        <f>Demand_SW!F$3/31</f>
        <v>0</v>
      </c>
      <c r="CR18" s="16">
        <f>Demand_SW!G$3/31</f>
        <v>132.25806451612902</v>
      </c>
      <c r="CS18" s="16">
        <f>Demand_SW!H$3/31</f>
        <v>0</v>
      </c>
      <c r="CT18" s="16">
        <f>Demand_SW!I$3/31</f>
        <v>0</v>
      </c>
      <c r="CU18" s="16">
        <f>Demand_SW!J$3/31</f>
        <v>0</v>
      </c>
      <c r="CV18" s="16">
        <f>Demand_SW!K$3/31</f>
        <v>0</v>
      </c>
      <c r="CW18" s="16">
        <f t="shared" si="23"/>
        <v>48906.327543424268</v>
      </c>
      <c r="CX18" s="16">
        <f t="shared" si="24"/>
        <v>500</v>
      </c>
      <c r="CY18" s="16">
        <f t="shared" si="25"/>
        <v>0</v>
      </c>
      <c r="CZ18" s="16">
        <f t="shared" si="26"/>
        <v>0</v>
      </c>
      <c r="DA18" s="16">
        <f t="shared" si="27"/>
        <v>0</v>
      </c>
      <c r="DB18" s="16">
        <f t="shared" si="28"/>
        <v>-983.87096774193537</v>
      </c>
      <c r="DC18" s="16">
        <f t="shared" si="29"/>
        <v>500</v>
      </c>
      <c r="DD18" s="16">
        <f t="shared" si="30"/>
        <v>0</v>
      </c>
      <c r="DE18" s="16">
        <f t="shared" si="31"/>
        <v>0</v>
      </c>
      <c r="DF18" s="16">
        <f t="shared" si="32"/>
        <v>0</v>
      </c>
      <c r="DG18" s="14">
        <f>IF([1]Sheet2!DR17=999999,"NA",[1]Sheet2!DR17)</f>
        <v>73103</v>
      </c>
      <c r="DH18" s="14">
        <f>IF([1]Sheet2!DS17=999999,"NA",[1]Sheet2!DS17)</f>
        <v>350</v>
      </c>
      <c r="DI18" s="14">
        <f>IF([1]Sheet2!DT17=999999,"NA",[1]Sheet2!DT17)</f>
        <v>350</v>
      </c>
      <c r="DJ18" s="14" t="str">
        <f>IF([1]Sheet2!DU17=999999,"NA",[1]Sheet2!DU17)</f>
        <v>NA</v>
      </c>
      <c r="DK18" s="14" t="str">
        <f>IF([1]Sheet2!DV17=999999,"NA",[1]Sheet2!DV17)</f>
        <v>NA</v>
      </c>
      <c r="DL18" s="14" t="str">
        <f>IF([1]Sheet2!DW17=999999,"NA",[1]Sheet2!DW17)</f>
        <v>NA</v>
      </c>
      <c r="DM18" s="14">
        <f>IF([1]Sheet2!DX17=999999,"NA",[1]Sheet2!DX17)</f>
        <v>350</v>
      </c>
      <c r="DN18" s="14">
        <f>IF([1]Sheet2!DY17=999999,"NA",[1]Sheet2!DY17)</f>
        <v>350</v>
      </c>
      <c r="DO18" s="14" t="str">
        <f>IF([1]Sheet2!DZ17=999999,"NA",[1]Sheet2!DZ17)</f>
        <v>NA</v>
      </c>
      <c r="DP18" s="14" t="str">
        <f>IF([1]Sheet2!EA17=999999,"NA",[1]Sheet2!EA17)</f>
        <v>NA</v>
      </c>
      <c r="DQ18" s="14">
        <f>[1]Sheet2!CX17</f>
        <v>0</v>
      </c>
      <c r="DR18" s="14">
        <f>[1]Sheet2!CY17</f>
        <v>0</v>
      </c>
      <c r="DS18" s="14">
        <f>[1]Sheet2!CZ17</f>
        <v>0</v>
      </c>
      <c r="DT18" s="14">
        <f>[1]Sheet2!DA17</f>
        <v>0</v>
      </c>
      <c r="DU18" s="14">
        <f>[1]Sheet2!DB17</f>
        <v>0</v>
      </c>
      <c r="DV18" s="14">
        <f>[1]Sheet2!DC17</f>
        <v>0</v>
      </c>
      <c r="DW18" s="14">
        <f>[1]Sheet2!DD17</f>
        <v>0</v>
      </c>
      <c r="DX18" s="14">
        <f>[1]Sheet2!DE17</f>
        <v>0</v>
      </c>
      <c r="DY18" s="14">
        <f>[1]Sheet2!DF17</f>
        <v>0</v>
      </c>
      <c r="DZ18" s="14">
        <f>[1]Sheet2!DG17</f>
        <v>0</v>
      </c>
    </row>
    <row r="19" spans="1:130" x14ac:dyDescent="0.25">
      <c r="A19" s="15">
        <v>43481</v>
      </c>
      <c r="B19" s="1"/>
      <c r="C19" s="1"/>
      <c r="D19" s="1"/>
      <c r="E19" s="14">
        <f>[1]Sheet2!N18</f>
        <v>0</v>
      </c>
      <c r="F19" s="14">
        <f>[1]Sheet2!BE18</f>
        <v>0</v>
      </c>
      <c r="G19" s="14">
        <f>[1]Sheet2!CV18</f>
        <v>271.83622828784121</v>
      </c>
      <c r="H19" s="1"/>
      <c r="I19" s="1"/>
      <c r="J19" s="1"/>
      <c r="K19" s="16">
        <f>Demand_CWRS!B$3/31</f>
        <v>313.22137613730359</v>
      </c>
      <c r="L19" s="16">
        <f>Demand_CWRS!C$3/31</f>
        <v>241.71000827129859</v>
      </c>
      <c r="M19" s="16">
        <f>Demand_CWRS!D$3/31</f>
        <v>0</v>
      </c>
      <c r="N19" s="16">
        <f>Demand_CWRS!E$3/31</f>
        <v>98.872001654259719</v>
      </c>
      <c r="O19" s="16">
        <f>Demand_CWRS!F$3/31</f>
        <v>198.36900072373859</v>
      </c>
      <c r="P19" s="16">
        <f>Demand_CWRS!G$3/31</f>
        <v>309.67741935483872</v>
      </c>
      <c r="Q19" s="16">
        <f>Demand_CWRS!H$3/31</f>
        <v>241.71000827129859</v>
      </c>
      <c r="R19" s="16">
        <f>Demand_CWRS!I$3/31</f>
        <v>200</v>
      </c>
      <c r="S19" s="16">
        <f>Demand_CWRS!J$3/31</f>
        <v>209.67741935483872</v>
      </c>
      <c r="T19" s="16">
        <f>Demand_CWRS!K$3/31</f>
        <v>216.12903225806451</v>
      </c>
      <c r="U19" s="16">
        <f t="shared" si="3"/>
        <v>-2011.5420181968582</v>
      </c>
      <c r="V19" s="16">
        <f t="shared" si="4"/>
        <v>-1867.3601323407781</v>
      </c>
      <c r="W19" s="16">
        <f t="shared" si="5"/>
        <v>0</v>
      </c>
      <c r="X19" s="16">
        <f t="shared" si="6"/>
        <v>418.04797353184404</v>
      </c>
      <c r="Y19" s="16">
        <f t="shared" si="7"/>
        <v>-2173.9040115798175</v>
      </c>
      <c r="Z19" s="16">
        <f t="shared" si="8"/>
        <v>-1954.8387096774195</v>
      </c>
      <c r="AA19" s="16">
        <f t="shared" si="9"/>
        <v>-1367.3601323407781</v>
      </c>
      <c r="AB19" s="16">
        <f t="shared" si="10"/>
        <v>-1200</v>
      </c>
      <c r="AC19" s="16">
        <f t="shared" si="11"/>
        <v>-1254.83870967742</v>
      </c>
      <c r="AD19" s="16">
        <f t="shared" si="12"/>
        <v>-1458.0645161290317</v>
      </c>
      <c r="AE19" s="14">
        <f>IF([1]Sheet2!AJ18=999999,"NA",[1]Sheet2!AJ18)</f>
        <v>111</v>
      </c>
      <c r="AF19" s="14">
        <f>IF([1]Sheet2!AK18=999999,"NA",[1]Sheet2!AK18)</f>
        <v>42</v>
      </c>
      <c r="AG19" s="14" t="str">
        <f>IF([1]Sheet2!AL18=999999,"NA",[1]Sheet2!AL18)</f>
        <v>NA</v>
      </c>
      <c r="AH19" s="14">
        <f>IF([1]Sheet2!AM18=999999,"NA",[1]Sheet2!AM18)</f>
        <v>349</v>
      </c>
      <c r="AI19" s="14">
        <f>IF([1]Sheet2!AN18=999999,"NA",[1]Sheet2!AN18)</f>
        <v>349</v>
      </c>
      <c r="AJ19" s="14">
        <f>IF([1]Sheet2!AO18=999999,"NA",[1]Sheet2!AO18)</f>
        <v>349</v>
      </c>
      <c r="AK19" s="14">
        <f>IF([1]Sheet2!AP18=999999,"NA",[1]Sheet2!AP18)</f>
        <v>94</v>
      </c>
      <c r="AL19" s="14">
        <f>IF([1]Sheet2!AQ18=999999,"NA",[1]Sheet2!AQ18)</f>
        <v>225</v>
      </c>
      <c r="AM19" s="14">
        <f>IF([1]Sheet2!AR18=999999,"NA",[1]Sheet2!AR18)</f>
        <v>349</v>
      </c>
      <c r="AN19" s="14">
        <f>IF([1]Sheet2!AS18=999999,"NA",[1]Sheet2!AS18)</f>
        <v>281</v>
      </c>
      <c r="AO19" s="14">
        <f>[1]Sheet2!P18</f>
        <v>0</v>
      </c>
      <c r="AP19" s="14">
        <f>[1]Sheet2!Q18</f>
        <v>0</v>
      </c>
      <c r="AQ19" s="14">
        <f>[1]Sheet2!R18</f>
        <v>0</v>
      </c>
      <c r="AR19" s="14">
        <f>[1]Sheet2!S18</f>
        <v>0</v>
      </c>
      <c r="AS19" s="14">
        <f>[1]Sheet2!T18</f>
        <v>0</v>
      </c>
      <c r="AT19" s="22">
        <f>[1]Sheet2!U18</f>
        <v>0</v>
      </c>
      <c r="AU19" s="22">
        <f>[1]Sheet2!V18</f>
        <v>0</v>
      </c>
      <c r="AV19" s="22">
        <f>[1]Sheet2!W18</f>
        <v>0</v>
      </c>
      <c r="AW19" s="14">
        <f>[1]Sheet2!X18</f>
        <v>0</v>
      </c>
      <c r="AX19" s="14">
        <f>[1]Sheet2!Y18</f>
        <v>0</v>
      </c>
      <c r="AY19" s="16">
        <f>Demand_LP!B$3/31</f>
        <v>503.00172404880072</v>
      </c>
      <c r="AZ19" s="16">
        <f>Demand_LP!C$3/31</f>
        <v>792.35864350703059</v>
      </c>
      <c r="BA19" s="16">
        <f>Demand_LP!D$3/31</f>
        <v>231.20967741935488</v>
      </c>
      <c r="BB19" s="16">
        <f>Demand_LP!E$3/31</f>
        <v>696.53949545078569</v>
      </c>
      <c r="BC19" s="16">
        <f>Demand_LP!F$3/31</f>
        <v>482.27093930934655</v>
      </c>
      <c r="BD19" s="16">
        <f>Demand_LP!G$3/31</f>
        <v>516.12903225806451</v>
      </c>
      <c r="BE19" s="16">
        <f>Demand_LP!H$3/31</f>
        <v>774.19354838709683</v>
      </c>
      <c r="BF19" s="16">
        <f>Demand_LP!I$3/31</f>
        <v>451.61290322580646</v>
      </c>
      <c r="BG19" s="16">
        <f>Demand_LP!J$3/31</f>
        <v>387.09677419354841</v>
      </c>
      <c r="BH19" s="16">
        <f>Demand_LP!K$3/31</f>
        <v>419.35483870967744</v>
      </c>
      <c r="BI19" s="16" t="e">
        <f t="shared" si="13"/>
        <v>#VALUE!</v>
      </c>
      <c r="BJ19" s="16">
        <f t="shared" si="14"/>
        <v>-7677.7382961124877</v>
      </c>
      <c r="BK19" s="16">
        <f t="shared" si="15"/>
        <v>-1699.354838709678</v>
      </c>
      <c r="BL19" s="16">
        <f t="shared" si="16"/>
        <v>-8144.6319272125702</v>
      </c>
      <c r="BM19" s="16">
        <f t="shared" si="17"/>
        <v>-4716.3350289495438</v>
      </c>
      <c r="BN19" s="16">
        <f t="shared" si="18"/>
        <v>-6258.0645161290313</v>
      </c>
      <c r="BO19" s="16">
        <f t="shared" si="19"/>
        <v>-9387.0967741935474</v>
      </c>
      <c r="BP19" s="16">
        <f t="shared" si="20"/>
        <v>-5225.8064516129034</v>
      </c>
      <c r="BQ19" s="16">
        <f t="shared" si="21"/>
        <v>-3193.5483870967737</v>
      </c>
      <c r="BR19" s="16">
        <f t="shared" si="22"/>
        <v>-4209.6774193548399</v>
      </c>
      <c r="BS19" s="14">
        <f>IF([1]Sheet2!CA18=999999,"NA",[1]Sheet2!CA18)</f>
        <v>212269.32258064533</v>
      </c>
      <c r="BT19" s="14">
        <f>IF([1]Sheet2!CB18=999999,"NA",[1]Sheet2!CB18)</f>
        <v>271</v>
      </c>
      <c r="BU19" s="14">
        <f>IF([1]Sheet2!CC18=999999,"NA",[1]Sheet2!CC18)</f>
        <v>349</v>
      </c>
      <c r="BV19" s="14">
        <f>IF([1]Sheet2!CD18=999999,"NA",[1]Sheet2!CD18)</f>
        <v>349</v>
      </c>
      <c r="BW19" s="14">
        <f>IF([1]Sheet2!CE18=999999,"NA",[1]Sheet2!CE18)</f>
        <v>311</v>
      </c>
      <c r="BX19" s="14">
        <f>IF([1]Sheet2!CF18=999999,"NA",[1]Sheet2!CF18)</f>
        <v>349</v>
      </c>
      <c r="BY19" s="14">
        <f>IF([1]Sheet2!CG18=999999,"NA",[1]Sheet2!CG18)</f>
        <v>243</v>
      </c>
      <c r="BZ19" s="14">
        <f>IF([1]Sheet2!CH18=999999,"NA",[1]Sheet2!CH18)</f>
        <v>349</v>
      </c>
      <c r="CA19" s="14">
        <f>IF([1]Sheet2!CI18=999999,"NA",[1]Sheet2!CI18)</f>
        <v>349</v>
      </c>
      <c r="CB19" s="14">
        <f>IF([1]Sheet2!CJ18=999999,"NA",[1]Sheet2!CJ18)</f>
        <v>349</v>
      </c>
      <c r="CC19" s="14">
        <f>[1]Sheet2!BG18</f>
        <v>0</v>
      </c>
      <c r="CD19" s="14">
        <f>[1]Sheet2!BH18</f>
        <v>0</v>
      </c>
      <c r="CE19" s="14">
        <f>[1]Sheet2!BI18</f>
        <v>0</v>
      </c>
      <c r="CF19" s="14">
        <f>[1]Sheet2!BJ18</f>
        <v>0</v>
      </c>
      <c r="CG19" s="14">
        <f>[1]Sheet2!BK18</f>
        <v>0</v>
      </c>
      <c r="CH19" s="22">
        <f>[1]Sheet2!BL18</f>
        <v>0</v>
      </c>
      <c r="CI19" s="22">
        <f>[1]Sheet2!BM18</f>
        <v>0</v>
      </c>
      <c r="CJ19" s="22">
        <f>[1]Sheet2!BN18</f>
        <v>0</v>
      </c>
      <c r="CK19" s="14">
        <f>[1]Sheet2!BO18</f>
        <v>0</v>
      </c>
      <c r="CL19" s="14">
        <f>[1]Sheet2!BP18</f>
        <v>0</v>
      </c>
      <c r="CM19" s="16">
        <f>Demand_SW!B$3/31</f>
        <v>139.57816377171216</v>
      </c>
      <c r="CN19" s="16">
        <f>Demand_SW!C$3/31</f>
        <v>0</v>
      </c>
      <c r="CO19" s="16">
        <f>Demand_SW!D$3/31</f>
        <v>0</v>
      </c>
      <c r="CP19" s="16">
        <f>Demand_SW!E$3/31</f>
        <v>0</v>
      </c>
      <c r="CQ19" s="16">
        <f>Demand_SW!F$3/31</f>
        <v>0</v>
      </c>
      <c r="CR19" s="16">
        <f>Demand_SW!G$3/31</f>
        <v>132.25806451612902</v>
      </c>
      <c r="CS19" s="16">
        <f>Demand_SW!H$3/31</f>
        <v>0</v>
      </c>
      <c r="CT19" s="16">
        <f>Demand_SW!I$3/31</f>
        <v>0</v>
      </c>
      <c r="CU19" s="16">
        <f>Demand_SW!J$3/31</f>
        <v>0</v>
      </c>
      <c r="CV19" s="16">
        <f>Demand_SW!K$3/31</f>
        <v>0</v>
      </c>
      <c r="CW19" s="16">
        <f t="shared" si="23"/>
        <v>48766.749379652552</v>
      </c>
      <c r="CX19" s="16">
        <f t="shared" si="24"/>
        <v>500</v>
      </c>
      <c r="CY19" s="16">
        <f t="shared" si="25"/>
        <v>0</v>
      </c>
      <c r="CZ19" s="16">
        <f t="shared" si="26"/>
        <v>0</v>
      </c>
      <c r="DA19" s="16">
        <f t="shared" si="27"/>
        <v>0</v>
      </c>
      <c r="DB19" s="16">
        <f t="shared" si="28"/>
        <v>-1116.1290322580644</v>
      </c>
      <c r="DC19" s="16">
        <f t="shared" si="29"/>
        <v>500</v>
      </c>
      <c r="DD19" s="16">
        <f t="shared" si="30"/>
        <v>0</v>
      </c>
      <c r="DE19" s="16">
        <f t="shared" si="31"/>
        <v>0</v>
      </c>
      <c r="DF19" s="16">
        <f t="shared" si="32"/>
        <v>0</v>
      </c>
      <c r="DG19" s="14">
        <f>IF([1]Sheet2!DR18=999999,"NA",[1]Sheet2!DR18)</f>
        <v>73103</v>
      </c>
      <c r="DH19" s="14">
        <f>IF([1]Sheet2!DS18=999999,"NA",[1]Sheet2!DS18)</f>
        <v>349</v>
      </c>
      <c r="DI19" s="14">
        <f>IF([1]Sheet2!DT18=999999,"NA",[1]Sheet2!DT18)</f>
        <v>349</v>
      </c>
      <c r="DJ19" s="14" t="str">
        <f>IF([1]Sheet2!DU18=999999,"NA",[1]Sheet2!DU18)</f>
        <v>NA</v>
      </c>
      <c r="DK19" s="14" t="str">
        <f>IF([1]Sheet2!DV18=999999,"NA",[1]Sheet2!DV18)</f>
        <v>NA</v>
      </c>
      <c r="DL19" s="14" t="str">
        <f>IF([1]Sheet2!DW18=999999,"NA",[1]Sheet2!DW18)</f>
        <v>NA</v>
      </c>
      <c r="DM19" s="14">
        <f>IF([1]Sheet2!DX18=999999,"NA",[1]Sheet2!DX18)</f>
        <v>349</v>
      </c>
      <c r="DN19" s="14">
        <f>IF([1]Sheet2!DY18=999999,"NA",[1]Sheet2!DY18)</f>
        <v>349</v>
      </c>
      <c r="DO19" s="14" t="str">
        <f>IF([1]Sheet2!DZ18=999999,"NA",[1]Sheet2!DZ18)</f>
        <v>NA</v>
      </c>
      <c r="DP19" s="14" t="str">
        <f>IF([1]Sheet2!EA18=999999,"NA",[1]Sheet2!EA18)</f>
        <v>NA</v>
      </c>
      <c r="DQ19" s="14">
        <f>[1]Sheet2!CX18</f>
        <v>0</v>
      </c>
      <c r="DR19" s="14">
        <f>[1]Sheet2!CY18</f>
        <v>0</v>
      </c>
      <c r="DS19" s="14">
        <f>[1]Sheet2!CZ18</f>
        <v>0</v>
      </c>
      <c r="DT19" s="14">
        <f>[1]Sheet2!DA18</f>
        <v>0</v>
      </c>
      <c r="DU19" s="14">
        <f>[1]Sheet2!DB18</f>
        <v>0</v>
      </c>
      <c r="DV19" s="14">
        <f>[1]Sheet2!DC18</f>
        <v>0</v>
      </c>
      <c r="DW19" s="14">
        <f>[1]Sheet2!DD18</f>
        <v>0</v>
      </c>
      <c r="DX19" s="14">
        <f>[1]Sheet2!DE18</f>
        <v>0</v>
      </c>
      <c r="DY19" s="14">
        <f>[1]Sheet2!DF18</f>
        <v>0</v>
      </c>
      <c r="DZ19" s="14">
        <f>[1]Sheet2!DG18</f>
        <v>0</v>
      </c>
    </row>
    <row r="20" spans="1:130" x14ac:dyDescent="0.25">
      <c r="A20" s="15">
        <v>43482</v>
      </c>
      <c r="B20" s="1"/>
      <c r="C20" s="1"/>
      <c r="D20" s="1"/>
      <c r="E20" s="14">
        <f>[1]Sheet2!N19</f>
        <v>0</v>
      </c>
      <c r="F20" s="14">
        <f>[1]Sheet2!BE19</f>
        <v>0</v>
      </c>
      <c r="G20" s="14">
        <f>[1]Sheet2!CV19</f>
        <v>271.83622828784121</v>
      </c>
      <c r="H20" s="1"/>
      <c r="I20" s="1"/>
      <c r="J20" s="1"/>
      <c r="K20" s="16">
        <f>Demand_CWRS!B$3/31</f>
        <v>313.22137613730359</v>
      </c>
      <c r="L20" s="16">
        <f>Demand_CWRS!C$3/31</f>
        <v>241.71000827129859</v>
      </c>
      <c r="M20" s="16">
        <f>Demand_CWRS!D$3/31</f>
        <v>0</v>
      </c>
      <c r="N20" s="16">
        <f>Demand_CWRS!E$3/31</f>
        <v>98.872001654259719</v>
      </c>
      <c r="O20" s="16">
        <f>Demand_CWRS!F$3/31</f>
        <v>198.36900072373859</v>
      </c>
      <c r="P20" s="16">
        <f>Demand_CWRS!G$3/31</f>
        <v>309.67741935483872</v>
      </c>
      <c r="Q20" s="16">
        <f>Demand_CWRS!H$3/31</f>
        <v>241.71000827129859</v>
      </c>
      <c r="R20" s="16">
        <f>Demand_CWRS!I$3/31</f>
        <v>200</v>
      </c>
      <c r="S20" s="16">
        <f>Demand_CWRS!J$3/31</f>
        <v>209.67741935483872</v>
      </c>
      <c r="T20" s="16">
        <f>Demand_CWRS!K$3/31</f>
        <v>216.12903225806451</v>
      </c>
      <c r="U20" s="16">
        <f t="shared" si="3"/>
        <v>-2324.7633943341616</v>
      </c>
      <c r="V20" s="16">
        <f t="shared" si="4"/>
        <v>-2109.0701406120766</v>
      </c>
      <c r="W20" s="16">
        <f t="shared" si="5"/>
        <v>0</v>
      </c>
      <c r="X20" s="16">
        <f t="shared" si="6"/>
        <v>319.17597187758429</v>
      </c>
      <c r="Y20" s="16">
        <f t="shared" si="7"/>
        <v>-2372.2730123035562</v>
      </c>
      <c r="Z20" s="16">
        <f t="shared" si="8"/>
        <v>-2264.516129032258</v>
      </c>
      <c r="AA20" s="16">
        <f t="shared" si="9"/>
        <v>-1609.0701406120768</v>
      </c>
      <c r="AB20" s="16">
        <f t="shared" si="10"/>
        <v>-1400</v>
      </c>
      <c r="AC20" s="16">
        <f t="shared" si="11"/>
        <v>-1464.5161290322587</v>
      </c>
      <c r="AD20" s="16">
        <f t="shared" si="12"/>
        <v>-1674.1935483870961</v>
      </c>
      <c r="AE20" s="14">
        <f>IF([1]Sheet2!AJ19=999999,"NA",[1]Sheet2!AJ19)</f>
        <v>110</v>
      </c>
      <c r="AF20" s="14">
        <f>IF([1]Sheet2!AK19=999999,"NA",[1]Sheet2!AK19)</f>
        <v>41</v>
      </c>
      <c r="AG20" s="14" t="str">
        <f>IF([1]Sheet2!AL19=999999,"NA",[1]Sheet2!AL19)</f>
        <v>NA</v>
      </c>
      <c r="AH20" s="14">
        <f>IF([1]Sheet2!AM19=999999,"NA",[1]Sheet2!AM19)</f>
        <v>348</v>
      </c>
      <c r="AI20" s="14">
        <f>IF([1]Sheet2!AN19=999999,"NA",[1]Sheet2!AN19)</f>
        <v>348</v>
      </c>
      <c r="AJ20" s="14">
        <f>IF([1]Sheet2!AO19=999999,"NA",[1]Sheet2!AO19)</f>
        <v>348</v>
      </c>
      <c r="AK20" s="14">
        <f>IF([1]Sheet2!AP19=999999,"NA",[1]Sheet2!AP19)</f>
        <v>93</v>
      </c>
      <c r="AL20" s="14">
        <f>IF([1]Sheet2!AQ19=999999,"NA",[1]Sheet2!AQ19)</f>
        <v>224</v>
      </c>
      <c r="AM20" s="14">
        <f>IF([1]Sheet2!AR19=999999,"NA",[1]Sheet2!AR19)</f>
        <v>348</v>
      </c>
      <c r="AN20" s="14">
        <f>IF([1]Sheet2!AS19=999999,"NA",[1]Sheet2!AS19)</f>
        <v>280</v>
      </c>
      <c r="AO20" s="14">
        <f>[1]Sheet2!P19</f>
        <v>0</v>
      </c>
      <c r="AP20" s="14">
        <f>[1]Sheet2!Q19</f>
        <v>0</v>
      </c>
      <c r="AQ20" s="14">
        <f>[1]Sheet2!R19</f>
        <v>0</v>
      </c>
      <c r="AR20" s="14">
        <f>[1]Sheet2!S19</f>
        <v>0</v>
      </c>
      <c r="AS20" s="14">
        <f>[1]Sheet2!T19</f>
        <v>0</v>
      </c>
      <c r="AT20" s="14">
        <f>[1]Sheet2!U19</f>
        <v>0</v>
      </c>
      <c r="AU20" s="14">
        <f>[1]Sheet2!V19</f>
        <v>0</v>
      </c>
      <c r="AV20" s="14">
        <f>[1]Sheet2!W19</f>
        <v>0</v>
      </c>
      <c r="AW20" s="14">
        <f>[1]Sheet2!X19</f>
        <v>0</v>
      </c>
      <c r="AX20" s="14">
        <f>[1]Sheet2!Y19</f>
        <v>0</v>
      </c>
      <c r="AY20" s="16">
        <f>Demand_LP!B$3/31</f>
        <v>503.00172404880072</v>
      </c>
      <c r="AZ20" s="16">
        <f>Demand_LP!C$3/31</f>
        <v>792.35864350703059</v>
      </c>
      <c r="BA20" s="16">
        <f>Demand_LP!D$3/31</f>
        <v>231.20967741935488</v>
      </c>
      <c r="BB20" s="16">
        <f>Demand_LP!E$3/31</f>
        <v>696.53949545078569</v>
      </c>
      <c r="BC20" s="16">
        <f>Demand_LP!F$3/31</f>
        <v>482.27093930934655</v>
      </c>
      <c r="BD20" s="16">
        <f>Demand_LP!G$3/31</f>
        <v>516.12903225806451</v>
      </c>
      <c r="BE20" s="16">
        <f>Demand_LP!H$3/31</f>
        <v>774.19354838709683</v>
      </c>
      <c r="BF20" s="16">
        <f>Demand_LP!I$3/31</f>
        <v>451.61290322580646</v>
      </c>
      <c r="BG20" s="16">
        <f>Demand_LP!J$3/31</f>
        <v>387.09677419354841</v>
      </c>
      <c r="BH20" s="16">
        <f>Demand_LP!K$3/31</f>
        <v>419.35483870967744</v>
      </c>
      <c r="BI20" s="16" t="e">
        <f t="shared" si="13"/>
        <v>#VALUE!</v>
      </c>
      <c r="BJ20" s="16">
        <f t="shared" si="14"/>
        <v>-8470.0969396195178</v>
      </c>
      <c r="BK20" s="16">
        <f t="shared" si="15"/>
        <v>-1930.5645161290329</v>
      </c>
      <c r="BL20" s="16">
        <f t="shared" si="16"/>
        <v>-8841.1714226633558</v>
      </c>
      <c r="BM20" s="16">
        <f t="shared" si="17"/>
        <v>-5198.6059682588902</v>
      </c>
      <c r="BN20" s="16">
        <f t="shared" si="18"/>
        <v>-6774.1935483870957</v>
      </c>
      <c r="BO20" s="16">
        <f t="shared" si="19"/>
        <v>-10161.290322580644</v>
      </c>
      <c r="BP20" s="16">
        <f t="shared" si="20"/>
        <v>-5677.4193548387102</v>
      </c>
      <c r="BQ20" s="16">
        <f t="shared" si="21"/>
        <v>-3580.645161290322</v>
      </c>
      <c r="BR20" s="16">
        <f t="shared" si="22"/>
        <v>-4629.032258064517</v>
      </c>
      <c r="BS20" s="14">
        <f>IF([1]Sheet2!CA19=999999,"NA",[1]Sheet2!CA19)</f>
        <v>211849.96774193566</v>
      </c>
      <c r="BT20" s="14">
        <f>IF([1]Sheet2!CB19=999999,"NA",[1]Sheet2!CB19)</f>
        <v>270</v>
      </c>
      <c r="BU20" s="14">
        <f>IF([1]Sheet2!CC19=999999,"NA",[1]Sheet2!CC19)</f>
        <v>348</v>
      </c>
      <c r="BV20" s="14">
        <f>IF([1]Sheet2!CD19=999999,"NA",[1]Sheet2!CD19)</f>
        <v>348</v>
      </c>
      <c r="BW20" s="14">
        <f>IF([1]Sheet2!CE19=999999,"NA",[1]Sheet2!CE19)</f>
        <v>310</v>
      </c>
      <c r="BX20" s="14">
        <f>IF([1]Sheet2!CF19=999999,"NA",[1]Sheet2!CF19)</f>
        <v>348</v>
      </c>
      <c r="BY20" s="14">
        <f>IF([1]Sheet2!CG19=999999,"NA",[1]Sheet2!CG19)</f>
        <v>242</v>
      </c>
      <c r="BZ20" s="14">
        <f>IF([1]Sheet2!CH19=999999,"NA",[1]Sheet2!CH19)</f>
        <v>348</v>
      </c>
      <c r="CA20" s="14">
        <f>IF([1]Sheet2!CI19=999999,"NA",[1]Sheet2!CI19)</f>
        <v>348</v>
      </c>
      <c r="CB20" s="14">
        <f>IF([1]Sheet2!CJ19=999999,"NA",[1]Sheet2!CJ19)</f>
        <v>348</v>
      </c>
      <c r="CC20" s="14">
        <f>[1]Sheet2!BG19</f>
        <v>0</v>
      </c>
      <c r="CD20" s="14">
        <f>[1]Sheet2!BH19</f>
        <v>0</v>
      </c>
      <c r="CE20" s="14">
        <f>[1]Sheet2!BI19</f>
        <v>0</v>
      </c>
      <c r="CF20" s="14">
        <f>[1]Sheet2!BJ19</f>
        <v>0</v>
      </c>
      <c r="CG20" s="14">
        <f>[1]Sheet2!BK19</f>
        <v>0</v>
      </c>
      <c r="CH20" s="14">
        <f>[1]Sheet2!BL19</f>
        <v>0</v>
      </c>
      <c r="CI20" s="14">
        <f>[1]Sheet2!BM19</f>
        <v>0</v>
      </c>
      <c r="CJ20" s="14">
        <f>[1]Sheet2!BN19</f>
        <v>0</v>
      </c>
      <c r="CK20" s="14">
        <f>[1]Sheet2!BO19</f>
        <v>0</v>
      </c>
      <c r="CL20" s="14">
        <f>[1]Sheet2!BP19</f>
        <v>0</v>
      </c>
      <c r="CM20" s="16">
        <f>Demand_SW!B$3/31</f>
        <v>139.57816377171216</v>
      </c>
      <c r="CN20" s="16">
        <f>Demand_SW!C$3/31</f>
        <v>0</v>
      </c>
      <c r="CO20" s="16">
        <f>Demand_SW!D$3/31</f>
        <v>0</v>
      </c>
      <c r="CP20" s="16">
        <f>Demand_SW!E$3/31</f>
        <v>0</v>
      </c>
      <c r="CQ20" s="16">
        <f>Demand_SW!F$3/31</f>
        <v>0</v>
      </c>
      <c r="CR20" s="16">
        <f>Demand_SW!G$3/31</f>
        <v>132.25806451612902</v>
      </c>
      <c r="CS20" s="16">
        <f>Demand_SW!H$3/31</f>
        <v>0</v>
      </c>
      <c r="CT20" s="16">
        <f>Demand_SW!I$3/31</f>
        <v>0</v>
      </c>
      <c r="CU20" s="16">
        <f>Demand_SW!J$3/31</f>
        <v>0</v>
      </c>
      <c r="CV20" s="16">
        <f>Demand_SW!K$3/31</f>
        <v>0</v>
      </c>
      <c r="CW20" s="16">
        <f t="shared" si="23"/>
        <v>48627.171215880837</v>
      </c>
      <c r="CX20" s="16">
        <f t="shared" si="24"/>
        <v>500</v>
      </c>
      <c r="CY20" s="16">
        <f t="shared" si="25"/>
        <v>0</v>
      </c>
      <c r="CZ20" s="16">
        <f t="shared" si="26"/>
        <v>0</v>
      </c>
      <c r="DA20" s="16">
        <f t="shared" si="27"/>
        <v>0</v>
      </c>
      <c r="DB20" s="16">
        <f t="shared" si="28"/>
        <v>-1248.3870967741934</v>
      </c>
      <c r="DC20" s="16">
        <f t="shared" si="29"/>
        <v>500</v>
      </c>
      <c r="DD20" s="16">
        <f t="shared" si="30"/>
        <v>0</v>
      </c>
      <c r="DE20" s="16">
        <f t="shared" si="31"/>
        <v>0</v>
      </c>
      <c r="DF20" s="16">
        <f t="shared" si="32"/>
        <v>0</v>
      </c>
      <c r="DG20" s="14">
        <f>IF([1]Sheet2!DR19=999999,"NA",[1]Sheet2!DR19)</f>
        <v>73103</v>
      </c>
      <c r="DH20" s="14">
        <f>IF([1]Sheet2!DS19=999999,"NA",[1]Sheet2!DS19)</f>
        <v>348</v>
      </c>
      <c r="DI20" s="14">
        <f>IF([1]Sheet2!DT19=999999,"NA",[1]Sheet2!DT19)</f>
        <v>348</v>
      </c>
      <c r="DJ20" s="14" t="str">
        <f>IF([1]Sheet2!DU19=999999,"NA",[1]Sheet2!DU19)</f>
        <v>NA</v>
      </c>
      <c r="DK20" s="14" t="str">
        <f>IF([1]Sheet2!DV19=999999,"NA",[1]Sheet2!DV19)</f>
        <v>NA</v>
      </c>
      <c r="DL20" s="14" t="str">
        <f>IF([1]Sheet2!DW19=999999,"NA",[1]Sheet2!DW19)</f>
        <v>NA</v>
      </c>
      <c r="DM20" s="14">
        <f>IF([1]Sheet2!DX19=999999,"NA",[1]Sheet2!DX19)</f>
        <v>348</v>
      </c>
      <c r="DN20" s="14">
        <f>IF([1]Sheet2!DY19=999999,"NA",[1]Sheet2!DY19)</f>
        <v>348</v>
      </c>
      <c r="DO20" s="14" t="str">
        <f>IF([1]Sheet2!DZ19=999999,"NA",[1]Sheet2!DZ19)</f>
        <v>NA</v>
      </c>
      <c r="DP20" s="14" t="str">
        <f>IF([1]Sheet2!EA19=999999,"NA",[1]Sheet2!EA19)</f>
        <v>NA</v>
      </c>
      <c r="DQ20" s="14">
        <f>[1]Sheet2!CX19</f>
        <v>0</v>
      </c>
      <c r="DR20" s="14">
        <f>[1]Sheet2!CY19</f>
        <v>0</v>
      </c>
      <c r="DS20" s="14">
        <f>[1]Sheet2!CZ19</f>
        <v>0</v>
      </c>
      <c r="DT20" s="14">
        <f>[1]Sheet2!DA19</f>
        <v>0</v>
      </c>
      <c r="DU20" s="14">
        <f>[1]Sheet2!DB19</f>
        <v>0</v>
      </c>
      <c r="DV20" s="14">
        <f>[1]Sheet2!DC19</f>
        <v>0</v>
      </c>
      <c r="DW20" s="14">
        <f>[1]Sheet2!DD19</f>
        <v>0</v>
      </c>
      <c r="DX20" s="14">
        <f>[1]Sheet2!DE19</f>
        <v>0</v>
      </c>
      <c r="DY20" s="14">
        <f>[1]Sheet2!DF19</f>
        <v>0</v>
      </c>
      <c r="DZ20" s="14">
        <f>[1]Sheet2!DG19</f>
        <v>0</v>
      </c>
    </row>
    <row r="21" spans="1:130" x14ac:dyDescent="0.25">
      <c r="A21" s="15">
        <v>43483</v>
      </c>
      <c r="B21" s="1"/>
      <c r="C21" s="1"/>
      <c r="D21" s="1"/>
      <c r="E21" s="14">
        <f>[1]Sheet2!N20</f>
        <v>0</v>
      </c>
      <c r="F21" s="14">
        <f>[1]Sheet2!BE20</f>
        <v>0</v>
      </c>
      <c r="G21" s="14">
        <f>[1]Sheet2!CV20</f>
        <v>271.83622828784121</v>
      </c>
      <c r="H21" s="1"/>
      <c r="I21" s="1"/>
      <c r="J21" s="1"/>
      <c r="K21" s="16">
        <f>Demand_CWRS!B$3/31</f>
        <v>313.22137613730359</v>
      </c>
      <c r="L21" s="16">
        <f>Demand_CWRS!C$3/31</f>
        <v>241.71000827129859</v>
      </c>
      <c r="M21" s="16">
        <f>Demand_CWRS!D$3/31</f>
        <v>0</v>
      </c>
      <c r="N21" s="16">
        <f>Demand_CWRS!E$3/31</f>
        <v>98.872001654259719</v>
      </c>
      <c r="O21" s="16">
        <f>Demand_CWRS!F$3/31</f>
        <v>198.36900072373859</v>
      </c>
      <c r="P21" s="16">
        <f>Demand_CWRS!G$3/31</f>
        <v>309.67741935483872</v>
      </c>
      <c r="Q21" s="16">
        <f>Demand_CWRS!H$3/31</f>
        <v>241.71000827129859</v>
      </c>
      <c r="R21" s="16">
        <f>Demand_CWRS!I$3/31</f>
        <v>200</v>
      </c>
      <c r="S21" s="16">
        <f>Demand_CWRS!J$3/31</f>
        <v>209.67741935483872</v>
      </c>
      <c r="T21" s="16">
        <f>Demand_CWRS!K$3/31</f>
        <v>216.12903225806451</v>
      </c>
      <c r="U21" s="16">
        <f t="shared" si="3"/>
        <v>-2637.9847704714653</v>
      </c>
      <c r="V21" s="16">
        <f t="shared" si="4"/>
        <v>-2350.7801488833752</v>
      </c>
      <c r="W21" s="16">
        <f t="shared" si="5"/>
        <v>0</v>
      </c>
      <c r="X21" s="16">
        <f t="shared" si="6"/>
        <v>220.30397022332457</v>
      </c>
      <c r="Y21" s="16">
        <f t="shared" si="7"/>
        <v>-2570.642013027295</v>
      </c>
      <c r="Z21" s="16">
        <f t="shared" si="8"/>
        <v>-2574.1935483870966</v>
      </c>
      <c r="AA21" s="16">
        <f t="shared" si="9"/>
        <v>-1850.7801488833754</v>
      </c>
      <c r="AB21" s="16">
        <f t="shared" si="10"/>
        <v>-1600</v>
      </c>
      <c r="AC21" s="16">
        <f t="shared" si="11"/>
        <v>-1674.1935483870975</v>
      </c>
      <c r="AD21" s="16">
        <f t="shared" si="12"/>
        <v>-1890.3225806451605</v>
      </c>
      <c r="AE21" s="14">
        <f>IF([1]Sheet2!AJ20=999999,"NA",[1]Sheet2!AJ20)</f>
        <v>109</v>
      </c>
      <c r="AF21" s="14">
        <f>IF([1]Sheet2!AK20=999999,"NA",[1]Sheet2!AK20)</f>
        <v>40</v>
      </c>
      <c r="AG21" s="14" t="str">
        <f>IF([1]Sheet2!AL20=999999,"NA",[1]Sheet2!AL20)</f>
        <v>NA</v>
      </c>
      <c r="AH21" s="14">
        <f>IF([1]Sheet2!AM20=999999,"NA",[1]Sheet2!AM20)</f>
        <v>347</v>
      </c>
      <c r="AI21" s="14">
        <f>IF([1]Sheet2!AN20=999999,"NA",[1]Sheet2!AN20)</f>
        <v>347</v>
      </c>
      <c r="AJ21" s="14">
        <f>IF([1]Sheet2!AO20=999999,"NA",[1]Sheet2!AO20)</f>
        <v>347</v>
      </c>
      <c r="AK21" s="14">
        <f>IF([1]Sheet2!AP20=999999,"NA",[1]Sheet2!AP20)</f>
        <v>92</v>
      </c>
      <c r="AL21" s="14">
        <f>IF([1]Sheet2!AQ20=999999,"NA",[1]Sheet2!AQ20)</f>
        <v>223</v>
      </c>
      <c r="AM21" s="14">
        <f>IF([1]Sheet2!AR20=999999,"NA",[1]Sheet2!AR20)</f>
        <v>347</v>
      </c>
      <c r="AN21" s="14">
        <f>IF([1]Sheet2!AS20=999999,"NA",[1]Sheet2!AS20)</f>
        <v>279</v>
      </c>
      <c r="AO21" s="14">
        <f>[1]Sheet2!P20</f>
        <v>0</v>
      </c>
      <c r="AP21" s="14">
        <f>[1]Sheet2!Q20</f>
        <v>0</v>
      </c>
      <c r="AQ21" s="14">
        <f>[1]Sheet2!R20</f>
        <v>0</v>
      </c>
      <c r="AR21" s="14">
        <f>[1]Sheet2!S20</f>
        <v>0</v>
      </c>
      <c r="AS21" s="14">
        <f>[1]Sheet2!T20</f>
        <v>0</v>
      </c>
      <c r="AT21" s="14">
        <f>[1]Sheet2!U20</f>
        <v>0</v>
      </c>
      <c r="AU21" s="14">
        <f>[1]Sheet2!V20</f>
        <v>0</v>
      </c>
      <c r="AV21" s="14">
        <f>[1]Sheet2!W20</f>
        <v>0</v>
      </c>
      <c r="AW21" s="14">
        <f>[1]Sheet2!X20</f>
        <v>0</v>
      </c>
      <c r="AX21" s="14">
        <f>[1]Sheet2!Y20</f>
        <v>0</v>
      </c>
      <c r="AY21" s="16">
        <f>Demand_LP!B$3/31</f>
        <v>503.00172404880072</v>
      </c>
      <c r="AZ21" s="16">
        <f>Demand_LP!C$3/31</f>
        <v>792.35864350703059</v>
      </c>
      <c r="BA21" s="16">
        <f>Demand_LP!D$3/31</f>
        <v>231.20967741935488</v>
      </c>
      <c r="BB21" s="16">
        <f>Demand_LP!E$3/31</f>
        <v>696.53949545078569</v>
      </c>
      <c r="BC21" s="16">
        <f>Demand_LP!F$3/31</f>
        <v>482.27093930934655</v>
      </c>
      <c r="BD21" s="16">
        <f>Demand_LP!G$3/31</f>
        <v>516.12903225806451</v>
      </c>
      <c r="BE21" s="16">
        <f>Demand_LP!H$3/31</f>
        <v>774.19354838709683</v>
      </c>
      <c r="BF21" s="16">
        <f>Demand_LP!I$3/31</f>
        <v>451.61290322580646</v>
      </c>
      <c r="BG21" s="16">
        <f>Demand_LP!J$3/31</f>
        <v>387.09677419354841</v>
      </c>
      <c r="BH21" s="16">
        <f>Demand_LP!K$3/31</f>
        <v>419.35483870967744</v>
      </c>
      <c r="BI21" s="16" t="e">
        <f t="shared" si="13"/>
        <v>#VALUE!</v>
      </c>
      <c r="BJ21" s="16">
        <f t="shared" si="14"/>
        <v>-9262.4555831265479</v>
      </c>
      <c r="BK21" s="16">
        <f t="shared" si="15"/>
        <v>-2161.7741935483878</v>
      </c>
      <c r="BL21" s="16">
        <f t="shared" si="16"/>
        <v>-9537.7109181141423</v>
      </c>
      <c r="BM21" s="16">
        <f t="shared" si="17"/>
        <v>-5680.8769075682367</v>
      </c>
      <c r="BN21" s="16">
        <f t="shared" si="18"/>
        <v>-7290.3225806451601</v>
      </c>
      <c r="BO21" s="16">
        <f t="shared" si="19"/>
        <v>-10935.483870967741</v>
      </c>
      <c r="BP21" s="16">
        <f t="shared" si="20"/>
        <v>-6129.032258064517</v>
      </c>
      <c r="BQ21" s="16">
        <f t="shared" si="21"/>
        <v>-3967.7419354838703</v>
      </c>
      <c r="BR21" s="16">
        <f t="shared" si="22"/>
        <v>-5048.3870967741941</v>
      </c>
      <c r="BS21" s="14">
        <f>IF([1]Sheet2!CA20=999999,"NA",[1]Sheet2!CA20)</f>
        <v>211430.61290322599</v>
      </c>
      <c r="BT21" s="14">
        <f>IF([1]Sheet2!CB20=999999,"NA",[1]Sheet2!CB20)</f>
        <v>269</v>
      </c>
      <c r="BU21" s="14">
        <f>IF([1]Sheet2!CC20=999999,"NA",[1]Sheet2!CC20)</f>
        <v>347</v>
      </c>
      <c r="BV21" s="14">
        <f>IF([1]Sheet2!CD20=999999,"NA",[1]Sheet2!CD20)</f>
        <v>347</v>
      </c>
      <c r="BW21" s="14">
        <f>IF([1]Sheet2!CE20=999999,"NA",[1]Sheet2!CE20)</f>
        <v>309</v>
      </c>
      <c r="BX21" s="14">
        <f>IF([1]Sheet2!CF20=999999,"NA",[1]Sheet2!CF20)</f>
        <v>347</v>
      </c>
      <c r="BY21" s="14">
        <f>IF([1]Sheet2!CG20=999999,"NA",[1]Sheet2!CG20)</f>
        <v>241</v>
      </c>
      <c r="BZ21" s="14">
        <f>IF([1]Sheet2!CH20=999999,"NA",[1]Sheet2!CH20)</f>
        <v>347</v>
      </c>
      <c r="CA21" s="14">
        <f>IF([1]Sheet2!CI20=999999,"NA",[1]Sheet2!CI20)</f>
        <v>347</v>
      </c>
      <c r="CB21" s="14">
        <f>IF([1]Sheet2!CJ20=999999,"NA",[1]Sheet2!CJ20)</f>
        <v>347</v>
      </c>
      <c r="CC21" s="14">
        <f>[1]Sheet2!BG20</f>
        <v>0</v>
      </c>
      <c r="CD21" s="14">
        <f>[1]Sheet2!BH20</f>
        <v>0</v>
      </c>
      <c r="CE21" s="14">
        <f>[1]Sheet2!BI20</f>
        <v>0</v>
      </c>
      <c r="CF21" s="14">
        <f>[1]Sheet2!BJ20</f>
        <v>0</v>
      </c>
      <c r="CG21" s="14">
        <f>[1]Sheet2!BK20</f>
        <v>0</v>
      </c>
      <c r="CH21" s="14">
        <f>[1]Sheet2!BL20</f>
        <v>0</v>
      </c>
      <c r="CI21" s="14">
        <f>[1]Sheet2!BM20</f>
        <v>0</v>
      </c>
      <c r="CJ21" s="14">
        <f>[1]Sheet2!BN20</f>
        <v>0</v>
      </c>
      <c r="CK21" s="14">
        <f>[1]Sheet2!BO20</f>
        <v>0</v>
      </c>
      <c r="CL21" s="14">
        <f>[1]Sheet2!BP20</f>
        <v>0</v>
      </c>
      <c r="CM21" s="16">
        <f>Demand_SW!B$3/31</f>
        <v>139.57816377171216</v>
      </c>
      <c r="CN21" s="16">
        <f>Demand_SW!C$3/31</f>
        <v>0</v>
      </c>
      <c r="CO21" s="16">
        <f>Demand_SW!D$3/31</f>
        <v>0</v>
      </c>
      <c r="CP21" s="16">
        <f>Demand_SW!E$3/31</f>
        <v>0</v>
      </c>
      <c r="CQ21" s="16">
        <f>Demand_SW!F$3/31</f>
        <v>0</v>
      </c>
      <c r="CR21" s="16">
        <f>Demand_SW!G$3/31</f>
        <v>132.25806451612902</v>
      </c>
      <c r="CS21" s="16">
        <f>Demand_SW!H$3/31</f>
        <v>0</v>
      </c>
      <c r="CT21" s="16">
        <f>Demand_SW!I$3/31</f>
        <v>0</v>
      </c>
      <c r="CU21" s="16">
        <f>Demand_SW!J$3/31</f>
        <v>0</v>
      </c>
      <c r="CV21" s="16">
        <f>Demand_SW!K$3/31</f>
        <v>0</v>
      </c>
      <c r="CW21" s="16">
        <f t="shared" si="23"/>
        <v>48487.593052109121</v>
      </c>
      <c r="CX21" s="16">
        <f t="shared" si="24"/>
        <v>500</v>
      </c>
      <c r="CY21" s="16">
        <f t="shared" si="25"/>
        <v>0</v>
      </c>
      <c r="CZ21" s="16">
        <f t="shared" si="26"/>
        <v>0</v>
      </c>
      <c r="DA21" s="16">
        <f t="shared" si="27"/>
        <v>0</v>
      </c>
      <c r="DB21" s="16">
        <f t="shared" si="28"/>
        <v>-1380.6451612903224</v>
      </c>
      <c r="DC21" s="16">
        <f t="shared" si="29"/>
        <v>500</v>
      </c>
      <c r="DD21" s="16">
        <f t="shared" si="30"/>
        <v>0</v>
      </c>
      <c r="DE21" s="16">
        <f t="shared" si="31"/>
        <v>0</v>
      </c>
      <c r="DF21" s="16">
        <f t="shared" si="32"/>
        <v>0</v>
      </c>
      <c r="DG21" s="14">
        <f>IF([1]Sheet2!DR20=999999,"NA",[1]Sheet2!DR20)</f>
        <v>73103</v>
      </c>
      <c r="DH21" s="14">
        <f>IF([1]Sheet2!DS20=999999,"NA",[1]Sheet2!DS20)</f>
        <v>347</v>
      </c>
      <c r="DI21" s="14">
        <f>IF([1]Sheet2!DT20=999999,"NA",[1]Sheet2!DT20)</f>
        <v>347</v>
      </c>
      <c r="DJ21" s="14" t="str">
        <f>IF([1]Sheet2!DU20=999999,"NA",[1]Sheet2!DU20)</f>
        <v>NA</v>
      </c>
      <c r="DK21" s="14" t="str">
        <f>IF([1]Sheet2!DV20=999999,"NA",[1]Sheet2!DV20)</f>
        <v>NA</v>
      </c>
      <c r="DL21" s="14" t="str">
        <f>IF([1]Sheet2!DW20=999999,"NA",[1]Sheet2!DW20)</f>
        <v>NA</v>
      </c>
      <c r="DM21" s="14">
        <f>IF([1]Sheet2!DX20=999999,"NA",[1]Sheet2!DX20)</f>
        <v>347</v>
      </c>
      <c r="DN21" s="14">
        <f>IF([1]Sheet2!DY20=999999,"NA",[1]Sheet2!DY20)</f>
        <v>347</v>
      </c>
      <c r="DO21" s="14" t="str">
        <f>IF([1]Sheet2!DZ20=999999,"NA",[1]Sheet2!DZ20)</f>
        <v>NA</v>
      </c>
      <c r="DP21" s="14" t="str">
        <f>IF([1]Sheet2!EA20=999999,"NA",[1]Sheet2!EA20)</f>
        <v>NA</v>
      </c>
      <c r="DQ21" s="14">
        <f>[1]Sheet2!CX20</f>
        <v>0</v>
      </c>
      <c r="DR21" s="14">
        <f>[1]Sheet2!CY20</f>
        <v>0</v>
      </c>
      <c r="DS21" s="14">
        <f>[1]Sheet2!CZ20</f>
        <v>0</v>
      </c>
      <c r="DT21" s="14">
        <f>[1]Sheet2!DA20</f>
        <v>0</v>
      </c>
      <c r="DU21" s="14">
        <f>[1]Sheet2!DB20</f>
        <v>0</v>
      </c>
      <c r="DV21" s="14">
        <f>[1]Sheet2!DC20</f>
        <v>0</v>
      </c>
      <c r="DW21" s="14">
        <f>[1]Sheet2!DD20</f>
        <v>0</v>
      </c>
      <c r="DX21" s="14">
        <f>[1]Sheet2!DE20</f>
        <v>0</v>
      </c>
      <c r="DY21" s="14">
        <f>[1]Sheet2!DF20</f>
        <v>0</v>
      </c>
      <c r="DZ21" s="14">
        <f>[1]Sheet2!DG20</f>
        <v>0</v>
      </c>
    </row>
    <row r="22" spans="1:130" x14ac:dyDescent="0.25">
      <c r="A22" s="15">
        <v>43484</v>
      </c>
      <c r="B22" s="1"/>
      <c r="C22" s="1"/>
      <c r="D22" s="1"/>
      <c r="E22" s="14">
        <f>[1]Sheet2!N21</f>
        <v>0</v>
      </c>
      <c r="F22" s="14">
        <f>[1]Sheet2!BE21</f>
        <v>0</v>
      </c>
      <c r="G22" s="14">
        <f>[1]Sheet2!CV21</f>
        <v>271.83622828784121</v>
      </c>
      <c r="H22" s="1"/>
      <c r="I22" s="1"/>
      <c r="J22" s="1"/>
      <c r="K22" s="16">
        <f>Demand_CWRS!B$3/31</f>
        <v>313.22137613730359</v>
      </c>
      <c r="L22" s="16">
        <f>Demand_CWRS!C$3/31</f>
        <v>241.71000827129859</v>
      </c>
      <c r="M22" s="16">
        <f>Demand_CWRS!D$3/31</f>
        <v>0</v>
      </c>
      <c r="N22" s="16">
        <f>Demand_CWRS!E$3/31</f>
        <v>98.872001654259719</v>
      </c>
      <c r="O22" s="16">
        <f>Demand_CWRS!F$3/31</f>
        <v>198.36900072373859</v>
      </c>
      <c r="P22" s="16">
        <f>Demand_CWRS!G$3/31</f>
        <v>309.67741935483872</v>
      </c>
      <c r="Q22" s="16">
        <f>Demand_CWRS!H$3/31</f>
        <v>241.71000827129859</v>
      </c>
      <c r="R22" s="16">
        <f>Demand_CWRS!I$3/31</f>
        <v>200</v>
      </c>
      <c r="S22" s="16">
        <f>Demand_CWRS!J$3/31</f>
        <v>209.67741935483872</v>
      </c>
      <c r="T22" s="16">
        <f>Demand_CWRS!K$3/31</f>
        <v>216.12903225806451</v>
      </c>
      <c r="U22" s="16">
        <f t="shared" si="3"/>
        <v>-2951.2061466087689</v>
      </c>
      <c r="V22" s="16">
        <f t="shared" si="4"/>
        <v>-2592.4901571546739</v>
      </c>
      <c r="W22" s="16">
        <f t="shared" si="5"/>
        <v>0</v>
      </c>
      <c r="X22" s="16">
        <f t="shared" si="6"/>
        <v>121.43196856906485</v>
      </c>
      <c r="Y22" s="16">
        <f t="shared" si="7"/>
        <v>-2769.0110137510337</v>
      </c>
      <c r="Z22" s="16">
        <f t="shared" si="8"/>
        <v>-2883.8709677419351</v>
      </c>
      <c r="AA22" s="16">
        <f t="shared" si="9"/>
        <v>-2092.4901571546739</v>
      </c>
      <c r="AB22" s="16">
        <f t="shared" si="10"/>
        <v>-1800</v>
      </c>
      <c r="AC22" s="16">
        <f t="shared" si="11"/>
        <v>-1883.8709677419363</v>
      </c>
      <c r="AD22" s="16">
        <f t="shared" si="12"/>
        <v>-2106.4516129032249</v>
      </c>
      <c r="AE22" s="14">
        <f>IF([1]Sheet2!AJ21=999999,"NA",[1]Sheet2!AJ21)</f>
        <v>108</v>
      </c>
      <c r="AF22" s="14">
        <f>IF([1]Sheet2!AK21=999999,"NA",[1]Sheet2!AK21)</f>
        <v>39</v>
      </c>
      <c r="AG22" s="14" t="str">
        <f>IF([1]Sheet2!AL21=999999,"NA",[1]Sheet2!AL21)</f>
        <v>NA</v>
      </c>
      <c r="AH22" s="14">
        <f>IF([1]Sheet2!AM21=999999,"NA",[1]Sheet2!AM21)</f>
        <v>346</v>
      </c>
      <c r="AI22" s="14">
        <f>IF([1]Sheet2!AN21=999999,"NA",[1]Sheet2!AN21)</f>
        <v>346</v>
      </c>
      <c r="AJ22" s="14">
        <f>IF([1]Sheet2!AO21=999999,"NA",[1]Sheet2!AO21)</f>
        <v>346</v>
      </c>
      <c r="AK22" s="14">
        <f>IF([1]Sheet2!AP21=999999,"NA",[1]Sheet2!AP21)</f>
        <v>91</v>
      </c>
      <c r="AL22" s="14">
        <f>IF([1]Sheet2!AQ21=999999,"NA",[1]Sheet2!AQ21)</f>
        <v>222</v>
      </c>
      <c r="AM22" s="14">
        <f>IF([1]Sheet2!AR21=999999,"NA",[1]Sheet2!AR21)</f>
        <v>346</v>
      </c>
      <c r="AN22" s="14">
        <f>IF([1]Sheet2!AS21=999999,"NA",[1]Sheet2!AS21)</f>
        <v>278</v>
      </c>
      <c r="AO22" s="14">
        <f>[1]Sheet2!P21</f>
        <v>0</v>
      </c>
      <c r="AP22" s="14">
        <f>[1]Sheet2!Q21</f>
        <v>0</v>
      </c>
      <c r="AQ22" s="14">
        <f>[1]Sheet2!R21</f>
        <v>0</v>
      </c>
      <c r="AR22" s="14">
        <f>[1]Sheet2!S21</f>
        <v>0</v>
      </c>
      <c r="AS22" s="14">
        <f>[1]Sheet2!T21</f>
        <v>0</v>
      </c>
      <c r="AT22" s="14">
        <f>[1]Sheet2!U21</f>
        <v>0</v>
      </c>
      <c r="AU22" s="14">
        <f>[1]Sheet2!V21</f>
        <v>0</v>
      </c>
      <c r="AV22" s="14">
        <f>[1]Sheet2!W21</f>
        <v>0</v>
      </c>
      <c r="AW22" s="14">
        <f>[1]Sheet2!X21</f>
        <v>0</v>
      </c>
      <c r="AX22" s="14">
        <f>[1]Sheet2!Y21</f>
        <v>0</v>
      </c>
      <c r="AY22" s="16">
        <f>Demand_LP!B$3/31</f>
        <v>503.00172404880072</v>
      </c>
      <c r="AZ22" s="16">
        <f>Demand_LP!C$3/31</f>
        <v>792.35864350703059</v>
      </c>
      <c r="BA22" s="16">
        <f>Demand_LP!D$3/31</f>
        <v>231.20967741935488</v>
      </c>
      <c r="BB22" s="16">
        <f>Demand_LP!E$3/31</f>
        <v>696.53949545078569</v>
      </c>
      <c r="BC22" s="16">
        <f>Demand_LP!F$3/31</f>
        <v>482.27093930934655</v>
      </c>
      <c r="BD22" s="16">
        <f>Demand_LP!G$3/31</f>
        <v>516.12903225806451</v>
      </c>
      <c r="BE22" s="16">
        <f>Demand_LP!H$3/31</f>
        <v>774.19354838709683</v>
      </c>
      <c r="BF22" s="16">
        <f>Demand_LP!I$3/31</f>
        <v>451.61290322580646</v>
      </c>
      <c r="BG22" s="16">
        <f>Demand_LP!J$3/31</f>
        <v>387.09677419354841</v>
      </c>
      <c r="BH22" s="16">
        <f>Demand_LP!K$3/31</f>
        <v>419.35483870967744</v>
      </c>
      <c r="BI22" s="16" t="e">
        <f t="shared" si="13"/>
        <v>#VALUE!</v>
      </c>
      <c r="BJ22" s="16">
        <f t="shared" si="14"/>
        <v>-10054.814226633578</v>
      </c>
      <c r="BK22" s="16">
        <f t="shared" si="15"/>
        <v>-2392.9838709677424</v>
      </c>
      <c r="BL22" s="16">
        <f t="shared" si="16"/>
        <v>-10234.250413564929</v>
      </c>
      <c r="BM22" s="16">
        <f t="shared" si="17"/>
        <v>-6163.1478468775831</v>
      </c>
      <c r="BN22" s="16">
        <f t="shared" si="18"/>
        <v>-7806.4516129032245</v>
      </c>
      <c r="BO22" s="16">
        <f t="shared" si="19"/>
        <v>-11709.677419354837</v>
      </c>
      <c r="BP22" s="16">
        <f t="shared" si="20"/>
        <v>-6580.6451612903238</v>
      </c>
      <c r="BQ22" s="16">
        <f t="shared" si="21"/>
        <v>-4354.8387096774186</v>
      </c>
      <c r="BR22" s="16">
        <f t="shared" si="22"/>
        <v>-5467.7419354838712</v>
      </c>
      <c r="BS22" s="14">
        <f>IF([1]Sheet2!CA21=999999,"NA",[1]Sheet2!CA21)</f>
        <v>211011.25806451633</v>
      </c>
      <c r="BT22" s="14">
        <f>IF([1]Sheet2!CB21=999999,"NA",[1]Sheet2!CB21)</f>
        <v>268</v>
      </c>
      <c r="BU22" s="14">
        <f>IF([1]Sheet2!CC21=999999,"NA",[1]Sheet2!CC21)</f>
        <v>346</v>
      </c>
      <c r="BV22" s="14">
        <f>IF([1]Sheet2!CD21=999999,"NA",[1]Sheet2!CD21)</f>
        <v>346</v>
      </c>
      <c r="BW22" s="14">
        <f>IF([1]Sheet2!CE21=999999,"NA",[1]Sheet2!CE21)</f>
        <v>308</v>
      </c>
      <c r="BX22" s="14">
        <f>IF([1]Sheet2!CF21=999999,"NA",[1]Sheet2!CF21)</f>
        <v>346</v>
      </c>
      <c r="BY22" s="14">
        <f>IF([1]Sheet2!CG21=999999,"NA",[1]Sheet2!CG21)</f>
        <v>240</v>
      </c>
      <c r="BZ22" s="14">
        <f>IF([1]Sheet2!CH21=999999,"NA",[1]Sheet2!CH21)</f>
        <v>346</v>
      </c>
      <c r="CA22" s="14">
        <f>IF([1]Sheet2!CI21=999999,"NA",[1]Sheet2!CI21)</f>
        <v>346</v>
      </c>
      <c r="CB22" s="14">
        <f>IF([1]Sheet2!CJ21=999999,"NA",[1]Sheet2!CJ21)</f>
        <v>346</v>
      </c>
      <c r="CC22" s="14">
        <f>[1]Sheet2!BG21</f>
        <v>0</v>
      </c>
      <c r="CD22" s="14">
        <f>[1]Sheet2!BH21</f>
        <v>0</v>
      </c>
      <c r="CE22" s="14">
        <f>[1]Sheet2!BI21</f>
        <v>0</v>
      </c>
      <c r="CF22" s="14">
        <f>[1]Sheet2!BJ21</f>
        <v>0</v>
      </c>
      <c r="CG22" s="14">
        <f>[1]Sheet2!BK21</f>
        <v>0</v>
      </c>
      <c r="CH22" s="14">
        <f>[1]Sheet2!BL21</f>
        <v>0</v>
      </c>
      <c r="CI22" s="14">
        <f>[1]Sheet2!BM21</f>
        <v>0</v>
      </c>
      <c r="CJ22" s="14">
        <f>[1]Sheet2!BN21</f>
        <v>0</v>
      </c>
      <c r="CK22" s="14">
        <f>[1]Sheet2!BO21</f>
        <v>0</v>
      </c>
      <c r="CL22" s="14">
        <f>[1]Sheet2!BP21</f>
        <v>0</v>
      </c>
      <c r="CM22" s="16">
        <f>Demand_SW!B$3/31</f>
        <v>139.57816377171216</v>
      </c>
      <c r="CN22" s="16">
        <f>Demand_SW!C$3/31</f>
        <v>0</v>
      </c>
      <c r="CO22" s="16">
        <f>Demand_SW!D$3/31</f>
        <v>0</v>
      </c>
      <c r="CP22" s="16">
        <f>Demand_SW!E$3/31</f>
        <v>0</v>
      </c>
      <c r="CQ22" s="16">
        <f>Demand_SW!F$3/31</f>
        <v>0</v>
      </c>
      <c r="CR22" s="16">
        <f>Demand_SW!G$3/31</f>
        <v>132.25806451612902</v>
      </c>
      <c r="CS22" s="16">
        <f>Demand_SW!H$3/31</f>
        <v>0</v>
      </c>
      <c r="CT22" s="16">
        <f>Demand_SW!I$3/31</f>
        <v>0</v>
      </c>
      <c r="CU22" s="16">
        <f>Demand_SW!J$3/31</f>
        <v>0</v>
      </c>
      <c r="CV22" s="16">
        <f>Demand_SW!K$3/31</f>
        <v>0</v>
      </c>
      <c r="CW22" s="16">
        <f t="shared" si="23"/>
        <v>48348.014888337406</v>
      </c>
      <c r="CX22" s="16">
        <f t="shared" si="24"/>
        <v>500</v>
      </c>
      <c r="CY22" s="16">
        <f t="shared" si="25"/>
        <v>0</v>
      </c>
      <c r="CZ22" s="16">
        <f t="shared" si="26"/>
        <v>0</v>
      </c>
      <c r="DA22" s="16">
        <f t="shared" si="27"/>
        <v>0</v>
      </c>
      <c r="DB22" s="16">
        <f t="shared" si="28"/>
        <v>-1512.9032258064515</v>
      </c>
      <c r="DC22" s="16">
        <f t="shared" si="29"/>
        <v>500</v>
      </c>
      <c r="DD22" s="16">
        <f t="shared" si="30"/>
        <v>0</v>
      </c>
      <c r="DE22" s="16">
        <f t="shared" si="31"/>
        <v>0</v>
      </c>
      <c r="DF22" s="16">
        <f t="shared" si="32"/>
        <v>0</v>
      </c>
      <c r="DG22" s="14">
        <f>IF([1]Sheet2!DR21=999999,"NA",[1]Sheet2!DR21)</f>
        <v>73103</v>
      </c>
      <c r="DH22" s="14">
        <f>IF([1]Sheet2!DS21=999999,"NA",[1]Sheet2!DS21)</f>
        <v>346</v>
      </c>
      <c r="DI22" s="14">
        <f>IF([1]Sheet2!DT21=999999,"NA",[1]Sheet2!DT21)</f>
        <v>346</v>
      </c>
      <c r="DJ22" s="14" t="str">
        <f>IF([1]Sheet2!DU21=999999,"NA",[1]Sheet2!DU21)</f>
        <v>NA</v>
      </c>
      <c r="DK22" s="14" t="str">
        <f>IF([1]Sheet2!DV21=999999,"NA",[1]Sheet2!DV21)</f>
        <v>NA</v>
      </c>
      <c r="DL22" s="14" t="str">
        <f>IF([1]Sheet2!DW21=999999,"NA",[1]Sheet2!DW21)</f>
        <v>NA</v>
      </c>
      <c r="DM22" s="14">
        <f>IF([1]Sheet2!DX21=999999,"NA",[1]Sheet2!DX21)</f>
        <v>346</v>
      </c>
      <c r="DN22" s="14">
        <f>IF([1]Sheet2!DY21=999999,"NA",[1]Sheet2!DY21)</f>
        <v>346</v>
      </c>
      <c r="DO22" s="14" t="str">
        <f>IF([1]Sheet2!DZ21=999999,"NA",[1]Sheet2!DZ21)</f>
        <v>NA</v>
      </c>
      <c r="DP22" s="14" t="str">
        <f>IF([1]Sheet2!EA21=999999,"NA",[1]Sheet2!EA21)</f>
        <v>NA</v>
      </c>
      <c r="DQ22" s="14">
        <f>[1]Sheet2!CX21</f>
        <v>0</v>
      </c>
      <c r="DR22" s="14">
        <f>[1]Sheet2!CY21</f>
        <v>0</v>
      </c>
      <c r="DS22" s="14">
        <f>[1]Sheet2!CZ21</f>
        <v>0</v>
      </c>
      <c r="DT22" s="14">
        <f>[1]Sheet2!DA21</f>
        <v>0</v>
      </c>
      <c r="DU22" s="14">
        <f>[1]Sheet2!DB21</f>
        <v>0</v>
      </c>
      <c r="DV22" s="14">
        <f>[1]Sheet2!DC21</f>
        <v>0</v>
      </c>
      <c r="DW22" s="14">
        <f>[1]Sheet2!DD21</f>
        <v>0</v>
      </c>
      <c r="DX22" s="14">
        <f>[1]Sheet2!DE21</f>
        <v>0</v>
      </c>
      <c r="DY22" s="14">
        <f>[1]Sheet2!DF21</f>
        <v>0</v>
      </c>
      <c r="DZ22" s="14">
        <f>[1]Sheet2!DG21</f>
        <v>0</v>
      </c>
    </row>
    <row r="23" spans="1:130" x14ac:dyDescent="0.25">
      <c r="A23" s="15">
        <v>43485</v>
      </c>
      <c r="B23" s="1"/>
      <c r="C23" s="1"/>
      <c r="D23" s="1"/>
      <c r="E23" s="14">
        <f>[1]Sheet2!N22</f>
        <v>0</v>
      </c>
      <c r="F23" s="14">
        <f>[1]Sheet2!BE22</f>
        <v>0</v>
      </c>
      <c r="G23" s="14">
        <f>[1]Sheet2!CV22</f>
        <v>271.83622828784121</v>
      </c>
      <c r="H23" s="1"/>
      <c r="I23" s="1"/>
      <c r="J23" s="1"/>
      <c r="K23" s="16">
        <f>Demand_CWRS!B$3/31</f>
        <v>313.22137613730359</v>
      </c>
      <c r="L23" s="16">
        <f>Demand_CWRS!C$3/31</f>
        <v>241.71000827129859</v>
      </c>
      <c r="M23" s="16">
        <f>Demand_CWRS!D$3/31</f>
        <v>0</v>
      </c>
      <c r="N23" s="16">
        <f>Demand_CWRS!E$3/31</f>
        <v>98.872001654259719</v>
      </c>
      <c r="O23" s="16">
        <f>Demand_CWRS!F$3/31</f>
        <v>198.36900072373859</v>
      </c>
      <c r="P23" s="16">
        <f>Demand_CWRS!G$3/31</f>
        <v>309.67741935483872</v>
      </c>
      <c r="Q23" s="16">
        <f>Demand_CWRS!H$3/31</f>
        <v>241.71000827129859</v>
      </c>
      <c r="R23" s="16">
        <f>Demand_CWRS!I$3/31</f>
        <v>200</v>
      </c>
      <c r="S23" s="16">
        <f>Demand_CWRS!J$3/31</f>
        <v>209.67741935483872</v>
      </c>
      <c r="T23" s="16">
        <f>Demand_CWRS!K$3/31</f>
        <v>216.12903225806451</v>
      </c>
      <c r="U23" s="16">
        <f t="shared" si="3"/>
        <v>-3264.4275227460726</v>
      </c>
      <c r="V23" s="16">
        <f t="shared" si="4"/>
        <v>-2834.2001654259725</v>
      </c>
      <c r="W23" s="16">
        <f t="shared" si="5"/>
        <v>0</v>
      </c>
      <c r="X23" s="16">
        <f t="shared" si="6"/>
        <v>22.559966914805131</v>
      </c>
      <c r="Y23" s="16">
        <f t="shared" si="7"/>
        <v>-2967.3800144747725</v>
      </c>
      <c r="Z23" s="16">
        <f t="shared" si="8"/>
        <v>-3193.5483870967737</v>
      </c>
      <c r="AA23" s="16">
        <f t="shared" si="9"/>
        <v>-2334.2001654259725</v>
      </c>
      <c r="AB23" s="16">
        <f t="shared" si="10"/>
        <v>-2000</v>
      </c>
      <c r="AC23" s="16">
        <f t="shared" si="11"/>
        <v>-2093.5483870967751</v>
      </c>
      <c r="AD23" s="16">
        <f t="shared" si="12"/>
        <v>-2322.5806451612893</v>
      </c>
      <c r="AE23" s="14">
        <f>IF([1]Sheet2!AJ22=999999,"NA",[1]Sheet2!AJ22)</f>
        <v>107</v>
      </c>
      <c r="AF23" s="14">
        <f>IF([1]Sheet2!AK22=999999,"NA",[1]Sheet2!AK22)</f>
        <v>38</v>
      </c>
      <c r="AG23" s="14" t="str">
        <f>IF([1]Sheet2!AL22=999999,"NA",[1]Sheet2!AL22)</f>
        <v>NA</v>
      </c>
      <c r="AH23" s="14">
        <f>IF([1]Sheet2!AM22=999999,"NA",[1]Sheet2!AM22)</f>
        <v>345</v>
      </c>
      <c r="AI23" s="14">
        <f>IF([1]Sheet2!AN22=999999,"NA",[1]Sheet2!AN22)</f>
        <v>345</v>
      </c>
      <c r="AJ23" s="14">
        <f>IF([1]Sheet2!AO22=999999,"NA",[1]Sheet2!AO22)</f>
        <v>345</v>
      </c>
      <c r="AK23" s="14">
        <f>IF([1]Sheet2!AP22=999999,"NA",[1]Sheet2!AP22)</f>
        <v>90</v>
      </c>
      <c r="AL23" s="14">
        <f>IF([1]Sheet2!AQ22=999999,"NA",[1]Sheet2!AQ22)</f>
        <v>221</v>
      </c>
      <c r="AM23" s="14">
        <f>IF([1]Sheet2!AR22=999999,"NA",[1]Sheet2!AR22)</f>
        <v>345</v>
      </c>
      <c r="AN23" s="14">
        <f>IF([1]Sheet2!AS22=999999,"NA",[1]Sheet2!AS22)</f>
        <v>277</v>
      </c>
      <c r="AO23" s="14">
        <f>[1]Sheet2!P22</f>
        <v>0</v>
      </c>
      <c r="AP23" s="14">
        <f>[1]Sheet2!Q22</f>
        <v>0</v>
      </c>
      <c r="AQ23" s="14">
        <f>[1]Sheet2!R22</f>
        <v>0</v>
      </c>
      <c r="AR23" s="14">
        <f>[1]Sheet2!S22</f>
        <v>0</v>
      </c>
      <c r="AS23" s="14">
        <f>[1]Sheet2!T22</f>
        <v>0</v>
      </c>
      <c r="AT23" s="14">
        <f>[1]Sheet2!U22</f>
        <v>0</v>
      </c>
      <c r="AU23" s="14">
        <f>[1]Sheet2!V22</f>
        <v>0</v>
      </c>
      <c r="AV23" s="14">
        <f>[1]Sheet2!W22</f>
        <v>0</v>
      </c>
      <c r="AW23" s="22">
        <f>[1]Sheet2!X22</f>
        <v>0</v>
      </c>
      <c r="AX23" s="22">
        <f>[1]Sheet2!Y22</f>
        <v>0</v>
      </c>
      <c r="AY23" s="16">
        <f>Demand_LP!B$3/31</f>
        <v>503.00172404880072</v>
      </c>
      <c r="AZ23" s="16">
        <f>Demand_LP!C$3/31</f>
        <v>792.35864350703059</v>
      </c>
      <c r="BA23" s="16">
        <f>Demand_LP!D$3/31</f>
        <v>231.20967741935488</v>
      </c>
      <c r="BB23" s="16">
        <f>Demand_LP!E$3/31</f>
        <v>696.53949545078569</v>
      </c>
      <c r="BC23" s="16">
        <f>Demand_LP!F$3/31</f>
        <v>482.27093930934655</v>
      </c>
      <c r="BD23" s="16">
        <f>Demand_LP!G$3/31</f>
        <v>516.12903225806451</v>
      </c>
      <c r="BE23" s="16">
        <f>Demand_LP!H$3/31</f>
        <v>774.19354838709683</v>
      </c>
      <c r="BF23" s="16">
        <f>Demand_LP!I$3/31</f>
        <v>451.61290322580646</v>
      </c>
      <c r="BG23" s="16">
        <f>Demand_LP!J$3/31</f>
        <v>387.09677419354841</v>
      </c>
      <c r="BH23" s="16">
        <f>Demand_LP!K$3/31</f>
        <v>419.35483870967744</v>
      </c>
      <c r="BI23" s="16" t="e">
        <f t="shared" si="13"/>
        <v>#VALUE!</v>
      </c>
      <c r="BJ23" s="16">
        <f t="shared" si="14"/>
        <v>-10847.172870140608</v>
      </c>
      <c r="BK23" s="16">
        <f t="shared" si="15"/>
        <v>-2624.1935483870975</v>
      </c>
      <c r="BL23" s="16">
        <f t="shared" si="16"/>
        <v>-10930.789909015715</v>
      </c>
      <c r="BM23" s="16">
        <f t="shared" si="17"/>
        <v>-6645.4187861869295</v>
      </c>
      <c r="BN23" s="16">
        <f t="shared" si="18"/>
        <v>-8322.5806451612898</v>
      </c>
      <c r="BO23" s="16">
        <f t="shared" si="19"/>
        <v>-12483.870967741934</v>
      </c>
      <c r="BP23" s="16">
        <f t="shared" si="20"/>
        <v>-7032.2580645161306</v>
      </c>
      <c r="BQ23" s="16">
        <f t="shared" si="21"/>
        <v>-4741.9354838709669</v>
      </c>
      <c r="BR23" s="16">
        <f t="shared" si="22"/>
        <v>-5887.0967741935483</v>
      </c>
      <c r="BS23" s="14">
        <f>IF([1]Sheet2!CA22=999999,"NA",[1]Sheet2!CA22)</f>
        <v>210591.90322580666</v>
      </c>
      <c r="BT23" s="14">
        <f>IF([1]Sheet2!CB22=999999,"NA",[1]Sheet2!CB22)</f>
        <v>267</v>
      </c>
      <c r="BU23" s="14">
        <f>IF([1]Sheet2!CC22=999999,"NA",[1]Sheet2!CC22)</f>
        <v>345</v>
      </c>
      <c r="BV23" s="14">
        <f>IF([1]Sheet2!CD22=999999,"NA",[1]Sheet2!CD22)</f>
        <v>345</v>
      </c>
      <c r="BW23" s="14">
        <f>IF([1]Sheet2!CE22=999999,"NA",[1]Sheet2!CE22)</f>
        <v>307</v>
      </c>
      <c r="BX23" s="14">
        <f>IF([1]Sheet2!CF22=999999,"NA",[1]Sheet2!CF22)</f>
        <v>345</v>
      </c>
      <c r="BY23" s="14">
        <f>IF([1]Sheet2!CG22=999999,"NA",[1]Sheet2!CG22)</f>
        <v>239</v>
      </c>
      <c r="BZ23" s="14">
        <f>IF([1]Sheet2!CH22=999999,"NA",[1]Sheet2!CH22)</f>
        <v>345</v>
      </c>
      <c r="CA23" s="14">
        <f>IF([1]Sheet2!CI22=999999,"NA",[1]Sheet2!CI22)</f>
        <v>345</v>
      </c>
      <c r="CB23" s="14">
        <f>IF([1]Sheet2!CJ22=999999,"NA",[1]Sheet2!CJ22)</f>
        <v>345</v>
      </c>
      <c r="CC23" s="14">
        <f>[1]Sheet2!BG22</f>
        <v>0</v>
      </c>
      <c r="CD23" s="14">
        <f>[1]Sheet2!BH22</f>
        <v>0</v>
      </c>
      <c r="CE23" s="14">
        <f>[1]Sheet2!BI22</f>
        <v>0</v>
      </c>
      <c r="CF23" s="14">
        <f>[1]Sheet2!BJ22</f>
        <v>0</v>
      </c>
      <c r="CG23" s="14">
        <f>[1]Sheet2!BK22</f>
        <v>0</v>
      </c>
      <c r="CH23" s="14">
        <f>[1]Sheet2!BL22</f>
        <v>0</v>
      </c>
      <c r="CI23" s="14">
        <f>[1]Sheet2!BM22</f>
        <v>0</v>
      </c>
      <c r="CJ23" s="14">
        <f>[1]Sheet2!BN22</f>
        <v>0</v>
      </c>
      <c r="CK23" s="22">
        <f>[1]Sheet2!BO22</f>
        <v>0</v>
      </c>
      <c r="CL23" s="22">
        <f>[1]Sheet2!BP22</f>
        <v>0</v>
      </c>
      <c r="CM23" s="16">
        <f>Demand_SW!B$3/31</f>
        <v>139.57816377171216</v>
      </c>
      <c r="CN23" s="16">
        <f>Demand_SW!C$3/31</f>
        <v>0</v>
      </c>
      <c r="CO23" s="16">
        <f>Demand_SW!D$3/31</f>
        <v>0</v>
      </c>
      <c r="CP23" s="16">
        <f>Demand_SW!E$3/31</f>
        <v>0</v>
      </c>
      <c r="CQ23" s="16">
        <f>Demand_SW!F$3/31</f>
        <v>0</v>
      </c>
      <c r="CR23" s="16">
        <f>Demand_SW!G$3/31</f>
        <v>132.25806451612902</v>
      </c>
      <c r="CS23" s="16">
        <f>Demand_SW!H$3/31</f>
        <v>0</v>
      </c>
      <c r="CT23" s="16">
        <f>Demand_SW!I$3/31</f>
        <v>0</v>
      </c>
      <c r="CU23" s="16">
        <f>Demand_SW!J$3/31</f>
        <v>0</v>
      </c>
      <c r="CV23" s="16">
        <f>Demand_SW!K$3/31</f>
        <v>0</v>
      </c>
      <c r="CW23" s="16">
        <f t="shared" si="23"/>
        <v>48208.43672456569</v>
      </c>
      <c r="CX23" s="16">
        <f t="shared" si="24"/>
        <v>500</v>
      </c>
      <c r="CY23" s="16">
        <f t="shared" si="25"/>
        <v>0</v>
      </c>
      <c r="CZ23" s="16">
        <f t="shared" si="26"/>
        <v>0</v>
      </c>
      <c r="DA23" s="16">
        <f t="shared" si="27"/>
        <v>0</v>
      </c>
      <c r="DB23" s="16">
        <f t="shared" si="28"/>
        <v>-1645.1612903225805</v>
      </c>
      <c r="DC23" s="16">
        <f t="shared" si="29"/>
        <v>500</v>
      </c>
      <c r="DD23" s="16">
        <f t="shared" si="30"/>
        <v>0</v>
      </c>
      <c r="DE23" s="16">
        <f t="shared" si="31"/>
        <v>0</v>
      </c>
      <c r="DF23" s="16">
        <f t="shared" si="32"/>
        <v>0</v>
      </c>
      <c r="DG23" s="14">
        <f>IF([1]Sheet2!DR22=999999,"NA",[1]Sheet2!DR22)</f>
        <v>73103</v>
      </c>
      <c r="DH23" s="14">
        <f>IF([1]Sheet2!DS22=999999,"NA",[1]Sheet2!DS22)</f>
        <v>345</v>
      </c>
      <c r="DI23" s="14">
        <f>IF([1]Sheet2!DT22=999999,"NA",[1]Sheet2!DT22)</f>
        <v>345</v>
      </c>
      <c r="DJ23" s="14" t="str">
        <f>IF([1]Sheet2!DU22=999999,"NA",[1]Sheet2!DU22)</f>
        <v>NA</v>
      </c>
      <c r="DK23" s="14" t="str">
        <f>IF([1]Sheet2!DV22=999999,"NA",[1]Sheet2!DV22)</f>
        <v>NA</v>
      </c>
      <c r="DL23" s="14" t="str">
        <f>IF([1]Sheet2!DW22=999999,"NA",[1]Sheet2!DW22)</f>
        <v>NA</v>
      </c>
      <c r="DM23" s="14">
        <f>IF([1]Sheet2!DX22=999999,"NA",[1]Sheet2!DX22)</f>
        <v>345</v>
      </c>
      <c r="DN23" s="14">
        <f>IF([1]Sheet2!DY22=999999,"NA",[1]Sheet2!DY22)</f>
        <v>345</v>
      </c>
      <c r="DO23" s="14" t="str">
        <f>IF([1]Sheet2!DZ22=999999,"NA",[1]Sheet2!DZ22)</f>
        <v>NA</v>
      </c>
      <c r="DP23" s="14" t="str">
        <f>IF([1]Sheet2!EA22=999999,"NA",[1]Sheet2!EA22)</f>
        <v>NA</v>
      </c>
      <c r="DQ23" s="14">
        <f>[1]Sheet2!CX22</f>
        <v>0</v>
      </c>
      <c r="DR23" s="14">
        <f>[1]Sheet2!CY22</f>
        <v>0</v>
      </c>
      <c r="DS23" s="14">
        <f>[1]Sheet2!CZ22</f>
        <v>0</v>
      </c>
      <c r="DT23" s="14">
        <f>[1]Sheet2!DA22</f>
        <v>0</v>
      </c>
      <c r="DU23" s="14">
        <f>[1]Sheet2!DB22</f>
        <v>0</v>
      </c>
      <c r="DV23" s="14">
        <f>[1]Sheet2!DC22</f>
        <v>0</v>
      </c>
      <c r="DW23" s="14">
        <f>[1]Sheet2!DD22</f>
        <v>0</v>
      </c>
      <c r="DX23" s="14">
        <f>[1]Sheet2!DE22</f>
        <v>0</v>
      </c>
      <c r="DY23" s="14">
        <f>[1]Sheet2!DF22</f>
        <v>0</v>
      </c>
      <c r="DZ23" s="14">
        <f>[1]Sheet2!DG22</f>
        <v>0</v>
      </c>
    </row>
    <row r="24" spans="1:130" x14ac:dyDescent="0.25">
      <c r="A24" s="15">
        <v>43486</v>
      </c>
      <c r="B24" s="1"/>
      <c r="C24" s="1"/>
      <c r="D24" s="1"/>
      <c r="E24" s="14">
        <f>[1]Sheet2!N23</f>
        <v>0</v>
      </c>
      <c r="F24" s="14">
        <f>[1]Sheet2!BE23</f>
        <v>0</v>
      </c>
      <c r="G24" s="14">
        <f>[1]Sheet2!CV23</f>
        <v>271.83622828784121</v>
      </c>
      <c r="H24" s="1"/>
      <c r="I24" s="1"/>
      <c r="J24" s="1"/>
      <c r="K24" s="16">
        <f>Demand_CWRS!B$3/31</f>
        <v>313.22137613730359</v>
      </c>
      <c r="L24" s="16">
        <f>Demand_CWRS!C$3/31</f>
        <v>241.71000827129859</v>
      </c>
      <c r="M24" s="16">
        <f>Demand_CWRS!D$3/31</f>
        <v>0</v>
      </c>
      <c r="N24" s="16">
        <f>Demand_CWRS!E$3/31</f>
        <v>98.872001654259719</v>
      </c>
      <c r="O24" s="16">
        <f>Demand_CWRS!F$3/31</f>
        <v>198.36900072373859</v>
      </c>
      <c r="P24" s="16">
        <f>Demand_CWRS!G$3/31</f>
        <v>309.67741935483872</v>
      </c>
      <c r="Q24" s="16">
        <f>Demand_CWRS!H$3/31</f>
        <v>241.71000827129859</v>
      </c>
      <c r="R24" s="16">
        <f>Demand_CWRS!I$3/31</f>
        <v>200</v>
      </c>
      <c r="S24" s="16">
        <f>Demand_CWRS!J$3/31</f>
        <v>209.67741935483872</v>
      </c>
      <c r="T24" s="16">
        <f>Demand_CWRS!K$3/31</f>
        <v>216.12903225806451</v>
      </c>
      <c r="U24" s="16">
        <f t="shared" si="3"/>
        <v>-3577.6488988833762</v>
      </c>
      <c r="V24" s="16">
        <f t="shared" si="4"/>
        <v>-3075.9101736972711</v>
      </c>
      <c r="W24" s="16">
        <f t="shared" si="5"/>
        <v>0</v>
      </c>
      <c r="X24" s="16">
        <f t="shared" si="6"/>
        <v>-76.312034739454589</v>
      </c>
      <c r="Y24" s="16">
        <f t="shared" si="7"/>
        <v>-3165.7490151985112</v>
      </c>
      <c r="Z24" s="16">
        <f t="shared" si="8"/>
        <v>-3503.2258064516122</v>
      </c>
      <c r="AA24" s="16">
        <f t="shared" si="9"/>
        <v>-2575.9101736972711</v>
      </c>
      <c r="AB24" s="16">
        <f t="shared" si="10"/>
        <v>-2200</v>
      </c>
      <c r="AC24" s="16">
        <f t="shared" si="11"/>
        <v>-2303.2258064516136</v>
      </c>
      <c r="AD24" s="16">
        <f t="shared" si="12"/>
        <v>-2538.7096774193537</v>
      </c>
      <c r="AE24" s="14">
        <f>IF([1]Sheet2!AJ23=999999,"NA",[1]Sheet2!AJ23)</f>
        <v>106</v>
      </c>
      <c r="AF24" s="14">
        <f>IF([1]Sheet2!AK23=999999,"NA",[1]Sheet2!AK23)</f>
        <v>37</v>
      </c>
      <c r="AG24" s="14" t="str">
        <f>IF([1]Sheet2!AL23=999999,"NA",[1]Sheet2!AL23)</f>
        <v>NA</v>
      </c>
      <c r="AH24" s="14">
        <f>IF([1]Sheet2!AM23=999999,"NA",[1]Sheet2!AM23)</f>
        <v>344</v>
      </c>
      <c r="AI24" s="14">
        <f>IF([1]Sheet2!AN23=999999,"NA",[1]Sheet2!AN23)</f>
        <v>344</v>
      </c>
      <c r="AJ24" s="14">
        <f>IF([1]Sheet2!AO23=999999,"NA",[1]Sheet2!AO23)</f>
        <v>344</v>
      </c>
      <c r="AK24" s="14">
        <f>IF([1]Sheet2!AP23=999999,"NA",[1]Sheet2!AP23)</f>
        <v>89</v>
      </c>
      <c r="AL24" s="14">
        <f>IF([1]Sheet2!AQ23=999999,"NA",[1]Sheet2!AQ23)</f>
        <v>220</v>
      </c>
      <c r="AM24" s="14">
        <f>IF([1]Sheet2!AR23=999999,"NA",[1]Sheet2!AR23)</f>
        <v>344</v>
      </c>
      <c r="AN24" s="14">
        <f>IF([1]Sheet2!AS23=999999,"NA",[1]Sheet2!AS23)</f>
        <v>276</v>
      </c>
      <c r="AO24" s="14">
        <f>[1]Sheet2!P23</f>
        <v>0</v>
      </c>
      <c r="AP24" s="14">
        <f>[1]Sheet2!Q23</f>
        <v>0</v>
      </c>
      <c r="AQ24" s="14">
        <f>[1]Sheet2!R23</f>
        <v>0</v>
      </c>
      <c r="AR24" s="14">
        <f>[1]Sheet2!S23</f>
        <v>0</v>
      </c>
      <c r="AS24" s="14">
        <f>[1]Sheet2!T23</f>
        <v>0</v>
      </c>
      <c r="AT24" s="14">
        <f>[1]Sheet2!U23</f>
        <v>0</v>
      </c>
      <c r="AU24" s="14">
        <f>[1]Sheet2!V23</f>
        <v>0</v>
      </c>
      <c r="AV24" s="14">
        <f>[1]Sheet2!W23</f>
        <v>0</v>
      </c>
      <c r="AW24" s="14">
        <f>[1]Sheet2!X23</f>
        <v>0</v>
      </c>
      <c r="AX24" s="14">
        <f>[1]Sheet2!Y23</f>
        <v>0</v>
      </c>
      <c r="AY24" s="16">
        <f>Demand_LP!B$3/31</f>
        <v>503.00172404880072</v>
      </c>
      <c r="AZ24" s="16">
        <f>Demand_LP!C$3/31</f>
        <v>792.35864350703059</v>
      </c>
      <c r="BA24" s="16">
        <f>Demand_LP!D$3/31</f>
        <v>231.20967741935488</v>
      </c>
      <c r="BB24" s="16">
        <f>Demand_LP!E$3/31</f>
        <v>696.53949545078569</v>
      </c>
      <c r="BC24" s="16">
        <f>Demand_LP!F$3/31</f>
        <v>482.27093930934655</v>
      </c>
      <c r="BD24" s="16">
        <f>Demand_LP!G$3/31</f>
        <v>516.12903225806451</v>
      </c>
      <c r="BE24" s="16">
        <f>Demand_LP!H$3/31</f>
        <v>774.19354838709683</v>
      </c>
      <c r="BF24" s="16">
        <f>Demand_LP!I$3/31</f>
        <v>451.61290322580646</v>
      </c>
      <c r="BG24" s="16">
        <f>Demand_LP!J$3/31</f>
        <v>387.09677419354841</v>
      </c>
      <c r="BH24" s="16">
        <f>Demand_LP!K$3/31</f>
        <v>419.35483870967744</v>
      </c>
      <c r="BI24" s="16" t="e">
        <f t="shared" si="13"/>
        <v>#VALUE!</v>
      </c>
      <c r="BJ24" s="16">
        <f t="shared" si="14"/>
        <v>-11639.531513647638</v>
      </c>
      <c r="BK24" s="16">
        <f t="shared" si="15"/>
        <v>-2855.4032258064526</v>
      </c>
      <c r="BL24" s="16">
        <f t="shared" si="16"/>
        <v>-11627.329404466502</v>
      </c>
      <c r="BM24" s="16">
        <f t="shared" si="17"/>
        <v>-7127.689725496276</v>
      </c>
      <c r="BN24" s="16">
        <f t="shared" si="18"/>
        <v>-8838.7096774193542</v>
      </c>
      <c r="BO24" s="16">
        <f t="shared" si="19"/>
        <v>-13258.06451612903</v>
      </c>
      <c r="BP24" s="16">
        <f t="shared" si="20"/>
        <v>-7483.8709677419374</v>
      </c>
      <c r="BQ24" s="16">
        <f t="shared" si="21"/>
        <v>-5129.0322580645152</v>
      </c>
      <c r="BR24" s="16">
        <f t="shared" si="22"/>
        <v>-6306.4516129032254</v>
      </c>
      <c r="BS24" s="14">
        <f>IF([1]Sheet2!CA23=999999,"NA",[1]Sheet2!CA23)</f>
        <v>210172.54838709699</v>
      </c>
      <c r="BT24" s="14">
        <f>IF([1]Sheet2!CB23=999999,"NA",[1]Sheet2!CB23)</f>
        <v>266</v>
      </c>
      <c r="BU24" s="14">
        <f>IF([1]Sheet2!CC23=999999,"NA",[1]Sheet2!CC23)</f>
        <v>344</v>
      </c>
      <c r="BV24" s="14">
        <f>IF([1]Sheet2!CD23=999999,"NA",[1]Sheet2!CD23)</f>
        <v>344</v>
      </c>
      <c r="BW24" s="14">
        <f>IF([1]Sheet2!CE23=999999,"NA",[1]Sheet2!CE23)</f>
        <v>306</v>
      </c>
      <c r="BX24" s="14">
        <f>IF([1]Sheet2!CF23=999999,"NA",[1]Sheet2!CF23)</f>
        <v>344</v>
      </c>
      <c r="BY24" s="14">
        <f>IF([1]Sheet2!CG23=999999,"NA",[1]Sheet2!CG23)</f>
        <v>238</v>
      </c>
      <c r="BZ24" s="14">
        <f>IF([1]Sheet2!CH23=999999,"NA",[1]Sheet2!CH23)</f>
        <v>344</v>
      </c>
      <c r="CA24" s="14">
        <f>IF([1]Sheet2!CI23=999999,"NA",[1]Sheet2!CI23)</f>
        <v>344</v>
      </c>
      <c r="CB24" s="14">
        <f>IF([1]Sheet2!CJ23=999999,"NA",[1]Sheet2!CJ23)</f>
        <v>344</v>
      </c>
      <c r="CC24" s="14">
        <f>[1]Sheet2!BG23</f>
        <v>0</v>
      </c>
      <c r="CD24" s="14">
        <f>[1]Sheet2!BH23</f>
        <v>0</v>
      </c>
      <c r="CE24" s="14">
        <f>[1]Sheet2!BI23</f>
        <v>0</v>
      </c>
      <c r="CF24" s="14">
        <f>[1]Sheet2!BJ23</f>
        <v>0</v>
      </c>
      <c r="CG24" s="14">
        <f>[1]Sheet2!BK23</f>
        <v>0</v>
      </c>
      <c r="CH24" s="14">
        <f>[1]Sheet2!BL23</f>
        <v>0</v>
      </c>
      <c r="CI24" s="14">
        <f>[1]Sheet2!BM23</f>
        <v>0</v>
      </c>
      <c r="CJ24" s="14">
        <f>[1]Sheet2!BN23</f>
        <v>0</v>
      </c>
      <c r="CK24" s="14">
        <f>[1]Sheet2!BO23</f>
        <v>0</v>
      </c>
      <c r="CL24" s="14">
        <f>[1]Sheet2!BP23</f>
        <v>0</v>
      </c>
      <c r="CM24" s="16">
        <f>Demand_SW!B$3/31</f>
        <v>139.57816377171216</v>
      </c>
      <c r="CN24" s="16">
        <f>Demand_SW!C$3/31</f>
        <v>0</v>
      </c>
      <c r="CO24" s="16">
        <f>Demand_SW!D$3/31</f>
        <v>0</v>
      </c>
      <c r="CP24" s="16">
        <f>Demand_SW!E$3/31</f>
        <v>0</v>
      </c>
      <c r="CQ24" s="16">
        <f>Demand_SW!F$3/31</f>
        <v>0</v>
      </c>
      <c r="CR24" s="16">
        <f>Demand_SW!G$3/31</f>
        <v>132.25806451612902</v>
      </c>
      <c r="CS24" s="16">
        <f>Demand_SW!H$3/31</f>
        <v>0</v>
      </c>
      <c r="CT24" s="16">
        <f>Demand_SW!I$3/31</f>
        <v>0</v>
      </c>
      <c r="CU24" s="16">
        <f>Demand_SW!J$3/31</f>
        <v>0</v>
      </c>
      <c r="CV24" s="16">
        <f>Demand_SW!K$3/31</f>
        <v>0</v>
      </c>
      <c r="CW24" s="16">
        <f t="shared" si="23"/>
        <v>48068.858560793975</v>
      </c>
      <c r="CX24" s="16">
        <f t="shared" si="24"/>
        <v>500</v>
      </c>
      <c r="CY24" s="16">
        <f t="shared" si="25"/>
        <v>0</v>
      </c>
      <c r="CZ24" s="16">
        <f t="shared" si="26"/>
        <v>0</v>
      </c>
      <c r="DA24" s="16">
        <f t="shared" si="27"/>
        <v>0</v>
      </c>
      <c r="DB24" s="16">
        <f t="shared" si="28"/>
        <v>-1777.4193548387095</v>
      </c>
      <c r="DC24" s="16">
        <f t="shared" si="29"/>
        <v>500</v>
      </c>
      <c r="DD24" s="16">
        <f t="shared" si="30"/>
        <v>0</v>
      </c>
      <c r="DE24" s="16">
        <f t="shared" si="31"/>
        <v>0</v>
      </c>
      <c r="DF24" s="16">
        <f t="shared" si="32"/>
        <v>0</v>
      </c>
      <c r="DG24" s="14">
        <f>IF([1]Sheet2!DR23=999999,"NA",[1]Sheet2!DR23)</f>
        <v>73103</v>
      </c>
      <c r="DH24" s="14">
        <f>IF([1]Sheet2!DS23=999999,"NA",[1]Sheet2!DS23)</f>
        <v>344</v>
      </c>
      <c r="DI24" s="14">
        <f>IF([1]Sheet2!DT23=999999,"NA",[1]Sheet2!DT23)</f>
        <v>344</v>
      </c>
      <c r="DJ24" s="14" t="str">
        <f>IF([1]Sheet2!DU23=999999,"NA",[1]Sheet2!DU23)</f>
        <v>NA</v>
      </c>
      <c r="DK24" s="14" t="str">
        <f>IF([1]Sheet2!DV23=999999,"NA",[1]Sheet2!DV23)</f>
        <v>NA</v>
      </c>
      <c r="DL24" s="14" t="str">
        <f>IF([1]Sheet2!DW23=999999,"NA",[1]Sheet2!DW23)</f>
        <v>NA</v>
      </c>
      <c r="DM24" s="14">
        <f>IF([1]Sheet2!DX23=999999,"NA",[1]Sheet2!DX23)</f>
        <v>344</v>
      </c>
      <c r="DN24" s="14">
        <f>IF([1]Sheet2!DY23=999999,"NA",[1]Sheet2!DY23)</f>
        <v>344</v>
      </c>
      <c r="DO24" s="14" t="str">
        <f>IF([1]Sheet2!DZ23=999999,"NA",[1]Sheet2!DZ23)</f>
        <v>NA</v>
      </c>
      <c r="DP24" s="14" t="str">
        <f>IF([1]Sheet2!EA23=999999,"NA",[1]Sheet2!EA23)</f>
        <v>NA</v>
      </c>
      <c r="DQ24" s="14">
        <f>[1]Sheet2!CX23</f>
        <v>0</v>
      </c>
      <c r="DR24" s="14">
        <f>[1]Sheet2!CY23</f>
        <v>0</v>
      </c>
      <c r="DS24" s="14">
        <f>[1]Sheet2!CZ23</f>
        <v>0</v>
      </c>
      <c r="DT24" s="14">
        <f>[1]Sheet2!DA23</f>
        <v>0</v>
      </c>
      <c r="DU24" s="14">
        <f>[1]Sheet2!DB23</f>
        <v>0</v>
      </c>
      <c r="DV24" s="14">
        <f>[1]Sheet2!DC23</f>
        <v>0</v>
      </c>
      <c r="DW24" s="14">
        <f>[1]Sheet2!DD23</f>
        <v>0</v>
      </c>
      <c r="DX24" s="14">
        <f>[1]Sheet2!DE23</f>
        <v>0</v>
      </c>
      <c r="DY24" s="14">
        <f>[1]Sheet2!DF23</f>
        <v>0</v>
      </c>
      <c r="DZ24" s="14">
        <f>[1]Sheet2!DG23</f>
        <v>0</v>
      </c>
    </row>
    <row r="25" spans="1:130" x14ac:dyDescent="0.25">
      <c r="A25" s="15">
        <v>43487</v>
      </c>
      <c r="B25" s="1"/>
      <c r="C25" s="1"/>
      <c r="D25" s="1"/>
      <c r="E25" s="14">
        <f>[1]Sheet2!N24</f>
        <v>0</v>
      </c>
      <c r="F25" s="14">
        <f>[1]Sheet2!BE24</f>
        <v>0</v>
      </c>
      <c r="G25" s="14">
        <f>[1]Sheet2!CV24</f>
        <v>271.83622828784121</v>
      </c>
      <c r="H25" s="1"/>
      <c r="I25" s="1"/>
      <c r="J25" s="1"/>
      <c r="K25" s="16">
        <f>Demand_CWRS!B$3/31</f>
        <v>313.22137613730359</v>
      </c>
      <c r="L25" s="16">
        <f>Demand_CWRS!C$3/31</f>
        <v>241.71000827129859</v>
      </c>
      <c r="M25" s="16">
        <f>Demand_CWRS!D$3/31</f>
        <v>0</v>
      </c>
      <c r="N25" s="16">
        <f>Demand_CWRS!E$3/31</f>
        <v>98.872001654259719</v>
      </c>
      <c r="O25" s="16">
        <f>Demand_CWRS!F$3/31</f>
        <v>198.36900072373859</v>
      </c>
      <c r="P25" s="16">
        <f>Demand_CWRS!G$3/31</f>
        <v>309.67741935483872</v>
      </c>
      <c r="Q25" s="16">
        <f>Demand_CWRS!H$3/31</f>
        <v>241.71000827129859</v>
      </c>
      <c r="R25" s="16">
        <f>Demand_CWRS!I$3/31</f>
        <v>200</v>
      </c>
      <c r="S25" s="16">
        <f>Demand_CWRS!J$3/31</f>
        <v>209.67741935483872</v>
      </c>
      <c r="T25" s="16">
        <f>Demand_CWRS!K$3/31</f>
        <v>216.12903225806451</v>
      </c>
      <c r="U25" s="16">
        <f t="shared" si="3"/>
        <v>-3890.8702750206799</v>
      </c>
      <c r="V25" s="16">
        <f t="shared" si="4"/>
        <v>-3317.6201819685698</v>
      </c>
      <c r="W25" s="16">
        <f t="shared" si="5"/>
        <v>0</v>
      </c>
      <c r="X25" s="16">
        <f t="shared" si="6"/>
        <v>-175.18403639371431</v>
      </c>
      <c r="Y25" s="16">
        <f t="shared" si="7"/>
        <v>-3364.1180159222499</v>
      </c>
      <c r="Z25" s="16">
        <f t="shared" si="8"/>
        <v>-3812.9032258064508</v>
      </c>
      <c r="AA25" s="16">
        <f t="shared" si="9"/>
        <v>-2817.6201819685698</v>
      </c>
      <c r="AB25" s="16">
        <f t="shared" si="10"/>
        <v>-2400</v>
      </c>
      <c r="AC25" s="16">
        <f t="shared" si="11"/>
        <v>-2512.9032258064522</v>
      </c>
      <c r="AD25" s="16">
        <f t="shared" si="12"/>
        <v>-2754.8387096774181</v>
      </c>
      <c r="AE25" s="14">
        <f>IF([1]Sheet2!AJ24=999999,"NA",[1]Sheet2!AJ24)</f>
        <v>105</v>
      </c>
      <c r="AF25" s="14">
        <f>IF([1]Sheet2!AK24=999999,"NA",[1]Sheet2!AK24)</f>
        <v>36</v>
      </c>
      <c r="AG25" s="14" t="str">
        <f>IF([1]Sheet2!AL24=999999,"NA",[1]Sheet2!AL24)</f>
        <v>NA</v>
      </c>
      <c r="AH25" s="14">
        <f>IF([1]Sheet2!AM24=999999,"NA",[1]Sheet2!AM24)</f>
        <v>343</v>
      </c>
      <c r="AI25" s="14">
        <f>IF([1]Sheet2!AN24=999999,"NA",[1]Sheet2!AN24)</f>
        <v>343</v>
      </c>
      <c r="AJ25" s="14">
        <f>IF([1]Sheet2!AO24=999999,"NA",[1]Sheet2!AO24)</f>
        <v>343</v>
      </c>
      <c r="AK25" s="14">
        <f>IF([1]Sheet2!AP24=999999,"NA",[1]Sheet2!AP24)</f>
        <v>88</v>
      </c>
      <c r="AL25" s="14">
        <f>IF([1]Sheet2!AQ24=999999,"NA",[1]Sheet2!AQ24)</f>
        <v>219</v>
      </c>
      <c r="AM25" s="14">
        <f>IF([1]Sheet2!AR24=999999,"NA",[1]Sheet2!AR24)</f>
        <v>343</v>
      </c>
      <c r="AN25" s="14">
        <f>IF([1]Sheet2!AS24=999999,"NA",[1]Sheet2!AS24)</f>
        <v>275</v>
      </c>
      <c r="AO25" s="14">
        <f>[1]Sheet2!P24</f>
        <v>0</v>
      </c>
      <c r="AP25" s="14">
        <f>[1]Sheet2!Q24</f>
        <v>0</v>
      </c>
      <c r="AQ25" s="14">
        <f>[1]Sheet2!R24</f>
        <v>0</v>
      </c>
      <c r="AR25" s="14">
        <f>[1]Sheet2!S24</f>
        <v>0</v>
      </c>
      <c r="AS25" s="14">
        <f>[1]Sheet2!T24</f>
        <v>0</v>
      </c>
      <c r="AT25" s="14">
        <f>[1]Sheet2!U24</f>
        <v>0</v>
      </c>
      <c r="AU25" s="14">
        <f>[1]Sheet2!V24</f>
        <v>0</v>
      </c>
      <c r="AV25" s="14">
        <f>[1]Sheet2!W24</f>
        <v>0</v>
      </c>
      <c r="AW25" s="14">
        <f>[1]Sheet2!X24</f>
        <v>0</v>
      </c>
      <c r="AX25" s="14">
        <f>[1]Sheet2!Y24</f>
        <v>0</v>
      </c>
      <c r="AY25" s="16">
        <f>Demand_LP!B$3/31</f>
        <v>503.00172404880072</v>
      </c>
      <c r="AZ25" s="16">
        <f>Demand_LP!C$3/31</f>
        <v>792.35864350703059</v>
      </c>
      <c r="BA25" s="16">
        <f>Demand_LP!D$3/31</f>
        <v>231.20967741935488</v>
      </c>
      <c r="BB25" s="16">
        <f>Demand_LP!E$3/31</f>
        <v>696.53949545078569</v>
      </c>
      <c r="BC25" s="16">
        <f>Demand_LP!F$3/31</f>
        <v>482.27093930934655</v>
      </c>
      <c r="BD25" s="16">
        <f>Demand_LP!G$3/31</f>
        <v>516.12903225806451</v>
      </c>
      <c r="BE25" s="16">
        <f>Demand_LP!H$3/31</f>
        <v>774.19354838709683</v>
      </c>
      <c r="BF25" s="16">
        <f>Demand_LP!I$3/31</f>
        <v>451.61290322580646</v>
      </c>
      <c r="BG25" s="16">
        <f>Demand_LP!J$3/31</f>
        <v>387.09677419354841</v>
      </c>
      <c r="BH25" s="16">
        <f>Demand_LP!K$3/31</f>
        <v>419.35483870967744</v>
      </c>
      <c r="BI25" s="16" t="e">
        <f t="shared" si="13"/>
        <v>#VALUE!</v>
      </c>
      <c r="BJ25" s="16">
        <f t="shared" si="14"/>
        <v>-12431.890157154668</v>
      </c>
      <c r="BK25" s="16">
        <f t="shared" si="15"/>
        <v>-3086.6129032258077</v>
      </c>
      <c r="BL25" s="16">
        <f t="shared" si="16"/>
        <v>-12323.868899917288</v>
      </c>
      <c r="BM25" s="16">
        <f t="shared" si="17"/>
        <v>-7609.9606648056224</v>
      </c>
      <c r="BN25" s="16">
        <f t="shared" si="18"/>
        <v>-9354.8387096774186</v>
      </c>
      <c r="BO25" s="16">
        <f t="shared" si="19"/>
        <v>-14032.258064516127</v>
      </c>
      <c r="BP25" s="16">
        <f t="shared" si="20"/>
        <v>-7935.4838709677442</v>
      </c>
      <c r="BQ25" s="16">
        <f t="shared" si="21"/>
        <v>-5516.1290322580635</v>
      </c>
      <c r="BR25" s="16">
        <f t="shared" si="22"/>
        <v>-6725.8064516129025</v>
      </c>
      <c r="BS25" s="14">
        <f>IF([1]Sheet2!CA24=999999,"NA",[1]Sheet2!CA24)</f>
        <v>209753.19354838732</v>
      </c>
      <c r="BT25" s="14">
        <f>IF([1]Sheet2!CB24=999999,"NA",[1]Sheet2!CB24)</f>
        <v>265</v>
      </c>
      <c r="BU25" s="14">
        <f>IF([1]Sheet2!CC24=999999,"NA",[1]Sheet2!CC24)</f>
        <v>343</v>
      </c>
      <c r="BV25" s="14">
        <f>IF([1]Sheet2!CD24=999999,"NA",[1]Sheet2!CD24)</f>
        <v>343</v>
      </c>
      <c r="BW25" s="14">
        <f>IF([1]Sheet2!CE24=999999,"NA",[1]Sheet2!CE24)</f>
        <v>305</v>
      </c>
      <c r="BX25" s="14">
        <f>IF([1]Sheet2!CF24=999999,"NA",[1]Sheet2!CF24)</f>
        <v>343</v>
      </c>
      <c r="BY25" s="14">
        <f>IF([1]Sheet2!CG24=999999,"NA",[1]Sheet2!CG24)</f>
        <v>237</v>
      </c>
      <c r="BZ25" s="14">
        <f>IF([1]Sheet2!CH24=999999,"NA",[1]Sheet2!CH24)</f>
        <v>343</v>
      </c>
      <c r="CA25" s="14">
        <f>IF([1]Sheet2!CI24=999999,"NA",[1]Sheet2!CI24)</f>
        <v>343</v>
      </c>
      <c r="CB25" s="14">
        <f>IF([1]Sheet2!CJ24=999999,"NA",[1]Sheet2!CJ24)</f>
        <v>343</v>
      </c>
      <c r="CC25" s="14">
        <f>[1]Sheet2!BG24</f>
        <v>0</v>
      </c>
      <c r="CD25" s="14">
        <f>[1]Sheet2!BH24</f>
        <v>0</v>
      </c>
      <c r="CE25" s="14">
        <f>[1]Sheet2!BI24</f>
        <v>0</v>
      </c>
      <c r="CF25" s="14">
        <f>[1]Sheet2!BJ24</f>
        <v>0</v>
      </c>
      <c r="CG25" s="14">
        <f>[1]Sheet2!BK24</f>
        <v>0</v>
      </c>
      <c r="CH25" s="14">
        <f>[1]Sheet2!BL24</f>
        <v>0</v>
      </c>
      <c r="CI25" s="14">
        <f>[1]Sheet2!BM24</f>
        <v>0</v>
      </c>
      <c r="CJ25" s="14">
        <f>[1]Sheet2!BN24</f>
        <v>0</v>
      </c>
      <c r="CK25" s="14">
        <f>[1]Sheet2!BO24</f>
        <v>0</v>
      </c>
      <c r="CL25" s="14">
        <f>[1]Sheet2!BP24</f>
        <v>0</v>
      </c>
      <c r="CM25" s="16">
        <f>Demand_SW!B$3/31</f>
        <v>139.57816377171216</v>
      </c>
      <c r="CN25" s="16">
        <f>Demand_SW!C$3/31</f>
        <v>0</v>
      </c>
      <c r="CO25" s="16">
        <f>Demand_SW!D$3/31</f>
        <v>0</v>
      </c>
      <c r="CP25" s="16">
        <f>Demand_SW!E$3/31</f>
        <v>0</v>
      </c>
      <c r="CQ25" s="16">
        <f>Demand_SW!F$3/31</f>
        <v>0</v>
      </c>
      <c r="CR25" s="16">
        <f>Demand_SW!G$3/31</f>
        <v>132.25806451612902</v>
      </c>
      <c r="CS25" s="16">
        <f>Demand_SW!H$3/31</f>
        <v>0</v>
      </c>
      <c r="CT25" s="16">
        <f>Demand_SW!I$3/31</f>
        <v>0</v>
      </c>
      <c r="CU25" s="16">
        <f>Demand_SW!J$3/31</f>
        <v>0</v>
      </c>
      <c r="CV25" s="16">
        <f>Demand_SW!K$3/31</f>
        <v>0</v>
      </c>
      <c r="CW25" s="16">
        <f t="shared" si="23"/>
        <v>47929.280397022259</v>
      </c>
      <c r="CX25" s="16">
        <f t="shared" si="24"/>
        <v>500</v>
      </c>
      <c r="CY25" s="16">
        <f t="shared" si="25"/>
        <v>0</v>
      </c>
      <c r="CZ25" s="16">
        <f t="shared" si="26"/>
        <v>0</v>
      </c>
      <c r="DA25" s="16">
        <f t="shared" si="27"/>
        <v>0</v>
      </c>
      <c r="DB25" s="16">
        <f t="shared" si="28"/>
        <v>-1909.6774193548385</v>
      </c>
      <c r="DC25" s="16">
        <f t="shared" si="29"/>
        <v>500</v>
      </c>
      <c r="DD25" s="16">
        <f t="shared" si="30"/>
        <v>0</v>
      </c>
      <c r="DE25" s="16">
        <f t="shared" si="31"/>
        <v>0</v>
      </c>
      <c r="DF25" s="16">
        <f t="shared" si="32"/>
        <v>0</v>
      </c>
      <c r="DG25" s="14">
        <f>IF([1]Sheet2!DR24=999999,"NA",[1]Sheet2!DR24)</f>
        <v>73103</v>
      </c>
      <c r="DH25" s="14">
        <f>IF([1]Sheet2!DS24=999999,"NA",[1]Sheet2!DS24)</f>
        <v>343</v>
      </c>
      <c r="DI25" s="14">
        <f>IF([1]Sheet2!DT24=999999,"NA",[1]Sheet2!DT24)</f>
        <v>343</v>
      </c>
      <c r="DJ25" s="14" t="str">
        <f>IF([1]Sheet2!DU24=999999,"NA",[1]Sheet2!DU24)</f>
        <v>NA</v>
      </c>
      <c r="DK25" s="14" t="str">
        <f>IF([1]Sheet2!DV24=999999,"NA",[1]Sheet2!DV24)</f>
        <v>NA</v>
      </c>
      <c r="DL25" s="14" t="str">
        <f>IF([1]Sheet2!DW24=999999,"NA",[1]Sheet2!DW24)</f>
        <v>NA</v>
      </c>
      <c r="DM25" s="14">
        <f>IF([1]Sheet2!DX24=999999,"NA",[1]Sheet2!DX24)</f>
        <v>343</v>
      </c>
      <c r="DN25" s="14">
        <f>IF([1]Sheet2!DY24=999999,"NA",[1]Sheet2!DY24)</f>
        <v>343</v>
      </c>
      <c r="DO25" s="14" t="str">
        <f>IF([1]Sheet2!DZ24=999999,"NA",[1]Sheet2!DZ24)</f>
        <v>NA</v>
      </c>
      <c r="DP25" s="14" t="str">
        <f>IF([1]Sheet2!EA24=999999,"NA",[1]Sheet2!EA24)</f>
        <v>NA</v>
      </c>
      <c r="DQ25" s="14">
        <f>[1]Sheet2!CX24</f>
        <v>0</v>
      </c>
      <c r="DR25" s="14">
        <f>[1]Sheet2!CY24</f>
        <v>0</v>
      </c>
      <c r="DS25" s="14">
        <f>[1]Sheet2!CZ24</f>
        <v>0</v>
      </c>
      <c r="DT25" s="14">
        <f>[1]Sheet2!DA24</f>
        <v>0</v>
      </c>
      <c r="DU25" s="14">
        <f>[1]Sheet2!DB24</f>
        <v>0</v>
      </c>
      <c r="DV25" s="14">
        <f>[1]Sheet2!DC24</f>
        <v>0</v>
      </c>
      <c r="DW25" s="14">
        <f>[1]Sheet2!DD24</f>
        <v>0</v>
      </c>
      <c r="DX25" s="14">
        <f>[1]Sheet2!DE24</f>
        <v>0</v>
      </c>
      <c r="DY25" s="14">
        <f>[1]Sheet2!DF24</f>
        <v>0</v>
      </c>
      <c r="DZ25" s="14">
        <f>[1]Sheet2!DG24</f>
        <v>0</v>
      </c>
    </row>
    <row r="26" spans="1:130" x14ac:dyDescent="0.25">
      <c r="A26" s="15">
        <v>43488</v>
      </c>
      <c r="B26" s="1"/>
      <c r="C26" s="1"/>
      <c r="D26" s="1"/>
      <c r="E26" s="14">
        <f>[1]Sheet2!N25</f>
        <v>0</v>
      </c>
      <c r="F26" s="14">
        <f>[1]Sheet2!BE25</f>
        <v>0</v>
      </c>
      <c r="G26" s="14">
        <f>[1]Sheet2!CV25</f>
        <v>271.83622828784121</v>
      </c>
      <c r="H26" s="1"/>
      <c r="I26" s="1"/>
      <c r="J26" s="1"/>
      <c r="K26" s="16">
        <f>Demand_CWRS!B$3/31</f>
        <v>313.22137613730359</v>
      </c>
      <c r="L26" s="16">
        <f>Demand_CWRS!C$3/31</f>
        <v>241.71000827129859</v>
      </c>
      <c r="M26" s="16">
        <f>Demand_CWRS!D$3/31</f>
        <v>0</v>
      </c>
      <c r="N26" s="16">
        <f>Demand_CWRS!E$3/31</f>
        <v>98.872001654259719</v>
      </c>
      <c r="O26" s="16">
        <f>Demand_CWRS!F$3/31</f>
        <v>198.36900072373859</v>
      </c>
      <c r="P26" s="16">
        <f>Demand_CWRS!G$3/31</f>
        <v>309.67741935483872</v>
      </c>
      <c r="Q26" s="16">
        <f>Demand_CWRS!H$3/31</f>
        <v>241.71000827129859</v>
      </c>
      <c r="R26" s="16">
        <f>Demand_CWRS!I$3/31</f>
        <v>200</v>
      </c>
      <c r="S26" s="16">
        <f>Demand_CWRS!J$3/31</f>
        <v>209.67741935483872</v>
      </c>
      <c r="T26" s="16">
        <f>Demand_CWRS!K$3/31</f>
        <v>216.12903225806451</v>
      </c>
      <c r="U26" s="16">
        <f t="shared" si="3"/>
        <v>-4204.0916511579835</v>
      </c>
      <c r="V26" s="16">
        <f t="shared" si="4"/>
        <v>-3559.3301902398684</v>
      </c>
      <c r="W26" s="16">
        <f t="shared" si="5"/>
        <v>0</v>
      </c>
      <c r="X26" s="16">
        <f t="shared" si="6"/>
        <v>-274.05603804797403</v>
      </c>
      <c r="Y26" s="16">
        <f t="shared" si="7"/>
        <v>-3562.4870166459887</v>
      </c>
      <c r="Z26" s="16">
        <f t="shared" si="8"/>
        <v>-4122.5806451612898</v>
      </c>
      <c r="AA26" s="16">
        <f t="shared" si="9"/>
        <v>-3059.3301902398684</v>
      </c>
      <c r="AB26" s="16">
        <f t="shared" si="10"/>
        <v>-2600</v>
      </c>
      <c r="AC26" s="16">
        <f t="shared" si="11"/>
        <v>-2722.5806451612907</v>
      </c>
      <c r="AD26" s="16">
        <f t="shared" si="12"/>
        <v>-2970.9677419354825</v>
      </c>
      <c r="AE26" s="14">
        <f>IF([1]Sheet2!AJ25=999999,"NA",[1]Sheet2!AJ25)</f>
        <v>104</v>
      </c>
      <c r="AF26" s="14">
        <f>IF([1]Sheet2!AK25=999999,"NA",[1]Sheet2!AK25)</f>
        <v>35</v>
      </c>
      <c r="AG26" s="14" t="str">
        <f>IF([1]Sheet2!AL25=999999,"NA",[1]Sheet2!AL25)</f>
        <v>NA</v>
      </c>
      <c r="AH26" s="14">
        <f>IF([1]Sheet2!AM25=999999,"NA",[1]Sheet2!AM25)</f>
        <v>342</v>
      </c>
      <c r="AI26" s="14">
        <f>IF([1]Sheet2!AN25=999999,"NA",[1]Sheet2!AN25)</f>
        <v>342</v>
      </c>
      <c r="AJ26" s="14">
        <f>IF([1]Sheet2!AO25=999999,"NA",[1]Sheet2!AO25)</f>
        <v>342</v>
      </c>
      <c r="AK26" s="14">
        <f>IF([1]Sheet2!AP25=999999,"NA",[1]Sheet2!AP25)</f>
        <v>87</v>
      </c>
      <c r="AL26" s="14">
        <f>IF([1]Sheet2!AQ25=999999,"NA",[1]Sheet2!AQ25)</f>
        <v>218</v>
      </c>
      <c r="AM26" s="14">
        <f>IF([1]Sheet2!AR25=999999,"NA",[1]Sheet2!AR25)</f>
        <v>342</v>
      </c>
      <c r="AN26" s="14">
        <f>IF([1]Sheet2!AS25=999999,"NA",[1]Sheet2!AS25)</f>
        <v>274</v>
      </c>
      <c r="AO26" s="14">
        <f>[1]Sheet2!P25</f>
        <v>0</v>
      </c>
      <c r="AP26" s="14">
        <f>[1]Sheet2!Q25</f>
        <v>0</v>
      </c>
      <c r="AQ26" s="14">
        <f>[1]Sheet2!R25</f>
        <v>0</v>
      </c>
      <c r="AR26" s="14">
        <f>[1]Sheet2!S25</f>
        <v>0</v>
      </c>
      <c r="AS26" s="14">
        <f>[1]Sheet2!T25</f>
        <v>0</v>
      </c>
      <c r="AT26" s="14">
        <f>[1]Sheet2!U25</f>
        <v>0</v>
      </c>
      <c r="AU26" s="14">
        <f>[1]Sheet2!V25</f>
        <v>0</v>
      </c>
      <c r="AV26" s="14">
        <f>[1]Sheet2!W25</f>
        <v>0</v>
      </c>
      <c r="AW26" s="14">
        <f>[1]Sheet2!X25</f>
        <v>0</v>
      </c>
      <c r="AX26" s="14">
        <f>[1]Sheet2!Y25</f>
        <v>0</v>
      </c>
      <c r="AY26" s="16">
        <f>Demand_LP!B$3/31</f>
        <v>503.00172404880072</v>
      </c>
      <c r="AZ26" s="16">
        <f>Demand_LP!C$3/31</f>
        <v>792.35864350703059</v>
      </c>
      <c r="BA26" s="16">
        <f>Demand_LP!D$3/31</f>
        <v>231.20967741935488</v>
      </c>
      <c r="BB26" s="16">
        <f>Demand_LP!E$3/31</f>
        <v>696.53949545078569</v>
      </c>
      <c r="BC26" s="16">
        <f>Demand_LP!F$3/31</f>
        <v>482.27093930934655</v>
      </c>
      <c r="BD26" s="16">
        <f>Demand_LP!G$3/31</f>
        <v>516.12903225806451</v>
      </c>
      <c r="BE26" s="16">
        <f>Demand_LP!H$3/31</f>
        <v>774.19354838709683</v>
      </c>
      <c r="BF26" s="16">
        <f>Demand_LP!I$3/31</f>
        <v>451.61290322580646</v>
      </c>
      <c r="BG26" s="16">
        <f>Demand_LP!J$3/31</f>
        <v>387.09677419354841</v>
      </c>
      <c r="BH26" s="16">
        <f>Demand_LP!K$3/31</f>
        <v>419.35483870967744</v>
      </c>
      <c r="BI26" s="16" t="e">
        <f t="shared" si="13"/>
        <v>#VALUE!</v>
      </c>
      <c r="BJ26" s="16">
        <f t="shared" si="14"/>
        <v>-13224.248800661699</v>
      </c>
      <c r="BK26" s="16">
        <f t="shared" si="15"/>
        <v>-3317.8225806451628</v>
      </c>
      <c r="BL26" s="16">
        <f t="shared" si="16"/>
        <v>-13020.408395368075</v>
      </c>
      <c r="BM26" s="16">
        <f t="shared" si="17"/>
        <v>-8092.2316041149688</v>
      </c>
      <c r="BN26" s="16">
        <f t="shared" si="18"/>
        <v>-9870.967741935483</v>
      </c>
      <c r="BO26" s="16">
        <f t="shared" si="19"/>
        <v>-14806.451612903224</v>
      </c>
      <c r="BP26" s="16">
        <f t="shared" si="20"/>
        <v>-8387.096774193551</v>
      </c>
      <c r="BQ26" s="16">
        <f t="shared" si="21"/>
        <v>-5903.2258064516118</v>
      </c>
      <c r="BR26" s="16">
        <f t="shared" si="22"/>
        <v>-7145.1612903225796</v>
      </c>
      <c r="BS26" s="14">
        <f>IF([1]Sheet2!CA25=999999,"NA",[1]Sheet2!CA25)</f>
        <v>209333.83870967766</v>
      </c>
      <c r="BT26" s="14">
        <f>IF([1]Sheet2!CB25=999999,"NA",[1]Sheet2!CB25)</f>
        <v>264</v>
      </c>
      <c r="BU26" s="14">
        <f>IF([1]Sheet2!CC25=999999,"NA",[1]Sheet2!CC25)</f>
        <v>342</v>
      </c>
      <c r="BV26" s="14">
        <f>IF([1]Sheet2!CD25=999999,"NA",[1]Sheet2!CD25)</f>
        <v>342</v>
      </c>
      <c r="BW26" s="14">
        <f>IF([1]Sheet2!CE25=999999,"NA",[1]Sheet2!CE25)</f>
        <v>304</v>
      </c>
      <c r="BX26" s="14">
        <f>IF([1]Sheet2!CF25=999999,"NA",[1]Sheet2!CF25)</f>
        <v>342</v>
      </c>
      <c r="BY26" s="14">
        <f>IF([1]Sheet2!CG25=999999,"NA",[1]Sheet2!CG25)</f>
        <v>236</v>
      </c>
      <c r="BZ26" s="14">
        <f>IF([1]Sheet2!CH25=999999,"NA",[1]Sheet2!CH25)</f>
        <v>342</v>
      </c>
      <c r="CA26" s="14">
        <f>IF([1]Sheet2!CI25=999999,"NA",[1]Sheet2!CI25)</f>
        <v>342</v>
      </c>
      <c r="CB26" s="14">
        <f>IF([1]Sheet2!CJ25=999999,"NA",[1]Sheet2!CJ25)</f>
        <v>342</v>
      </c>
      <c r="CC26" s="14">
        <f>[1]Sheet2!BG25</f>
        <v>0</v>
      </c>
      <c r="CD26" s="14">
        <f>[1]Sheet2!BH25</f>
        <v>0</v>
      </c>
      <c r="CE26" s="14">
        <f>[1]Sheet2!BI25</f>
        <v>0</v>
      </c>
      <c r="CF26" s="14">
        <f>[1]Sheet2!BJ25</f>
        <v>0</v>
      </c>
      <c r="CG26" s="14">
        <f>[1]Sheet2!BK25</f>
        <v>0</v>
      </c>
      <c r="CH26" s="14">
        <f>[1]Sheet2!BL25</f>
        <v>0</v>
      </c>
      <c r="CI26" s="14">
        <f>[1]Sheet2!BM25</f>
        <v>0</v>
      </c>
      <c r="CJ26" s="14">
        <f>[1]Sheet2!BN25</f>
        <v>0</v>
      </c>
      <c r="CK26" s="14">
        <f>[1]Sheet2!BO25</f>
        <v>0</v>
      </c>
      <c r="CL26" s="14">
        <f>[1]Sheet2!BP25</f>
        <v>0</v>
      </c>
      <c r="CM26" s="16">
        <f>Demand_SW!B$3/31</f>
        <v>139.57816377171216</v>
      </c>
      <c r="CN26" s="16">
        <f>Demand_SW!C$3/31</f>
        <v>0</v>
      </c>
      <c r="CO26" s="16">
        <f>Demand_SW!D$3/31</f>
        <v>0</v>
      </c>
      <c r="CP26" s="16">
        <f>Demand_SW!E$3/31</f>
        <v>0</v>
      </c>
      <c r="CQ26" s="16">
        <f>Demand_SW!F$3/31</f>
        <v>0</v>
      </c>
      <c r="CR26" s="16">
        <f>Demand_SW!G$3/31</f>
        <v>132.25806451612902</v>
      </c>
      <c r="CS26" s="16">
        <f>Demand_SW!H$3/31</f>
        <v>0</v>
      </c>
      <c r="CT26" s="16">
        <f>Demand_SW!I$3/31</f>
        <v>0</v>
      </c>
      <c r="CU26" s="16">
        <f>Demand_SW!J$3/31</f>
        <v>0</v>
      </c>
      <c r="CV26" s="16">
        <f>Demand_SW!K$3/31</f>
        <v>0</v>
      </c>
      <c r="CW26" s="16">
        <f t="shared" si="23"/>
        <v>47789.702233250544</v>
      </c>
      <c r="CX26" s="16">
        <f t="shared" si="24"/>
        <v>500</v>
      </c>
      <c r="CY26" s="16">
        <f t="shared" si="25"/>
        <v>0</v>
      </c>
      <c r="CZ26" s="16">
        <f t="shared" si="26"/>
        <v>0</v>
      </c>
      <c r="DA26" s="16">
        <f t="shared" si="27"/>
        <v>0</v>
      </c>
      <c r="DB26" s="16">
        <f t="shared" si="28"/>
        <v>-2041.9354838709676</v>
      </c>
      <c r="DC26" s="16">
        <f t="shared" si="29"/>
        <v>500</v>
      </c>
      <c r="DD26" s="16">
        <f t="shared" si="30"/>
        <v>0</v>
      </c>
      <c r="DE26" s="16">
        <f t="shared" si="31"/>
        <v>0</v>
      </c>
      <c r="DF26" s="16">
        <f t="shared" si="32"/>
        <v>0</v>
      </c>
      <c r="DG26" s="14">
        <f>IF([1]Sheet2!DR25=999999,"NA",[1]Sheet2!DR25)</f>
        <v>73103</v>
      </c>
      <c r="DH26" s="14">
        <f>IF([1]Sheet2!DS25=999999,"NA",[1]Sheet2!DS25)</f>
        <v>342</v>
      </c>
      <c r="DI26" s="14">
        <f>IF([1]Sheet2!DT25=999999,"NA",[1]Sheet2!DT25)</f>
        <v>342</v>
      </c>
      <c r="DJ26" s="14" t="str">
        <f>IF([1]Sheet2!DU25=999999,"NA",[1]Sheet2!DU25)</f>
        <v>NA</v>
      </c>
      <c r="DK26" s="14" t="str">
        <f>IF([1]Sheet2!DV25=999999,"NA",[1]Sheet2!DV25)</f>
        <v>NA</v>
      </c>
      <c r="DL26" s="14" t="str">
        <f>IF([1]Sheet2!DW25=999999,"NA",[1]Sheet2!DW25)</f>
        <v>NA</v>
      </c>
      <c r="DM26" s="14">
        <f>IF([1]Sheet2!DX25=999999,"NA",[1]Sheet2!DX25)</f>
        <v>342</v>
      </c>
      <c r="DN26" s="14">
        <f>IF([1]Sheet2!DY25=999999,"NA",[1]Sheet2!DY25)</f>
        <v>342</v>
      </c>
      <c r="DO26" s="14" t="str">
        <f>IF([1]Sheet2!DZ25=999999,"NA",[1]Sheet2!DZ25)</f>
        <v>NA</v>
      </c>
      <c r="DP26" s="14" t="str">
        <f>IF([1]Sheet2!EA25=999999,"NA",[1]Sheet2!EA25)</f>
        <v>NA</v>
      </c>
      <c r="DQ26" s="14">
        <f>[1]Sheet2!CX25</f>
        <v>0</v>
      </c>
      <c r="DR26" s="14">
        <f>[1]Sheet2!CY25</f>
        <v>0</v>
      </c>
      <c r="DS26" s="14">
        <f>[1]Sheet2!CZ25</f>
        <v>0</v>
      </c>
      <c r="DT26" s="14">
        <f>[1]Sheet2!DA25</f>
        <v>0</v>
      </c>
      <c r="DU26" s="14">
        <f>[1]Sheet2!DB25</f>
        <v>0</v>
      </c>
      <c r="DV26" s="14">
        <f>[1]Sheet2!DC25</f>
        <v>0</v>
      </c>
      <c r="DW26" s="14">
        <f>[1]Sheet2!DD25</f>
        <v>0</v>
      </c>
      <c r="DX26" s="14">
        <f>[1]Sheet2!DE25</f>
        <v>0</v>
      </c>
      <c r="DY26" s="14">
        <f>[1]Sheet2!DF25</f>
        <v>0</v>
      </c>
      <c r="DZ26" s="14">
        <f>[1]Sheet2!DG25</f>
        <v>0</v>
      </c>
    </row>
    <row r="27" spans="1:130" x14ac:dyDescent="0.25">
      <c r="A27" s="15">
        <v>43489</v>
      </c>
      <c r="B27" s="1"/>
      <c r="C27" s="1"/>
      <c r="D27" s="1"/>
      <c r="E27" s="14">
        <f>[1]Sheet2!N26</f>
        <v>0</v>
      </c>
      <c r="F27" s="14">
        <f>[1]Sheet2!BE26</f>
        <v>0</v>
      </c>
      <c r="G27" s="14">
        <f>[1]Sheet2!CV26</f>
        <v>271.83622828784121</v>
      </c>
      <c r="H27" s="1"/>
      <c r="I27" s="1"/>
      <c r="J27" s="1"/>
      <c r="K27" s="16">
        <f>Demand_CWRS!B$3/31</f>
        <v>313.22137613730359</v>
      </c>
      <c r="L27" s="16">
        <f>Demand_CWRS!C$3/31</f>
        <v>241.71000827129859</v>
      </c>
      <c r="M27" s="16">
        <f>Demand_CWRS!D$3/31</f>
        <v>0</v>
      </c>
      <c r="N27" s="16">
        <f>Demand_CWRS!E$3/31</f>
        <v>98.872001654259719</v>
      </c>
      <c r="O27" s="16">
        <f>Demand_CWRS!F$3/31</f>
        <v>198.36900072373859</v>
      </c>
      <c r="P27" s="16">
        <f>Demand_CWRS!G$3/31</f>
        <v>309.67741935483872</v>
      </c>
      <c r="Q27" s="16">
        <f>Demand_CWRS!H$3/31</f>
        <v>241.71000827129859</v>
      </c>
      <c r="R27" s="16">
        <f>Demand_CWRS!I$3/31</f>
        <v>200</v>
      </c>
      <c r="S27" s="16">
        <f>Demand_CWRS!J$3/31</f>
        <v>209.67741935483872</v>
      </c>
      <c r="T27" s="16">
        <f>Demand_CWRS!K$3/31</f>
        <v>216.12903225806451</v>
      </c>
      <c r="U27" s="16">
        <f t="shared" si="3"/>
        <v>-4517.3130272952867</v>
      </c>
      <c r="V27" s="16">
        <f t="shared" si="4"/>
        <v>-3801.0401985111671</v>
      </c>
      <c r="W27" s="16">
        <f t="shared" si="5"/>
        <v>0</v>
      </c>
      <c r="X27" s="16">
        <f t="shared" si="6"/>
        <v>-372.92803970223372</v>
      </c>
      <c r="Y27" s="16">
        <f t="shared" si="7"/>
        <v>-3760.8560173697274</v>
      </c>
      <c r="Z27" s="16">
        <f t="shared" si="8"/>
        <v>-4432.2580645161288</v>
      </c>
      <c r="AA27" s="16">
        <f t="shared" si="9"/>
        <v>-3301.0401985111671</v>
      </c>
      <c r="AB27" s="16">
        <f t="shared" si="10"/>
        <v>-2800</v>
      </c>
      <c r="AC27" s="16">
        <f t="shared" si="11"/>
        <v>-2932.2580645161293</v>
      </c>
      <c r="AD27" s="16">
        <f t="shared" si="12"/>
        <v>-3187.0967741935469</v>
      </c>
      <c r="AE27" s="14">
        <f>IF([1]Sheet2!AJ26=999999,"NA",[1]Sheet2!AJ26)</f>
        <v>103</v>
      </c>
      <c r="AF27" s="14">
        <f>IF([1]Sheet2!AK26=999999,"NA",[1]Sheet2!AK26)</f>
        <v>34</v>
      </c>
      <c r="AG27" s="14" t="str">
        <f>IF([1]Sheet2!AL26=999999,"NA",[1]Sheet2!AL26)</f>
        <v>NA</v>
      </c>
      <c r="AH27" s="14">
        <f>IF([1]Sheet2!AM26=999999,"NA",[1]Sheet2!AM26)</f>
        <v>341</v>
      </c>
      <c r="AI27" s="14">
        <f>IF([1]Sheet2!AN26=999999,"NA",[1]Sheet2!AN26)</f>
        <v>341</v>
      </c>
      <c r="AJ27" s="14">
        <f>IF([1]Sheet2!AO26=999999,"NA",[1]Sheet2!AO26)</f>
        <v>341</v>
      </c>
      <c r="AK27" s="14">
        <f>IF([1]Sheet2!AP26=999999,"NA",[1]Sheet2!AP26)</f>
        <v>86</v>
      </c>
      <c r="AL27" s="14">
        <f>IF([1]Sheet2!AQ26=999999,"NA",[1]Sheet2!AQ26)</f>
        <v>217</v>
      </c>
      <c r="AM27" s="14">
        <f>IF([1]Sheet2!AR26=999999,"NA",[1]Sheet2!AR26)</f>
        <v>341</v>
      </c>
      <c r="AN27" s="14">
        <f>IF([1]Sheet2!AS26=999999,"NA",[1]Sheet2!AS26)</f>
        <v>273</v>
      </c>
      <c r="AO27" s="14">
        <f>[1]Sheet2!P26</f>
        <v>0</v>
      </c>
      <c r="AP27" s="14">
        <f>[1]Sheet2!Q26</f>
        <v>0</v>
      </c>
      <c r="AQ27" s="14">
        <f>[1]Sheet2!R26</f>
        <v>0</v>
      </c>
      <c r="AR27" s="14">
        <f>[1]Sheet2!S26</f>
        <v>0</v>
      </c>
      <c r="AS27" s="14">
        <f>[1]Sheet2!T26</f>
        <v>0</v>
      </c>
      <c r="AT27" s="14">
        <f>[1]Sheet2!U26</f>
        <v>0</v>
      </c>
      <c r="AU27" s="14">
        <f>[1]Sheet2!V26</f>
        <v>0</v>
      </c>
      <c r="AV27" s="14">
        <f>[1]Sheet2!W26</f>
        <v>0</v>
      </c>
      <c r="AW27" s="14">
        <f>[1]Sheet2!X26</f>
        <v>0</v>
      </c>
      <c r="AX27" s="14">
        <f>[1]Sheet2!Y26</f>
        <v>0</v>
      </c>
      <c r="AY27" s="16">
        <f>Demand_LP!B$3/31</f>
        <v>503.00172404880072</v>
      </c>
      <c r="AZ27" s="16">
        <f>Demand_LP!C$3/31</f>
        <v>792.35864350703059</v>
      </c>
      <c r="BA27" s="16">
        <f>Demand_LP!D$3/31</f>
        <v>231.20967741935488</v>
      </c>
      <c r="BB27" s="16">
        <f>Demand_LP!E$3/31</f>
        <v>696.53949545078569</v>
      </c>
      <c r="BC27" s="16">
        <f>Demand_LP!F$3/31</f>
        <v>482.27093930934655</v>
      </c>
      <c r="BD27" s="16">
        <f>Demand_LP!G$3/31</f>
        <v>516.12903225806451</v>
      </c>
      <c r="BE27" s="16">
        <f>Demand_LP!H$3/31</f>
        <v>774.19354838709683</v>
      </c>
      <c r="BF27" s="16">
        <f>Demand_LP!I$3/31</f>
        <v>451.61290322580646</v>
      </c>
      <c r="BG27" s="16">
        <f>Demand_LP!J$3/31</f>
        <v>387.09677419354841</v>
      </c>
      <c r="BH27" s="16">
        <f>Demand_LP!K$3/31</f>
        <v>419.35483870967744</v>
      </c>
      <c r="BI27" s="16" t="e">
        <f t="shared" si="13"/>
        <v>#VALUE!</v>
      </c>
      <c r="BJ27" s="16">
        <f t="shared" si="14"/>
        <v>-14016.607444168729</v>
      </c>
      <c r="BK27" s="16">
        <f t="shared" si="15"/>
        <v>-3549.0322580645179</v>
      </c>
      <c r="BL27" s="16">
        <f t="shared" si="16"/>
        <v>-13716.947890818861</v>
      </c>
      <c r="BM27" s="16">
        <f t="shared" si="17"/>
        <v>-8574.5025434243162</v>
      </c>
      <c r="BN27" s="16">
        <f t="shared" si="18"/>
        <v>-10387.096774193547</v>
      </c>
      <c r="BO27" s="16">
        <f t="shared" si="19"/>
        <v>-15580.64516129032</v>
      </c>
      <c r="BP27" s="16">
        <f t="shared" si="20"/>
        <v>-8838.7096774193578</v>
      </c>
      <c r="BQ27" s="16">
        <f t="shared" si="21"/>
        <v>-6290.3225806451601</v>
      </c>
      <c r="BR27" s="16">
        <f t="shared" si="22"/>
        <v>-7564.5161290322567</v>
      </c>
      <c r="BS27" s="14">
        <f>IF([1]Sheet2!CA26=999999,"NA",[1]Sheet2!CA26)</f>
        <v>208914.48387096799</v>
      </c>
      <c r="BT27" s="14">
        <f>IF([1]Sheet2!CB26=999999,"NA",[1]Sheet2!CB26)</f>
        <v>263</v>
      </c>
      <c r="BU27" s="14">
        <f>IF([1]Sheet2!CC26=999999,"NA",[1]Sheet2!CC26)</f>
        <v>341</v>
      </c>
      <c r="BV27" s="14">
        <f>IF([1]Sheet2!CD26=999999,"NA",[1]Sheet2!CD26)</f>
        <v>341</v>
      </c>
      <c r="BW27" s="14">
        <f>IF([1]Sheet2!CE26=999999,"NA",[1]Sheet2!CE26)</f>
        <v>303</v>
      </c>
      <c r="BX27" s="14">
        <f>IF([1]Sheet2!CF26=999999,"NA",[1]Sheet2!CF26)</f>
        <v>341</v>
      </c>
      <c r="BY27" s="14">
        <f>IF([1]Sheet2!CG26=999999,"NA",[1]Sheet2!CG26)</f>
        <v>235</v>
      </c>
      <c r="BZ27" s="14">
        <f>IF([1]Sheet2!CH26=999999,"NA",[1]Sheet2!CH26)</f>
        <v>341</v>
      </c>
      <c r="CA27" s="14">
        <f>IF([1]Sheet2!CI26=999999,"NA",[1]Sheet2!CI26)</f>
        <v>341</v>
      </c>
      <c r="CB27" s="14">
        <f>IF([1]Sheet2!CJ26=999999,"NA",[1]Sheet2!CJ26)</f>
        <v>341</v>
      </c>
      <c r="CC27" s="14">
        <f>[1]Sheet2!BG26</f>
        <v>0</v>
      </c>
      <c r="CD27" s="14">
        <f>[1]Sheet2!BH26</f>
        <v>0</v>
      </c>
      <c r="CE27" s="14">
        <f>[1]Sheet2!BI26</f>
        <v>0</v>
      </c>
      <c r="CF27" s="14">
        <f>[1]Sheet2!BJ26</f>
        <v>0</v>
      </c>
      <c r="CG27" s="14">
        <f>[1]Sheet2!BK26</f>
        <v>0</v>
      </c>
      <c r="CH27" s="14">
        <f>[1]Sheet2!BL26</f>
        <v>0</v>
      </c>
      <c r="CI27" s="14">
        <f>[1]Sheet2!BM26</f>
        <v>0</v>
      </c>
      <c r="CJ27" s="14">
        <f>[1]Sheet2!BN26</f>
        <v>0</v>
      </c>
      <c r="CK27" s="14">
        <f>[1]Sheet2!BO26</f>
        <v>0</v>
      </c>
      <c r="CL27" s="14">
        <f>[1]Sheet2!BP26</f>
        <v>0</v>
      </c>
      <c r="CM27" s="16">
        <f>Demand_SW!B$3/31</f>
        <v>139.57816377171216</v>
      </c>
      <c r="CN27" s="16">
        <f>Demand_SW!C$3/31</f>
        <v>0</v>
      </c>
      <c r="CO27" s="16">
        <f>Demand_SW!D$3/31</f>
        <v>0</v>
      </c>
      <c r="CP27" s="16">
        <f>Demand_SW!E$3/31</f>
        <v>0</v>
      </c>
      <c r="CQ27" s="16">
        <f>Demand_SW!F$3/31</f>
        <v>0</v>
      </c>
      <c r="CR27" s="16">
        <f>Demand_SW!G$3/31</f>
        <v>132.25806451612902</v>
      </c>
      <c r="CS27" s="16">
        <f>Demand_SW!H$3/31</f>
        <v>0</v>
      </c>
      <c r="CT27" s="16">
        <f>Demand_SW!I$3/31</f>
        <v>0</v>
      </c>
      <c r="CU27" s="16">
        <f>Demand_SW!J$3/31</f>
        <v>0</v>
      </c>
      <c r="CV27" s="16">
        <f>Demand_SW!K$3/31</f>
        <v>0</v>
      </c>
      <c r="CW27" s="16">
        <f t="shared" si="23"/>
        <v>47650.124069478828</v>
      </c>
      <c r="CX27" s="16">
        <f t="shared" si="24"/>
        <v>500</v>
      </c>
      <c r="CY27" s="16">
        <f t="shared" si="25"/>
        <v>0</v>
      </c>
      <c r="CZ27" s="16">
        <f t="shared" si="26"/>
        <v>0</v>
      </c>
      <c r="DA27" s="16">
        <f t="shared" si="27"/>
        <v>0</v>
      </c>
      <c r="DB27" s="16">
        <f t="shared" si="28"/>
        <v>-2174.1935483870966</v>
      </c>
      <c r="DC27" s="16">
        <f t="shared" si="29"/>
        <v>500</v>
      </c>
      <c r="DD27" s="16">
        <f t="shared" si="30"/>
        <v>0</v>
      </c>
      <c r="DE27" s="16">
        <f t="shared" si="31"/>
        <v>0</v>
      </c>
      <c r="DF27" s="16">
        <f t="shared" si="32"/>
        <v>0</v>
      </c>
      <c r="DG27" s="14">
        <f>IF([1]Sheet2!DR26=999999,"NA",[1]Sheet2!DR26)</f>
        <v>73103</v>
      </c>
      <c r="DH27" s="14">
        <f>IF([1]Sheet2!DS26=999999,"NA",[1]Sheet2!DS26)</f>
        <v>341</v>
      </c>
      <c r="DI27" s="14">
        <f>IF([1]Sheet2!DT26=999999,"NA",[1]Sheet2!DT26)</f>
        <v>341</v>
      </c>
      <c r="DJ27" s="14" t="str">
        <f>IF([1]Sheet2!DU26=999999,"NA",[1]Sheet2!DU26)</f>
        <v>NA</v>
      </c>
      <c r="DK27" s="14" t="str">
        <f>IF([1]Sheet2!DV26=999999,"NA",[1]Sheet2!DV26)</f>
        <v>NA</v>
      </c>
      <c r="DL27" s="14" t="str">
        <f>IF([1]Sheet2!DW26=999999,"NA",[1]Sheet2!DW26)</f>
        <v>NA</v>
      </c>
      <c r="DM27" s="14">
        <f>IF([1]Sheet2!DX26=999999,"NA",[1]Sheet2!DX26)</f>
        <v>341</v>
      </c>
      <c r="DN27" s="14">
        <f>IF([1]Sheet2!DY26=999999,"NA",[1]Sheet2!DY26)</f>
        <v>341</v>
      </c>
      <c r="DO27" s="14" t="str">
        <f>IF([1]Sheet2!DZ26=999999,"NA",[1]Sheet2!DZ26)</f>
        <v>NA</v>
      </c>
      <c r="DP27" s="14" t="str">
        <f>IF([1]Sheet2!EA26=999999,"NA",[1]Sheet2!EA26)</f>
        <v>NA</v>
      </c>
      <c r="DQ27" s="14">
        <f>[1]Sheet2!CX26</f>
        <v>0</v>
      </c>
      <c r="DR27" s="14">
        <f>[1]Sheet2!CY26</f>
        <v>0</v>
      </c>
      <c r="DS27" s="14">
        <f>[1]Sheet2!CZ26</f>
        <v>0</v>
      </c>
      <c r="DT27" s="14">
        <f>[1]Sheet2!DA26</f>
        <v>0</v>
      </c>
      <c r="DU27" s="14">
        <f>[1]Sheet2!DB26</f>
        <v>0</v>
      </c>
      <c r="DV27" s="14">
        <f>[1]Sheet2!DC26</f>
        <v>0</v>
      </c>
      <c r="DW27" s="14">
        <f>[1]Sheet2!DD26</f>
        <v>0</v>
      </c>
      <c r="DX27" s="14">
        <f>[1]Sheet2!DE26</f>
        <v>0</v>
      </c>
      <c r="DY27" s="14">
        <f>[1]Sheet2!DF26</f>
        <v>0</v>
      </c>
      <c r="DZ27" s="14">
        <f>[1]Sheet2!DG26</f>
        <v>0</v>
      </c>
    </row>
    <row r="28" spans="1:130" x14ac:dyDescent="0.25">
      <c r="A28" s="15">
        <v>43490</v>
      </c>
      <c r="B28" s="1"/>
      <c r="C28" s="1"/>
      <c r="D28" s="1"/>
      <c r="E28" s="14">
        <f>[1]Sheet2!N27</f>
        <v>0</v>
      </c>
      <c r="F28" s="14">
        <f>[1]Sheet2!BE27</f>
        <v>0</v>
      </c>
      <c r="G28" s="14">
        <f>[1]Sheet2!CV27</f>
        <v>271.83622828784121</v>
      </c>
      <c r="H28" s="1"/>
      <c r="I28" s="1"/>
      <c r="J28" s="1"/>
      <c r="K28" s="16">
        <f>Demand_CWRS!B$3/31</f>
        <v>313.22137613730359</v>
      </c>
      <c r="L28" s="16">
        <f>Demand_CWRS!C$3/31</f>
        <v>241.71000827129859</v>
      </c>
      <c r="M28" s="16">
        <f>Demand_CWRS!D$3/31</f>
        <v>0</v>
      </c>
      <c r="N28" s="16">
        <f>Demand_CWRS!E$3/31</f>
        <v>98.872001654259719</v>
      </c>
      <c r="O28" s="16">
        <f>Demand_CWRS!F$3/31</f>
        <v>198.36900072373859</v>
      </c>
      <c r="P28" s="16">
        <f>Demand_CWRS!G$3/31</f>
        <v>309.67741935483872</v>
      </c>
      <c r="Q28" s="16">
        <f>Demand_CWRS!H$3/31</f>
        <v>241.71000827129859</v>
      </c>
      <c r="R28" s="16">
        <f>Demand_CWRS!I$3/31</f>
        <v>200</v>
      </c>
      <c r="S28" s="16">
        <f>Demand_CWRS!J$3/31</f>
        <v>209.67741935483872</v>
      </c>
      <c r="T28" s="16">
        <f>Demand_CWRS!K$3/31</f>
        <v>216.12903225806451</v>
      </c>
      <c r="U28" s="16">
        <f t="shared" si="3"/>
        <v>-4830.5344034325899</v>
      </c>
      <c r="V28" s="16">
        <f t="shared" si="4"/>
        <v>-4042.7502067824657</v>
      </c>
      <c r="W28" s="16">
        <f t="shared" si="5"/>
        <v>0</v>
      </c>
      <c r="X28" s="16">
        <f t="shared" si="6"/>
        <v>-471.80004135649347</v>
      </c>
      <c r="Y28" s="16">
        <f t="shared" si="7"/>
        <v>-3959.2250180934661</v>
      </c>
      <c r="Z28" s="16">
        <f t="shared" si="8"/>
        <v>-4741.9354838709678</v>
      </c>
      <c r="AA28" s="16">
        <f t="shared" si="9"/>
        <v>-3542.7502067824657</v>
      </c>
      <c r="AB28" s="16">
        <f t="shared" si="10"/>
        <v>-3000</v>
      </c>
      <c r="AC28" s="16">
        <f t="shared" si="11"/>
        <v>-3141.9354838709678</v>
      </c>
      <c r="AD28" s="16">
        <f t="shared" si="12"/>
        <v>-3403.2258064516113</v>
      </c>
      <c r="AE28" s="14">
        <f>IF([1]Sheet2!AJ27=999999,"NA",[1]Sheet2!AJ27)</f>
        <v>102</v>
      </c>
      <c r="AF28" s="14">
        <f>IF([1]Sheet2!AK27=999999,"NA",[1]Sheet2!AK27)</f>
        <v>33</v>
      </c>
      <c r="AG28" s="14" t="str">
        <f>IF([1]Sheet2!AL27=999999,"NA",[1]Sheet2!AL27)</f>
        <v>NA</v>
      </c>
      <c r="AH28" s="14">
        <f>IF([1]Sheet2!AM27=999999,"NA",[1]Sheet2!AM27)</f>
        <v>340</v>
      </c>
      <c r="AI28" s="14">
        <f>IF([1]Sheet2!AN27=999999,"NA",[1]Sheet2!AN27)</f>
        <v>340</v>
      </c>
      <c r="AJ28" s="14">
        <f>IF([1]Sheet2!AO27=999999,"NA",[1]Sheet2!AO27)</f>
        <v>340</v>
      </c>
      <c r="AK28" s="14">
        <f>IF([1]Sheet2!AP27=999999,"NA",[1]Sheet2!AP27)</f>
        <v>85</v>
      </c>
      <c r="AL28" s="14">
        <f>IF([1]Sheet2!AQ27=999999,"NA",[1]Sheet2!AQ27)</f>
        <v>216</v>
      </c>
      <c r="AM28" s="14">
        <f>IF([1]Sheet2!AR27=999999,"NA",[1]Sheet2!AR27)</f>
        <v>340</v>
      </c>
      <c r="AN28" s="14">
        <f>IF([1]Sheet2!AS27=999999,"NA",[1]Sheet2!AS27)</f>
        <v>272</v>
      </c>
      <c r="AO28" s="14">
        <f>[1]Sheet2!P27</f>
        <v>0</v>
      </c>
      <c r="AP28" s="14">
        <f>[1]Sheet2!Q27</f>
        <v>0</v>
      </c>
      <c r="AQ28" s="14">
        <f>[1]Sheet2!R27</f>
        <v>0</v>
      </c>
      <c r="AR28" s="14">
        <f>[1]Sheet2!S27</f>
        <v>0</v>
      </c>
      <c r="AS28" s="14">
        <f>[1]Sheet2!T27</f>
        <v>0</v>
      </c>
      <c r="AT28" s="14">
        <f>[1]Sheet2!U27</f>
        <v>0</v>
      </c>
      <c r="AU28" s="14">
        <f>[1]Sheet2!V27</f>
        <v>0</v>
      </c>
      <c r="AV28" s="14">
        <f>[1]Sheet2!W27</f>
        <v>0</v>
      </c>
      <c r="AW28" s="14">
        <f>[1]Sheet2!X27</f>
        <v>0</v>
      </c>
      <c r="AX28" s="14">
        <f>[1]Sheet2!Y27</f>
        <v>0</v>
      </c>
      <c r="AY28" s="16">
        <f>Demand_LP!B$3/31</f>
        <v>503.00172404880072</v>
      </c>
      <c r="AZ28" s="16">
        <f>Demand_LP!C$3/31</f>
        <v>792.35864350703059</v>
      </c>
      <c r="BA28" s="16">
        <f>Demand_LP!D$3/31</f>
        <v>231.20967741935488</v>
      </c>
      <c r="BB28" s="16">
        <f>Demand_LP!E$3/31</f>
        <v>696.53949545078569</v>
      </c>
      <c r="BC28" s="16">
        <f>Demand_LP!F$3/31</f>
        <v>482.27093930934655</v>
      </c>
      <c r="BD28" s="16">
        <f>Demand_LP!G$3/31</f>
        <v>516.12903225806451</v>
      </c>
      <c r="BE28" s="16">
        <f>Demand_LP!H$3/31</f>
        <v>774.19354838709683</v>
      </c>
      <c r="BF28" s="16">
        <f>Demand_LP!I$3/31</f>
        <v>451.61290322580646</v>
      </c>
      <c r="BG28" s="16">
        <f>Demand_LP!J$3/31</f>
        <v>387.09677419354841</v>
      </c>
      <c r="BH28" s="16">
        <f>Demand_LP!K$3/31</f>
        <v>419.35483870967744</v>
      </c>
      <c r="BI28" s="16" t="e">
        <f t="shared" si="13"/>
        <v>#VALUE!</v>
      </c>
      <c r="BJ28" s="16">
        <f t="shared" si="14"/>
        <v>-14808.966087675759</v>
      </c>
      <c r="BK28" s="16">
        <f t="shared" si="15"/>
        <v>-3780.241935483873</v>
      </c>
      <c r="BL28" s="16">
        <f t="shared" si="16"/>
        <v>-14413.487386269648</v>
      </c>
      <c r="BM28" s="16">
        <f t="shared" si="17"/>
        <v>-9056.7734827336626</v>
      </c>
      <c r="BN28" s="16">
        <f t="shared" si="18"/>
        <v>-10903.225806451612</v>
      </c>
      <c r="BO28" s="16">
        <f t="shared" si="19"/>
        <v>-16354.838709677417</v>
      </c>
      <c r="BP28" s="16">
        <f t="shared" si="20"/>
        <v>-9290.3225806451646</v>
      </c>
      <c r="BQ28" s="16">
        <f t="shared" si="21"/>
        <v>-6677.4193548387084</v>
      </c>
      <c r="BR28" s="16">
        <f t="shared" si="22"/>
        <v>-7983.8709677419338</v>
      </c>
      <c r="BS28" s="14">
        <f>IF([1]Sheet2!CA27=999999,"NA",[1]Sheet2!CA27)</f>
        <v>208495.12903225832</v>
      </c>
      <c r="BT28" s="14">
        <f>IF([1]Sheet2!CB27=999999,"NA",[1]Sheet2!CB27)</f>
        <v>262</v>
      </c>
      <c r="BU28" s="14">
        <f>IF([1]Sheet2!CC27=999999,"NA",[1]Sheet2!CC27)</f>
        <v>340</v>
      </c>
      <c r="BV28" s="14">
        <f>IF([1]Sheet2!CD27=999999,"NA",[1]Sheet2!CD27)</f>
        <v>340</v>
      </c>
      <c r="BW28" s="14">
        <f>IF([1]Sheet2!CE27=999999,"NA",[1]Sheet2!CE27)</f>
        <v>302</v>
      </c>
      <c r="BX28" s="14">
        <f>IF([1]Sheet2!CF27=999999,"NA",[1]Sheet2!CF27)</f>
        <v>340</v>
      </c>
      <c r="BY28" s="14">
        <f>IF([1]Sheet2!CG27=999999,"NA",[1]Sheet2!CG27)</f>
        <v>234</v>
      </c>
      <c r="BZ28" s="14">
        <f>IF([1]Sheet2!CH27=999999,"NA",[1]Sheet2!CH27)</f>
        <v>340</v>
      </c>
      <c r="CA28" s="14">
        <f>IF([1]Sheet2!CI27=999999,"NA",[1]Sheet2!CI27)</f>
        <v>340</v>
      </c>
      <c r="CB28" s="14">
        <f>IF([1]Sheet2!CJ27=999999,"NA",[1]Sheet2!CJ27)</f>
        <v>340</v>
      </c>
      <c r="CC28" s="14">
        <f>[1]Sheet2!BG27</f>
        <v>0</v>
      </c>
      <c r="CD28" s="14">
        <f>[1]Sheet2!BH27</f>
        <v>0</v>
      </c>
      <c r="CE28" s="14">
        <f>[1]Sheet2!BI27</f>
        <v>0</v>
      </c>
      <c r="CF28" s="14">
        <f>[1]Sheet2!BJ27</f>
        <v>0</v>
      </c>
      <c r="CG28" s="14">
        <f>[1]Sheet2!BK27</f>
        <v>0</v>
      </c>
      <c r="CH28" s="14">
        <f>[1]Sheet2!BL27</f>
        <v>0</v>
      </c>
      <c r="CI28" s="14">
        <f>[1]Sheet2!BM27</f>
        <v>0</v>
      </c>
      <c r="CJ28" s="14">
        <f>[1]Sheet2!BN27</f>
        <v>0</v>
      </c>
      <c r="CK28" s="14">
        <f>[1]Sheet2!BO27</f>
        <v>0</v>
      </c>
      <c r="CL28" s="14">
        <f>[1]Sheet2!BP27</f>
        <v>0</v>
      </c>
      <c r="CM28" s="16">
        <f>Demand_SW!B$3/31</f>
        <v>139.57816377171216</v>
      </c>
      <c r="CN28" s="16">
        <f>Demand_SW!C$3/31</f>
        <v>0</v>
      </c>
      <c r="CO28" s="16">
        <f>Demand_SW!D$3/31</f>
        <v>0</v>
      </c>
      <c r="CP28" s="16">
        <f>Demand_SW!E$3/31</f>
        <v>0</v>
      </c>
      <c r="CQ28" s="16">
        <f>Demand_SW!F$3/31</f>
        <v>0</v>
      </c>
      <c r="CR28" s="16">
        <f>Demand_SW!G$3/31</f>
        <v>132.25806451612902</v>
      </c>
      <c r="CS28" s="16">
        <f>Demand_SW!H$3/31</f>
        <v>0</v>
      </c>
      <c r="CT28" s="16">
        <f>Demand_SW!I$3/31</f>
        <v>0</v>
      </c>
      <c r="CU28" s="16">
        <f>Demand_SW!J$3/31</f>
        <v>0</v>
      </c>
      <c r="CV28" s="16">
        <f>Demand_SW!K$3/31</f>
        <v>0</v>
      </c>
      <c r="CW28" s="16">
        <f t="shared" si="23"/>
        <v>47510.545905707113</v>
      </c>
      <c r="CX28" s="16">
        <f t="shared" si="24"/>
        <v>500</v>
      </c>
      <c r="CY28" s="16">
        <f t="shared" si="25"/>
        <v>0</v>
      </c>
      <c r="CZ28" s="16">
        <f t="shared" si="26"/>
        <v>0</v>
      </c>
      <c r="DA28" s="16">
        <f t="shared" si="27"/>
        <v>0</v>
      </c>
      <c r="DB28" s="16">
        <f t="shared" si="28"/>
        <v>-2306.4516129032254</v>
      </c>
      <c r="DC28" s="16">
        <f t="shared" si="29"/>
        <v>500</v>
      </c>
      <c r="DD28" s="16">
        <f t="shared" si="30"/>
        <v>0</v>
      </c>
      <c r="DE28" s="16">
        <f t="shared" si="31"/>
        <v>0</v>
      </c>
      <c r="DF28" s="16">
        <f t="shared" si="32"/>
        <v>0</v>
      </c>
      <c r="DG28" s="14">
        <f>IF([1]Sheet2!DR27=999999,"NA",[1]Sheet2!DR27)</f>
        <v>73103</v>
      </c>
      <c r="DH28" s="14">
        <f>IF([1]Sheet2!DS27=999999,"NA",[1]Sheet2!DS27)</f>
        <v>340</v>
      </c>
      <c r="DI28" s="14">
        <f>IF([1]Sheet2!DT27=999999,"NA",[1]Sheet2!DT27)</f>
        <v>340</v>
      </c>
      <c r="DJ28" s="14" t="str">
        <f>IF([1]Sheet2!DU27=999999,"NA",[1]Sheet2!DU27)</f>
        <v>NA</v>
      </c>
      <c r="DK28" s="14" t="str">
        <f>IF([1]Sheet2!DV27=999999,"NA",[1]Sheet2!DV27)</f>
        <v>NA</v>
      </c>
      <c r="DL28" s="14" t="str">
        <f>IF([1]Sheet2!DW27=999999,"NA",[1]Sheet2!DW27)</f>
        <v>NA</v>
      </c>
      <c r="DM28" s="14">
        <f>IF([1]Sheet2!DX27=999999,"NA",[1]Sheet2!DX27)</f>
        <v>340</v>
      </c>
      <c r="DN28" s="14">
        <f>IF([1]Sheet2!DY27=999999,"NA",[1]Sheet2!DY27)</f>
        <v>340</v>
      </c>
      <c r="DO28" s="14" t="str">
        <f>IF([1]Sheet2!DZ27=999999,"NA",[1]Sheet2!DZ27)</f>
        <v>NA</v>
      </c>
      <c r="DP28" s="14" t="str">
        <f>IF([1]Sheet2!EA27=999999,"NA",[1]Sheet2!EA27)</f>
        <v>NA</v>
      </c>
      <c r="DQ28" s="14">
        <f>[1]Sheet2!CX27</f>
        <v>0</v>
      </c>
      <c r="DR28" s="14">
        <f>[1]Sheet2!CY27</f>
        <v>0</v>
      </c>
      <c r="DS28" s="14">
        <f>[1]Sheet2!CZ27</f>
        <v>0</v>
      </c>
      <c r="DT28" s="14">
        <f>[1]Sheet2!DA27</f>
        <v>0</v>
      </c>
      <c r="DU28" s="14">
        <f>[1]Sheet2!DB27</f>
        <v>0</v>
      </c>
      <c r="DV28" s="14">
        <f>[1]Sheet2!DC27</f>
        <v>0</v>
      </c>
      <c r="DW28" s="14">
        <f>[1]Sheet2!DD27</f>
        <v>0</v>
      </c>
      <c r="DX28" s="14">
        <f>[1]Sheet2!DE27</f>
        <v>0</v>
      </c>
      <c r="DY28" s="14">
        <f>[1]Sheet2!DF27</f>
        <v>0</v>
      </c>
      <c r="DZ28" s="14">
        <f>[1]Sheet2!DG27</f>
        <v>0</v>
      </c>
    </row>
    <row r="29" spans="1:130" x14ac:dyDescent="0.25">
      <c r="A29" s="15">
        <v>43491</v>
      </c>
      <c r="B29" s="1"/>
      <c r="C29" s="1"/>
      <c r="D29" s="1"/>
      <c r="E29" s="14">
        <f>[1]Sheet2!N28</f>
        <v>0</v>
      </c>
      <c r="F29" s="14">
        <f>[1]Sheet2!BE28</f>
        <v>0</v>
      </c>
      <c r="G29" s="14">
        <f>[1]Sheet2!CV28</f>
        <v>271.83622828784121</v>
      </c>
      <c r="H29" s="1"/>
      <c r="I29" s="1"/>
      <c r="J29" s="1"/>
      <c r="K29" s="16">
        <f>Demand_CWRS!B$3/31</f>
        <v>313.22137613730359</v>
      </c>
      <c r="L29" s="16">
        <f>Demand_CWRS!C$3/31</f>
        <v>241.71000827129859</v>
      </c>
      <c r="M29" s="16">
        <f>Demand_CWRS!D$3/31</f>
        <v>0</v>
      </c>
      <c r="N29" s="16">
        <f>Demand_CWRS!E$3/31</f>
        <v>98.872001654259719</v>
      </c>
      <c r="O29" s="16">
        <f>Demand_CWRS!F$3/31</f>
        <v>198.36900072373859</v>
      </c>
      <c r="P29" s="16">
        <f>Demand_CWRS!G$3/31</f>
        <v>309.67741935483872</v>
      </c>
      <c r="Q29" s="16">
        <f>Demand_CWRS!H$3/31</f>
        <v>241.71000827129859</v>
      </c>
      <c r="R29" s="16">
        <f>Demand_CWRS!I$3/31</f>
        <v>200</v>
      </c>
      <c r="S29" s="16">
        <f>Demand_CWRS!J$3/31</f>
        <v>209.67741935483872</v>
      </c>
      <c r="T29" s="16">
        <f>Demand_CWRS!K$3/31</f>
        <v>216.12903225806451</v>
      </c>
      <c r="U29" s="16">
        <f t="shared" si="3"/>
        <v>-5143.7557795698931</v>
      </c>
      <c r="V29" s="16">
        <f t="shared" si="4"/>
        <v>-4284.4602150537639</v>
      </c>
      <c r="W29" s="16">
        <f t="shared" si="5"/>
        <v>0</v>
      </c>
      <c r="X29" s="16">
        <f t="shared" si="6"/>
        <v>-570.67204301075321</v>
      </c>
      <c r="Y29" s="16">
        <f t="shared" si="7"/>
        <v>-4157.5940188172044</v>
      </c>
      <c r="Z29" s="16">
        <f t="shared" si="8"/>
        <v>-5051.6129032258068</v>
      </c>
      <c r="AA29" s="16">
        <f t="shared" si="9"/>
        <v>-3784.4602150537644</v>
      </c>
      <c r="AB29" s="16">
        <f t="shared" si="10"/>
        <v>-3200</v>
      </c>
      <c r="AC29" s="16">
        <f t="shared" si="11"/>
        <v>-3351.6129032258063</v>
      </c>
      <c r="AD29" s="16">
        <f t="shared" si="12"/>
        <v>-3619.3548387096757</v>
      </c>
      <c r="AE29" s="14">
        <f>IF([1]Sheet2!AJ28=999999,"NA",[1]Sheet2!AJ28)</f>
        <v>101</v>
      </c>
      <c r="AF29" s="14">
        <f>IF([1]Sheet2!AK28=999999,"NA",[1]Sheet2!AK28)</f>
        <v>32</v>
      </c>
      <c r="AG29" s="14" t="str">
        <f>IF([1]Sheet2!AL28=999999,"NA",[1]Sheet2!AL28)</f>
        <v>NA</v>
      </c>
      <c r="AH29" s="14">
        <f>IF([1]Sheet2!AM28=999999,"NA",[1]Sheet2!AM28)</f>
        <v>339</v>
      </c>
      <c r="AI29" s="14">
        <f>IF([1]Sheet2!AN28=999999,"NA",[1]Sheet2!AN28)</f>
        <v>339</v>
      </c>
      <c r="AJ29" s="14">
        <f>IF([1]Sheet2!AO28=999999,"NA",[1]Sheet2!AO28)</f>
        <v>339</v>
      </c>
      <c r="AK29" s="14">
        <f>IF([1]Sheet2!AP28=999999,"NA",[1]Sheet2!AP28)</f>
        <v>84</v>
      </c>
      <c r="AL29" s="14">
        <f>IF([1]Sheet2!AQ28=999999,"NA",[1]Sheet2!AQ28)</f>
        <v>215</v>
      </c>
      <c r="AM29" s="14">
        <f>IF([1]Sheet2!AR28=999999,"NA",[1]Sheet2!AR28)</f>
        <v>339</v>
      </c>
      <c r="AN29" s="14">
        <f>IF([1]Sheet2!AS28=999999,"NA",[1]Sheet2!AS28)</f>
        <v>271</v>
      </c>
      <c r="AO29" s="14">
        <f>[1]Sheet2!P28</f>
        <v>0</v>
      </c>
      <c r="AP29" s="14">
        <f>[1]Sheet2!Q28</f>
        <v>0</v>
      </c>
      <c r="AQ29" s="14">
        <f>[1]Sheet2!R28</f>
        <v>0</v>
      </c>
      <c r="AR29" s="14">
        <f>[1]Sheet2!S28</f>
        <v>0</v>
      </c>
      <c r="AS29" s="14">
        <f>[1]Sheet2!T28</f>
        <v>0</v>
      </c>
      <c r="AT29" s="14">
        <f>[1]Sheet2!U28</f>
        <v>0</v>
      </c>
      <c r="AU29" s="14">
        <f>[1]Sheet2!V28</f>
        <v>0</v>
      </c>
      <c r="AV29" s="14">
        <f>[1]Sheet2!W28</f>
        <v>0</v>
      </c>
      <c r="AW29" s="14">
        <f>[1]Sheet2!X28</f>
        <v>0</v>
      </c>
      <c r="AX29" s="14">
        <f>[1]Sheet2!Y28</f>
        <v>0</v>
      </c>
      <c r="AY29" s="16">
        <f>Demand_LP!B$3/31</f>
        <v>503.00172404880072</v>
      </c>
      <c r="AZ29" s="16">
        <f>Demand_LP!C$3/31</f>
        <v>792.35864350703059</v>
      </c>
      <c r="BA29" s="16">
        <f>Demand_LP!D$3/31</f>
        <v>231.20967741935488</v>
      </c>
      <c r="BB29" s="16">
        <f>Demand_LP!E$3/31</f>
        <v>696.53949545078569</v>
      </c>
      <c r="BC29" s="16">
        <f>Demand_LP!F$3/31</f>
        <v>482.27093930934655</v>
      </c>
      <c r="BD29" s="16">
        <f>Demand_LP!G$3/31</f>
        <v>516.12903225806451</v>
      </c>
      <c r="BE29" s="16">
        <f>Demand_LP!H$3/31</f>
        <v>774.19354838709683</v>
      </c>
      <c r="BF29" s="16">
        <f>Demand_LP!I$3/31</f>
        <v>451.61290322580646</v>
      </c>
      <c r="BG29" s="16">
        <f>Demand_LP!J$3/31</f>
        <v>387.09677419354841</v>
      </c>
      <c r="BH29" s="16">
        <f>Demand_LP!K$3/31</f>
        <v>419.35483870967744</v>
      </c>
      <c r="BI29" s="16" t="e">
        <f t="shared" si="13"/>
        <v>#VALUE!</v>
      </c>
      <c r="BJ29" s="16">
        <f t="shared" si="14"/>
        <v>-15601.324731182789</v>
      </c>
      <c r="BK29" s="16">
        <f t="shared" si="15"/>
        <v>-4011.4516129032281</v>
      </c>
      <c r="BL29" s="16">
        <f t="shared" si="16"/>
        <v>-15110.026881720434</v>
      </c>
      <c r="BM29" s="16">
        <f t="shared" si="17"/>
        <v>-9539.044422043009</v>
      </c>
      <c r="BN29" s="16">
        <f t="shared" si="18"/>
        <v>-11419.354838709676</v>
      </c>
      <c r="BO29" s="16">
        <f t="shared" si="19"/>
        <v>-17129.032258064515</v>
      </c>
      <c r="BP29" s="16">
        <f t="shared" si="20"/>
        <v>-9741.9354838709714</v>
      </c>
      <c r="BQ29" s="16">
        <f t="shared" si="21"/>
        <v>-7064.5161290322567</v>
      </c>
      <c r="BR29" s="16">
        <f t="shared" si="22"/>
        <v>-8403.2258064516118</v>
      </c>
      <c r="BS29" s="14">
        <f>IF([1]Sheet2!CA28=999999,"NA",[1]Sheet2!CA28)</f>
        <v>208075.77419354866</v>
      </c>
      <c r="BT29" s="14">
        <f>IF([1]Sheet2!CB28=999999,"NA",[1]Sheet2!CB28)</f>
        <v>261</v>
      </c>
      <c r="BU29" s="14">
        <f>IF([1]Sheet2!CC28=999999,"NA",[1]Sheet2!CC28)</f>
        <v>339</v>
      </c>
      <c r="BV29" s="14">
        <f>IF([1]Sheet2!CD28=999999,"NA",[1]Sheet2!CD28)</f>
        <v>339</v>
      </c>
      <c r="BW29" s="14">
        <f>IF([1]Sheet2!CE28=999999,"NA",[1]Sheet2!CE28)</f>
        <v>301</v>
      </c>
      <c r="BX29" s="14">
        <f>IF([1]Sheet2!CF28=999999,"NA",[1]Sheet2!CF28)</f>
        <v>339</v>
      </c>
      <c r="BY29" s="14">
        <f>IF([1]Sheet2!CG28=999999,"NA",[1]Sheet2!CG28)</f>
        <v>233</v>
      </c>
      <c r="BZ29" s="14">
        <f>IF([1]Sheet2!CH28=999999,"NA",[1]Sheet2!CH28)</f>
        <v>339</v>
      </c>
      <c r="CA29" s="14">
        <f>IF([1]Sheet2!CI28=999999,"NA",[1]Sheet2!CI28)</f>
        <v>339</v>
      </c>
      <c r="CB29" s="14">
        <f>IF([1]Sheet2!CJ28=999999,"NA",[1]Sheet2!CJ28)</f>
        <v>339</v>
      </c>
      <c r="CC29" s="14">
        <f>[1]Sheet2!BG28</f>
        <v>0</v>
      </c>
      <c r="CD29" s="14">
        <f>[1]Sheet2!BH28</f>
        <v>0</v>
      </c>
      <c r="CE29" s="14">
        <f>[1]Sheet2!BI28</f>
        <v>0</v>
      </c>
      <c r="CF29" s="14">
        <f>[1]Sheet2!BJ28</f>
        <v>0</v>
      </c>
      <c r="CG29" s="14">
        <f>[1]Sheet2!BK28</f>
        <v>0</v>
      </c>
      <c r="CH29" s="14">
        <f>[1]Sheet2!BL28</f>
        <v>0</v>
      </c>
      <c r="CI29" s="14">
        <f>[1]Sheet2!BM28</f>
        <v>0</v>
      </c>
      <c r="CJ29" s="14">
        <f>[1]Sheet2!BN28</f>
        <v>0</v>
      </c>
      <c r="CK29" s="14">
        <f>[1]Sheet2!BO28</f>
        <v>0</v>
      </c>
      <c r="CL29" s="14">
        <f>[1]Sheet2!BP28</f>
        <v>0</v>
      </c>
      <c r="CM29" s="16">
        <f>Demand_SW!B$3/31</f>
        <v>139.57816377171216</v>
      </c>
      <c r="CN29" s="16">
        <f>Demand_SW!C$3/31</f>
        <v>0</v>
      </c>
      <c r="CO29" s="16">
        <f>Demand_SW!D$3/31</f>
        <v>0</v>
      </c>
      <c r="CP29" s="16">
        <f>Demand_SW!E$3/31</f>
        <v>0</v>
      </c>
      <c r="CQ29" s="16">
        <f>Demand_SW!F$3/31</f>
        <v>0</v>
      </c>
      <c r="CR29" s="16">
        <f>Demand_SW!G$3/31</f>
        <v>132.25806451612902</v>
      </c>
      <c r="CS29" s="16">
        <f>Demand_SW!H$3/31</f>
        <v>0</v>
      </c>
      <c r="CT29" s="16">
        <f>Demand_SW!I$3/31</f>
        <v>0</v>
      </c>
      <c r="CU29" s="16">
        <f>Demand_SW!J$3/31</f>
        <v>0</v>
      </c>
      <c r="CV29" s="16">
        <f>Demand_SW!K$3/31</f>
        <v>0</v>
      </c>
      <c r="CW29" s="16">
        <f t="shared" si="23"/>
        <v>47370.967741935397</v>
      </c>
      <c r="CX29" s="16">
        <f t="shared" si="24"/>
        <v>500</v>
      </c>
      <c r="CY29" s="16">
        <f t="shared" si="25"/>
        <v>0</v>
      </c>
      <c r="CZ29" s="16">
        <f t="shared" si="26"/>
        <v>0</v>
      </c>
      <c r="DA29" s="16">
        <f t="shared" si="27"/>
        <v>0</v>
      </c>
      <c r="DB29" s="16">
        <f t="shared" si="28"/>
        <v>-2438.7096774193542</v>
      </c>
      <c r="DC29" s="16">
        <f t="shared" si="29"/>
        <v>500</v>
      </c>
      <c r="DD29" s="16">
        <f t="shared" si="30"/>
        <v>0</v>
      </c>
      <c r="DE29" s="16">
        <f t="shared" si="31"/>
        <v>0</v>
      </c>
      <c r="DF29" s="16">
        <f t="shared" si="32"/>
        <v>0</v>
      </c>
      <c r="DG29" s="14">
        <f>IF([1]Sheet2!DR28=999999,"NA",[1]Sheet2!DR28)</f>
        <v>73103</v>
      </c>
      <c r="DH29" s="14">
        <f>IF([1]Sheet2!DS28=999999,"NA",[1]Sheet2!DS28)</f>
        <v>339</v>
      </c>
      <c r="DI29" s="14">
        <f>IF([1]Sheet2!DT28=999999,"NA",[1]Sheet2!DT28)</f>
        <v>339</v>
      </c>
      <c r="DJ29" s="14" t="str">
        <f>IF([1]Sheet2!DU28=999999,"NA",[1]Sheet2!DU28)</f>
        <v>NA</v>
      </c>
      <c r="DK29" s="14" t="str">
        <f>IF([1]Sheet2!DV28=999999,"NA",[1]Sheet2!DV28)</f>
        <v>NA</v>
      </c>
      <c r="DL29" s="14" t="str">
        <f>IF([1]Sheet2!DW28=999999,"NA",[1]Sheet2!DW28)</f>
        <v>NA</v>
      </c>
      <c r="DM29" s="14">
        <f>IF([1]Sheet2!DX28=999999,"NA",[1]Sheet2!DX28)</f>
        <v>339</v>
      </c>
      <c r="DN29" s="14">
        <f>IF([1]Sheet2!DY28=999999,"NA",[1]Sheet2!DY28)</f>
        <v>339</v>
      </c>
      <c r="DO29" s="14" t="str">
        <f>IF([1]Sheet2!DZ28=999999,"NA",[1]Sheet2!DZ28)</f>
        <v>NA</v>
      </c>
      <c r="DP29" s="14" t="str">
        <f>IF([1]Sheet2!EA28=999999,"NA",[1]Sheet2!EA28)</f>
        <v>NA</v>
      </c>
      <c r="DQ29" s="14">
        <f>[1]Sheet2!CX28</f>
        <v>0</v>
      </c>
      <c r="DR29" s="14">
        <f>[1]Sheet2!CY28</f>
        <v>0</v>
      </c>
      <c r="DS29" s="14">
        <f>[1]Sheet2!CZ28</f>
        <v>0</v>
      </c>
      <c r="DT29" s="14">
        <f>[1]Sheet2!DA28</f>
        <v>0</v>
      </c>
      <c r="DU29" s="14">
        <f>[1]Sheet2!DB28</f>
        <v>0</v>
      </c>
      <c r="DV29" s="14">
        <f>[1]Sheet2!DC28</f>
        <v>0</v>
      </c>
      <c r="DW29" s="14">
        <f>[1]Sheet2!DD28</f>
        <v>0</v>
      </c>
      <c r="DX29" s="14">
        <f>[1]Sheet2!DE28</f>
        <v>0</v>
      </c>
      <c r="DY29" s="14">
        <f>[1]Sheet2!DF28</f>
        <v>0</v>
      </c>
      <c r="DZ29" s="14">
        <f>[1]Sheet2!DG28</f>
        <v>0</v>
      </c>
    </row>
    <row r="30" spans="1:130" x14ac:dyDescent="0.25">
      <c r="A30" s="15">
        <v>43492</v>
      </c>
      <c r="B30" s="1"/>
      <c r="C30" s="1"/>
      <c r="D30" s="1"/>
      <c r="E30" s="14">
        <f>[1]Sheet2!N29</f>
        <v>0</v>
      </c>
      <c r="F30" s="14">
        <f>[1]Sheet2!BE29</f>
        <v>0</v>
      </c>
      <c r="G30" s="14">
        <f>[1]Sheet2!CV29</f>
        <v>271.83622828784121</v>
      </c>
      <c r="H30" s="1"/>
      <c r="I30" s="1"/>
      <c r="J30" s="1"/>
      <c r="K30" s="16">
        <f>Demand_CWRS!B$3/31</f>
        <v>313.22137613730359</v>
      </c>
      <c r="L30" s="16">
        <f>Demand_CWRS!C$3/31</f>
        <v>241.71000827129859</v>
      </c>
      <c r="M30" s="16">
        <f>Demand_CWRS!D$3/31</f>
        <v>0</v>
      </c>
      <c r="N30" s="16">
        <f>Demand_CWRS!E$3/31</f>
        <v>98.872001654259719</v>
      </c>
      <c r="O30" s="16">
        <f>Demand_CWRS!F$3/31</f>
        <v>198.36900072373859</v>
      </c>
      <c r="P30" s="16">
        <f>Demand_CWRS!G$3/31</f>
        <v>309.67741935483872</v>
      </c>
      <c r="Q30" s="16">
        <f>Demand_CWRS!H$3/31</f>
        <v>241.71000827129859</v>
      </c>
      <c r="R30" s="16">
        <f>Demand_CWRS!I$3/31</f>
        <v>200</v>
      </c>
      <c r="S30" s="16">
        <f>Demand_CWRS!J$3/31</f>
        <v>209.67741935483872</v>
      </c>
      <c r="T30" s="16">
        <f>Demand_CWRS!K$3/31</f>
        <v>216.12903225806451</v>
      </c>
      <c r="U30" s="16">
        <f t="shared" si="3"/>
        <v>-5456.9771557071963</v>
      </c>
      <c r="V30" s="16">
        <f t="shared" si="4"/>
        <v>-4526.1702233250626</v>
      </c>
      <c r="W30" s="16">
        <f t="shared" si="5"/>
        <v>0</v>
      </c>
      <c r="X30" s="16">
        <f t="shared" si="6"/>
        <v>-669.54404466501296</v>
      </c>
      <c r="Y30" s="16">
        <f t="shared" si="7"/>
        <v>-4355.9630195409427</v>
      </c>
      <c r="Z30" s="16">
        <f t="shared" si="8"/>
        <v>-5361.2903225806458</v>
      </c>
      <c r="AA30" s="16">
        <f t="shared" si="9"/>
        <v>-4026.170223325063</v>
      </c>
      <c r="AB30" s="16">
        <f t="shared" si="10"/>
        <v>-3400</v>
      </c>
      <c r="AC30" s="16">
        <f t="shared" si="11"/>
        <v>-3561.2903225806449</v>
      </c>
      <c r="AD30" s="16">
        <f t="shared" si="12"/>
        <v>-3835.4838709677401</v>
      </c>
      <c r="AE30" s="14">
        <f>IF([1]Sheet2!AJ29=999999,"NA",[1]Sheet2!AJ29)</f>
        <v>100</v>
      </c>
      <c r="AF30" s="14">
        <f>IF([1]Sheet2!AK29=999999,"NA",[1]Sheet2!AK29)</f>
        <v>31</v>
      </c>
      <c r="AG30" s="14" t="str">
        <f>IF([1]Sheet2!AL29=999999,"NA",[1]Sheet2!AL29)</f>
        <v>NA</v>
      </c>
      <c r="AH30" s="14">
        <f>IF([1]Sheet2!AM29=999999,"NA",[1]Sheet2!AM29)</f>
        <v>338</v>
      </c>
      <c r="AI30" s="14">
        <f>IF([1]Sheet2!AN29=999999,"NA",[1]Sheet2!AN29)</f>
        <v>338</v>
      </c>
      <c r="AJ30" s="14">
        <f>IF([1]Sheet2!AO29=999999,"NA",[1]Sheet2!AO29)</f>
        <v>338</v>
      </c>
      <c r="AK30" s="14">
        <f>IF([1]Sheet2!AP29=999999,"NA",[1]Sheet2!AP29)</f>
        <v>83</v>
      </c>
      <c r="AL30" s="14">
        <f>IF([1]Sheet2!AQ29=999999,"NA",[1]Sheet2!AQ29)</f>
        <v>214</v>
      </c>
      <c r="AM30" s="14">
        <f>IF([1]Sheet2!AR29=999999,"NA",[1]Sheet2!AR29)</f>
        <v>338</v>
      </c>
      <c r="AN30" s="14">
        <f>IF([1]Sheet2!AS29=999999,"NA",[1]Sheet2!AS29)</f>
        <v>270</v>
      </c>
      <c r="AO30" s="14">
        <f>[1]Sheet2!P29</f>
        <v>0</v>
      </c>
      <c r="AP30" s="14">
        <f>[1]Sheet2!Q29</f>
        <v>0</v>
      </c>
      <c r="AQ30" s="14">
        <f>[1]Sheet2!R29</f>
        <v>0</v>
      </c>
      <c r="AR30" s="14">
        <f>[1]Sheet2!S29</f>
        <v>0</v>
      </c>
      <c r="AS30" s="14">
        <f>[1]Sheet2!T29</f>
        <v>0</v>
      </c>
      <c r="AT30" s="14">
        <f>[1]Sheet2!U29</f>
        <v>0</v>
      </c>
      <c r="AU30" s="14">
        <f>[1]Sheet2!V29</f>
        <v>0</v>
      </c>
      <c r="AV30" s="14">
        <f>[1]Sheet2!W29</f>
        <v>0</v>
      </c>
      <c r="AW30" s="14">
        <f>[1]Sheet2!X29</f>
        <v>0</v>
      </c>
      <c r="AX30" s="14">
        <f>[1]Sheet2!Y29</f>
        <v>0</v>
      </c>
      <c r="AY30" s="16">
        <f>Demand_LP!B$3/31</f>
        <v>503.00172404880072</v>
      </c>
      <c r="AZ30" s="16">
        <f>Demand_LP!C$3/31</f>
        <v>792.35864350703059</v>
      </c>
      <c r="BA30" s="16">
        <f>Demand_LP!D$3/31</f>
        <v>231.20967741935488</v>
      </c>
      <c r="BB30" s="16">
        <f>Demand_LP!E$3/31</f>
        <v>696.53949545078569</v>
      </c>
      <c r="BC30" s="16">
        <f>Demand_LP!F$3/31</f>
        <v>482.27093930934655</v>
      </c>
      <c r="BD30" s="16">
        <f>Demand_LP!G$3/31</f>
        <v>516.12903225806451</v>
      </c>
      <c r="BE30" s="16">
        <f>Demand_LP!H$3/31</f>
        <v>774.19354838709683</v>
      </c>
      <c r="BF30" s="16">
        <f>Demand_LP!I$3/31</f>
        <v>451.61290322580646</v>
      </c>
      <c r="BG30" s="16">
        <f>Demand_LP!J$3/31</f>
        <v>387.09677419354841</v>
      </c>
      <c r="BH30" s="16">
        <f>Demand_LP!K$3/31</f>
        <v>419.35483870967744</v>
      </c>
      <c r="BI30" s="16" t="e">
        <f t="shared" si="13"/>
        <v>#VALUE!</v>
      </c>
      <c r="BJ30" s="16">
        <f t="shared" si="14"/>
        <v>-16393.683374689819</v>
      </c>
      <c r="BK30" s="16">
        <f t="shared" si="15"/>
        <v>-4242.6612903225832</v>
      </c>
      <c r="BL30" s="16">
        <f t="shared" si="16"/>
        <v>-15806.566377171221</v>
      </c>
      <c r="BM30" s="16">
        <f t="shared" si="17"/>
        <v>-10021.315361352355</v>
      </c>
      <c r="BN30" s="16">
        <f t="shared" si="18"/>
        <v>-11935.483870967741</v>
      </c>
      <c r="BO30" s="16">
        <f t="shared" si="19"/>
        <v>-17903.225806451614</v>
      </c>
      <c r="BP30" s="16">
        <f t="shared" si="20"/>
        <v>-10193.548387096778</v>
      </c>
      <c r="BQ30" s="16">
        <f t="shared" si="21"/>
        <v>-7451.612903225805</v>
      </c>
      <c r="BR30" s="16">
        <f t="shared" si="22"/>
        <v>-8822.5806451612898</v>
      </c>
      <c r="BS30" s="14">
        <f>IF([1]Sheet2!CA29=999999,"NA",[1]Sheet2!CA29)</f>
        <v>207656.41935483899</v>
      </c>
      <c r="BT30" s="14">
        <f>IF([1]Sheet2!CB29=999999,"NA",[1]Sheet2!CB29)</f>
        <v>260</v>
      </c>
      <c r="BU30" s="14">
        <f>IF([1]Sheet2!CC29=999999,"NA",[1]Sheet2!CC29)</f>
        <v>338</v>
      </c>
      <c r="BV30" s="14">
        <f>IF([1]Sheet2!CD29=999999,"NA",[1]Sheet2!CD29)</f>
        <v>338</v>
      </c>
      <c r="BW30" s="14">
        <f>IF([1]Sheet2!CE29=999999,"NA",[1]Sheet2!CE29)</f>
        <v>300</v>
      </c>
      <c r="BX30" s="14">
        <f>IF([1]Sheet2!CF29=999999,"NA",[1]Sheet2!CF29)</f>
        <v>338</v>
      </c>
      <c r="BY30" s="14">
        <f>IF([1]Sheet2!CG29=999999,"NA",[1]Sheet2!CG29)</f>
        <v>232</v>
      </c>
      <c r="BZ30" s="14">
        <f>IF([1]Sheet2!CH29=999999,"NA",[1]Sheet2!CH29)</f>
        <v>338</v>
      </c>
      <c r="CA30" s="14">
        <f>IF([1]Sheet2!CI29=999999,"NA",[1]Sheet2!CI29)</f>
        <v>338</v>
      </c>
      <c r="CB30" s="14">
        <f>IF([1]Sheet2!CJ29=999999,"NA",[1]Sheet2!CJ29)</f>
        <v>338</v>
      </c>
      <c r="CC30" s="14">
        <f>[1]Sheet2!BG29</f>
        <v>0</v>
      </c>
      <c r="CD30" s="14">
        <f>[1]Sheet2!BH29</f>
        <v>0</v>
      </c>
      <c r="CE30" s="14">
        <f>[1]Sheet2!BI29</f>
        <v>0</v>
      </c>
      <c r="CF30" s="14">
        <f>[1]Sheet2!BJ29</f>
        <v>0</v>
      </c>
      <c r="CG30" s="14">
        <f>[1]Sheet2!BK29</f>
        <v>0</v>
      </c>
      <c r="CH30" s="14">
        <f>[1]Sheet2!BL29</f>
        <v>0</v>
      </c>
      <c r="CI30" s="14">
        <f>[1]Sheet2!BM29</f>
        <v>0</v>
      </c>
      <c r="CJ30" s="14">
        <f>[1]Sheet2!BN29</f>
        <v>0</v>
      </c>
      <c r="CK30" s="14">
        <f>[1]Sheet2!BO29</f>
        <v>0</v>
      </c>
      <c r="CL30" s="14">
        <f>[1]Sheet2!BP29</f>
        <v>0</v>
      </c>
      <c r="CM30" s="16">
        <f>Demand_SW!B$3/31</f>
        <v>139.57816377171216</v>
      </c>
      <c r="CN30" s="16">
        <f>Demand_SW!C$3/31</f>
        <v>0</v>
      </c>
      <c r="CO30" s="16">
        <f>Demand_SW!D$3/31</f>
        <v>0</v>
      </c>
      <c r="CP30" s="16">
        <f>Demand_SW!E$3/31</f>
        <v>0</v>
      </c>
      <c r="CQ30" s="16">
        <f>Demand_SW!F$3/31</f>
        <v>0</v>
      </c>
      <c r="CR30" s="16">
        <f>Demand_SW!G$3/31</f>
        <v>132.25806451612902</v>
      </c>
      <c r="CS30" s="16">
        <f>Demand_SW!H$3/31</f>
        <v>0</v>
      </c>
      <c r="CT30" s="16">
        <f>Demand_SW!I$3/31</f>
        <v>0</v>
      </c>
      <c r="CU30" s="16">
        <f>Demand_SW!J$3/31</f>
        <v>0</v>
      </c>
      <c r="CV30" s="16">
        <f>Demand_SW!K$3/31</f>
        <v>0</v>
      </c>
      <c r="CW30" s="16">
        <f t="shared" si="23"/>
        <v>47231.389578163682</v>
      </c>
      <c r="CX30" s="16">
        <f t="shared" si="24"/>
        <v>500</v>
      </c>
      <c r="CY30" s="16">
        <f t="shared" si="25"/>
        <v>0</v>
      </c>
      <c r="CZ30" s="16">
        <f t="shared" si="26"/>
        <v>0</v>
      </c>
      <c r="DA30" s="16">
        <f t="shared" si="27"/>
        <v>0</v>
      </c>
      <c r="DB30" s="16">
        <f t="shared" si="28"/>
        <v>-2570.967741935483</v>
      </c>
      <c r="DC30" s="16">
        <f t="shared" si="29"/>
        <v>500</v>
      </c>
      <c r="DD30" s="16">
        <f t="shared" si="30"/>
        <v>0</v>
      </c>
      <c r="DE30" s="16">
        <f t="shared" si="31"/>
        <v>0</v>
      </c>
      <c r="DF30" s="16">
        <f t="shared" si="32"/>
        <v>0</v>
      </c>
      <c r="DG30" s="14">
        <f>IF([1]Sheet2!DR29=999999,"NA",[1]Sheet2!DR29)</f>
        <v>73103</v>
      </c>
      <c r="DH30" s="14">
        <f>IF([1]Sheet2!DS29=999999,"NA",[1]Sheet2!DS29)</f>
        <v>338</v>
      </c>
      <c r="DI30" s="14">
        <f>IF([1]Sheet2!DT29=999999,"NA",[1]Sheet2!DT29)</f>
        <v>338</v>
      </c>
      <c r="DJ30" s="14" t="str">
        <f>IF([1]Sheet2!DU29=999999,"NA",[1]Sheet2!DU29)</f>
        <v>NA</v>
      </c>
      <c r="DK30" s="14" t="str">
        <f>IF([1]Sheet2!DV29=999999,"NA",[1]Sheet2!DV29)</f>
        <v>NA</v>
      </c>
      <c r="DL30" s="14" t="str">
        <f>IF([1]Sheet2!DW29=999999,"NA",[1]Sheet2!DW29)</f>
        <v>NA</v>
      </c>
      <c r="DM30" s="14">
        <f>IF([1]Sheet2!DX29=999999,"NA",[1]Sheet2!DX29)</f>
        <v>338</v>
      </c>
      <c r="DN30" s="14">
        <f>IF([1]Sheet2!DY29=999999,"NA",[1]Sheet2!DY29)</f>
        <v>338</v>
      </c>
      <c r="DO30" s="14" t="str">
        <f>IF([1]Sheet2!DZ29=999999,"NA",[1]Sheet2!DZ29)</f>
        <v>NA</v>
      </c>
      <c r="DP30" s="14" t="str">
        <f>IF([1]Sheet2!EA29=999999,"NA",[1]Sheet2!EA29)</f>
        <v>NA</v>
      </c>
      <c r="DQ30" s="14">
        <f>[1]Sheet2!CX29</f>
        <v>0</v>
      </c>
      <c r="DR30" s="14">
        <f>[1]Sheet2!CY29</f>
        <v>0</v>
      </c>
      <c r="DS30" s="14">
        <f>[1]Sheet2!CZ29</f>
        <v>0</v>
      </c>
      <c r="DT30" s="14">
        <f>[1]Sheet2!DA29</f>
        <v>0</v>
      </c>
      <c r="DU30" s="14">
        <f>[1]Sheet2!DB29</f>
        <v>0</v>
      </c>
      <c r="DV30" s="14">
        <f>[1]Sheet2!DC29</f>
        <v>0</v>
      </c>
      <c r="DW30" s="14">
        <f>[1]Sheet2!DD29</f>
        <v>0</v>
      </c>
      <c r="DX30" s="14">
        <f>[1]Sheet2!DE29</f>
        <v>0</v>
      </c>
      <c r="DY30" s="14">
        <f>[1]Sheet2!DF29</f>
        <v>0</v>
      </c>
      <c r="DZ30" s="14">
        <f>[1]Sheet2!DG29</f>
        <v>0</v>
      </c>
    </row>
    <row r="31" spans="1:130" x14ac:dyDescent="0.25">
      <c r="A31" s="15">
        <v>43493</v>
      </c>
      <c r="B31" s="1"/>
      <c r="C31" s="1"/>
      <c r="D31" s="1"/>
      <c r="E31" s="14">
        <f>[1]Sheet2!N30</f>
        <v>0</v>
      </c>
      <c r="F31" s="14">
        <f>[1]Sheet2!BE30</f>
        <v>0</v>
      </c>
      <c r="G31" s="14">
        <f>[1]Sheet2!CV30</f>
        <v>271.83622828784121</v>
      </c>
      <c r="H31" s="1"/>
      <c r="I31" s="1"/>
      <c r="J31" s="1"/>
      <c r="K31" s="16">
        <f>Demand_CWRS!B$3/31</f>
        <v>313.22137613730359</v>
      </c>
      <c r="L31" s="16">
        <f>Demand_CWRS!C$3/31</f>
        <v>241.71000827129859</v>
      </c>
      <c r="M31" s="16">
        <f>Demand_CWRS!D$3/31</f>
        <v>0</v>
      </c>
      <c r="N31" s="16">
        <f>Demand_CWRS!E$3/31</f>
        <v>98.872001654259719</v>
      </c>
      <c r="O31" s="16">
        <f>Demand_CWRS!F$3/31</f>
        <v>198.36900072373859</v>
      </c>
      <c r="P31" s="16">
        <f>Demand_CWRS!G$3/31</f>
        <v>309.67741935483872</v>
      </c>
      <c r="Q31" s="16">
        <f>Demand_CWRS!H$3/31</f>
        <v>241.71000827129859</v>
      </c>
      <c r="R31" s="16">
        <f>Demand_CWRS!I$3/31</f>
        <v>200</v>
      </c>
      <c r="S31" s="16">
        <f>Demand_CWRS!J$3/31</f>
        <v>209.67741935483872</v>
      </c>
      <c r="T31" s="16">
        <f>Demand_CWRS!K$3/31</f>
        <v>216.12903225806451</v>
      </c>
      <c r="U31" s="16">
        <f t="shared" si="3"/>
        <v>-5770.1985318444995</v>
      </c>
      <c r="V31" s="16">
        <f t="shared" si="4"/>
        <v>-4767.8802315963612</v>
      </c>
      <c r="W31" s="16">
        <f t="shared" si="5"/>
        <v>0</v>
      </c>
      <c r="X31" s="16">
        <f t="shared" si="6"/>
        <v>-768.41604631927271</v>
      </c>
      <c r="Y31" s="16">
        <f t="shared" si="7"/>
        <v>-4554.332020264681</v>
      </c>
      <c r="Z31" s="16">
        <f t="shared" si="8"/>
        <v>-5670.9677419354848</v>
      </c>
      <c r="AA31" s="16">
        <f t="shared" si="9"/>
        <v>-4267.8802315963612</v>
      </c>
      <c r="AB31" s="16">
        <f t="shared" si="10"/>
        <v>-3600</v>
      </c>
      <c r="AC31" s="16">
        <f t="shared" si="11"/>
        <v>-3770.9677419354834</v>
      </c>
      <c r="AD31" s="16">
        <f t="shared" si="12"/>
        <v>-4051.6129032258045</v>
      </c>
      <c r="AE31" s="14">
        <f>IF([1]Sheet2!AJ30=999999,"NA",[1]Sheet2!AJ30)</f>
        <v>99</v>
      </c>
      <c r="AF31" s="14">
        <f>IF([1]Sheet2!AK30=999999,"NA",[1]Sheet2!AK30)</f>
        <v>30</v>
      </c>
      <c r="AG31" s="14" t="str">
        <f>IF([1]Sheet2!AL30=999999,"NA",[1]Sheet2!AL30)</f>
        <v>NA</v>
      </c>
      <c r="AH31" s="14">
        <f>IF([1]Sheet2!AM30=999999,"NA",[1]Sheet2!AM30)</f>
        <v>337</v>
      </c>
      <c r="AI31" s="14">
        <f>IF([1]Sheet2!AN30=999999,"NA",[1]Sheet2!AN30)</f>
        <v>337</v>
      </c>
      <c r="AJ31" s="14">
        <f>IF([1]Sheet2!AO30=999999,"NA",[1]Sheet2!AO30)</f>
        <v>337</v>
      </c>
      <c r="AK31" s="14">
        <f>IF([1]Sheet2!AP30=999999,"NA",[1]Sheet2!AP30)</f>
        <v>82</v>
      </c>
      <c r="AL31" s="14">
        <f>IF([1]Sheet2!AQ30=999999,"NA",[1]Sheet2!AQ30)</f>
        <v>213</v>
      </c>
      <c r="AM31" s="14">
        <f>IF([1]Sheet2!AR30=999999,"NA",[1]Sheet2!AR30)</f>
        <v>337</v>
      </c>
      <c r="AN31" s="14">
        <f>IF([1]Sheet2!AS30=999999,"NA",[1]Sheet2!AS30)</f>
        <v>269</v>
      </c>
      <c r="AO31" s="14">
        <f>[1]Sheet2!P30</f>
        <v>0</v>
      </c>
      <c r="AP31" s="14">
        <f>[1]Sheet2!Q30</f>
        <v>0</v>
      </c>
      <c r="AQ31" s="14">
        <f>[1]Sheet2!R30</f>
        <v>0</v>
      </c>
      <c r="AR31" s="14">
        <f>[1]Sheet2!S30</f>
        <v>0</v>
      </c>
      <c r="AS31" s="14">
        <f>[1]Sheet2!T30</f>
        <v>0</v>
      </c>
      <c r="AT31" s="14">
        <f>[1]Sheet2!U30</f>
        <v>0</v>
      </c>
      <c r="AU31" s="14">
        <f>[1]Sheet2!V30</f>
        <v>0</v>
      </c>
      <c r="AV31" s="14">
        <f>[1]Sheet2!W30</f>
        <v>0</v>
      </c>
      <c r="AW31" s="14">
        <f>[1]Sheet2!X30</f>
        <v>0</v>
      </c>
      <c r="AX31" s="14">
        <f>[1]Sheet2!Y30</f>
        <v>0</v>
      </c>
      <c r="AY31" s="16">
        <f>Demand_LP!B$3/31</f>
        <v>503.00172404880072</v>
      </c>
      <c r="AZ31" s="16">
        <f>Demand_LP!C$3/31</f>
        <v>792.35864350703059</v>
      </c>
      <c r="BA31" s="16">
        <f>Demand_LP!D$3/31</f>
        <v>231.20967741935488</v>
      </c>
      <c r="BB31" s="16">
        <f>Demand_LP!E$3/31</f>
        <v>696.53949545078569</v>
      </c>
      <c r="BC31" s="16">
        <f>Demand_LP!F$3/31</f>
        <v>482.27093930934655</v>
      </c>
      <c r="BD31" s="16">
        <f>Demand_LP!G$3/31</f>
        <v>516.12903225806451</v>
      </c>
      <c r="BE31" s="16">
        <f>Demand_LP!H$3/31</f>
        <v>774.19354838709683</v>
      </c>
      <c r="BF31" s="16">
        <f>Demand_LP!I$3/31</f>
        <v>451.61290322580646</v>
      </c>
      <c r="BG31" s="16">
        <f>Demand_LP!J$3/31</f>
        <v>387.09677419354841</v>
      </c>
      <c r="BH31" s="16">
        <f>Demand_LP!K$3/31</f>
        <v>419.35483870967744</v>
      </c>
      <c r="BI31" s="16" t="e">
        <f t="shared" si="13"/>
        <v>#VALUE!</v>
      </c>
      <c r="BJ31" s="16">
        <f t="shared" si="14"/>
        <v>-17186.042018196851</v>
      </c>
      <c r="BK31" s="16">
        <f t="shared" si="15"/>
        <v>-4473.8709677419383</v>
      </c>
      <c r="BL31" s="16">
        <f t="shared" si="16"/>
        <v>-16503.105872622007</v>
      </c>
      <c r="BM31" s="16">
        <f t="shared" si="17"/>
        <v>-10503.586300661702</v>
      </c>
      <c r="BN31" s="16">
        <f t="shared" si="18"/>
        <v>-12451.612903225805</v>
      </c>
      <c r="BO31" s="16">
        <f t="shared" si="19"/>
        <v>-18677.419354838712</v>
      </c>
      <c r="BP31" s="16">
        <f t="shared" si="20"/>
        <v>-10645.161290322585</v>
      </c>
      <c r="BQ31" s="16">
        <f t="shared" si="21"/>
        <v>-7838.7096774193533</v>
      </c>
      <c r="BR31" s="16">
        <f t="shared" si="22"/>
        <v>-9241.9354838709678</v>
      </c>
      <c r="BS31" s="14">
        <f>IF([1]Sheet2!CA30=999999,"NA",[1]Sheet2!CA30)</f>
        <v>207237.06451612932</v>
      </c>
      <c r="BT31" s="14">
        <f>IF([1]Sheet2!CB30=999999,"NA",[1]Sheet2!CB30)</f>
        <v>259</v>
      </c>
      <c r="BU31" s="14">
        <f>IF([1]Sheet2!CC30=999999,"NA",[1]Sheet2!CC30)</f>
        <v>337</v>
      </c>
      <c r="BV31" s="14">
        <f>IF([1]Sheet2!CD30=999999,"NA",[1]Sheet2!CD30)</f>
        <v>337</v>
      </c>
      <c r="BW31" s="14">
        <f>IF([1]Sheet2!CE30=999999,"NA",[1]Sheet2!CE30)</f>
        <v>299</v>
      </c>
      <c r="BX31" s="14">
        <f>IF([1]Sheet2!CF30=999999,"NA",[1]Sheet2!CF30)</f>
        <v>337</v>
      </c>
      <c r="BY31" s="14">
        <f>IF([1]Sheet2!CG30=999999,"NA",[1]Sheet2!CG30)</f>
        <v>231</v>
      </c>
      <c r="BZ31" s="14">
        <f>IF([1]Sheet2!CH30=999999,"NA",[1]Sheet2!CH30)</f>
        <v>337</v>
      </c>
      <c r="CA31" s="14">
        <f>IF([1]Sheet2!CI30=999999,"NA",[1]Sheet2!CI30)</f>
        <v>337</v>
      </c>
      <c r="CB31" s="14">
        <f>IF([1]Sheet2!CJ30=999999,"NA",[1]Sheet2!CJ30)</f>
        <v>337</v>
      </c>
      <c r="CC31" s="14">
        <f>[1]Sheet2!BG30</f>
        <v>0</v>
      </c>
      <c r="CD31" s="14">
        <f>[1]Sheet2!BH30</f>
        <v>0</v>
      </c>
      <c r="CE31" s="14">
        <f>[1]Sheet2!BI30</f>
        <v>0</v>
      </c>
      <c r="CF31" s="14">
        <f>[1]Sheet2!BJ30</f>
        <v>0</v>
      </c>
      <c r="CG31" s="14">
        <f>[1]Sheet2!BK30</f>
        <v>0</v>
      </c>
      <c r="CH31" s="14">
        <f>[1]Sheet2!BL30</f>
        <v>0</v>
      </c>
      <c r="CI31" s="14">
        <f>[1]Sheet2!BM30</f>
        <v>0</v>
      </c>
      <c r="CJ31" s="14">
        <f>[1]Sheet2!BN30</f>
        <v>0</v>
      </c>
      <c r="CK31" s="14">
        <f>[1]Sheet2!BO30</f>
        <v>0</v>
      </c>
      <c r="CL31" s="14">
        <f>[1]Sheet2!BP30</f>
        <v>0</v>
      </c>
      <c r="CM31" s="16">
        <f>Demand_SW!B$3/31</f>
        <v>139.57816377171216</v>
      </c>
      <c r="CN31" s="16">
        <f>Demand_SW!C$3/31</f>
        <v>0</v>
      </c>
      <c r="CO31" s="16">
        <f>Demand_SW!D$3/31</f>
        <v>0</v>
      </c>
      <c r="CP31" s="16">
        <f>Demand_SW!E$3/31</f>
        <v>0</v>
      </c>
      <c r="CQ31" s="16">
        <f>Demand_SW!F$3/31</f>
        <v>0</v>
      </c>
      <c r="CR31" s="16">
        <f>Demand_SW!G$3/31</f>
        <v>132.25806451612902</v>
      </c>
      <c r="CS31" s="16">
        <f>Demand_SW!H$3/31</f>
        <v>0</v>
      </c>
      <c r="CT31" s="16">
        <f>Demand_SW!I$3/31</f>
        <v>0</v>
      </c>
      <c r="CU31" s="16">
        <f>Demand_SW!J$3/31</f>
        <v>0</v>
      </c>
      <c r="CV31" s="16">
        <f>Demand_SW!K$3/31</f>
        <v>0</v>
      </c>
      <c r="CW31" s="16">
        <f t="shared" si="23"/>
        <v>47091.811414391967</v>
      </c>
      <c r="CX31" s="16">
        <f t="shared" si="24"/>
        <v>500</v>
      </c>
      <c r="CY31" s="16">
        <f t="shared" si="25"/>
        <v>0</v>
      </c>
      <c r="CZ31" s="16">
        <f t="shared" si="26"/>
        <v>0</v>
      </c>
      <c r="DA31" s="16">
        <f t="shared" si="27"/>
        <v>0</v>
      </c>
      <c r="DB31" s="16">
        <f t="shared" si="28"/>
        <v>-2703.2258064516118</v>
      </c>
      <c r="DC31" s="16">
        <f t="shared" si="29"/>
        <v>500</v>
      </c>
      <c r="DD31" s="16">
        <f t="shared" si="30"/>
        <v>0</v>
      </c>
      <c r="DE31" s="16">
        <f t="shared" si="31"/>
        <v>0</v>
      </c>
      <c r="DF31" s="16">
        <f t="shared" si="32"/>
        <v>0</v>
      </c>
      <c r="DG31" s="14">
        <f>IF([1]Sheet2!DR30=999999,"NA",[1]Sheet2!DR30)</f>
        <v>73103</v>
      </c>
      <c r="DH31" s="14">
        <f>IF([1]Sheet2!DS30=999999,"NA",[1]Sheet2!DS30)</f>
        <v>337</v>
      </c>
      <c r="DI31" s="14">
        <f>IF([1]Sheet2!DT30=999999,"NA",[1]Sheet2!DT30)</f>
        <v>337</v>
      </c>
      <c r="DJ31" s="14" t="str">
        <f>IF([1]Sheet2!DU30=999999,"NA",[1]Sheet2!DU30)</f>
        <v>NA</v>
      </c>
      <c r="DK31" s="14" t="str">
        <f>IF([1]Sheet2!DV30=999999,"NA",[1]Sheet2!DV30)</f>
        <v>NA</v>
      </c>
      <c r="DL31" s="14" t="str">
        <f>IF([1]Sheet2!DW30=999999,"NA",[1]Sheet2!DW30)</f>
        <v>NA</v>
      </c>
      <c r="DM31" s="14">
        <f>IF([1]Sheet2!DX30=999999,"NA",[1]Sheet2!DX30)</f>
        <v>337</v>
      </c>
      <c r="DN31" s="14">
        <f>IF([1]Sheet2!DY30=999999,"NA",[1]Sheet2!DY30)</f>
        <v>337</v>
      </c>
      <c r="DO31" s="14" t="str">
        <f>IF([1]Sheet2!DZ30=999999,"NA",[1]Sheet2!DZ30)</f>
        <v>NA</v>
      </c>
      <c r="DP31" s="14" t="str">
        <f>IF([1]Sheet2!EA30=999999,"NA",[1]Sheet2!EA30)</f>
        <v>NA</v>
      </c>
      <c r="DQ31" s="14">
        <f>[1]Sheet2!CX30</f>
        <v>0</v>
      </c>
      <c r="DR31" s="14">
        <f>[1]Sheet2!CY30</f>
        <v>0</v>
      </c>
      <c r="DS31" s="14">
        <f>[1]Sheet2!CZ30</f>
        <v>0</v>
      </c>
      <c r="DT31" s="14">
        <f>[1]Sheet2!DA30</f>
        <v>0</v>
      </c>
      <c r="DU31" s="14">
        <f>[1]Sheet2!DB30</f>
        <v>0</v>
      </c>
      <c r="DV31" s="14">
        <f>[1]Sheet2!DC30</f>
        <v>0</v>
      </c>
      <c r="DW31" s="14">
        <f>[1]Sheet2!DD30</f>
        <v>0</v>
      </c>
      <c r="DX31" s="14">
        <f>[1]Sheet2!DE30</f>
        <v>0</v>
      </c>
      <c r="DY31" s="14">
        <f>[1]Sheet2!DF30</f>
        <v>0</v>
      </c>
      <c r="DZ31" s="14">
        <f>[1]Sheet2!DG30</f>
        <v>0</v>
      </c>
    </row>
    <row r="32" spans="1:130" x14ac:dyDescent="0.25">
      <c r="A32" s="15">
        <v>43494</v>
      </c>
      <c r="B32" s="1"/>
      <c r="C32" s="1"/>
      <c r="D32" s="1"/>
      <c r="E32" s="14">
        <f>[1]Sheet2!N31</f>
        <v>0</v>
      </c>
      <c r="F32" s="14">
        <f>[1]Sheet2!BE31</f>
        <v>0</v>
      </c>
      <c r="G32" s="14">
        <f>[1]Sheet2!CV31</f>
        <v>271.83622828784121</v>
      </c>
      <c r="H32" s="1">
        <v>40000</v>
      </c>
      <c r="I32" s="1">
        <v>50000</v>
      </c>
      <c r="J32" s="1">
        <v>50000</v>
      </c>
      <c r="K32" s="16">
        <f>Demand_CWRS!B$3/31</f>
        <v>313.22137613730359</v>
      </c>
      <c r="L32" s="16">
        <f>Demand_CWRS!C$3/31</f>
        <v>241.71000827129859</v>
      </c>
      <c r="M32" s="16">
        <f>Demand_CWRS!D$3/31</f>
        <v>0</v>
      </c>
      <c r="N32" s="16">
        <f>Demand_CWRS!E$3/31</f>
        <v>98.872001654259719</v>
      </c>
      <c r="O32" s="16">
        <f>Demand_CWRS!F$3/31</f>
        <v>198.36900072373859</v>
      </c>
      <c r="P32" s="16">
        <f>Demand_CWRS!G$3/31</f>
        <v>309.67741935483872</v>
      </c>
      <c r="Q32" s="16">
        <f>Demand_CWRS!H$3/31</f>
        <v>241.71000827129859</v>
      </c>
      <c r="R32" s="16">
        <f>Demand_CWRS!I$3/31</f>
        <v>200</v>
      </c>
      <c r="S32" s="16">
        <f>Demand_CWRS!J$3/31</f>
        <v>209.67741935483872</v>
      </c>
      <c r="T32" s="16">
        <f>Demand_CWRS!K$3/31</f>
        <v>216.12903225806451</v>
      </c>
      <c r="U32" s="16">
        <f t="shared" si="3"/>
        <v>-6083.4199079818027</v>
      </c>
      <c r="V32" s="16">
        <f t="shared" si="4"/>
        <v>-5009.5902398676599</v>
      </c>
      <c r="W32" s="16">
        <f t="shared" si="5"/>
        <v>0</v>
      </c>
      <c r="X32" s="16">
        <f t="shared" si="6"/>
        <v>-867.28804797353246</v>
      </c>
      <c r="Y32" s="16">
        <f t="shared" si="7"/>
        <v>-4752.7010209884193</v>
      </c>
      <c r="Z32" s="16">
        <f t="shared" si="8"/>
        <v>-5980.6451612903238</v>
      </c>
      <c r="AA32" s="16">
        <f t="shared" si="9"/>
        <v>-4509.5902398676599</v>
      </c>
      <c r="AB32" s="16">
        <f t="shared" si="10"/>
        <v>-3800</v>
      </c>
      <c r="AC32" s="16">
        <f t="shared" si="11"/>
        <v>-3980.645161290322</v>
      </c>
      <c r="AD32" s="16">
        <f t="shared" si="12"/>
        <v>-4267.7419354838694</v>
      </c>
      <c r="AE32" s="14">
        <f>IF([1]Sheet2!AJ31=999999,"NA",[1]Sheet2!AJ31)</f>
        <v>98</v>
      </c>
      <c r="AF32" s="14">
        <f>IF([1]Sheet2!AK31=999999,"NA",[1]Sheet2!AK31)</f>
        <v>29</v>
      </c>
      <c r="AG32" s="14" t="str">
        <f>IF([1]Sheet2!AL31=999999,"NA",[1]Sheet2!AL31)</f>
        <v>NA</v>
      </c>
      <c r="AH32" s="14">
        <f>IF([1]Sheet2!AM31=999999,"NA",[1]Sheet2!AM31)</f>
        <v>336</v>
      </c>
      <c r="AI32" s="14">
        <f>IF([1]Sheet2!AN31=999999,"NA",[1]Sheet2!AN31)</f>
        <v>336</v>
      </c>
      <c r="AJ32" s="14">
        <f>IF([1]Sheet2!AO31=999999,"NA",[1]Sheet2!AO31)</f>
        <v>336</v>
      </c>
      <c r="AK32" s="14">
        <f>IF([1]Sheet2!AP31=999999,"NA",[1]Sheet2!AP31)</f>
        <v>81</v>
      </c>
      <c r="AL32" s="14">
        <f>IF([1]Sheet2!AQ31=999999,"NA",[1]Sheet2!AQ31)</f>
        <v>212</v>
      </c>
      <c r="AM32" s="14">
        <f>IF([1]Sheet2!AR31=999999,"NA",[1]Sheet2!AR31)</f>
        <v>336</v>
      </c>
      <c r="AN32" s="14">
        <f>IF([1]Sheet2!AS31=999999,"NA",[1]Sheet2!AS31)</f>
        <v>268</v>
      </c>
      <c r="AO32" s="14">
        <f>[1]Sheet2!P31</f>
        <v>0</v>
      </c>
      <c r="AP32" s="14">
        <f>[1]Sheet2!Q31</f>
        <v>0</v>
      </c>
      <c r="AQ32" s="14">
        <f>[1]Sheet2!R31</f>
        <v>0</v>
      </c>
      <c r="AR32" s="14">
        <f>[1]Sheet2!S31</f>
        <v>0</v>
      </c>
      <c r="AS32" s="14">
        <f>[1]Sheet2!T31</f>
        <v>0</v>
      </c>
      <c r="AT32" s="14">
        <f>[1]Sheet2!U31</f>
        <v>0</v>
      </c>
      <c r="AU32" s="14">
        <f>[1]Sheet2!V31</f>
        <v>0</v>
      </c>
      <c r="AV32" s="14">
        <f>[1]Sheet2!W31</f>
        <v>0</v>
      </c>
      <c r="AW32" s="14">
        <f>[1]Sheet2!X31</f>
        <v>0</v>
      </c>
      <c r="AX32" s="14">
        <f>[1]Sheet2!Y31</f>
        <v>0</v>
      </c>
      <c r="AY32" s="16">
        <f>Demand_LP!B$3/31</f>
        <v>503.00172404880072</v>
      </c>
      <c r="AZ32" s="16">
        <f>Demand_LP!C$3/31</f>
        <v>792.35864350703059</v>
      </c>
      <c r="BA32" s="16">
        <f>Demand_LP!D$3/31</f>
        <v>231.20967741935488</v>
      </c>
      <c r="BB32" s="16">
        <f>Demand_LP!E$3/31</f>
        <v>696.53949545078569</v>
      </c>
      <c r="BC32" s="16">
        <f>Demand_LP!F$3/31</f>
        <v>482.27093930934655</v>
      </c>
      <c r="BD32" s="16">
        <f>Demand_LP!G$3/31</f>
        <v>516.12903225806451</v>
      </c>
      <c r="BE32" s="16">
        <f>Demand_LP!H$3/31</f>
        <v>774.19354838709683</v>
      </c>
      <c r="BF32" s="16">
        <f>Demand_LP!I$3/31</f>
        <v>451.61290322580646</v>
      </c>
      <c r="BG32" s="16">
        <f>Demand_LP!J$3/31</f>
        <v>387.09677419354841</v>
      </c>
      <c r="BH32" s="16">
        <f>Demand_LP!K$3/31</f>
        <v>419.35483870967744</v>
      </c>
      <c r="BI32" s="16" t="e">
        <f t="shared" si="13"/>
        <v>#VALUE!</v>
      </c>
      <c r="BJ32" s="16">
        <f t="shared" si="14"/>
        <v>-17978.400661703883</v>
      </c>
      <c r="BK32" s="16">
        <f t="shared" si="15"/>
        <v>-4705.0806451612934</v>
      </c>
      <c r="BL32" s="16">
        <f t="shared" si="16"/>
        <v>-17199.645368072794</v>
      </c>
      <c r="BM32" s="16">
        <f t="shared" si="17"/>
        <v>-10985.857239971048</v>
      </c>
      <c r="BN32" s="16">
        <f t="shared" si="18"/>
        <v>-12967.741935483869</v>
      </c>
      <c r="BO32" s="16">
        <f t="shared" si="19"/>
        <v>-19451.61290322581</v>
      </c>
      <c r="BP32" s="16">
        <f t="shared" si="20"/>
        <v>-11096.774193548392</v>
      </c>
      <c r="BQ32" s="16">
        <f t="shared" si="21"/>
        <v>-8225.8064516129016</v>
      </c>
      <c r="BR32" s="16">
        <f t="shared" si="22"/>
        <v>-9661.2903225806458</v>
      </c>
      <c r="BS32" s="14">
        <f>IF([1]Sheet2!CA31=999999,"NA",[1]Sheet2!CA31)</f>
        <v>206817.70967741965</v>
      </c>
      <c r="BT32" s="14">
        <f>IF([1]Sheet2!CB31=999999,"NA",[1]Sheet2!CB31)</f>
        <v>258</v>
      </c>
      <c r="BU32" s="14">
        <f>IF([1]Sheet2!CC31=999999,"NA",[1]Sheet2!CC31)</f>
        <v>336</v>
      </c>
      <c r="BV32" s="14">
        <f>IF([1]Sheet2!CD31=999999,"NA",[1]Sheet2!CD31)</f>
        <v>336</v>
      </c>
      <c r="BW32" s="14">
        <f>IF([1]Sheet2!CE31=999999,"NA",[1]Sheet2!CE31)</f>
        <v>298</v>
      </c>
      <c r="BX32" s="14">
        <f>IF([1]Sheet2!CF31=999999,"NA",[1]Sheet2!CF31)</f>
        <v>336</v>
      </c>
      <c r="BY32" s="14">
        <f>IF([1]Sheet2!CG31=999999,"NA",[1]Sheet2!CG31)</f>
        <v>230</v>
      </c>
      <c r="BZ32" s="14">
        <f>IF([1]Sheet2!CH31=999999,"NA",[1]Sheet2!CH31)</f>
        <v>336</v>
      </c>
      <c r="CA32" s="14">
        <f>IF([1]Sheet2!CI31=999999,"NA",[1]Sheet2!CI31)</f>
        <v>336</v>
      </c>
      <c r="CB32" s="14">
        <f>IF([1]Sheet2!CJ31=999999,"NA",[1]Sheet2!CJ31)</f>
        <v>336</v>
      </c>
      <c r="CC32" s="14">
        <f>[1]Sheet2!BG31</f>
        <v>0</v>
      </c>
      <c r="CD32" s="14">
        <f>[1]Sheet2!BH31</f>
        <v>0</v>
      </c>
      <c r="CE32" s="14">
        <f>[1]Sheet2!BI31</f>
        <v>0</v>
      </c>
      <c r="CF32" s="14">
        <f>[1]Sheet2!BJ31</f>
        <v>0</v>
      </c>
      <c r="CG32" s="14">
        <f>[1]Sheet2!BK31</f>
        <v>0</v>
      </c>
      <c r="CH32" s="14">
        <f>[1]Sheet2!BL31</f>
        <v>0</v>
      </c>
      <c r="CI32" s="14">
        <f>[1]Sheet2!BM31</f>
        <v>0</v>
      </c>
      <c r="CJ32" s="14">
        <f>[1]Sheet2!BN31</f>
        <v>0</v>
      </c>
      <c r="CK32" s="14">
        <f>[1]Sheet2!BO31</f>
        <v>0</v>
      </c>
      <c r="CL32" s="14">
        <f>[1]Sheet2!BP31</f>
        <v>0</v>
      </c>
      <c r="CM32" s="16">
        <f>Demand_SW!B$3/31</f>
        <v>139.57816377171216</v>
      </c>
      <c r="CN32" s="16">
        <f>Demand_SW!C$3/31</f>
        <v>0</v>
      </c>
      <c r="CO32" s="16">
        <f>Demand_SW!D$3/31</f>
        <v>0</v>
      </c>
      <c r="CP32" s="16">
        <f>Demand_SW!E$3/31</f>
        <v>0</v>
      </c>
      <c r="CQ32" s="16">
        <f>Demand_SW!F$3/31</f>
        <v>0</v>
      </c>
      <c r="CR32" s="16">
        <f>Demand_SW!G$3/31</f>
        <v>132.25806451612902</v>
      </c>
      <c r="CS32" s="16">
        <f>Demand_SW!H$3/31</f>
        <v>0</v>
      </c>
      <c r="CT32" s="16">
        <f>Demand_SW!I$3/31</f>
        <v>0</v>
      </c>
      <c r="CU32" s="16">
        <f>Demand_SW!J$3/31</f>
        <v>0</v>
      </c>
      <c r="CV32" s="16">
        <f>Demand_SW!K$3/31</f>
        <v>0</v>
      </c>
      <c r="CW32" s="16">
        <f t="shared" si="23"/>
        <v>46952.233250620251</v>
      </c>
      <c r="CX32" s="16">
        <f t="shared" si="24"/>
        <v>500</v>
      </c>
      <c r="CY32" s="16">
        <f t="shared" si="25"/>
        <v>0</v>
      </c>
      <c r="CZ32" s="16">
        <f t="shared" si="26"/>
        <v>0</v>
      </c>
      <c r="DA32" s="16">
        <f t="shared" si="27"/>
        <v>0</v>
      </c>
      <c r="DB32" s="16">
        <f t="shared" si="28"/>
        <v>-2835.4838709677406</v>
      </c>
      <c r="DC32" s="16">
        <f t="shared" si="29"/>
        <v>500</v>
      </c>
      <c r="DD32" s="16">
        <f t="shared" si="30"/>
        <v>0</v>
      </c>
      <c r="DE32" s="16">
        <f t="shared" si="31"/>
        <v>0</v>
      </c>
      <c r="DF32" s="16">
        <f t="shared" si="32"/>
        <v>0</v>
      </c>
      <c r="DG32" s="14">
        <f>IF([1]Sheet2!DR31=999999,"NA",[1]Sheet2!DR31)</f>
        <v>73103</v>
      </c>
      <c r="DH32" s="14">
        <f>IF([1]Sheet2!DS31=999999,"NA",[1]Sheet2!DS31)</f>
        <v>336</v>
      </c>
      <c r="DI32" s="14">
        <f>IF([1]Sheet2!DT31=999999,"NA",[1]Sheet2!DT31)</f>
        <v>336</v>
      </c>
      <c r="DJ32" s="14" t="str">
        <f>IF([1]Sheet2!DU31=999999,"NA",[1]Sheet2!DU31)</f>
        <v>NA</v>
      </c>
      <c r="DK32" s="14" t="str">
        <f>IF([1]Sheet2!DV31=999999,"NA",[1]Sheet2!DV31)</f>
        <v>NA</v>
      </c>
      <c r="DL32" s="14" t="str">
        <f>IF([1]Sheet2!DW31=999999,"NA",[1]Sheet2!DW31)</f>
        <v>NA</v>
      </c>
      <c r="DM32" s="14">
        <f>IF([1]Sheet2!DX31=999999,"NA",[1]Sheet2!DX31)</f>
        <v>336</v>
      </c>
      <c r="DN32" s="14">
        <f>IF([1]Sheet2!DY31=999999,"NA",[1]Sheet2!DY31)</f>
        <v>336</v>
      </c>
      <c r="DO32" s="14" t="str">
        <f>IF([1]Sheet2!DZ31=999999,"NA",[1]Sheet2!DZ31)</f>
        <v>NA</v>
      </c>
      <c r="DP32" s="14" t="str">
        <f>IF([1]Sheet2!EA31=999999,"NA",[1]Sheet2!EA31)</f>
        <v>NA</v>
      </c>
      <c r="DQ32" s="14">
        <f>[1]Sheet2!CX31</f>
        <v>0</v>
      </c>
      <c r="DR32" s="14">
        <f>[1]Sheet2!CY31</f>
        <v>0</v>
      </c>
      <c r="DS32" s="14">
        <f>[1]Sheet2!CZ31</f>
        <v>0</v>
      </c>
      <c r="DT32" s="14">
        <f>[1]Sheet2!DA31</f>
        <v>0</v>
      </c>
      <c r="DU32" s="14">
        <f>[1]Sheet2!DB31</f>
        <v>0</v>
      </c>
      <c r="DV32" s="14">
        <f>[1]Sheet2!DC31</f>
        <v>0</v>
      </c>
      <c r="DW32" s="14">
        <f>[1]Sheet2!DD31</f>
        <v>0</v>
      </c>
      <c r="DX32" s="14">
        <f>[1]Sheet2!DE31</f>
        <v>0</v>
      </c>
      <c r="DY32" s="14">
        <f>[1]Sheet2!DF31</f>
        <v>0</v>
      </c>
      <c r="DZ32" s="14">
        <f>[1]Sheet2!DG31</f>
        <v>0</v>
      </c>
    </row>
    <row r="33" spans="1:130" x14ac:dyDescent="0.25">
      <c r="A33" s="15">
        <v>43495</v>
      </c>
      <c r="B33" s="1"/>
      <c r="C33" s="1"/>
      <c r="D33" s="1"/>
      <c r="E33" s="14">
        <f>[1]Sheet2!N32</f>
        <v>0</v>
      </c>
      <c r="F33" s="14">
        <f>[1]Sheet2!BE32</f>
        <v>0</v>
      </c>
      <c r="G33" s="14">
        <f>[1]Sheet2!CV32</f>
        <v>271.83622828784121</v>
      </c>
      <c r="H33" s="1"/>
      <c r="I33" s="1"/>
      <c r="J33" s="1"/>
      <c r="K33" s="16">
        <f>Demand_CWRS!B$3/31</f>
        <v>313.22137613730359</v>
      </c>
      <c r="L33" s="16">
        <f>Demand_CWRS!C$3/31</f>
        <v>241.71000827129859</v>
      </c>
      <c r="M33" s="16">
        <f>Demand_CWRS!D$3/31</f>
        <v>0</v>
      </c>
      <c r="N33" s="16">
        <f>Demand_CWRS!E$3/31</f>
        <v>98.872001654259719</v>
      </c>
      <c r="O33" s="16">
        <f>Demand_CWRS!F$3/31</f>
        <v>198.36900072373859</v>
      </c>
      <c r="P33" s="16">
        <f>Demand_CWRS!G$3/31</f>
        <v>309.67741935483872</v>
      </c>
      <c r="Q33" s="16">
        <f>Demand_CWRS!H$3/31</f>
        <v>241.71000827129859</v>
      </c>
      <c r="R33" s="16">
        <f>Demand_CWRS!I$3/31</f>
        <v>200</v>
      </c>
      <c r="S33" s="16">
        <f>Demand_CWRS!J$3/31</f>
        <v>209.67741935483872</v>
      </c>
      <c r="T33" s="16">
        <f>Demand_CWRS!K$3/31</f>
        <v>216.12903225806451</v>
      </c>
      <c r="U33" s="16">
        <f t="shared" si="3"/>
        <v>-6396.6412841191059</v>
      </c>
      <c r="V33" s="16">
        <f t="shared" si="4"/>
        <v>-5251.3002481389585</v>
      </c>
      <c r="W33" s="16">
        <f t="shared" si="5"/>
        <v>0</v>
      </c>
      <c r="X33" s="16">
        <f t="shared" si="6"/>
        <v>-966.1600496277922</v>
      </c>
      <c r="Y33" s="16">
        <f t="shared" si="7"/>
        <v>-4951.0700217121575</v>
      </c>
      <c r="Z33" s="16">
        <f t="shared" si="8"/>
        <v>-6290.3225806451628</v>
      </c>
      <c r="AA33" s="16">
        <f t="shared" si="9"/>
        <v>-4751.3002481389585</v>
      </c>
      <c r="AB33" s="16">
        <f t="shared" si="10"/>
        <v>-4000</v>
      </c>
      <c r="AC33" s="16">
        <f t="shared" si="11"/>
        <v>-4190.322580645161</v>
      </c>
      <c r="AD33" s="16">
        <f t="shared" si="12"/>
        <v>-4483.8709677419338</v>
      </c>
      <c r="AE33" s="14">
        <f>IF([1]Sheet2!AJ32=999999,"NA",[1]Sheet2!AJ32)</f>
        <v>97</v>
      </c>
      <c r="AF33" s="14">
        <f>IF([1]Sheet2!AK32=999999,"NA",[1]Sheet2!AK32)</f>
        <v>28</v>
      </c>
      <c r="AG33" s="14" t="str">
        <f>IF([1]Sheet2!AL32=999999,"NA",[1]Sheet2!AL32)</f>
        <v>NA</v>
      </c>
      <c r="AH33" s="14">
        <f>IF([1]Sheet2!AM32=999999,"NA",[1]Sheet2!AM32)</f>
        <v>335</v>
      </c>
      <c r="AI33" s="14">
        <f>IF([1]Sheet2!AN32=999999,"NA",[1]Sheet2!AN32)</f>
        <v>335</v>
      </c>
      <c r="AJ33" s="14">
        <f>IF([1]Sheet2!AO32=999999,"NA",[1]Sheet2!AO32)</f>
        <v>335</v>
      </c>
      <c r="AK33" s="14">
        <f>IF([1]Sheet2!AP32=999999,"NA",[1]Sheet2!AP32)</f>
        <v>80</v>
      </c>
      <c r="AL33" s="14">
        <f>IF([1]Sheet2!AQ32=999999,"NA",[1]Sheet2!AQ32)</f>
        <v>211</v>
      </c>
      <c r="AM33" s="14">
        <f>IF([1]Sheet2!AR32=999999,"NA",[1]Sheet2!AR32)</f>
        <v>335</v>
      </c>
      <c r="AN33" s="14">
        <f>IF([1]Sheet2!AS32=999999,"NA",[1]Sheet2!AS32)</f>
        <v>267</v>
      </c>
      <c r="AO33" s="14">
        <f>[1]Sheet2!P32</f>
        <v>0</v>
      </c>
      <c r="AP33" s="14">
        <f>[1]Sheet2!Q32</f>
        <v>0</v>
      </c>
      <c r="AQ33" s="14">
        <f>[1]Sheet2!R32</f>
        <v>0</v>
      </c>
      <c r="AR33" s="14">
        <f>[1]Sheet2!S32</f>
        <v>0</v>
      </c>
      <c r="AS33" s="14">
        <f>[1]Sheet2!T32</f>
        <v>0</v>
      </c>
      <c r="AT33" s="14">
        <f>[1]Sheet2!U32</f>
        <v>0</v>
      </c>
      <c r="AU33" s="14">
        <f>[1]Sheet2!V32</f>
        <v>0</v>
      </c>
      <c r="AV33" s="14">
        <f>[1]Sheet2!W32</f>
        <v>0</v>
      </c>
      <c r="AW33" s="14">
        <f>[1]Sheet2!X32</f>
        <v>0</v>
      </c>
      <c r="AX33" s="14">
        <f>[1]Sheet2!Y32</f>
        <v>0</v>
      </c>
      <c r="AY33" s="16">
        <f>Demand_LP!B$3/31</f>
        <v>503.00172404880072</v>
      </c>
      <c r="AZ33" s="16">
        <f>Demand_LP!C$3/31</f>
        <v>792.35864350703059</v>
      </c>
      <c r="BA33" s="16">
        <f>Demand_LP!D$3/31</f>
        <v>231.20967741935488</v>
      </c>
      <c r="BB33" s="16">
        <f>Demand_LP!E$3/31</f>
        <v>696.53949545078569</v>
      </c>
      <c r="BC33" s="16">
        <f>Demand_LP!F$3/31</f>
        <v>482.27093930934655</v>
      </c>
      <c r="BD33" s="16">
        <f>Demand_LP!G$3/31</f>
        <v>516.12903225806451</v>
      </c>
      <c r="BE33" s="16">
        <f>Demand_LP!H$3/31</f>
        <v>774.19354838709683</v>
      </c>
      <c r="BF33" s="16">
        <f>Demand_LP!I$3/31</f>
        <v>451.61290322580646</v>
      </c>
      <c r="BG33" s="16">
        <f>Demand_LP!J$3/31</f>
        <v>387.09677419354841</v>
      </c>
      <c r="BH33" s="16">
        <f>Demand_LP!K$3/31</f>
        <v>419.35483870967744</v>
      </c>
      <c r="BI33" s="16" t="e">
        <f t="shared" si="13"/>
        <v>#VALUE!</v>
      </c>
      <c r="BJ33" s="16">
        <f t="shared" si="14"/>
        <v>-18770.759305210915</v>
      </c>
      <c r="BK33" s="16">
        <f t="shared" si="15"/>
        <v>-4936.2903225806485</v>
      </c>
      <c r="BL33" s="16">
        <f t="shared" si="16"/>
        <v>-17896.18486352358</v>
      </c>
      <c r="BM33" s="16">
        <f t="shared" si="17"/>
        <v>-11468.128179280395</v>
      </c>
      <c r="BN33" s="16">
        <f t="shared" si="18"/>
        <v>-13483.870967741934</v>
      </c>
      <c r="BO33" s="16">
        <f t="shared" si="19"/>
        <v>-20225.806451612909</v>
      </c>
      <c r="BP33" s="16">
        <f t="shared" si="20"/>
        <v>-11548.387096774199</v>
      </c>
      <c r="BQ33" s="16">
        <f t="shared" si="21"/>
        <v>-8612.9032258064508</v>
      </c>
      <c r="BR33" s="16">
        <f t="shared" si="22"/>
        <v>-10080.645161290324</v>
      </c>
      <c r="BS33" s="14">
        <f>IF([1]Sheet2!CA32=999999,"NA",[1]Sheet2!CA32)</f>
        <v>206398.35483870999</v>
      </c>
      <c r="BT33" s="14">
        <f>IF([1]Sheet2!CB32=999999,"NA",[1]Sheet2!CB32)</f>
        <v>257</v>
      </c>
      <c r="BU33" s="14">
        <f>IF([1]Sheet2!CC32=999999,"NA",[1]Sheet2!CC32)</f>
        <v>335</v>
      </c>
      <c r="BV33" s="14">
        <f>IF([1]Sheet2!CD32=999999,"NA",[1]Sheet2!CD32)</f>
        <v>335</v>
      </c>
      <c r="BW33" s="14">
        <f>IF([1]Sheet2!CE32=999999,"NA",[1]Sheet2!CE32)</f>
        <v>297</v>
      </c>
      <c r="BX33" s="14">
        <f>IF([1]Sheet2!CF32=999999,"NA",[1]Sheet2!CF32)</f>
        <v>335</v>
      </c>
      <c r="BY33" s="14">
        <f>IF([1]Sheet2!CG32=999999,"NA",[1]Sheet2!CG32)</f>
        <v>229</v>
      </c>
      <c r="BZ33" s="14">
        <f>IF([1]Sheet2!CH32=999999,"NA",[1]Sheet2!CH32)</f>
        <v>335</v>
      </c>
      <c r="CA33" s="14">
        <f>IF([1]Sheet2!CI32=999999,"NA",[1]Sheet2!CI32)</f>
        <v>335</v>
      </c>
      <c r="CB33" s="14">
        <f>IF([1]Sheet2!CJ32=999999,"NA",[1]Sheet2!CJ32)</f>
        <v>335</v>
      </c>
      <c r="CC33" s="14">
        <f>[1]Sheet2!BG32</f>
        <v>0</v>
      </c>
      <c r="CD33" s="14">
        <f>[1]Sheet2!BH32</f>
        <v>0</v>
      </c>
      <c r="CE33" s="14">
        <f>[1]Sheet2!BI32</f>
        <v>0</v>
      </c>
      <c r="CF33" s="14">
        <f>[1]Sheet2!BJ32</f>
        <v>0</v>
      </c>
      <c r="CG33" s="14">
        <f>[1]Sheet2!BK32</f>
        <v>0</v>
      </c>
      <c r="CH33" s="14">
        <f>[1]Sheet2!BL32</f>
        <v>0</v>
      </c>
      <c r="CI33" s="14">
        <f>[1]Sheet2!BM32</f>
        <v>0</v>
      </c>
      <c r="CJ33" s="14">
        <f>[1]Sheet2!BN32</f>
        <v>0</v>
      </c>
      <c r="CK33" s="14">
        <f>[1]Sheet2!BO32</f>
        <v>0</v>
      </c>
      <c r="CL33" s="14">
        <f>[1]Sheet2!BP32</f>
        <v>0</v>
      </c>
      <c r="CM33" s="16">
        <f>Demand_SW!B$3/31</f>
        <v>139.57816377171216</v>
      </c>
      <c r="CN33" s="16">
        <f>Demand_SW!C$3/31</f>
        <v>0</v>
      </c>
      <c r="CO33" s="16">
        <f>Demand_SW!D$3/31</f>
        <v>0</v>
      </c>
      <c r="CP33" s="16">
        <f>Demand_SW!E$3/31</f>
        <v>0</v>
      </c>
      <c r="CQ33" s="16">
        <f>Demand_SW!F$3/31</f>
        <v>0</v>
      </c>
      <c r="CR33" s="16">
        <f>Demand_SW!G$3/31</f>
        <v>132.25806451612902</v>
      </c>
      <c r="CS33" s="16">
        <f>Demand_SW!H$3/31</f>
        <v>0</v>
      </c>
      <c r="CT33" s="16">
        <f>Demand_SW!I$3/31</f>
        <v>0</v>
      </c>
      <c r="CU33" s="16">
        <f>Demand_SW!J$3/31</f>
        <v>0</v>
      </c>
      <c r="CV33" s="16">
        <f>Demand_SW!K$3/31</f>
        <v>0</v>
      </c>
      <c r="CW33" s="16">
        <f t="shared" si="23"/>
        <v>46812.655086848536</v>
      </c>
      <c r="CX33" s="16">
        <f t="shared" si="24"/>
        <v>500</v>
      </c>
      <c r="CY33" s="16">
        <f t="shared" si="25"/>
        <v>0</v>
      </c>
      <c r="CZ33" s="16">
        <f t="shared" si="26"/>
        <v>0</v>
      </c>
      <c r="DA33" s="16">
        <f t="shared" si="27"/>
        <v>0</v>
      </c>
      <c r="DB33" s="16">
        <f t="shared" si="28"/>
        <v>-2967.7419354838694</v>
      </c>
      <c r="DC33" s="16">
        <f t="shared" si="29"/>
        <v>500</v>
      </c>
      <c r="DD33" s="16">
        <f t="shared" si="30"/>
        <v>0</v>
      </c>
      <c r="DE33" s="16">
        <f t="shared" si="31"/>
        <v>0</v>
      </c>
      <c r="DF33" s="16">
        <f t="shared" si="32"/>
        <v>0</v>
      </c>
      <c r="DG33" s="14">
        <f>IF([1]Sheet2!DR32=999999,"NA",[1]Sheet2!DR32)</f>
        <v>73103</v>
      </c>
      <c r="DH33" s="14">
        <f>IF([1]Sheet2!DS32=999999,"NA",[1]Sheet2!DS32)</f>
        <v>335</v>
      </c>
      <c r="DI33" s="14">
        <f>IF([1]Sheet2!DT32=999999,"NA",[1]Sheet2!DT32)</f>
        <v>335</v>
      </c>
      <c r="DJ33" s="14" t="str">
        <f>IF([1]Sheet2!DU32=999999,"NA",[1]Sheet2!DU32)</f>
        <v>NA</v>
      </c>
      <c r="DK33" s="14" t="str">
        <f>IF([1]Sheet2!DV32=999999,"NA",[1]Sheet2!DV32)</f>
        <v>NA</v>
      </c>
      <c r="DL33" s="14" t="str">
        <f>IF([1]Sheet2!DW32=999999,"NA",[1]Sheet2!DW32)</f>
        <v>NA</v>
      </c>
      <c r="DM33" s="14">
        <f>IF([1]Sheet2!DX32=999999,"NA",[1]Sheet2!DX32)</f>
        <v>335</v>
      </c>
      <c r="DN33" s="14">
        <f>IF([1]Sheet2!DY32=999999,"NA",[1]Sheet2!DY32)</f>
        <v>335</v>
      </c>
      <c r="DO33" s="14" t="str">
        <f>IF([1]Sheet2!DZ32=999999,"NA",[1]Sheet2!DZ32)</f>
        <v>NA</v>
      </c>
      <c r="DP33" s="14" t="str">
        <f>IF([1]Sheet2!EA32=999999,"NA",[1]Sheet2!EA32)</f>
        <v>NA</v>
      </c>
      <c r="DQ33" s="14">
        <f>[1]Sheet2!CX32</f>
        <v>0</v>
      </c>
      <c r="DR33" s="14">
        <f>[1]Sheet2!CY32</f>
        <v>0</v>
      </c>
      <c r="DS33" s="14">
        <f>[1]Sheet2!CZ32</f>
        <v>0</v>
      </c>
      <c r="DT33" s="14">
        <f>[1]Sheet2!DA32</f>
        <v>0</v>
      </c>
      <c r="DU33" s="14">
        <f>[1]Sheet2!DB32</f>
        <v>0</v>
      </c>
      <c r="DV33" s="14">
        <f>[1]Sheet2!DC32</f>
        <v>0</v>
      </c>
      <c r="DW33" s="14">
        <f>[1]Sheet2!DD32</f>
        <v>0</v>
      </c>
      <c r="DX33" s="14">
        <f>[1]Sheet2!DE32</f>
        <v>0</v>
      </c>
      <c r="DY33" s="14">
        <f>[1]Sheet2!DF32</f>
        <v>0</v>
      </c>
      <c r="DZ33" s="14">
        <f>[1]Sheet2!DG32</f>
        <v>0</v>
      </c>
    </row>
    <row r="34" spans="1:130" x14ac:dyDescent="0.25">
      <c r="A34" s="15">
        <v>43496</v>
      </c>
      <c r="B34" s="1"/>
      <c r="C34" s="1"/>
      <c r="D34" s="1"/>
      <c r="E34" s="14">
        <f>[1]Sheet2!N33</f>
        <v>0</v>
      </c>
      <c r="F34" s="14">
        <f>[1]Sheet2!BE33</f>
        <v>0</v>
      </c>
      <c r="G34" s="14">
        <f>[1]Sheet2!CV33</f>
        <v>271.83622828784121</v>
      </c>
      <c r="H34" s="1"/>
      <c r="I34" s="1"/>
      <c r="J34" s="1"/>
      <c r="K34" s="16">
        <f>Demand_CWRS!B$3/31</f>
        <v>313.22137613730359</v>
      </c>
      <c r="L34" s="16">
        <f>Demand_CWRS!C$3/31</f>
        <v>241.71000827129859</v>
      </c>
      <c r="M34" s="16">
        <f>Demand_CWRS!D$3/31</f>
        <v>0</v>
      </c>
      <c r="N34" s="16">
        <f>Demand_CWRS!E$3/31</f>
        <v>98.872001654259719</v>
      </c>
      <c r="O34" s="16">
        <f>Demand_CWRS!F$3/31</f>
        <v>198.36900072373859</v>
      </c>
      <c r="P34" s="16">
        <f>Demand_CWRS!G$3/31</f>
        <v>309.67741935483872</v>
      </c>
      <c r="Q34" s="16">
        <f>Demand_CWRS!H$3/31</f>
        <v>241.71000827129859</v>
      </c>
      <c r="R34" s="16">
        <f>Demand_CWRS!I$3/31</f>
        <v>200</v>
      </c>
      <c r="S34" s="16">
        <f>Demand_CWRS!J$3/31</f>
        <v>209.67741935483872</v>
      </c>
      <c r="T34" s="16">
        <f>Demand_CWRS!K$3/31</f>
        <v>216.12903225806451</v>
      </c>
      <c r="U34" s="16">
        <f t="shared" si="3"/>
        <v>-6709.8626602564091</v>
      </c>
      <c r="V34" s="16">
        <f t="shared" si="4"/>
        <v>-5493.0102564102572</v>
      </c>
      <c r="W34" s="16">
        <f t="shared" si="5"/>
        <v>0</v>
      </c>
      <c r="X34" s="16">
        <f t="shared" si="6"/>
        <v>-1065.032051282052</v>
      </c>
      <c r="Y34" s="16">
        <f t="shared" si="7"/>
        <v>-5149.4390224358958</v>
      </c>
      <c r="Z34" s="16">
        <f t="shared" si="8"/>
        <v>-6600.0000000000018</v>
      </c>
      <c r="AA34" s="16">
        <f t="shared" si="9"/>
        <v>-4993.0102564102572</v>
      </c>
      <c r="AB34" s="16">
        <f t="shared" si="10"/>
        <v>-4200</v>
      </c>
      <c r="AC34" s="16">
        <f t="shared" si="11"/>
        <v>-4400</v>
      </c>
      <c r="AD34" s="16">
        <f t="shared" si="12"/>
        <v>-4699.9999999999982</v>
      </c>
      <c r="AE34" s="14">
        <f>IF([1]Sheet2!AJ33=999999,"NA",[1]Sheet2!AJ33)</f>
        <v>96</v>
      </c>
      <c r="AF34" s="14">
        <f>IF([1]Sheet2!AK33=999999,"NA",[1]Sheet2!AK33)</f>
        <v>27</v>
      </c>
      <c r="AG34" s="14" t="str">
        <f>IF([1]Sheet2!AL33=999999,"NA",[1]Sheet2!AL33)</f>
        <v>NA</v>
      </c>
      <c r="AH34" s="14">
        <f>IF([1]Sheet2!AM33=999999,"NA",[1]Sheet2!AM33)</f>
        <v>334</v>
      </c>
      <c r="AI34" s="14">
        <f>IF([1]Sheet2!AN33=999999,"NA",[1]Sheet2!AN33)</f>
        <v>334</v>
      </c>
      <c r="AJ34" s="14">
        <f>IF([1]Sheet2!AO33=999999,"NA",[1]Sheet2!AO33)</f>
        <v>334</v>
      </c>
      <c r="AK34" s="14">
        <f>IF([1]Sheet2!AP33=999999,"NA",[1]Sheet2!AP33)</f>
        <v>79</v>
      </c>
      <c r="AL34" s="14">
        <f>IF([1]Sheet2!AQ33=999999,"NA",[1]Sheet2!AQ33)</f>
        <v>210</v>
      </c>
      <c r="AM34" s="14">
        <f>IF([1]Sheet2!AR33=999999,"NA",[1]Sheet2!AR33)</f>
        <v>334</v>
      </c>
      <c r="AN34" s="14">
        <f>IF([1]Sheet2!AS33=999999,"NA",[1]Sheet2!AS33)</f>
        <v>266</v>
      </c>
      <c r="AO34" s="14">
        <f>[1]Sheet2!P33</f>
        <v>0</v>
      </c>
      <c r="AP34" s="14">
        <f>[1]Sheet2!Q33</f>
        <v>0</v>
      </c>
      <c r="AQ34" s="14">
        <f>[1]Sheet2!R33</f>
        <v>0</v>
      </c>
      <c r="AR34" s="14">
        <f>[1]Sheet2!S33</f>
        <v>0</v>
      </c>
      <c r="AS34" s="14">
        <f>[1]Sheet2!T33</f>
        <v>0</v>
      </c>
      <c r="AT34" s="14">
        <f>[1]Sheet2!U33</f>
        <v>0</v>
      </c>
      <c r="AU34" s="14">
        <f>[1]Sheet2!V33</f>
        <v>0</v>
      </c>
      <c r="AV34" s="14">
        <f>[1]Sheet2!W33</f>
        <v>0</v>
      </c>
      <c r="AW34" s="14">
        <f>[1]Sheet2!X33</f>
        <v>0</v>
      </c>
      <c r="AX34" s="14">
        <f>[1]Sheet2!Y33</f>
        <v>0</v>
      </c>
      <c r="AY34" s="16">
        <f>Demand_LP!B$3/31</f>
        <v>503.00172404880072</v>
      </c>
      <c r="AZ34" s="16">
        <f>Demand_LP!C$3/31</f>
        <v>792.35864350703059</v>
      </c>
      <c r="BA34" s="16">
        <f>Demand_LP!D$3/31</f>
        <v>231.20967741935488</v>
      </c>
      <c r="BB34" s="16">
        <f>Demand_LP!E$3/31</f>
        <v>696.53949545078569</v>
      </c>
      <c r="BC34" s="16">
        <f>Demand_LP!F$3/31</f>
        <v>482.27093930934655</v>
      </c>
      <c r="BD34" s="16">
        <f>Demand_LP!G$3/31</f>
        <v>516.12903225806451</v>
      </c>
      <c r="BE34" s="16">
        <f>Demand_LP!H$3/31</f>
        <v>774.19354838709683</v>
      </c>
      <c r="BF34" s="16">
        <f>Demand_LP!I$3/31</f>
        <v>451.61290322580646</v>
      </c>
      <c r="BG34" s="16">
        <f>Demand_LP!J$3/31</f>
        <v>387.09677419354841</v>
      </c>
      <c r="BH34" s="16">
        <f>Demand_LP!K$3/31</f>
        <v>419.35483870967744</v>
      </c>
      <c r="BI34" s="16" t="e">
        <f t="shared" si="13"/>
        <v>#VALUE!</v>
      </c>
      <c r="BJ34" s="16">
        <f t="shared" si="14"/>
        <v>-19563.117948717947</v>
      </c>
      <c r="BK34" s="16">
        <f t="shared" si="15"/>
        <v>-5167.5000000000036</v>
      </c>
      <c r="BL34" s="16">
        <f t="shared" si="16"/>
        <v>-18592.724358974367</v>
      </c>
      <c r="BM34" s="16">
        <f t="shared" si="17"/>
        <v>-11950.399118589741</v>
      </c>
      <c r="BN34" s="16">
        <f t="shared" si="18"/>
        <v>-13999.999999999998</v>
      </c>
      <c r="BO34" s="16">
        <f t="shared" si="19"/>
        <v>-21000.000000000007</v>
      </c>
      <c r="BP34" s="16">
        <f t="shared" si="20"/>
        <v>-12000.000000000005</v>
      </c>
      <c r="BQ34" s="16">
        <f t="shared" si="21"/>
        <v>-9000</v>
      </c>
      <c r="BR34" s="16">
        <f t="shared" si="22"/>
        <v>-10500.000000000002</v>
      </c>
      <c r="BS34" s="14">
        <f>IF([1]Sheet2!CA33=999999,"NA",[1]Sheet2!CA33)</f>
        <v>205979.00000000032</v>
      </c>
      <c r="BT34" s="14">
        <f>IF([1]Sheet2!CB33=999999,"NA",[1]Sheet2!CB33)</f>
        <v>256</v>
      </c>
      <c r="BU34" s="14">
        <f>IF([1]Sheet2!CC33=999999,"NA",[1]Sheet2!CC33)</f>
        <v>334</v>
      </c>
      <c r="BV34" s="14">
        <f>IF([1]Sheet2!CD33=999999,"NA",[1]Sheet2!CD33)</f>
        <v>334</v>
      </c>
      <c r="BW34" s="14">
        <f>IF([1]Sheet2!CE33=999999,"NA",[1]Sheet2!CE33)</f>
        <v>296</v>
      </c>
      <c r="BX34" s="14">
        <f>IF([1]Sheet2!CF33=999999,"NA",[1]Sheet2!CF33)</f>
        <v>334</v>
      </c>
      <c r="BY34" s="14">
        <f>IF([1]Sheet2!CG33=999999,"NA",[1]Sheet2!CG33)</f>
        <v>228</v>
      </c>
      <c r="BZ34" s="14">
        <f>IF([1]Sheet2!CH33=999999,"NA",[1]Sheet2!CH33)</f>
        <v>334</v>
      </c>
      <c r="CA34" s="14">
        <f>IF([1]Sheet2!CI33=999999,"NA",[1]Sheet2!CI33)</f>
        <v>334</v>
      </c>
      <c r="CB34" s="14">
        <f>IF([1]Sheet2!CJ33=999999,"NA",[1]Sheet2!CJ33)</f>
        <v>334</v>
      </c>
      <c r="CC34" s="14">
        <f>[1]Sheet2!BG33</f>
        <v>0</v>
      </c>
      <c r="CD34" s="14">
        <f>[1]Sheet2!BH33</f>
        <v>0</v>
      </c>
      <c r="CE34" s="14">
        <f>[1]Sheet2!BI33</f>
        <v>0</v>
      </c>
      <c r="CF34" s="14">
        <f>[1]Sheet2!BJ33</f>
        <v>0</v>
      </c>
      <c r="CG34" s="14">
        <f>[1]Sheet2!BK33</f>
        <v>0</v>
      </c>
      <c r="CH34" s="14">
        <f>[1]Sheet2!BL33</f>
        <v>0</v>
      </c>
      <c r="CI34" s="14">
        <f>[1]Sheet2!BM33</f>
        <v>0</v>
      </c>
      <c r="CJ34" s="14">
        <f>[1]Sheet2!BN33</f>
        <v>0</v>
      </c>
      <c r="CK34" s="14">
        <f>[1]Sheet2!BO33</f>
        <v>0</v>
      </c>
      <c r="CL34" s="14">
        <f>[1]Sheet2!BP33</f>
        <v>0</v>
      </c>
      <c r="CM34" s="16">
        <f>Demand_SW!B$3/31</f>
        <v>139.57816377171216</v>
      </c>
      <c r="CN34" s="16">
        <f>Demand_SW!C$3/31</f>
        <v>0</v>
      </c>
      <c r="CO34" s="16">
        <f>Demand_SW!D$3/31</f>
        <v>0</v>
      </c>
      <c r="CP34" s="16">
        <f>Demand_SW!E$3/31</f>
        <v>0</v>
      </c>
      <c r="CQ34" s="16">
        <f>Demand_SW!F$3/31</f>
        <v>0</v>
      </c>
      <c r="CR34" s="16">
        <f>Demand_SW!G$3/31</f>
        <v>132.25806451612902</v>
      </c>
      <c r="CS34" s="16">
        <f>Demand_SW!H$3/31</f>
        <v>0</v>
      </c>
      <c r="CT34" s="16">
        <f>Demand_SW!I$3/31</f>
        <v>0</v>
      </c>
      <c r="CU34" s="16">
        <f>Demand_SW!J$3/31</f>
        <v>0</v>
      </c>
      <c r="CV34" s="16">
        <f>Demand_SW!K$3/31</f>
        <v>0</v>
      </c>
      <c r="CW34" s="16">
        <f t="shared" si="23"/>
        <v>46673.07692307682</v>
      </c>
      <c r="CX34" s="16">
        <f t="shared" si="24"/>
        <v>500</v>
      </c>
      <c r="CY34" s="16">
        <f t="shared" si="25"/>
        <v>0</v>
      </c>
      <c r="CZ34" s="16">
        <f t="shared" si="26"/>
        <v>0</v>
      </c>
      <c r="DA34" s="16">
        <f t="shared" si="27"/>
        <v>0</v>
      </c>
      <c r="DB34" s="16">
        <f t="shared" si="28"/>
        <v>-3099.9999999999982</v>
      </c>
      <c r="DC34" s="16">
        <f t="shared" si="29"/>
        <v>500</v>
      </c>
      <c r="DD34" s="16">
        <f t="shared" si="30"/>
        <v>0</v>
      </c>
      <c r="DE34" s="16">
        <f t="shared" si="31"/>
        <v>0</v>
      </c>
      <c r="DF34" s="16">
        <f t="shared" si="32"/>
        <v>0</v>
      </c>
      <c r="DG34" s="14">
        <f>IF([1]Sheet2!DR33=999999,"NA",[1]Sheet2!DR33)</f>
        <v>73103</v>
      </c>
      <c r="DH34" s="14">
        <f>IF([1]Sheet2!DS33=999999,"NA",[1]Sheet2!DS33)</f>
        <v>334</v>
      </c>
      <c r="DI34" s="14">
        <f>IF([1]Sheet2!DT33=999999,"NA",[1]Sheet2!DT33)</f>
        <v>334</v>
      </c>
      <c r="DJ34" s="14" t="str">
        <f>IF([1]Sheet2!DU33=999999,"NA",[1]Sheet2!DU33)</f>
        <v>NA</v>
      </c>
      <c r="DK34" s="14" t="str">
        <f>IF([1]Sheet2!DV33=999999,"NA",[1]Sheet2!DV33)</f>
        <v>NA</v>
      </c>
      <c r="DL34" s="14" t="str">
        <f>IF([1]Sheet2!DW33=999999,"NA",[1]Sheet2!DW33)</f>
        <v>NA</v>
      </c>
      <c r="DM34" s="14">
        <f>IF([1]Sheet2!DX33=999999,"NA",[1]Sheet2!DX33)</f>
        <v>334</v>
      </c>
      <c r="DN34" s="14">
        <f>IF([1]Sheet2!DY33=999999,"NA",[1]Sheet2!DY33)</f>
        <v>334</v>
      </c>
      <c r="DO34" s="14" t="str">
        <f>IF([1]Sheet2!DZ33=999999,"NA",[1]Sheet2!DZ33)</f>
        <v>NA</v>
      </c>
      <c r="DP34" s="14" t="str">
        <f>IF([1]Sheet2!EA33=999999,"NA",[1]Sheet2!EA33)</f>
        <v>NA</v>
      </c>
      <c r="DQ34" s="14">
        <f>[1]Sheet2!CX33</f>
        <v>0</v>
      </c>
      <c r="DR34" s="14">
        <f>[1]Sheet2!CY33</f>
        <v>0</v>
      </c>
      <c r="DS34" s="14">
        <f>[1]Sheet2!CZ33</f>
        <v>0</v>
      </c>
      <c r="DT34" s="14">
        <f>[1]Sheet2!DA33</f>
        <v>0</v>
      </c>
      <c r="DU34" s="14">
        <f>[1]Sheet2!DB33</f>
        <v>0</v>
      </c>
      <c r="DV34" s="14">
        <f>[1]Sheet2!DC33</f>
        <v>0</v>
      </c>
      <c r="DW34" s="14">
        <f>[1]Sheet2!DD33</f>
        <v>0</v>
      </c>
      <c r="DX34" s="14">
        <f>[1]Sheet2!DE33</f>
        <v>0</v>
      </c>
      <c r="DY34" s="14">
        <f>[1]Sheet2!DF33</f>
        <v>0</v>
      </c>
      <c r="DZ34" s="14">
        <f>[1]Sheet2!DG33</f>
        <v>0</v>
      </c>
    </row>
    <row r="35" spans="1:130" x14ac:dyDescent="0.25">
      <c r="A35" s="15">
        <v>43497</v>
      </c>
      <c r="B35" s="1"/>
      <c r="C35" s="1"/>
      <c r="D35" s="1"/>
      <c r="E35" s="14">
        <f>[1]Sheet2!N34</f>
        <v>0</v>
      </c>
      <c r="F35" s="14">
        <f>[1]Sheet2!BE34</f>
        <v>0</v>
      </c>
      <c r="G35" s="14">
        <f>[1]Sheet2!CV34</f>
        <v>180.41208791208791</v>
      </c>
      <c r="H35" s="1"/>
      <c r="I35" s="1"/>
      <c r="J35" s="1"/>
      <c r="K35" s="16">
        <f>Demand_CWRS!B$4/28</f>
        <v>131.68146963713369</v>
      </c>
      <c r="L35" s="16">
        <f>Demand_CWRS!C$4/28</f>
        <v>501.27216117216119</v>
      </c>
      <c r="M35" s="16">
        <f>Demand_CWRS!D$4/28</f>
        <v>0</v>
      </c>
      <c r="N35" s="16">
        <f>Demand_CWRS!E$4/28</f>
        <v>130.17472527472526</v>
      </c>
      <c r="O35" s="16">
        <f>Demand_CWRS!F$4/28</f>
        <v>262.94741300366297</v>
      </c>
      <c r="P35" s="16">
        <f>Demand_CWRS!G$4/28</f>
        <v>127.85714285714286</v>
      </c>
      <c r="Q35" s="16">
        <f>Demand_CWRS!H$4/28</f>
        <v>501.27216117216119</v>
      </c>
      <c r="R35" s="16">
        <f>Demand_CWRS!I$4/28</f>
        <v>214.28571428571428</v>
      </c>
      <c r="S35" s="16">
        <f>Demand_CWRS!J$4/28</f>
        <v>207.14285714285714</v>
      </c>
      <c r="T35" s="16">
        <f>Demand_CWRS!K$4/28</f>
        <v>221.42857142857142</v>
      </c>
      <c r="U35" s="16">
        <f t="shared" si="3"/>
        <v>-6841.544129893543</v>
      </c>
      <c r="V35" s="16">
        <f t="shared" si="4"/>
        <v>-5994.282417582418</v>
      </c>
      <c r="W35" s="16">
        <f t="shared" si="5"/>
        <v>0</v>
      </c>
      <c r="X35" s="16">
        <f t="shared" si="6"/>
        <v>-1195.2067765567772</v>
      </c>
      <c r="Y35" s="16">
        <f t="shared" si="7"/>
        <v>-5412.3864354395591</v>
      </c>
      <c r="Z35" s="16">
        <f t="shared" si="8"/>
        <v>-6727.8571428571449</v>
      </c>
      <c r="AA35" s="16">
        <f t="shared" si="9"/>
        <v>-5494.282417582418</v>
      </c>
      <c r="AB35" s="16">
        <f t="shared" si="10"/>
        <v>-4414.2857142857147</v>
      </c>
      <c r="AC35" s="16">
        <f t="shared" si="11"/>
        <v>-4607.1428571428569</v>
      </c>
      <c r="AD35" s="16">
        <f t="shared" si="12"/>
        <v>-4921.4285714285697</v>
      </c>
      <c r="AE35" s="14">
        <f>IF([1]Sheet2!AJ34=999999,"NA",[1]Sheet2!AJ34)</f>
        <v>95</v>
      </c>
      <c r="AF35" s="14">
        <f>IF([1]Sheet2!AK34=999999,"NA",[1]Sheet2!AK34)</f>
        <v>26</v>
      </c>
      <c r="AG35" s="14" t="str">
        <f>IF([1]Sheet2!AL34=999999,"NA",[1]Sheet2!AL34)</f>
        <v>NA</v>
      </c>
      <c r="AH35" s="14">
        <f>IF([1]Sheet2!AM34=999999,"NA",[1]Sheet2!AM34)</f>
        <v>333</v>
      </c>
      <c r="AI35" s="14">
        <f>IF([1]Sheet2!AN34=999999,"NA",[1]Sheet2!AN34)</f>
        <v>333</v>
      </c>
      <c r="AJ35" s="14">
        <f>IF([1]Sheet2!AO34=999999,"NA",[1]Sheet2!AO34)</f>
        <v>333</v>
      </c>
      <c r="AK35" s="14">
        <f>IF([1]Sheet2!AP34=999999,"NA",[1]Sheet2!AP34)</f>
        <v>78</v>
      </c>
      <c r="AL35" s="14">
        <f>IF([1]Sheet2!AQ34=999999,"NA",[1]Sheet2!AQ34)</f>
        <v>209</v>
      </c>
      <c r="AM35" s="14">
        <f>IF([1]Sheet2!AR34=999999,"NA",[1]Sheet2!AR34)</f>
        <v>333</v>
      </c>
      <c r="AN35" s="14">
        <f>IF([1]Sheet2!AS34=999999,"NA",[1]Sheet2!AS34)</f>
        <v>265</v>
      </c>
      <c r="AO35" s="14">
        <f>[1]Sheet2!P34</f>
        <v>0</v>
      </c>
      <c r="AP35" s="14">
        <f>[1]Sheet2!Q34</f>
        <v>0</v>
      </c>
      <c r="AQ35" s="14">
        <f>[1]Sheet2!R34</f>
        <v>0</v>
      </c>
      <c r="AR35" s="14">
        <f>[1]Sheet2!S34</f>
        <v>0</v>
      </c>
      <c r="AS35" s="14">
        <f>[1]Sheet2!T34</f>
        <v>0</v>
      </c>
      <c r="AT35" s="14">
        <f>[1]Sheet2!U34</f>
        <v>0</v>
      </c>
      <c r="AU35" s="14">
        <f>[1]Sheet2!V34</f>
        <v>0</v>
      </c>
      <c r="AV35" s="14">
        <f>[1]Sheet2!W34</f>
        <v>0</v>
      </c>
      <c r="AW35" s="14">
        <f>[1]Sheet2!X34</f>
        <v>0</v>
      </c>
      <c r="AX35" s="14">
        <f>[1]Sheet2!Y34</f>
        <v>0</v>
      </c>
      <c r="AY35" s="16">
        <f>Demand_LP!B$4/28</f>
        <v>811.09813487293957</v>
      </c>
      <c r="AZ35" s="16">
        <f>Demand_LP!C$4/28</f>
        <v>502.83223443223443</v>
      </c>
      <c r="BA35" s="16">
        <f>Demand_LP!D$4/28</f>
        <v>282.53663003663002</v>
      </c>
      <c r="BB35" s="16">
        <f>Demand_LP!E$4/28</f>
        <v>759.73919413919407</v>
      </c>
      <c r="BC35" s="16">
        <f>Demand_LP!F$4/28</f>
        <v>495.28213999542123</v>
      </c>
      <c r="BD35" s="16">
        <f>Demand_LP!G$4/28</f>
        <v>821.42857142857144</v>
      </c>
      <c r="BE35" s="16">
        <f>Demand_LP!H$4/28</f>
        <v>535.71428571428567</v>
      </c>
      <c r="BF35" s="16">
        <f>Demand_LP!I$4/28</f>
        <v>496.42857142857144</v>
      </c>
      <c r="BG35" s="16">
        <f>Demand_LP!J$4/28</f>
        <v>482.14285714285717</v>
      </c>
      <c r="BH35" s="16">
        <f>Demand_LP!K$4/28</f>
        <v>471.42857142857144</v>
      </c>
      <c r="BI35" s="16" t="e">
        <f t="shared" si="13"/>
        <v>#VALUE!</v>
      </c>
      <c r="BJ35" s="16">
        <f t="shared" si="14"/>
        <v>-20065.95018315018</v>
      </c>
      <c r="BK35" s="16">
        <f t="shared" si="15"/>
        <v>-5450.0366300366341</v>
      </c>
      <c r="BL35" s="16">
        <f t="shared" si="16"/>
        <v>-19352.463553113561</v>
      </c>
      <c r="BM35" s="16">
        <f t="shared" si="17"/>
        <v>-12445.681258585162</v>
      </c>
      <c r="BN35" s="16">
        <f t="shared" si="18"/>
        <v>-14821.428571428569</v>
      </c>
      <c r="BO35" s="16">
        <f t="shared" si="19"/>
        <v>-21535.714285714294</v>
      </c>
      <c r="BP35" s="16">
        <f t="shared" si="20"/>
        <v>-12496.428571428576</v>
      </c>
      <c r="BQ35" s="16">
        <f t="shared" si="21"/>
        <v>-9482.1428571428569</v>
      </c>
      <c r="BR35" s="16">
        <f t="shared" si="22"/>
        <v>-10971.428571428572</v>
      </c>
      <c r="BS35" s="14">
        <f>IF([1]Sheet2!CA34=999999,"NA",[1]Sheet2!CA34)</f>
        <v>205507.57142857174</v>
      </c>
      <c r="BT35" s="14">
        <f>IF([1]Sheet2!CB34=999999,"NA",[1]Sheet2!CB34)</f>
        <v>255</v>
      </c>
      <c r="BU35" s="14">
        <f>IF([1]Sheet2!CC34=999999,"NA",[1]Sheet2!CC34)</f>
        <v>333</v>
      </c>
      <c r="BV35" s="14">
        <f>IF([1]Sheet2!CD34=999999,"NA",[1]Sheet2!CD34)</f>
        <v>333</v>
      </c>
      <c r="BW35" s="14">
        <f>IF([1]Sheet2!CE34=999999,"NA",[1]Sheet2!CE34)</f>
        <v>295</v>
      </c>
      <c r="BX35" s="14">
        <f>IF([1]Sheet2!CF34=999999,"NA",[1]Sheet2!CF34)</f>
        <v>333</v>
      </c>
      <c r="BY35" s="14">
        <f>IF([1]Sheet2!CG34=999999,"NA",[1]Sheet2!CG34)</f>
        <v>227</v>
      </c>
      <c r="BZ35" s="14">
        <f>IF([1]Sheet2!CH34=999999,"NA",[1]Sheet2!CH34)</f>
        <v>333</v>
      </c>
      <c r="CA35" s="14">
        <f>IF([1]Sheet2!CI34=999999,"NA",[1]Sheet2!CI34)</f>
        <v>333</v>
      </c>
      <c r="CB35" s="14">
        <f>IF([1]Sheet2!CJ34=999999,"NA",[1]Sheet2!CJ34)</f>
        <v>333</v>
      </c>
      <c r="CC35" s="14">
        <f>[1]Sheet2!BG34</f>
        <v>0</v>
      </c>
      <c r="CD35" s="14">
        <f>[1]Sheet2!BH34</f>
        <v>0</v>
      </c>
      <c r="CE35" s="14">
        <f>[1]Sheet2!BI34</f>
        <v>0</v>
      </c>
      <c r="CF35" s="14">
        <f>[1]Sheet2!BJ34</f>
        <v>0</v>
      </c>
      <c r="CG35" s="14">
        <f>[1]Sheet2!BK34</f>
        <v>0</v>
      </c>
      <c r="CH35" s="14">
        <f>[1]Sheet2!BL34</f>
        <v>0</v>
      </c>
      <c r="CI35" s="14">
        <f>[1]Sheet2!BM34</f>
        <v>0</v>
      </c>
      <c r="CJ35" s="14">
        <f>[1]Sheet2!BN34</f>
        <v>0</v>
      </c>
      <c r="CK35" s="14">
        <f>[1]Sheet2!BO34</f>
        <v>0</v>
      </c>
      <c r="CL35" s="14">
        <f>[1]Sheet2!BP34</f>
        <v>0</v>
      </c>
      <c r="CM35" s="16">
        <f>Demand_SW!B$4/28</f>
        <v>94.69780219780219</v>
      </c>
      <c r="CN35" s="16">
        <f>Demand_SW!C$4/28</f>
        <v>0</v>
      </c>
      <c r="CO35" s="16">
        <f>Demand_SW!D$4/28</f>
        <v>0</v>
      </c>
      <c r="CP35" s="16">
        <f>Demand_SW!E$4/28</f>
        <v>0</v>
      </c>
      <c r="CQ35" s="16">
        <f>Demand_SW!F$4/28</f>
        <v>0</v>
      </c>
      <c r="CR35" s="16">
        <f>Demand_SW!G$4/28</f>
        <v>85.714285714285708</v>
      </c>
      <c r="CS35" s="16">
        <f>Demand_SW!H$4/28</f>
        <v>0</v>
      </c>
      <c r="CT35" s="16">
        <f>Demand_SW!I$4/28</f>
        <v>0</v>
      </c>
      <c r="CU35" s="16">
        <f>Demand_SW!J$4/28</f>
        <v>0</v>
      </c>
      <c r="CV35" s="16">
        <f>Demand_SW!K$4/28</f>
        <v>0</v>
      </c>
      <c r="CW35" s="16">
        <f t="shared" si="23"/>
        <v>46578.379120879021</v>
      </c>
      <c r="CX35" s="16">
        <f t="shared" si="24"/>
        <v>500</v>
      </c>
      <c r="CY35" s="16">
        <f t="shared" si="25"/>
        <v>0</v>
      </c>
      <c r="CZ35" s="16">
        <f t="shared" si="26"/>
        <v>0</v>
      </c>
      <c r="DA35" s="16">
        <f t="shared" si="27"/>
        <v>0</v>
      </c>
      <c r="DB35" s="16">
        <f t="shared" si="28"/>
        <v>-3185.714285714284</v>
      </c>
      <c r="DC35" s="16">
        <f t="shared" si="29"/>
        <v>500</v>
      </c>
      <c r="DD35" s="16">
        <f t="shared" si="30"/>
        <v>0</v>
      </c>
      <c r="DE35" s="16">
        <f t="shared" si="31"/>
        <v>0</v>
      </c>
      <c r="DF35" s="16">
        <f t="shared" si="32"/>
        <v>0</v>
      </c>
      <c r="DG35" s="14">
        <f>IF([1]Sheet2!DR34=999999,"NA",[1]Sheet2!DR34)</f>
        <v>73103</v>
      </c>
      <c r="DH35" s="14">
        <f>IF([1]Sheet2!DS34=999999,"NA",[1]Sheet2!DS34)</f>
        <v>333</v>
      </c>
      <c r="DI35" s="14">
        <f>IF([1]Sheet2!DT34=999999,"NA",[1]Sheet2!DT34)</f>
        <v>333</v>
      </c>
      <c r="DJ35" s="14" t="str">
        <f>IF([1]Sheet2!DU34=999999,"NA",[1]Sheet2!DU34)</f>
        <v>NA</v>
      </c>
      <c r="DK35" s="14" t="str">
        <f>IF([1]Sheet2!DV34=999999,"NA",[1]Sheet2!DV34)</f>
        <v>NA</v>
      </c>
      <c r="DL35" s="14" t="str">
        <f>IF([1]Sheet2!DW34=999999,"NA",[1]Sheet2!DW34)</f>
        <v>NA</v>
      </c>
      <c r="DM35" s="14">
        <f>IF([1]Sheet2!DX34=999999,"NA",[1]Sheet2!DX34)</f>
        <v>333</v>
      </c>
      <c r="DN35" s="14">
        <f>IF([1]Sheet2!DY34=999999,"NA",[1]Sheet2!DY34)</f>
        <v>333</v>
      </c>
      <c r="DO35" s="14" t="str">
        <f>IF([1]Sheet2!DZ34=999999,"NA",[1]Sheet2!DZ34)</f>
        <v>NA</v>
      </c>
      <c r="DP35" s="14" t="str">
        <f>IF([1]Sheet2!EA34=999999,"NA",[1]Sheet2!EA34)</f>
        <v>NA</v>
      </c>
      <c r="DQ35" s="14">
        <f>[1]Sheet2!CX34</f>
        <v>0</v>
      </c>
      <c r="DR35" s="14">
        <f>[1]Sheet2!CY34</f>
        <v>0</v>
      </c>
      <c r="DS35" s="14">
        <f>[1]Sheet2!CZ34</f>
        <v>0</v>
      </c>
      <c r="DT35" s="14">
        <f>[1]Sheet2!DA34</f>
        <v>0</v>
      </c>
      <c r="DU35" s="14">
        <f>[1]Sheet2!DB34</f>
        <v>0</v>
      </c>
      <c r="DV35" s="14">
        <f>[1]Sheet2!DC34</f>
        <v>0</v>
      </c>
      <c r="DW35" s="14">
        <f>[1]Sheet2!DD34</f>
        <v>0</v>
      </c>
      <c r="DX35" s="14">
        <f>[1]Sheet2!DE34</f>
        <v>0</v>
      </c>
      <c r="DY35" s="14">
        <f>[1]Sheet2!DF34</f>
        <v>0</v>
      </c>
      <c r="DZ35" s="14">
        <f>[1]Sheet2!DG34</f>
        <v>0</v>
      </c>
    </row>
    <row r="36" spans="1:130" x14ac:dyDescent="0.25">
      <c r="A36" s="15">
        <v>43498</v>
      </c>
      <c r="B36" s="1"/>
      <c r="C36" s="1"/>
      <c r="D36" s="1"/>
      <c r="E36" s="14">
        <f>[1]Sheet2!N35</f>
        <v>0</v>
      </c>
      <c r="F36" s="14">
        <f>[1]Sheet2!BE35</f>
        <v>0</v>
      </c>
      <c r="G36" s="14">
        <f>[1]Sheet2!CV35</f>
        <v>180.41208791208791</v>
      </c>
      <c r="H36" s="1"/>
      <c r="I36" s="1"/>
      <c r="J36" s="1"/>
      <c r="K36" s="16">
        <f>Demand_CWRS!B$4/28</f>
        <v>131.68146963713369</v>
      </c>
      <c r="L36" s="16">
        <f>Demand_CWRS!C$4/28</f>
        <v>501.27216117216119</v>
      </c>
      <c r="M36" s="16">
        <f>Demand_CWRS!D$4/28</f>
        <v>0</v>
      </c>
      <c r="N36" s="16">
        <f>Demand_CWRS!E$4/28</f>
        <v>130.17472527472526</v>
      </c>
      <c r="O36" s="16">
        <f>Demand_CWRS!F$4/28</f>
        <v>262.94741300366297</v>
      </c>
      <c r="P36" s="16">
        <f>Demand_CWRS!G$4/28</f>
        <v>127.85714285714286</v>
      </c>
      <c r="Q36" s="16">
        <f>Demand_CWRS!H$4/28</f>
        <v>501.27216117216119</v>
      </c>
      <c r="R36" s="16">
        <f>Demand_CWRS!I$4/28</f>
        <v>214.28571428571428</v>
      </c>
      <c r="S36" s="16">
        <f>Demand_CWRS!J$4/28</f>
        <v>207.14285714285714</v>
      </c>
      <c r="T36" s="16">
        <f>Demand_CWRS!K$4/28</f>
        <v>221.42857142857142</v>
      </c>
      <c r="U36" s="16">
        <f t="shared" si="3"/>
        <v>-6973.2255995306768</v>
      </c>
      <c r="V36" s="16">
        <f t="shared" si="4"/>
        <v>-6495.5545787545789</v>
      </c>
      <c r="W36" s="16">
        <f t="shared" si="5"/>
        <v>0</v>
      </c>
      <c r="X36" s="16">
        <f t="shared" si="6"/>
        <v>-1325.3815018315024</v>
      </c>
      <c r="Y36" s="16">
        <f t="shared" si="7"/>
        <v>-5675.3338484432225</v>
      </c>
      <c r="Z36" s="16">
        <f t="shared" si="8"/>
        <v>-6855.7142857142881</v>
      </c>
      <c r="AA36" s="16">
        <f t="shared" si="9"/>
        <v>-5995.5545787545789</v>
      </c>
      <c r="AB36" s="16">
        <f t="shared" si="10"/>
        <v>-4628.5714285714294</v>
      </c>
      <c r="AC36" s="16">
        <f t="shared" si="11"/>
        <v>-4814.2857142857138</v>
      </c>
      <c r="AD36" s="16">
        <f t="shared" si="12"/>
        <v>-5142.8571428571413</v>
      </c>
      <c r="AE36" s="14">
        <f>IF([1]Sheet2!AJ35=999999,"NA",[1]Sheet2!AJ35)</f>
        <v>94</v>
      </c>
      <c r="AF36" s="14">
        <f>IF([1]Sheet2!AK35=999999,"NA",[1]Sheet2!AK35)</f>
        <v>25</v>
      </c>
      <c r="AG36" s="14" t="str">
        <f>IF([1]Sheet2!AL35=999999,"NA",[1]Sheet2!AL35)</f>
        <v>NA</v>
      </c>
      <c r="AH36" s="14">
        <f>IF([1]Sheet2!AM35=999999,"NA",[1]Sheet2!AM35)</f>
        <v>332</v>
      </c>
      <c r="AI36" s="14">
        <f>IF([1]Sheet2!AN35=999999,"NA",[1]Sheet2!AN35)</f>
        <v>332</v>
      </c>
      <c r="AJ36" s="14">
        <f>IF([1]Sheet2!AO35=999999,"NA",[1]Sheet2!AO35)</f>
        <v>332</v>
      </c>
      <c r="AK36" s="14">
        <f>IF([1]Sheet2!AP35=999999,"NA",[1]Sheet2!AP35)</f>
        <v>77</v>
      </c>
      <c r="AL36" s="14">
        <f>IF([1]Sheet2!AQ35=999999,"NA",[1]Sheet2!AQ35)</f>
        <v>208</v>
      </c>
      <c r="AM36" s="14">
        <f>IF([1]Sheet2!AR35=999999,"NA",[1]Sheet2!AR35)</f>
        <v>332</v>
      </c>
      <c r="AN36" s="14">
        <f>IF([1]Sheet2!AS35=999999,"NA",[1]Sheet2!AS35)</f>
        <v>264</v>
      </c>
      <c r="AO36" s="14">
        <f>[1]Sheet2!P35</f>
        <v>0</v>
      </c>
      <c r="AP36" s="14">
        <f>[1]Sheet2!Q35</f>
        <v>0</v>
      </c>
      <c r="AQ36" s="14">
        <f>[1]Sheet2!R35</f>
        <v>0</v>
      </c>
      <c r="AR36" s="14">
        <f>[1]Sheet2!S35</f>
        <v>0</v>
      </c>
      <c r="AS36" s="14">
        <f>[1]Sheet2!T35</f>
        <v>0</v>
      </c>
      <c r="AT36" s="14">
        <f>[1]Sheet2!U35</f>
        <v>0</v>
      </c>
      <c r="AU36" s="14">
        <f>[1]Sheet2!V35</f>
        <v>0</v>
      </c>
      <c r="AV36" s="14">
        <f>[1]Sheet2!W35</f>
        <v>0</v>
      </c>
      <c r="AW36" s="14">
        <f>[1]Sheet2!X35</f>
        <v>0</v>
      </c>
      <c r="AX36" s="14">
        <f>[1]Sheet2!Y35</f>
        <v>0</v>
      </c>
      <c r="AY36" s="16">
        <f>Demand_LP!B$4/28</f>
        <v>811.09813487293957</v>
      </c>
      <c r="AZ36" s="16">
        <f>Demand_LP!C$4/28</f>
        <v>502.83223443223443</v>
      </c>
      <c r="BA36" s="16">
        <f>Demand_LP!D$4/28</f>
        <v>282.53663003663002</v>
      </c>
      <c r="BB36" s="16">
        <f>Demand_LP!E$4/28</f>
        <v>759.73919413919407</v>
      </c>
      <c r="BC36" s="16">
        <f>Demand_LP!F$4/28</f>
        <v>495.28213999542123</v>
      </c>
      <c r="BD36" s="16">
        <f>Demand_LP!G$4/28</f>
        <v>821.42857142857144</v>
      </c>
      <c r="BE36" s="16">
        <f>Demand_LP!H$4/28</f>
        <v>535.71428571428567</v>
      </c>
      <c r="BF36" s="16">
        <f>Demand_LP!I$4/28</f>
        <v>496.42857142857144</v>
      </c>
      <c r="BG36" s="16">
        <f>Demand_LP!J$4/28</f>
        <v>482.14285714285717</v>
      </c>
      <c r="BH36" s="16">
        <f>Demand_LP!K$4/28</f>
        <v>471.42857142857144</v>
      </c>
      <c r="BI36" s="16" t="e">
        <f t="shared" si="13"/>
        <v>#VALUE!</v>
      </c>
      <c r="BJ36" s="16">
        <f t="shared" si="14"/>
        <v>-20568.782417582413</v>
      </c>
      <c r="BK36" s="16">
        <f t="shared" si="15"/>
        <v>-5732.5732600732645</v>
      </c>
      <c r="BL36" s="16">
        <f t="shared" si="16"/>
        <v>-20112.202747252755</v>
      </c>
      <c r="BM36" s="16">
        <f t="shared" si="17"/>
        <v>-12940.963398580583</v>
      </c>
      <c r="BN36" s="16">
        <f t="shared" si="18"/>
        <v>-15642.857142857139</v>
      </c>
      <c r="BO36" s="16">
        <f t="shared" si="19"/>
        <v>-22071.42857142858</v>
      </c>
      <c r="BP36" s="16">
        <f t="shared" si="20"/>
        <v>-12992.857142857147</v>
      </c>
      <c r="BQ36" s="16">
        <f t="shared" si="21"/>
        <v>-9964.2857142857138</v>
      </c>
      <c r="BR36" s="16">
        <f t="shared" si="22"/>
        <v>-11442.857142857143</v>
      </c>
      <c r="BS36" s="14">
        <f>IF([1]Sheet2!CA35=999999,"NA",[1]Sheet2!CA35)</f>
        <v>205036.14285714316</v>
      </c>
      <c r="BT36" s="14">
        <f>IF([1]Sheet2!CB35=999999,"NA",[1]Sheet2!CB35)</f>
        <v>254</v>
      </c>
      <c r="BU36" s="14">
        <f>IF([1]Sheet2!CC35=999999,"NA",[1]Sheet2!CC35)</f>
        <v>332</v>
      </c>
      <c r="BV36" s="14">
        <f>IF([1]Sheet2!CD35=999999,"NA",[1]Sheet2!CD35)</f>
        <v>332</v>
      </c>
      <c r="BW36" s="14">
        <f>IF([1]Sheet2!CE35=999999,"NA",[1]Sheet2!CE35)</f>
        <v>294</v>
      </c>
      <c r="BX36" s="14">
        <f>IF([1]Sheet2!CF35=999999,"NA",[1]Sheet2!CF35)</f>
        <v>332</v>
      </c>
      <c r="BY36" s="14">
        <f>IF([1]Sheet2!CG35=999999,"NA",[1]Sheet2!CG35)</f>
        <v>226</v>
      </c>
      <c r="BZ36" s="14">
        <f>IF([1]Sheet2!CH35=999999,"NA",[1]Sheet2!CH35)</f>
        <v>332</v>
      </c>
      <c r="CA36" s="14">
        <f>IF([1]Sheet2!CI35=999999,"NA",[1]Sheet2!CI35)</f>
        <v>332</v>
      </c>
      <c r="CB36" s="14">
        <f>IF([1]Sheet2!CJ35=999999,"NA",[1]Sheet2!CJ35)</f>
        <v>332</v>
      </c>
      <c r="CC36" s="14">
        <f>[1]Sheet2!BG35</f>
        <v>0</v>
      </c>
      <c r="CD36" s="14">
        <f>[1]Sheet2!BH35</f>
        <v>0</v>
      </c>
      <c r="CE36" s="14">
        <f>[1]Sheet2!BI35</f>
        <v>0</v>
      </c>
      <c r="CF36" s="14">
        <f>[1]Sheet2!BJ35</f>
        <v>0</v>
      </c>
      <c r="CG36" s="14">
        <f>[1]Sheet2!BK35</f>
        <v>0</v>
      </c>
      <c r="CH36" s="14">
        <f>[1]Sheet2!BL35</f>
        <v>0</v>
      </c>
      <c r="CI36" s="14">
        <f>[1]Sheet2!BM35</f>
        <v>0</v>
      </c>
      <c r="CJ36" s="14">
        <f>[1]Sheet2!BN35</f>
        <v>0</v>
      </c>
      <c r="CK36" s="14">
        <f>[1]Sheet2!BO35</f>
        <v>0</v>
      </c>
      <c r="CL36" s="14">
        <f>[1]Sheet2!BP35</f>
        <v>0</v>
      </c>
      <c r="CM36" s="16">
        <f>Demand_SW!B$4/28</f>
        <v>94.69780219780219</v>
      </c>
      <c r="CN36" s="16">
        <f>Demand_SW!C$4/28</f>
        <v>0</v>
      </c>
      <c r="CO36" s="16">
        <f>Demand_SW!D$4/28</f>
        <v>0</v>
      </c>
      <c r="CP36" s="16">
        <f>Demand_SW!E$4/28</f>
        <v>0</v>
      </c>
      <c r="CQ36" s="16">
        <f>Demand_SW!F$4/28</f>
        <v>0</v>
      </c>
      <c r="CR36" s="16">
        <f>Demand_SW!G$4/28</f>
        <v>85.714285714285708</v>
      </c>
      <c r="CS36" s="16">
        <f>Demand_SW!H$4/28</f>
        <v>0</v>
      </c>
      <c r="CT36" s="16">
        <f>Demand_SW!I$4/28</f>
        <v>0</v>
      </c>
      <c r="CU36" s="16">
        <f>Demand_SW!J$4/28</f>
        <v>0</v>
      </c>
      <c r="CV36" s="16">
        <f>Demand_SW!K$4/28</f>
        <v>0</v>
      </c>
      <c r="CW36" s="16">
        <f t="shared" si="23"/>
        <v>46483.681318681221</v>
      </c>
      <c r="CX36" s="16">
        <f t="shared" si="24"/>
        <v>500</v>
      </c>
      <c r="CY36" s="16">
        <f t="shared" si="25"/>
        <v>0</v>
      </c>
      <c r="CZ36" s="16">
        <f t="shared" si="26"/>
        <v>0</v>
      </c>
      <c r="DA36" s="16">
        <f t="shared" si="27"/>
        <v>0</v>
      </c>
      <c r="DB36" s="16">
        <f t="shared" si="28"/>
        <v>-3271.4285714285697</v>
      </c>
      <c r="DC36" s="16">
        <f t="shared" si="29"/>
        <v>500</v>
      </c>
      <c r="DD36" s="16">
        <f t="shared" si="30"/>
        <v>0</v>
      </c>
      <c r="DE36" s="16">
        <f t="shared" si="31"/>
        <v>0</v>
      </c>
      <c r="DF36" s="16">
        <f t="shared" si="32"/>
        <v>0</v>
      </c>
      <c r="DG36" s="14">
        <f>IF([1]Sheet2!DR35=999999,"NA",[1]Sheet2!DR35)</f>
        <v>73103</v>
      </c>
      <c r="DH36" s="14">
        <f>IF([1]Sheet2!DS35=999999,"NA",[1]Sheet2!DS35)</f>
        <v>332</v>
      </c>
      <c r="DI36" s="14">
        <f>IF([1]Sheet2!DT35=999999,"NA",[1]Sheet2!DT35)</f>
        <v>332</v>
      </c>
      <c r="DJ36" s="14" t="str">
        <f>IF([1]Sheet2!DU35=999999,"NA",[1]Sheet2!DU35)</f>
        <v>NA</v>
      </c>
      <c r="DK36" s="14" t="str">
        <f>IF([1]Sheet2!DV35=999999,"NA",[1]Sheet2!DV35)</f>
        <v>NA</v>
      </c>
      <c r="DL36" s="14" t="str">
        <f>IF([1]Sheet2!DW35=999999,"NA",[1]Sheet2!DW35)</f>
        <v>NA</v>
      </c>
      <c r="DM36" s="14">
        <f>IF([1]Sheet2!DX35=999999,"NA",[1]Sheet2!DX35)</f>
        <v>332</v>
      </c>
      <c r="DN36" s="14">
        <f>IF([1]Sheet2!DY35=999999,"NA",[1]Sheet2!DY35)</f>
        <v>332</v>
      </c>
      <c r="DO36" s="14" t="str">
        <f>IF([1]Sheet2!DZ35=999999,"NA",[1]Sheet2!DZ35)</f>
        <v>NA</v>
      </c>
      <c r="DP36" s="14" t="str">
        <f>IF([1]Sheet2!EA35=999999,"NA",[1]Sheet2!EA35)</f>
        <v>NA</v>
      </c>
      <c r="DQ36" s="14">
        <f>[1]Sheet2!CX35</f>
        <v>0</v>
      </c>
      <c r="DR36" s="14">
        <f>[1]Sheet2!CY35</f>
        <v>0</v>
      </c>
      <c r="DS36" s="14">
        <f>[1]Sheet2!CZ35</f>
        <v>0</v>
      </c>
      <c r="DT36" s="14">
        <f>[1]Sheet2!DA35</f>
        <v>0</v>
      </c>
      <c r="DU36" s="14">
        <f>[1]Sheet2!DB35</f>
        <v>0</v>
      </c>
      <c r="DV36" s="14">
        <f>[1]Sheet2!DC35</f>
        <v>0</v>
      </c>
      <c r="DW36" s="14">
        <f>[1]Sheet2!DD35</f>
        <v>0</v>
      </c>
      <c r="DX36" s="14">
        <f>[1]Sheet2!DE35</f>
        <v>0</v>
      </c>
      <c r="DY36" s="14">
        <f>[1]Sheet2!DF35</f>
        <v>0</v>
      </c>
      <c r="DZ36" s="14">
        <f>[1]Sheet2!DG35</f>
        <v>0</v>
      </c>
    </row>
    <row r="37" spans="1:130" x14ac:dyDescent="0.25">
      <c r="A37" s="15">
        <v>43499</v>
      </c>
      <c r="B37" s="1"/>
      <c r="C37" s="1"/>
      <c r="D37" s="1"/>
      <c r="E37" s="14">
        <f>[1]Sheet2!N36</f>
        <v>0</v>
      </c>
      <c r="F37" s="14">
        <f>[1]Sheet2!BE36</f>
        <v>0</v>
      </c>
      <c r="G37" s="14">
        <f>[1]Sheet2!CV36</f>
        <v>180.41208791208791</v>
      </c>
      <c r="H37" s="1"/>
      <c r="I37" s="1"/>
      <c r="J37" s="1"/>
      <c r="K37" s="16">
        <f>Demand_CWRS!B$4/28</f>
        <v>131.68146963713369</v>
      </c>
      <c r="L37" s="16">
        <f>Demand_CWRS!C$4/28</f>
        <v>501.27216117216119</v>
      </c>
      <c r="M37" s="16">
        <f>Demand_CWRS!D$4/28</f>
        <v>0</v>
      </c>
      <c r="N37" s="16">
        <f>Demand_CWRS!E$4/28</f>
        <v>130.17472527472526</v>
      </c>
      <c r="O37" s="16">
        <f>Demand_CWRS!F$4/28</f>
        <v>262.94741300366297</v>
      </c>
      <c r="P37" s="16">
        <f>Demand_CWRS!G$4/28</f>
        <v>127.85714285714286</v>
      </c>
      <c r="Q37" s="16">
        <f>Demand_CWRS!H$4/28</f>
        <v>501.27216117216119</v>
      </c>
      <c r="R37" s="16">
        <f>Demand_CWRS!I$4/28</f>
        <v>214.28571428571428</v>
      </c>
      <c r="S37" s="16">
        <f>Demand_CWRS!J$4/28</f>
        <v>207.14285714285714</v>
      </c>
      <c r="T37" s="16">
        <f>Demand_CWRS!K$4/28</f>
        <v>221.42857142857142</v>
      </c>
      <c r="U37" s="16">
        <f t="shared" si="3"/>
        <v>-7104.9070691678107</v>
      </c>
      <c r="V37" s="16">
        <f t="shared" si="4"/>
        <v>-6996.8267399267397</v>
      </c>
      <c r="W37" s="16">
        <f t="shared" si="5"/>
        <v>0</v>
      </c>
      <c r="X37" s="16">
        <f t="shared" si="6"/>
        <v>-1455.5562271062277</v>
      </c>
      <c r="Y37" s="16">
        <f t="shared" si="7"/>
        <v>-5938.2812614468858</v>
      </c>
      <c r="Z37" s="16">
        <f t="shared" si="8"/>
        <v>-6983.5714285714312</v>
      </c>
      <c r="AA37" s="16">
        <f t="shared" si="9"/>
        <v>-6496.8267399267397</v>
      </c>
      <c r="AB37" s="16">
        <f t="shared" si="10"/>
        <v>-4842.857142857144</v>
      </c>
      <c r="AC37" s="16">
        <f t="shared" si="11"/>
        <v>-5021.4285714285706</v>
      </c>
      <c r="AD37" s="16">
        <f t="shared" si="12"/>
        <v>-5364.2857142857129</v>
      </c>
      <c r="AE37" s="14">
        <f>IF([1]Sheet2!AJ36=999999,"NA",[1]Sheet2!AJ36)</f>
        <v>93</v>
      </c>
      <c r="AF37" s="14">
        <f>IF([1]Sheet2!AK36=999999,"NA",[1]Sheet2!AK36)</f>
        <v>24</v>
      </c>
      <c r="AG37" s="14" t="str">
        <f>IF([1]Sheet2!AL36=999999,"NA",[1]Sheet2!AL36)</f>
        <v>NA</v>
      </c>
      <c r="AH37" s="14">
        <f>IF([1]Sheet2!AM36=999999,"NA",[1]Sheet2!AM36)</f>
        <v>331</v>
      </c>
      <c r="AI37" s="14">
        <f>IF([1]Sheet2!AN36=999999,"NA",[1]Sheet2!AN36)</f>
        <v>331</v>
      </c>
      <c r="AJ37" s="14">
        <f>IF([1]Sheet2!AO36=999999,"NA",[1]Sheet2!AO36)</f>
        <v>331</v>
      </c>
      <c r="AK37" s="14">
        <f>IF([1]Sheet2!AP36=999999,"NA",[1]Sheet2!AP36)</f>
        <v>76</v>
      </c>
      <c r="AL37" s="14">
        <f>IF([1]Sheet2!AQ36=999999,"NA",[1]Sheet2!AQ36)</f>
        <v>207</v>
      </c>
      <c r="AM37" s="14">
        <f>IF([1]Sheet2!AR36=999999,"NA",[1]Sheet2!AR36)</f>
        <v>331</v>
      </c>
      <c r="AN37" s="14">
        <f>IF([1]Sheet2!AS36=999999,"NA",[1]Sheet2!AS36)</f>
        <v>263</v>
      </c>
      <c r="AO37" s="14">
        <f>[1]Sheet2!P36</f>
        <v>0</v>
      </c>
      <c r="AP37" s="14">
        <f>[1]Sheet2!Q36</f>
        <v>0</v>
      </c>
      <c r="AQ37" s="14">
        <f>[1]Sheet2!R36</f>
        <v>0</v>
      </c>
      <c r="AR37" s="14">
        <f>[1]Sheet2!S36</f>
        <v>0</v>
      </c>
      <c r="AS37" s="14">
        <f>[1]Sheet2!T36</f>
        <v>0</v>
      </c>
      <c r="AT37" s="14">
        <f>[1]Sheet2!U36</f>
        <v>0</v>
      </c>
      <c r="AU37" s="14">
        <f>[1]Sheet2!V36</f>
        <v>0</v>
      </c>
      <c r="AV37" s="14">
        <f>[1]Sheet2!W36</f>
        <v>0</v>
      </c>
      <c r="AW37" s="14">
        <f>[1]Sheet2!X36</f>
        <v>0</v>
      </c>
      <c r="AX37" s="14">
        <f>[1]Sheet2!Y36</f>
        <v>0</v>
      </c>
      <c r="AY37" s="16">
        <f>Demand_LP!B$4/28</f>
        <v>811.09813487293957</v>
      </c>
      <c r="AZ37" s="16">
        <f>Demand_LP!C$4/28</f>
        <v>502.83223443223443</v>
      </c>
      <c r="BA37" s="16">
        <f>Demand_LP!D$4/28</f>
        <v>282.53663003663002</v>
      </c>
      <c r="BB37" s="16">
        <f>Demand_LP!E$4/28</f>
        <v>759.73919413919407</v>
      </c>
      <c r="BC37" s="16">
        <f>Demand_LP!F$4/28</f>
        <v>495.28213999542123</v>
      </c>
      <c r="BD37" s="16">
        <f>Demand_LP!G$4/28</f>
        <v>821.42857142857144</v>
      </c>
      <c r="BE37" s="16">
        <f>Demand_LP!H$4/28</f>
        <v>535.71428571428567</v>
      </c>
      <c r="BF37" s="16">
        <f>Demand_LP!I$4/28</f>
        <v>496.42857142857144</v>
      </c>
      <c r="BG37" s="16">
        <f>Demand_LP!J$4/28</f>
        <v>482.14285714285717</v>
      </c>
      <c r="BH37" s="16">
        <f>Demand_LP!K$4/28</f>
        <v>471.42857142857144</v>
      </c>
      <c r="BI37" s="16" t="e">
        <f t="shared" si="13"/>
        <v>#VALUE!</v>
      </c>
      <c r="BJ37" s="16">
        <f t="shared" si="14"/>
        <v>-21071.614652014647</v>
      </c>
      <c r="BK37" s="16">
        <f t="shared" si="15"/>
        <v>-6015.1098901098949</v>
      </c>
      <c r="BL37" s="16">
        <f t="shared" si="16"/>
        <v>-20871.94194139195</v>
      </c>
      <c r="BM37" s="16">
        <f t="shared" si="17"/>
        <v>-13436.245538576004</v>
      </c>
      <c r="BN37" s="16">
        <f t="shared" si="18"/>
        <v>-16464.28571428571</v>
      </c>
      <c r="BO37" s="16">
        <f t="shared" si="19"/>
        <v>-22607.142857142866</v>
      </c>
      <c r="BP37" s="16">
        <f t="shared" si="20"/>
        <v>-13489.285714285717</v>
      </c>
      <c r="BQ37" s="16">
        <f t="shared" si="21"/>
        <v>-10446.428571428571</v>
      </c>
      <c r="BR37" s="16">
        <f t="shared" si="22"/>
        <v>-11914.285714285714</v>
      </c>
      <c r="BS37" s="14">
        <f>IF([1]Sheet2!CA36=999999,"NA",[1]Sheet2!CA36)</f>
        <v>204564.71428571458</v>
      </c>
      <c r="BT37" s="14">
        <f>IF([1]Sheet2!CB36=999999,"NA",[1]Sheet2!CB36)</f>
        <v>253</v>
      </c>
      <c r="BU37" s="14">
        <f>IF([1]Sheet2!CC36=999999,"NA",[1]Sheet2!CC36)</f>
        <v>331</v>
      </c>
      <c r="BV37" s="14">
        <f>IF([1]Sheet2!CD36=999999,"NA",[1]Sheet2!CD36)</f>
        <v>331</v>
      </c>
      <c r="BW37" s="14">
        <f>IF([1]Sheet2!CE36=999999,"NA",[1]Sheet2!CE36)</f>
        <v>293</v>
      </c>
      <c r="BX37" s="14">
        <f>IF([1]Sheet2!CF36=999999,"NA",[1]Sheet2!CF36)</f>
        <v>331</v>
      </c>
      <c r="BY37" s="14">
        <f>IF([1]Sheet2!CG36=999999,"NA",[1]Sheet2!CG36)</f>
        <v>225</v>
      </c>
      <c r="BZ37" s="14">
        <f>IF([1]Sheet2!CH36=999999,"NA",[1]Sheet2!CH36)</f>
        <v>331</v>
      </c>
      <c r="CA37" s="14">
        <f>IF([1]Sheet2!CI36=999999,"NA",[1]Sheet2!CI36)</f>
        <v>331</v>
      </c>
      <c r="CB37" s="14">
        <f>IF([1]Sheet2!CJ36=999999,"NA",[1]Sheet2!CJ36)</f>
        <v>331</v>
      </c>
      <c r="CC37" s="14">
        <f>[1]Sheet2!BG36</f>
        <v>0</v>
      </c>
      <c r="CD37" s="14">
        <f>[1]Sheet2!BH36</f>
        <v>0</v>
      </c>
      <c r="CE37" s="14">
        <f>[1]Sheet2!BI36</f>
        <v>0</v>
      </c>
      <c r="CF37" s="14">
        <f>[1]Sheet2!BJ36</f>
        <v>0</v>
      </c>
      <c r="CG37" s="14">
        <f>[1]Sheet2!BK36</f>
        <v>0</v>
      </c>
      <c r="CH37" s="14">
        <f>[1]Sheet2!BL36</f>
        <v>0</v>
      </c>
      <c r="CI37" s="14">
        <f>[1]Sheet2!BM36</f>
        <v>0</v>
      </c>
      <c r="CJ37" s="14">
        <f>[1]Sheet2!BN36</f>
        <v>0</v>
      </c>
      <c r="CK37" s="14">
        <f>[1]Sheet2!BO36</f>
        <v>0</v>
      </c>
      <c r="CL37" s="14">
        <f>[1]Sheet2!BP36</f>
        <v>0</v>
      </c>
      <c r="CM37" s="16">
        <f>Demand_SW!B$4/28</f>
        <v>94.69780219780219</v>
      </c>
      <c r="CN37" s="16">
        <f>Demand_SW!C$4/28</f>
        <v>0</v>
      </c>
      <c r="CO37" s="16">
        <f>Demand_SW!D$4/28</f>
        <v>0</v>
      </c>
      <c r="CP37" s="16">
        <f>Demand_SW!E$4/28</f>
        <v>0</v>
      </c>
      <c r="CQ37" s="16">
        <f>Demand_SW!F$4/28</f>
        <v>0</v>
      </c>
      <c r="CR37" s="16">
        <f>Demand_SW!G$4/28</f>
        <v>85.714285714285708</v>
      </c>
      <c r="CS37" s="16">
        <f>Demand_SW!H$4/28</f>
        <v>0</v>
      </c>
      <c r="CT37" s="16">
        <f>Demand_SW!I$4/28</f>
        <v>0</v>
      </c>
      <c r="CU37" s="16">
        <f>Demand_SW!J$4/28</f>
        <v>0</v>
      </c>
      <c r="CV37" s="16">
        <f>Demand_SW!K$4/28</f>
        <v>0</v>
      </c>
      <c r="CW37" s="16">
        <f t="shared" si="23"/>
        <v>46388.983516483422</v>
      </c>
      <c r="CX37" s="16">
        <f t="shared" si="24"/>
        <v>500</v>
      </c>
      <c r="CY37" s="16">
        <f t="shared" si="25"/>
        <v>0</v>
      </c>
      <c r="CZ37" s="16">
        <f t="shared" si="26"/>
        <v>0</v>
      </c>
      <c r="DA37" s="16">
        <f t="shared" si="27"/>
        <v>0</v>
      </c>
      <c r="DB37" s="16">
        <f t="shared" si="28"/>
        <v>-3357.1428571428555</v>
      </c>
      <c r="DC37" s="16">
        <f t="shared" si="29"/>
        <v>500</v>
      </c>
      <c r="DD37" s="16">
        <f t="shared" si="30"/>
        <v>0</v>
      </c>
      <c r="DE37" s="16">
        <f t="shared" si="31"/>
        <v>0</v>
      </c>
      <c r="DF37" s="16">
        <f t="shared" si="32"/>
        <v>0</v>
      </c>
      <c r="DG37" s="14">
        <f>IF([1]Sheet2!DR36=999999,"NA",[1]Sheet2!DR36)</f>
        <v>73103</v>
      </c>
      <c r="DH37" s="14">
        <f>IF([1]Sheet2!DS36=999999,"NA",[1]Sheet2!DS36)</f>
        <v>331</v>
      </c>
      <c r="DI37" s="14">
        <f>IF([1]Sheet2!DT36=999999,"NA",[1]Sheet2!DT36)</f>
        <v>331</v>
      </c>
      <c r="DJ37" s="14" t="str">
        <f>IF([1]Sheet2!DU36=999999,"NA",[1]Sheet2!DU36)</f>
        <v>NA</v>
      </c>
      <c r="DK37" s="14" t="str">
        <f>IF([1]Sheet2!DV36=999999,"NA",[1]Sheet2!DV36)</f>
        <v>NA</v>
      </c>
      <c r="DL37" s="14" t="str">
        <f>IF([1]Sheet2!DW36=999999,"NA",[1]Sheet2!DW36)</f>
        <v>NA</v>
      </c>
      <c r="DM37" s="14">
        <f>IF([1]Sheet2!DX36=999999,"NA",[1]Sheet2!DX36)</f>
        <v>331</v>
      </c>
      <c r="DN37" s="14">
        <f>IF([1]Sheet2!DY36=999999,"NA",[1]Sheet2!DY36)</f>
        <v>331</v>
      </c>
      <c r="DO37" s="14" t="str">
        <f>IF([1]Sheet2!DZ36=999999,"NA",[1]Sheet2!DZ36)</f>
        <v>NA</v>
      </c>
      <c r="DP37" s="14" t="str">
        <f>IF([1]Sheet2!EA36=999999,"NA",[1]Sheet2!EA36)</f>
        <v>NA</v>
      </c>
      <c r="DQ37" s="14">
        <f>[1]Sheet2!CX36</f>
        <v>0</v>
      </c>
      <c r="DR37" s="14">
        <f>[1]Sheet2!CY36</f>
        <v>0</v>
      </c>
      <c r="DS37" s="14">
        <f>[1]Sheet2!CZ36</f>
        <v>0</v>
      </c>
      <c r="DT37" s="14">
        <f>[1]Sheet2!DA36</f>
        <v>0</v>
      </c>
      <c r="DU37" s="14">
        <f>[1]Sheet2!DB36</f>
        <v>0</v>
      </c>
      <c r="DV37" s="14">
        <f>[1]Sheet2!DC36</f>
        <v>0</v>
      </c>
      <c r="DW37" s="14">
        <f>[1]Sheet2!DD36</f>
        <v>0</v>
      </c>
      <c r="DX37" s="14">
        <f>[1]Sheet2!DE36</f>
        <v>0</v>
      </c>
      <c r="DY37" s="14">
        <f>[1]Sheet2!DF36</f>
        <v>0</v>
      </c>
      <c r="DZ37" s="14">
        <f>[1]Sheet2!DG36</f>
        <v>0</v>
      </c>
    </row>
    <row r="38" spans="1:130" x14ac:dyDescent="0.25">
      <c r="A38" s="15">
        <v>43500</v>
      </c>
      <c r="B38" s="1"/>
      <c r="C38" s="1"/>
      <c r="D38" s="1"/>
      <c r="E38" s="14">
        <f>[1]Sheet2!N37</f>
        <v>0</v>
      </c>
      <c r="F38" s="14">
        <f>[1]Sheet2!BE37</f>
        <v>0</v>
      </c>
      <c r="G38" s="14">
        <f>[1]Sheet2!CV37</f>
        <v>180.41208791208791</v>
      </c>
      <c r="H38" s="1"/>
      <c r="I38" s="1"/>
      <c r="J38" s="1"/>
      <c r="K38" s="16">
        <f>Demand_CWRS!B$4/28</f>
        <v>131.68146963713369</v>
      </c>
      <c r="L38" s="16">
        <f>Demand_CWRS!C$4/28</f>
        <v>501.27216117216119</v>
      </c>
      <c r="M38" s="16">
        <f>Demand_CWRS!D$4/28</f>
        <v>0</v>
      </c>
      <c r="N38" s="16">
        <f>Demand_CWRS!E$4/28</f>
        <v>130.17472527472526</v>
      </c>
      <c r="O38" s="16">
        <f>Demand_CWRS!F$4/28</f>
        <v>262.94741300366297</v>
      </c>
      <c r="P38" s="16">
        <f>Demand_CWRS!G$4/28</f>
        <v>127.85714285714286</v>
      </c>
      <c r="Q38" s="16">
        <f>Demand_CWRS!H$4/28</f>
        <v>501.27216117216119</v>
      </c>
      <c r="R38" s="16">
        <f>Demand_CWRS!I$4/28</f>
        <v>214.28571428571428</v>
      </c>
      <c r="S38" s="16">
        <f>Demand_CWRS!J$4/28</f>
        <v>207.14285714285714</v>
      </c>
      <c r="T38" s="16">
        <f>Demand_CWRS!K$4/28</f>
        <v>221.42857142857142</v>
      </c>
      <c r="U38" s="16">
        <f t="shared" si="3"/>
        <v>-7236.5885388049446</v>
      </c>
      <c r="V38" s="16">
        <f t="shared" si="4"/>
        <v>-7498.0989010989006</v>
      </c>
      <c r="W38" s="16">
        <f t="shared" si="5"/>
        <v>0</v>
      </c>
      <c r="X38" s="16">
        <f t="shared" si="6"/>
        <v>-1585.7309523809529</v>
      </c>
      <c r="Y38" s="16">
        <f t="shared" si="7"/>
        <v>-6201.2286744505491</v>
      </c>
      <c r="Z38" s="16">
        <f t="shared" si="8"/>
        <v>-7111.4285714285743</v>
      </c>
      <c r="AA38" s="16">
        <f t="shared" si="9"/>
        <v>-6998.0989010989006</v>
      </c>
      <c r="AB38" s="16">
        <f t="shared" si="10"/>
        <v>-5057.1428571428587</v>
      </c>
      <c r="AC38" s="16">
        <f t="shared" si="11"/>
        <v>-5228.5714285714275</v>
      </c>
      <c r="AD38" s="16">
        <f t="shared" si="12"/>
        <v>-5585.7142857142844</v>
      </c>
      <c r="AE38" s="14">
        <f>IF([1]Sheet2!AJ37=999999,"NA",[1]Sheet2!AJ37)</f>
        <v>92</v>
      </c>
      <c r="AF38" s="14">
        <f>IF([1]Sheet2!AK37=999999,"NA",[1]Sheet2!AK37)</f>
        <v>23</v>
      </c>
      <c r="AG38" s="14" t="str">
        <f>IF([1]Sheet2!AL37=999999,"NA",[1]Sheet2!AL37)</f>
        <v>NA</v>
      </c>
      <c r="AH38" s="14">
        <f>IF([1]Sheet2!AM37=999999,"NA",[1]Sheet2!AM37)</f>
        <v>330</v>
      </c>
      <c r="AI38" s="14">
        <f>IF([1]Sheet2!AN37=999999,"NA",[1]Sheet2!AN37)</f>
        <v>330</v>
      </c>
      <c r="AJ38" s="14">
        <f>IF([1]Sheet2!AO37=999999,"NA",[1]Sheet2!AO37)</f>
        <v>330</v>
      </c>
      <c r="AK38" s="14">
        <f>IF([1]Sheet2!AP37=999999,"NA",[1]Sheet2!AP37)</f>
        <v>75</v>
      </c>
      <c r="AL38" s="14">
        <f>IF([1]Sheet2!AQ37=999999,"NA",[1]Sheet2!AQ37)</f>
        <v>206</v>
      </c>
      <c r="AM38" s="14">
        <f>IF([1]Sheet2!AR37=999999,"NA",[1]Sheet2!AR37)</f>
        <v>330</v>
      </c>
      <c r="AN38" s="14">
        <f>IF([1]Sheet2!AS37=999999,"NA",[1]Sheet2!AS37)</f>
        <v>262</v>
      </c>
      <c r="AO38" s="14">
        <f>[1]Sheet2!P37</f>
        <v>0</v>
      </c>
      <c r="AP38" s="14">
        <f>[1]Sheet2!Q37</f>
        <v>0</v>
      </c>
      <c r="AQ38" s="14">
        <f>[1]Sheet2!R37</f>
        <v>0</v>
      </c>
      <c r="AR38" s="14">
        <f>[1]Sheet2!S37</f>
        <v>0</v>
      </c>
      <c r="AS38" s="14">
        <f>[1]Sheet2!T37</f>
        <v>0</v>
      </c>
      <c r="AT38" s="14">
        <f>[1]Sheet2!U37</f>
        <v>0</v>
      </c>
      <c r="AU38" s="14">
        <f>[1]Sheet2!V37</f>
        <v>0</v>
      </c>
      <c r="AV38" s="14">
        <f>[1]Sheet2!W37</f>
        <v>0</v>
      </c>
      <c r="AW38" s="14">
        <f>[1]Sheet2!X37</f>
        <v>0</v>
      </c>
      <c r="AX38" s="14">
        <f>[1]Sheet2!Y37</f>
        <v>0</v>
      </c>
      <c r="AY38" s="16">
        <f>Demand_LP!B$4/28</f>
        <v>811.09813487293957</v>
      </c>
      <c r="AZ38" s="16">
        <f>Demand_LP!C$4/28</f>
        <v>502.83223443223443</v>
      </c>
      <c r="BA38" s="16">
        <f>Demand_LP!D$4/28</f>
        <v>282.53663003663002</v>
      </c>
      <c r="BB38" s="16">
        <f>Demand_LP!E$4/28</f>
        <v>759.73919413919407</v>
      </c>
      <c r="BC38" s="16">
        <f>Demand_LP!F$4/28</f>
        <v>495.28213999542123</v>
      </c>
      <c r="BD38" s="16">
        <f>Demand_LP!G$4/28</f>
        <v>821.42857142857144</v>
      </c>
      <c r="BE38" s="16">
        <f>Demand_LP!H$4/28</f>
        <v>535.71428571428567</v>
      </c>
      <c r="BF38" s="16">
        <f>Demand_LP!I$4/28</f>
        <v>496.42857142857144</v>
      </c>
      <c r="BG38" s="16">
        <f>Demand_LP!J$4/28</f>
        <v>482.14285714285717</v>
      </c>
      <c r="BH38" s="16">
        <f>Demand_LP!K$4/28</f>
        <v>471.42857142857144</v>
      </c>
      <c r="BI38" s="16" t="e">
        <f t="shared" si="13"/>
        <v>#VALUE!</v>
      </c>
      <c r="BJ38" s="16">
        <f t="shared" si="14"/>
        <v>-21574.44688644688</v>
      </c>
      <c r="BK38" s="16">
        <f t="shared" si="15"/>
        <v>-6297.6465201465253</v>
      </c>
      <c r="BL38" s="16">
        <f t="shared" si="16"/>
        <v>-21631.681135531144</v>
      </c>
      <c r="BM38" s="16">
        <f t="shared" si="17"/>
        <v>-13931.527678571425</v>
      </c>
      <c r="BN38" s="16">
        <f t="shared" si="18"/>
        <v>-17285.714285714283</v>
      </c>
      <c r="BO38" s="16">
        <f t="shared" si="19"/>
        <v>-23142.857142857152</v>
      </c>
      <c r="BP38" s="16">
        <f t="shared" si="20"/>
        <v>-13985.714285714288</v>
      </c>
      <c r="BQ38" s="16">
        <f t="shared" si="21"/>
        <v>-10928.571428571428</v>
      </c>
      <c r="BR38" s="16">
        <f t="shared" si="22"/>
        <v>-12385.714285714284</v>
      </c>
      <c r="BS38" s="14">
        <f>IF([1]Sheet2!CA37=999999,"NA",[1]Sheet2!CA37)</f>
        <v>204093.285714286</v>
      </c>
      <c r="BT38" s="14">
        <f>IF([1]Sheet2!CB37=999999,"NA",[1]Sheet2!CB37)</f>
        <v>252</v>
      </c>
      <c r="BU38" s="14">
        <f>IF([1]Sheet2!CC37=999999,"NA",[1]Sheet2!CC37)</f>
        <v>330</v>
      </c>
      <c r="BV38" s="14">
        <f>IF([1]Sheet2!CD37=999999,"NA",[1]Sheet2!CD37)</f>
        <v>330</v>
      </c>
      <c r="BW38" s="14">
        <f>IF([1]Sheet2!CE37=999999,"NA",[1]Sheet2!CE37)</f>
        <v>292</v>
      </c>
      <c r="BX38" s="14">
        <f>IF([1]Sheet2!CF37=999999,"NA",[1]Sheet2!CF37)</f>
        <v>330</v>
      </c>
      <c r="BY38" s="14">
        <f>IF([1]Sheet2!CG37=999999,"NA",[1]Sheet2!CG37)</f>
        <v>224</v>
      </c>
      <c r="BZ38" s="14">
        <f>IF([1]Sheet2!CH37=999999,"NA",[1]Sheet2!CH37)</f>
        <v>330</v>
      </c>
      <c r="CA38" s="14">
        <f>IF([1]Sheet2!CI37=999999,"NA",[1]Sheet2!CI37)</f>
        <v>330</v>
      </c>
      <c r="CB38" s="14">
        <f>IF([1]Sheet2!CJ37=999999,"NA",[1]Sheet2!CJ37)</f>
        <v>330</v>
      </c>
      <c r="CC38" s="14">
        <f>[1]Sheet2!BG37</f>
        <v>0</v>
      </c>
      <c r="CD38" s="14">
        <f>[1]Sheet2!BH37</f>
        <v>0</v>
      </c>
      <c r="CE38" s="14">
        <f>[1]Sheet2!BI37</f>
        <v>0</v>
      </c>
      <c r="CF38" s="14">
        <f>[1]Sheet2!BJ37</f>
        <v>0</v>
      </c>
      <c r="CG38" s="14">
        <f>[1]Sheet2!BK37</f>
        <v>0</v>
      </c>
      <c r="CH38" s="14">
        <f>[1]Sheet2!BL37</f>
        <v>0</v>
      </c>
      <c r="CI38" s="14">
        <f>[1]Sheet2!BM37</f>
        <v>0</v>
      </c>
      <c r="CJ38" s="14">
        <f>[1]Sheet2!BN37</f>
        <v>0</v>
      </c>
      <c r="CK38" s="14">
        <f>[1]Sheet2!BO37</f>
        <v>0</v>
      </c>
      <c r="CL38" s="14">
        <f>[1]Sheet2!BP37</f>
        <v>0</v>
      </c>
      <c r="CM38" s="16">
        <f>Demand_SW!B$4/28</f>
        <v>94.69780219780219</v>
      </c>
      <c r="CN38" s="16">
        <f>Demand_SW!C$4/28</f>
        <v>0</v>
      </c>
      <c r="CO38" s="16">
        <f>Demand_SW!D$4/28</f>
        <v>0</v>
      </c>
      <c r="CP38" s="16">
        <f>Demand_SW!E$4/28</f>
        <v>0</v>
      </c>
      <c r="CQ38" s="16">
        <f>Demand_SW!F$4/28</f>
        <v>0</v>
      </c>
      <c r="CR38" s="16">
        <f>Demand_SW!G$4/28</f>
        <v>85.714285714285708</v>
      </c>
      <c r="CS38" s="16">
        <f>Demand_SW!H$4/28</f>
        <v>0</v>
      </c>
      <c r="CT38" s="16">
        <f>Demand_SW!I$4/28</f>
        <v>0</v>
      </c>
      <c r="CU38" s="16">
        <f>Demand_SW!J$4/28</f>
        <v>0</v>
      </c>
      <c r="CV38" s="16">
        <f>Demand_SW!K$4/28</f>
        <v>0</v>
      </c>
      <c r="CW38" s="16">
        <f t="shared" si="23"/>
        <v>46294.285714285623</v>
      </c>
      <c r="CX38" s="16">
        <f t="shared" si="24"/>
        <v>500</v>
      </c>
      <c r="CY38" s="16">
        <f t="shared" si="25"/>
        <v>0</v>
      </c>
      <c r="CZ38" s="16">
        <f t="shared" si="26"/>
        <v>0</v>
      </c>
      <c r="DA38" s="16">
        <f t="shared" si="27"/>
        <v>0</v>
      </c>
      <c r="DB38" s="16">
        <f t="shared" si="28"/>
        <v>-3442.8571428571413</v>
      </c>
      <c r="DC38" s="16">
        <f t="shared" si="29"/>
        <v>500</v>
      </c>
      <c r="DD38" s="16">
        <f t="shared" si="30"/>
        <v>0</v>
      </c>
      <c r="DE38" s="16">
        <f t="shared" si="31"/>
        <v>0</v>
      </c>
      <c r="DF38" s="16">
        <f t="shared" si="32"/>
        <v>0</v>
      </c>
      <c r="DG38" s="14">
        <f>IF([1]Sheet2!DR37=999999,"NA",[1]Sheet2!DR37)</f>
        <v>73103</v>
      </c>
      <c r="DH38" s="14">
        <f>IF([1]Sheet2!DS37=999999,"NA",[1]Sheet2!DS37)</f>
        <v>330</v>
      </c>
      <c r="DI38" s="14">
        <f>IF([1]Sheet2!DT37=999999,"NA",[1]Sheet2!DT37)</f>
        <v>330</v>
      </c>
      <c r="DJ38" s="14" t="str">
        <f>IF([1]Sheet2!DU37=999999,"NA",[1]Sheet2!DU37)</f>
        <v>NA</v>
      </c>
      <c r="DK38" s="14" t="str">
        <f>IF([1]Sheet2!DV37=999999,"NA",[1]Sheet2!DV37)</f>
        <v>NA</v>
      </c>
      <c r="DL38" s="14" t="str">
        <f>IF([1]Sheet2!DW37=999999,"NA",[1]Sheet2!DW37)</f>
        <v>NA</v>
      </c>
      <c r="DM38" s="14">
        <f>IF([1]Sheet2!DX37=999999,"NA",[1]Sheet2!DX37)</f>
        <v>330</v>
      </c>
      <c r="DN38" s="14">
        <f>IF([1]Sheet2!DY37=999999,"NA",[1]Sheet2!DY37)</f>
        <v>330</v>
      </c>
      <c r="DO38" s="14" t="str">
        <f>IF([1]Sheet2!DZ37=999999,"NA",[1]Sheet2!DZ37)</f>
        <v>NA</v>
      </c>
      <c r="DP38" s="14" t="str">
        <f>IF([1]Sheet2!EA37=999999,"NA",[1]Sheet2!EA37)</f>
        <v>NA</v>
      </c>
      <c r="DQ38" s="14">
        <f>[1]Sheet2!CX37</f>
        <v>0</v>
      </c>
      <c r="DR38" s="14">
        <f>[1]Sheet2!CY37</f>
        <v>0</v>
      </c>
      <c r="DS38" s="14">
        <f>[1]Sheet2!CZ37</f>
        <v>0</v>
      </c>
      <c r="DT38" s="14">
        <f>[1]Sheet2!DA37</f>
        <v>0</v>
      </c>
      <c r="DU38" s="14">
        <f>[1]Sheet2!DB37</f>
        <v>0</v>
      </c>
      <c r="DV38" s="14">
        <f>[1]Sheet2!DC37</f>
        <v>0</v>
      </c>
      <c r="DW38" s="14">
        <f>[1]Sheet2!DD37</f>
        <v>0</v>
      </c>
      <c r="DX38" s="14">
        <f>[1]Sheet2!DE37</f>
        <v>0</v>
      </c>
      <c r="DY38" s="14">
        <f>[1]Sheet2!DF37</f>
        <v>0</v>
      </c>
      <c r="DZ38" s="14">
        <f>[1]Sheet2!DG37</f>
        <v>0</v>
      </c>
    </row>
    <row r="39" spans="1:130" x14ac:dyDescent="0.25">
      <c r="A39" s="15">
        <v>43501</v>
      </c>
      <c r="B39" s="1"/>
      <c r="C39" s="1"/>
      <c r="D39" s="1"/>
      <c r="E39" s="14">
        <f>[1]Sheet2!N38</f>
        <v>0</v>
      </c>
      <c r="F39" s="14">
        <f>[1]Sheet2!BE38</f>
        <v>0</v>
      </c>
      <c r="G39" s="14">
        <f>[1]Sheet2!CV38</f>
        <v>180.41208791208791</v>
      </c>
      <c r="H39" s="1"/>
      <c r="I39" s="1"/>
      <c r="J39" s="1"/>
      <c r="K39" s="16">
        <f>Demand_CWRS!B$4/28</f>
        <v>131.68146963713369</v>
      </c>
      <c r="L39" s="16">
        <f>Demand_CWRS!C$4/28</f>
        <v>501.27216117216119</v>
      </c>
      <c r="M39" s="16">
        <f>Demand_CWRS!D$4/28</f>
        <v>0</v>
      </c>
      <c r="N39" s="16">
        <f>Demand_CWRS!E$4/28</f>
        <v>130.17472527472526</v>
      </c>
      <c r="O39" s="16">
        <f>Demand_CWRS!F$4/28</f>
        <v>262.94741300366297</v>
      </c>
      <c r="P39" s="16">
        <f>Demand_CWRS!G$4/28</f>
        <v>127.85714285714286</v>
      </c>
      <c r="Q39" s="16">
        <f>Demand_CWRS!H$4/28</f>
        <v>501.27216117216119</v>
      </c>
      <c r="R39" s="16">
        <f>Demand_CWRS!I$4/28</f>
        <v>214.28571428571428</v>
      </c>
      <c r="S39" s="16">
        <f>Demand_CWRS!J$4/28</f>
        <v>207.14285714285714</v>
      </c>
      <c r="T39" s="16">
        <f>Demand_CWRS!K$4/28</f>
        <v>221.42857142857142</v>
      </c>
      <c r="U39" s="16">
        <f t="shared" si="3"/>
        <v>-7368.2700084420785</v>
      </c>
      <c r="V39" s="16">
        <f t="shared" si="4"/>
        <v>-7999.3710622710614</v>
      </c>
      <c r="W39" s="16">
        <f t="shared" si="5"/>
        <v>0</v>
      </c>
      <c r="X39" s="16">
        <f t="shared" si="6"/>
        <v>-1715.9056776556781</v>
      </c>
      <c r="Y39" s="16">
        <f t="shared" si="7"/>
        <v>-6464.1760874542124</v>
      </c>
      <c r="Z39" s="16">
        <f t="shared" si="8"/>
        <v>-7239.2857142857174</v>
      </c>
      <c r="AA39" s="16">
        <f t="shared" si="9"/>
        <v>-7499.3710622710614</v>
      </c>
      <c r="AB39" s="16">
        <f t="shared" si="10"/>
        <v>-5271.4285714285734</v>
      </c>
      <c r="AC39" s="16">
        <f t="shared" si="11"/>
        <v>-5435.7142857142844</v>
      </c>
      <c r="AD39" s="16">
        <f t="shared" si="12"/>
        <v>-5807.142857142856</v>
      </c>
      <c r="AE39" s="14">
        <f>IF([1]Sheet2!AJ38=999999,"NA",[1]Sheet2!AJ38)</f>
        <v>91</v>
      </c>
      <c r="AF39" s="14">
        <f>IF([1]Sheet2!AK38=999999,"NA",[1]Sheet2!AK38)</f>
        <v>22</v>
      </c>
      <c r="AG39" s="14" t="str">
        <f>IF([1]Sheet2!AL38=999999,"NA",[1]Sheet2!AL38)</f>
        <v>NA</v>
      </c>
      <c r="AH39" s="14">
        <f>IF([1]Sheet2!AM38=999999,"NA",[1]Sheet2!AM38)</f>
        <v>329</v>
      </c>
      <c r="AI39" s="14">
        <f>IF([1]Sheet2!AN38=999999,"NA",[1]Sheet2!AN38)</f>
        <v>329</v>
      </c>
      <c r="AJ39" s="14">
        <f>IF([1]Sheet2!AO38=999999,"NA",[1]Sheet2!AO38)</f>
        <v>329</v>
      </c>
      <c r="AK39" s="14">
        <f>IF([1]Sheet2!AP38=999999,"NA",[1]Sheet2!AP38)</f>
        <v>74</v>
      </c>
      <c r="AL39" s="14">
        <f>IF([1]Sheet2!AQ38=999999,"NA",[1]Sheet2!AQ38)</f>
        <v>205</v>
      </c>
      <c r="AM39" s="14">
        <f>IF([1]Sheet2!AR38=999999,"NA",[1]Sheet2!AR38)</f>
        <v>329</v>
      </c>
      <c r="AN39" s="14">
        <f>IF([1]Sheet2!AS38=999999,"NA",[1]Sheet2!AS38)</f>
        <v>261</v>
      </c>
      <c r="AO39" s="14">
        <f>[1]Sheet2!P38</f>
        <v>0</v>
      </c>
      <c r="AP39" s="14">
        <f>[1]Sheet2!Q38</f>
        <v>0</v>
      </c>
      <c r="AQ39" s="14">
        <f>[1]Sheet2!R38</f>
        <v>0</v>
      </c>
      <c r="AR39" s="14">
        <f>[1]Sheet2!S38</f>
        <v>0</v>
      </c>
      <c r="AS39" s="14">
        <f>[1]Sheet2!T38</f>
        <v>0</v>
      </c>
      <c r="AT39" s="14">
        <f>[1]Sheet2!U38</f>
        <v>0</v>
      </c>
      <c r="AU39" s="14">
        <f>[1]Sheet2!V38</f>
        <v>0</v>
      </c>
      <c r="AV39" s="14">
        <f>[1]Sheet2!W38</f>
        <v>0</v>
      </c>
      <c r="AW39" s="14">
        <f>[1]Sheet2!X38</f>
        <v>0</v>
      </c>
      <c r="AX39" s="14">
        <f>[1]Sheet2!Y38</f>
        <v>0</v>
      </c>
      <c r="AY39" s="16">
        <f>Demand_LP!B$4/28</f>
        <v>811.09813487293957</v>
      </c>
      <c r="AZ39" s="16">
        <f>Demand_LP!C$4/28</f>
        <v>502.83223443223443</v>
      </c>
      <c r="BA39" s="16">
        <f>Demand_LP!D$4/28</f>
        <v>282.53663003663002</v>
      </c>
      <c r="BB39" s="16">
        <f>Demand_LP!E$4/28</f>
        <v>759.73919413919407</v>
      </c>
      <c r="BC39" s="16">
        <f>Demand_LP!F$4/28</f>
        <v>495.28213999542123</v>
      </c>
      <c r="BD39" s="16">
        <f>Demand_LP!G$4/28</f>
        <v>821.42857142857144</v>
      </c>
      <c r="BE39" s="16">
        <f>Demand_LP!H$4/28</f>
        <v>535.71428571428567</v>
      </c>
      <c r="BF39" s="16">
        <f>Demand_LP!I$4/28</f>
        <v>496.42857142857144</v>
      </c>
      <c r="BG39" s="16">
        <f>Demand_LP!J$4/28</f>
        <v>482.14285714285717</v>
      </c>
      <c r="BH39" s="16">
        <f>Demand_LP!K$4/28</f>
        <v>471.42857142857144</v>
      </c>
      <c r="BI39" s="16" t="e">
        <f t="shared" si="13"/>
        <v>#VALUE!</v>
      </c>
      <c r="BJ39" s="16">
        <f t="shared" si="14"/>
        <v>-22077.279120879113</v>
      </c>
      <c r="BK39" s="16">
        <f t="shared" si="15"/>
        <v>-6580.1831501831557</v>
      </c>
      <c r="BL39" s="16">
        <f t="shared" si="16"/>
        <v>-22391.420329670338</v>
      </c>
      <c r="BM39" s="16">
        <f t="shared" si="17"/>
        <v>-14426.809818566846</v>
      </c>
      <c r="BN39" s="16">
        <f t="shared" si="18"/>
        <v>-18107.142857142855</v>
      </c>
      <c r="BO39" s="16">
        <f t="shared" si="19"/>
        <v>-23678.571428571438</v>
      </c>
      <c r="BP39" s="16">
        <f t="shared" si="20"/>
        <v>-14482.142857142859</v>
      </c>
      <c r="BQ39" s="16">
        <f t="shared" si="21"/>
        <v>-11410.714285714284</v>
      </c>
      <c r="BR39" s="16">
        <f t="shared" si="22"/>
        <v>-12857.142857142855</v>
      </c>
      <c r="BS39" s="14">
        <f>IF([1]Sheet2!CA38=999999,"NA",[1]Sheet2!CA38)</f>
        <v>203621.85714285742</v>
      </c>
      <c r="BT39" s="14">
        <f>IF([1]Sheet2!CB38=999999,"NA",[1]Sheet2!CB38)</f>
        <v>251</v>
      </c>
      <c r="BU39" s="14">
        <f>IF([1]Sheet2!CC38=999999,"NA",[1]Sheet2!CC38)</f>
        <v>329</v>
      </c>
      <c r="BV39" s="14">
        <f>IF([1]Sheet2!CD38=999999,"NA",[1]Sheet2!CD38)</f>
        <v>329</v>
      </c>
      <c r="BW39" s="14">
        <f>IF([1]Sheet2!CE38=999999,"NA",[1]Sheet2!CE38)</f>
        <v>291</v>
      </c>
      <c r="BX39" s="14">
        <f>IF([1]Sheet2!CF38=999999,"NA",[1]Sheet2!CF38)</f>
        <v>329</v>
      </c>
      <c r="BY39" s="14">
        <f>IF([1]Sheet2!CG38=999999,"NA",[1]Sheet2!CG38)</f>
        <v>223</v>
      </c>
      <c r="BZ39" s="14">
        <f>IF([1]Sheet2!CH38=999999,"NA",[1]Sheet2!CH38)</f>
        <v>329</v>
      </c>
      <c r="CA39" s="14">
        <f>IF([1]Sheet2!CI38=999999,"NA",[1]Sheet2!CI38)</f>
        <v>329</v>
      </c>
      <c r="CB39" s="14">
        <f>IF([1]Sheet2!CJ38=999999,"NA",[1]Sheet2!CJ38)</f>
        <v>329</v>
      </c>
      <c r="CC39" s="14">
        <f>[1]Sheet2!BG38</f>
        <v>0</v>
      </c>
      <c r="CD39" s="14">
        <f>[1]Sheet2!BH38</f>
        <v>0</v>
      </c>
      <c r="CE39" s="14">
        <f>[1]Sheet2!BI38</f>
        <v>0</v>
      </c>
      <c r="CF39" s="14">
        <f>[1]Sheet2!BJ38</f>
        <v>0</v>
      </c>
      <c r="CG39" s="14">
        <f>[1]Sheet2!BK38</f>
        <v>0</v>
      </c>
      <c r="CH39" s="14">
        <f>[1]Sheet2!BL38</f>
        <v>0</v>
      </c>
      <c r="CI39" s="14">
        <f>[1]Sheet2!BM38</f>
        <v>0</v>
      </c>
      <c r="CJ39" s="14">
        <f>[1]Sheet2!BN38</f>
        <v>0</v>
      </c>
      <c r="CK39" s="14">
        <f>[1]Sheet2!BO38</f>
        <v>0</v>
      </c>
      <c r="CL39" s="14">
        <f>[1]Sheet2!BP38</f>
        <v>0</v>
      </c>
      <c r="CM39" s="16">
        <f>Demand_SW!B$4/28</f>
        <v>94.69780219780219</v>
      </c>
      <c r="CN39" s="16">
        <f>Demand_SW!C$4/28</f>
        <v>0</v>
      </c>
      <c r="CO39" s="16">
        <f>Demand_SW!D$4/28</f>
        <v>0</v>
      </c>
      <c r="CP39" s="16">
        <f>Demand_SW!E$4/28</f>
        <v>0</v>
      </c>
      <c r="CQ39" s="16">
        <f>Demand_SW!F$4/28</f>
        <v>0</v>
      </c>
      <c r="CR39" s="16">
        <f>Demand_SW!G$4/28</f>
        <v>85.714285714285708</v>
      </c>
      <c r="CS39" s="16">
        <f>Demand_SW!H$4/28</f>
        <v>0</v>
      </c>
      <c r="CT39" s="16">
        <f>Demand_SW!I$4/28</f>
        <v>0</v>
      </c>
      <c r="CU39" s="16">
        <f>Demand_SW!J$4/28</f>
        <v>0</v>
      </c>
      <c r="CV39" s="16">
        <f>Demand_SW!K$4/28</f>
        <v>0</v>
      </c>
      <c r="CW39" s="16">
        <f t="shared" si="23"/>
        <v>46199.587912087823</v>
      </c>
      <c r="CX39" s="16">
        <f t="shared" si="24"/>
        <v>500</v>
      </c>
      <c r="CY39" s="16">
        <f t="shared" si="25"/>
        <v>0</v>
      </c>
      <c r="CZ39" s="16">
        <f t="shared" si="26"/>
        <v>0</v>
      </c>
      <c r="DA39" s="16">
        <f t="shared" si="27"/>
        <v>0</v>
      </c>
      <c r="DB39" s="16">
        <f t="shared" si="28"/>
        <v>-3528.5714285714271</v>
      </c>
      <c r="DC39" s="16">
        <f t="shared" si="29"/>
        <v>500</v>
      </c>
      <c r="DD39" s="16">
        <f t="shared" si="30"/>
        <v>0</v>
      </c>
      <c r="DE39" s="16">
        <f t="shared" si="31"/>
        <v>0</v>
      </c>
      <c r="DF39" s="16">
        <f t="shared" si="32"/>
        <v>0</v>
      </c>
      <c r="DG39" s="14">
        <f>IF([1]Sheet2!DR38=999999,"NA",[1]Sheet2!DR38)</f>
        <v>73103</v>
      </c>
      <c r="DH39" s="14">
        <f>IF([1]Sheet2!DS38=999999,"NA",[1]Sheet2!DS38)</f>
        <v>329</v>
      </c>
      <c r="DI39" s="14">
        <f>IF([1]Sheet2!DT38=999999,"NA",[1]Sheet2!DT38)</f>
        <v>329</v>
      </c>
      <c r="DJ39" s="14" t="str">
        <f>IF([1]Sheet2!DU38=999999,"NA",[1]Sheet2!DU38)</f>
        <v>NA</v>
      </c>
      <c r="DK39" s="14" t="str">
        <f>IF([1]Sheet2!DV38=999999,"NA",[1]Sheet2!DV38)</f>
        <v>NA</v>
      </c>
      <c r="DL39" s="14" t="str">
        <f>IF([1]Sheet2!DW38=999999,"NA",[1]Sheet2!DW38)</f>
        <v>NA</v>
      </c>
      <c r="DM39" s="14">
        <f>IF([1]Sheet2!DX38=999999,"NA",[1]Sheet2!DX38)</f>
        <v>329</v>
      </c>
      <c r="DN39" s="14">
        <f>IF([1]Sheet2!DY38=999999,"NA",[1]Sheet2!DY38)</f>
        <v>329</v>
      </c>
      <c r="DO39" s="14" t="str">
        <f>IF([1]Sheet2!DZ38=999999,"NA",[1]Sheet2!DZ38)</f>
        <v>NA</v>
      </c>
      <c r="DP39" s="14" t="str">
        <f>IF([1]Sheet2!EA38=999999,"NA",[1]Sheet2!EA38)</f>
        <v>NA</v>
      </c>
      <c r="DQ39" s="14">
        <f>[1]Sheet2!CX38</f>
        <v>0</v>
      </c>
      <c r="DR39" s="14">
        <f>[1]Sheet2!CY38</f>
        <v>0</v>
      </c>
      <c r="DS39" s="14">
        <f>[1]Sheet2!CZ38</f>
        <v>0</v>
      </c>
      <c r="DT39" s="14">
        <f>[1]Sheet2!DA38</f>
        <v>0</v>
      </c>
      <c r="DU39" s="14">
        <f>[1]Sheet2!DB38</f>
        <v>0</v>
      </c>
      <c r="DV39" s="14">
        <f>[1]Sheet2!DC38</f>
        <v>0</v>
      </c>
      <c r="DW39" s="14">
        <f>[1]Sheet2!DD38</f>
        <v>0</v>
      </c>
      <c r="DX39" s="14">
        <f>[1]Sheet2!DE38</f>
        <v>0</v>
      </c>
      <c r="DY39" s="14">
        <f>[1]Sheet2!DF38</f>
        <v>0</v>
      </c>
      <c r="DZ39" s="14">
        <f>[1]Sheet2!DG38</f>
        <v>0</v>
      </c>
    </row>
    <row r="40" spans="1:130" x14ac:dyDescent="0.25">
      <c r="A40" s="15">
        <v>43502</v>
      </c>
      <c r="B40" s="1"/>
      <c r="C40" s="1"/>
      <c r="D40" s="1"/>
      <c r="E40" s="14">
        <f>[1]Sheet2!N39</f>
        <v>0</v>
      </c>
      <c r="F40" s="14">
        <f>[1]Sheet2!BE39</f>
        <v>0</v>
      </c>
      <c r="G40" s="14">
        <f>[1]Sheet2!CV39</f>
        <v>180.41208791208791</v>
      </c>
      <c r="H40" s="1"/>
      <c r="I40" s="1"/>
      <c r="J40" s="1"/>
      <c r="K40" s="16">
        <f>Demand_CWRS!B$4/28</f>
        <v>131.68146963713369</v>
      </c>
      <c r="L40" s="16">
        <f>Demand_CWRS!C$4/28</f>
        <v>501.27216117216119</v>
      </c>
      <c r="M40" s="16">
        <f>Demand_CWRS!D$4/28</f>
        <v>0</v>
      </c>
      <c r="N40" s="16">
        <f>Demand_CWRS!E$4/28</f>
        <v>130.17472527472526</v>
      </c>
      <c r="O40" s="16">
        <f>Demand_CWRS!F$4/28</f>
        <v>262.94741300366297</v>
      </c>
      <c r="P40" s="16">
        <f>Demand_CWRS!G$4/28</f>
        <v>127.85714285714286</v>
      </c>
      <c r="Q40" s="16">
        <f>Demand_CWRS!H$4/28</f>
        <v>501.27216117216119</v>
      </c>
      <c r="R40" s="16">
        <f>Demand_CWRS!I$4/28</f>
        <v>214.28571428571428</v>
      </c>
      <c r="S40" s="16">
        <f>Demand_CWRS!J$4/28</f>
        <v>207.14285714285714</v>
      </c>
      <c r="T40" s="16">
        <f>Demand_CWRS!K$4/28</f>
        <v>221.42857142857142</v>
      </c>
      <c r="U40" s="16">
        <f t="shared" si="3"/>
        <v>-7499.9514780792124</v>
      </c>
      <c r="V40" s="16">
        <f t="shared" si="4"/>
        <v>-8500.6432234432232</v>
      </c>
      <c r="W40" s="16">
        <f t="shared" si="5"/>
        <v>0</v>
      </c>
      <c r="X40" s="16">
        <f t="shared" si="6"/>
        <v>-1846.0804029304034</v>
      </c>
      <c r="Y40" s="16">
        <f t="shared" si="7"/>
        <v>-6727.1235004578757</v>
      </c>
      <c r="Z40" s="16">
        <f t="shared" si="8"/>
        <v>-7367.1428571428605</v>
      </c>
      <c r="AA40" s="16">
        <f t="shared" si="9"/>
        <v>-8000.6432234432223</v>
      </c>
      <c r="AB40" s="16">
        <f t="shared" si="10"/>
        <v>-5485.7142857142881</v>
      </c>
      <c r="AC40" s="16">
        <f t="shared" si="11"/>
        <v>-5642.8571428571413</v>
      </c>
      <c r="AD40" s="16">
        <f t="shared" si="12"/>
        <v>-6028.5714285714275</v>
      </c>
      <c r="AE40" s="14">
        <f>IF([1]Sheet2!AJ39=999999,"NA",[1]Sheet2!AJ39)</f>
        <v>90</v>
      </c>
      <c r="AF40" s="14">
        <f>IF([1]Sheet2!AK39=999999,"NA",[1]Sheet2!AK39)</f>
        <v>21</v>
      </c>
      <c r="AG40" s="14" t="str">
        <f>IF([1]Sheet2!AL39=999999,"NA",[1]Sheet2!AL39)</f>
        <v>NA</v>
      </c>
      <c r="AH40" s="14">
        <f>IF([1]Sheet2!AM39=999999,"NA",[1]Sheet2!AM39)</f>
        <v>328</v>
      </c>
      <c r="AI40" s="14">
        <f>IF([1]Sheet2!AN39=999999,"NA",[1]Sheet2!AN39)</f>
        <v>328</v>
      </c>
      <c r="AJ40" s="14">
        <f>IF([1]Sheet2!AO39=999999,"NA",[1]Sheet2!AO39)</f>
        <v>328</v>
      </c>
      <c r="AK40" s="14">
        <f>IF([1]Sheet2!AP39=999999,"NA",[1]Sheet2!AP39)</f>
        <v>73</v>
      </c>
      <c r="AL40" s="14">
        <f>IF([1]Sheet2!AQ39=999999,"NA",[1]Sheet2!AQ39)</f>
        <v>204</v>
      </c>
      <c r="AM40" s="14">
        <f>IF([1]Sheet2!AR39=999999,"NA",[1]Sheet2!AR39)</f>
        <v>328</v>
      </c>
      <c r="AN40" s="14">
        <f>IF([1]Sheet2!AS39=999999,"NA",[1]Sheet2!AS39)</f>
        <v>260</v>
      </c>
      <c r="AO40" s="14">
        <f>[1]Sheet2!P39</f>
        <v>0</v>
      </c>
      <c r="AP40" s="14">
        <f>[1]Sheet2!Q39</f>
        <v>0</v>
      </c>
      <c r="AQ40" s="14">
        <f>[1]Sheet2!R39</f>
        <v>0</v>
      </c>
      <c r="AR40" s="14">
        <f>[1]Sheet2!S39</f>
        <v>0</v>
      </c>
      <c r="AS40" s="14">
        <f>[1]Sheet2!T39</f>
        <v>0</v>
      </c>
      <c r="AT40" s="14">
        <f>[1]Sheet2!U39</f>
        <v>0</v>
      </c>
      <c r="AU40" s="14">
        <f>[1]Sheet2!V39</f>
        <v>0</v>
      </c>
      <c r="AV40" s="14">
        <f>[1]Sheet2!W39</f>
        <v>0</v>
      </c>
      <c r="AW40" s="14">
        <f>[1]Sheet2!X39</f>
        <v>0</v>
      </c>
      <c r="AX40" s="14">
        <f>[1]Sheet2!Y39</f>
        <v>0</v>
      </c>
      <c r="AY40" s="16">
        <f>Demand_LP!B$4/28</f>
        <v>811.09813487293957</v>
      </c>
      <c r="AZ40" s="16">
        <f>Demand_LP!C$4/28</f>
        <v>502.83223443223443</v>
      </c>
      <c r="BA40" s="16">
        <f>Demand_LP!D$4/28</f>
        <v>282.53663003663002</v>
      </c>
      <c r="BB40" s="16">
        <f>Demand_LP!E$4/28</f>
        <v>759.73919413919407</v>
      </c>
      <c r="BC40" s="16">
        <f>Demand_LP!F$4/28</f>
        <v>495.28213999542123</v>
      </c>
      <c r="BD40" s="16">
        <f>Demand_LP!G$4/28</f>
        <v>821.42857142857144</v>
      </c>
      <c r="BE40" s="16">
        <f>Demand_LP!H$4/28</f>
        <v>535.71428571428567</v>
      </c>
      <c r="BF40" s="16">
        <f>Demand_LP!I$4/28</f>
        <v>496.42857142857144</v>
      </c>
      <c r="BG40" s="16">
        <f>Demand_LP!J$4/28</f>
        <v>482.14285714285717</v>
      </c>
      <c r="BH40" s="16">
        <f>Demand_LP!K$4/28</f>
        <v>471.42857142857144</v>
      </c>
      <c r="BI40" s="16" t="e">
        <f t="shared" si="13"/>
        <v>#VALUE!</v>
      </c>
      <c r="BJ40" s="16">
        <f t="shared" si="14"/>
        <v>-22580.111355311346</v>
      </c>
      <c r="BK40" s="16">
        <f t="shared" si="15"/>
        <v>-6862.7197802197861</v>
      </c>
      <c r="BL40" s="16">
        <f t="shared" si="16"/>
        <v>-23151.159523809532</v>
      </c>
      <c r="BM40" s="16">
        <f t="shared" si="17"/>
        <v>-14922.091958562267</v>
      </c>
      <c r="BN40" s="16">
        <f t="shared" si="18"/>
        <v>-18928.571428571428</v>
      </c>
      <c r="BO40" s="16">
        <f t="shared" si="19"/>
        <v>-24214.285714285725</v>
      </c>
      <c r="BP40" s="16">
        <f t="shared" si="20"/>
        <v>-14978.571428571429</v>
      </c>
      <c r="BQ40" s="16">
        <f t="shared" si="21"/>
        <v>-11892.857142857141</v>
      </c>
      <c r="BR40" s="16">
        <f t="shared" si="22"/>
        <v>-13328.571428571426</v>
      </c>
      <c r="BS40" s="14">
        <f>IF([1]Sheet2!CA39=999999,"NA",[1]Sheet2!CA39)</f>
        <v>203150.42857142884</v>
      </c>
      <c r="BT40" s="14">
        <f>IF([1]Sheet2!CB39=999999,"NA",[1]Sheet2!CB39)</f>
        <v>250</v>
      </c>
      <c r="BU40" s="14">
        <f>IF([1]Sheet2!CC39=999999,"NA",[1]Sheet2!CC39)</f>
        <v>328</v>
      </c>
      <c r="BV40" s="14">
        <f>IF([1]Sheet2!CD39=999999,"NA",[1]Sheet2!CD39)</f>
        <v>328</v>
      </c>
      <c r="BW40" s="14">
        <f>IF([1]Sheet2!CE39=999999,"NA",[1]Sheet2!CE39)</f>
        <v>290</v>
      </c>
      <c r="BX40" s="14">
        <f>IF([1]Sheet2!CF39=999999,"NA",[1]Sheet2!CF39)</f>
        <v>328</v>
      </c>
      <c r="BY40" s="14">
        <f>IF([1]Sheet2!CG39=999999,"NA",[1]Sheet2!CG39)</f>
        <v>222</v>
      </c>
      <c r="BZ40" s="14">
        <f>IF([1]Sheet2!CH39=999999,"NA",[1]Sheet2!CH39)</f>
        <v>328</v>
      </c>
      <c r="CA40" s="14">
        <f>IF([1]Sheet2!CI39=999999,"NA",[1]Sheet2!CI39)</f>
        <v>328</v>
      </c>
      <c r="CB40" s="14">
        <f>IF([1]Sheet2!CJ39=999999,"NA",[1]Sheet2!CJ39)</f>
        <v>328</v>
      </c>
      <c r="CC40" s="14">
        <f>[1]Sheet2!BG39</f>
        <v>0</v>
      </c>
      <c r="CD40" s="14">
        <f>[1]Sheet2!BH39</f>
        <v>0</v>
      </c>
      <c r="CE40" s="14">
        <f>[1]Sheet2!BI39</f>
        <v>0</v>
      </c>
      <c r="CF40" s="14">
        <f>[1]Sheet2!BJ39</f>
        <v>0</v>
      </c>
      <c r="CG40" s="14">
        <f>[1]Sheet2!BK39</f>
        <v>0</v>
      </c>
      <c r="CH40" s="14">
        <f>[1]Sheet2!BL39</f>
        <v>0</v>
      </c>
      <c r="CI40" s="14">
        <f>[1]Sheet2!BM39</f>
        <v>0</v>
      </c>
      <c r="CJ40" s="14">
        <f>[1]Sheet2!BN39</f>
        <v>0</v>
      </c>
      <c r="CK40" s="14">
        <f>[1]Sheet2!BO39</f>
        <v>0</v>
      </c>
      <c r="CL40" s="14">
        <f>[1]Sheet2!BP39</f>
        <v>0</v>
      </c>
      <c r="CM40" s="16">
        <f>Demand_SW!B$4/28</f>
        <v>94.69780219780219</v>
      </c>
      <c r="CN40" s="16">
        <f>Demand_SW!C$4/28</f>
        <v>0</v>
      </c>
      <c r="CO40" s="16">
        <f>Demand_SW!D$4/28</f>
        <v>0</v>
      </c>
      <c r="CP40" s="16">
        <f>Demand_SW!E$4/28</f>
        <v>0</v>
      </c>
      <c r="CQ40" s="16">
        <f>Demand_SW!F$4/28</f>
        <v>0</v>
      </c>
      <c r="CR40" s="16">
        <f>Demand_SW!G$4/28</f>
        <v>85.714285714285708</v>
      </c>
      <c r="CS40" s="16">
        <f>Demand_SW!H$4/28</f>
        <v>0</v>
      </c>
      <c r="CT40" s="16">
        <f>Demand_SW!I$4/28</f>
        <v>0</v>
      </c>
      <c r="CU40" s="16">
        <f>Demand_SW!J$4/28</f>
        <v>0</v>
      </c>
      <c r="CV40" s="16">
        <f>Demand_SW!K$4/28</f>
        <v>0</v>
      </c>
      <c r="CW40" s="16">
        <f t="shared" si="23"/>
        <v>46104.890109890024</v>
      </c>
      <c r="CX40" s="16">
        <f t="shared" si="24"/>
        <v>500</v>
      </c>
      <c r="CY40" s="16">
        <f t="shared" si="25"/>
        <v>0</v>
      </c>
      <c r="CZ40" s="16">
        <f t="shared" si="26"/>
        <v>0</v>
      </c>
      <c r="DA40" s="16">
        <f t="shared" si="27"/>
        <v>0</v>
      </c>
      <c r="DB40" s="16">
        <f t="shared" si="28"/>
        <v>-3614.2857142857129</v>
      </c>
      <c r="DC40" s="16">
        <f t="shared" si="29"/>
        <v>500</v>
      </c>
      <c r="DD40" s="16">
        <f t="shared" si="30"/>
        <v>0</v>
      </c>
      <c r="DE40" s="16">
        <f t="shared" si="31"/>
        <v>0</v>
      </c>
      <c r="DF40" s="16">
        <f t="shared" si="32"/>
        <v>0</v>
      </c>
      <c r="DG40" s="14">
        <f>IF([1]Sheet2!DR39=999999,"NA",[1]Sheet2!DR39)</f>
        <v>73103</v>
      </c>
      <c r="DH40" s="14">
        <f>IF([1]Sheet2!DS39=999999,"NA",[1]Sheet2!DS39)</f>
        <v>328</v>
      </c>
      <c r="DI40" s="14">
        <f>IF([1]Sheet2!DT39=999999,"NA",[1]Sheet2!DT39)</f>
        <v>328</v>
      </c>
      <c r="DJ40" s="14" t="str">
        <f>IF([1]Sheet2!DU39=999999,"NA",[1]Sheet2!DU39)</f>
        <v>NA</v>
      </c>
      <c r="DK40" s="14" t="str">
        <f>IF([1]Sheet2!DV39=999999,"NA",[1]Sheet2!DV39)</f>
        <v>NA</v>
      </c>
      <c r="DL40" s="14" t="str">
        <f>IF([1]Sheet2!DW39=999999,"NA",[1]Sheet2!DW39)</f>
        <v>NA</v>
      </c>
      <c r="DM40" s="14">
        <f>IF([1]Sheet2!DX39=999999,"NA",[1]Sheet2!DX39)</f>
        <v>328</v>
      </c>
      <c r="DN40" s="14">
        <f>IF([1]Sheet2!DY39=999999,"NA",[1]Sheet2!DY39)</f>
        <v>328</v>
      </c>
      <c r="DO40" s="14" t="str">
        <f>IF([1]Sheet2!DZ39=999999,"NA",[1]Sheet2!DZ39)</f>
        <v>NA</v>
      </c>
      <c r="DP40" s="14" t="str">
        <f>IF([1]Sheet2!EA39=999999,"NA",[1]Sheet2!EA39)</f>
        <v>NA</v>
      </c>
      <c r="DQ40" s="14">
        <f>[1]Sheet2!CX39</f>
        <v>0</v>
      </c>
      <c r="DR40" s="14">
        <f>[1]Sheet2!CY39</f>
        <v>0</v>
      </c>
      <c r="DS40" s="14">
        <f>[1]Sheet2!CZ39</f>
        <v>0</v>
      </c>
      <c r="DT40" s="14">
        <f>[1]Sheet2!DA39</f>
        <v>0</v>
      </c>
      <c r="DU40" s="14">
        <f>[1]Sheet2!DB39</f>
        <v>0</v>
      </c>
      <c r="DV40" s="14">
        <f>[1]Sheet2!DC39</f>
        <v>0</v>
      </c>
      <c r="DW40" s="14">
        <f>[1]Sheet2!DD39</f>
        <v>0</v>
      </c>
      <c r="DX40" s="14">
        <f>[1]Sheet2!DE39</f>
        <v>0</v>
      </c>
      <c r="DY40" s="14">
        <f>[1]Sheet2!DF39</f>
        <v>0</v>
      </c>
      <c r="DZ40" s="14">
        <f>[1]Sheet2!DG39</f>
        <v>0</v>
      </c>
    </row>
    <row r="41" spans="1:130" x14ac:dyDescent="0.25">
      <c r="A41" s="15">
        <v>43503</v>
      </c>
      <c r="B41" s="1"/>
      <c r="C41" s="1"/>
      <c r="D41" s="1"/>
      <c r="E41" s="14">
        <f>[1]Sheet2!N40</f>
        <v>0</v>
      </c>
      <c r="F41" s="14">
        <f>[1]Sheet2!BE40</f>
        <v>0</v>
      </c>
      <c r="G41" s="14">
        <f>[1]Sheet2!CV40</f>
        <v>180.41208791208791</v>
      </c>
      <c r="H41" s="1"/>
      <c r="I41" s="1"/>
      <c r="J41" s="1"/>
      <c r="K41" s="16">
        <f>Demand_CWRS!B$4/28</f>
        <v>131.68146963713369</v>
      </c>
      <c r="L41" s="16">
        <f>Demand_CWRS!C$4/28</f>
        <v>501.27216117216119</v>
      </c>
      <c r="M41" s="16">
        <f>Demand_CWRS!D$4/28</f>
        <v>0</v>
      </c>
      <c r="N41" s="16">
        <f>Demand_CWRS!E$4/28</f>
        <v>130.17472527472526</v>
      </c>
      <c r="O41" s="16">
        <f>Demand_CWRS!F$4/28</f>
        <v>262.94741300366297</v>
      </c>
      <c r="P41" s="16">
        <f>Demand_CWRS!G$4/28</f>
        <v>127.85714285714286</v>
      </c>
      <c r="Q41" s="16">
        <f>Demand_CWRS!H$4/28</f>
        <v>501.27216117216119</v>
      </c>
      <c r="R41" s="16">
        <f>Demand_CWRS!I$4/28</f>
        <v>214.28571428571428</v>
      </c>
      <c r="S41" s="16">
        <f>Demand_CWRS!J$4/28</f>
        <v>207.14285714285714</v>
      </c>
      <c r="T41" s="16">
        <f>Demand_CWRS!K$4/28</f>
        <v>221.42857142857142</v>
      </c>
      <c r="U41" s="16">
        <f t="shared" si="3"/>
        <v>-7631.6329477163463</v>
      </c>
      <c r="V41" s="16">
        <f t="shared" si="4"/>
        <v>-9001.915384615384</v>
      </c>
      <c r="W41" s="16">
        <f t="shared" si="5"/>
        <v>0</v>
      </c>
      <c r="X41" s="16">
        <f t="shared" si="6"/>
        <v>-1976.2551282051286</v>
      </c>
      <c r="Y41" s="16">
        <f t="shared" si="7"/>
        <v>-6990.070913461539</v>
      </c>
      <c r="Z41" s="16">
        <f t="shared" si="8"/>
        <v>-7495.0000000000036</v>
      </c>
      <c r="AA41" s="16">
        <f t="shared" si="9"/>
        <v>-8501.915384615384</v>
      </c>
      <c r="AB41" s="16">
        <f t="shared" si="10"/>
        <v>-5700.0000000000027</v>
      </c>
      <c r="AC41" s="16">
        <f t="shared" si="11"/>
        <v>-5849.9999999999982</v>
      </c>
      <c r="AD41" s="16">
        <f t="shared" si="12"/>
        <v>-6249.9999999999991</v>
      </c>
      <c r="AE41" s="14">
        <f>IF([1]Sheet2!AJ40=999999,"NA",[1]Sheet2!AJ40)</f>
        <v>89</v>
      </c>
      <c r="AF41" s="14">
        <f>IF([1]Sheet2!AK40=999999,"NA",[1]Sheet2!AK40)</f>
        <v>20</v>
      </c>
      <c r="AG41" s="14" t="str">
        <f>IF([1]Sheet2!AL40=999999,"NA",[1]Sheet2!AL40)</f>
        <v>NA</v>
      </c>
      <c r="AH41" s="14">
        <f>IF([1]Sheet2!AM40=999999,"NA",[1]Sheet2!AM40)</f>
        <v>327</v>
      </c>
      <c r="AI41" s="14">
        <f>IF([1]Sheet2!AN40=999999,"NA",[1]Sheet2!AN40)</f>
        <v>327</v>
      </c>
      <c r="AJ41" s="14">
        <f>IF([1]Sheet2!AO40=999999,"NA",[1]Sheet2!AO40)</f>
        <v>327</v>
      </c>
      <c r="AK41" s="14">
        <f>IF([1]Sheet2!AP40=999999,"NA",[1]Sheet2!AP40)</f>
        <v>72</v>
      </c>
      <c r="AL41" s="14">
        <f>IF([1]Sheet2!AQ40=999999,"NA",[1]Sheet2!AQ40)</f>
        <v>203</v>
      </c>
      <c r="AM41" s="14">
        <f>IF([1]Sheet2!AR40=999999,"NA",[1]Sheet2!AR40)</f>
        <v>327</v>
      </c>
      <c r="AN41" s="14">
        <f>IF([1]Sheet2!AS40=999999,"NA",[1]Sheet2!AS40)</f>
        <v>259</v>
      </c>
      <c r="AO41" s="14">
        <f>[1]Sheet2!P40</f>
        <v>0</v>
      </c>
      <c r="AP41" s="14">
        <f>[1]Sheet2!Q40</f>
        <v>0</v>
      </c>
      <c r="AQ41" s="14">
        <f>[1]Sheet2!R40</f>
        <v>0</v>
      </c>
      <c r="AR41" s="14">
        <f>[1]Sheet2!S40</f>
        <v>0</v>
      </c>
      <c r="AS41" s="14">
        <f>[1]Sheet2!T40</f>
        <v>0</v>
      </c>
      <c r="AT41" s="14">
        <f>[1]Sheet2!U40</f>
        <v>0</v>
      </c>
      <c r="AU41" s="14">
        <f>[1]Sheet2!V40</f>
        <v>0</v>
      </c>
      <c r="AV41" s="14">
        <f>[1]Sheet2!W40</f>
        <v>0</v>
      </c>
      <c r="AW41" s="14">
        <f>[1]Sheet2!X40</f>
        <v>0</v>
      </c>
      <c r="AX41" s="14">
        <f>[1]Sheet2!Y40</f>
        <v>0</v>
      </c>
      <c r="AY41" s="16">
        <f>Demand_LP!B$4/28</f>
        <v>811.09813487293957</v>
      </c>
      <c r="AZ41" s="16">
        <f>Demand_LP!C$4/28</f>
        <v>502.83223443223443</v>
      </c>
      <c r="BA41" s="16">
        <f>Demand_LP!D$4/28</f>
        <v>282.53663003663002</v>
      </c>
      <c r="BB41" s="16">
        <f>Demand_LP!E$4/28</f>
        <v>759.73919413919407</v>
      </c>
      <c r="BC41" s="16">
        <f>Demand_LP!F$4/28</f>
        <v>495.28213999542123</v>
      </c>
      <c r="BD41" s="16">
        <f>Demand_LP!G$4/28</f>
        <v>821.42857142857144</v>
      </c>
      <c r="BE41" s="16">
        <f>Demand_LP!H$4/28</f>
        <v>535.71428571428567</v>
      </c>
      <c r="BF41" s="16">
        <f>Demand_LP!I$4/28</f>
        <v>496.42857142857144</v>
      </c>
      <c r="BG41" s="16">
        <f>Demand_LP!J$4/28</f>
        <v>482.14285714285717</v>
      </c>
      <c r="BH41" s="16">
        <f>Demand_LP!K$4/28</f>
        <v>471.42857142857144</v>
      </c>
      <c r="BI41" s="16" t="e">
        <f t="shared" si="13"/>
        <v>#VALUE!</v>
      </c>
      <c r="BJ41" s="16">
        <f t="shared" si="14"/>
        <v>-23082.94358974358</v>
      </c>
      <c r="BK41" s="16">
        <f t="shared" si="15"/>
        <v>-7145.2564102564165</v>
      </c>
      <c r="BL41" s="16">
        <f t="shared" si="16"/>
        <v>-23910.898717948727</v>
      </c>
      <c r="BM41" s="16">
        <f t="shared" si="17"/>
        <v>-15417.374098557688</v>
      </c>
      <c r="BN41" s="16">
        <f t="shared" si="18"/>
        <v>-19750</v>
      </c>
      <c r="BO41" s="16">
        <f t="shared" si="19"/>
        <v>-24750.000000000011</v>
      </c>
      <c r="BP41" s="16">
        <f t="shared" si="20"/>
        <v>-15475</v>
      </c>
      <c r="BQ41" s="16">
        <f t="shared" si="21"/>
        <v>-12374.999999999998</v>
      </c>
      <c r="BR41" s="16">
        <f t="shared" si="22"/>
        <v>-13799.999999999996</v>
      </c>
      <c r="BS41" s="14">
        <f>IF([1]Sheet2!CA40=999999,"NA",[1]Sheet2!CA40)</f>
        <v>202679.00000000026</v>
      </c>
      <c r="BT41" s="14">
        <f>IF([1]Sheet2!CB40=999999,"NA",[1]Sheet2!CB40)</f>
        <v>249</v>
      </c>
      <c r="BU41" s="14">
        <f>IF([1]Sheet2!CC40=999999,"NA",[1]Sheet2!CC40)</f>
        <v>327</v>
      </c>
      <c r="BV41" s="14">
        <f>IF([1]Sheet2!CD40=999999,"NA",[1]Sheet2!CD40)</f>
        <v>327</v>
      </c>
      <c r="BW41" s="14">
        <f>IF([1]Sheet2!CE40=999999,"NA",[1]Sheet2!CE40)</f>
        <v>289</v>
      </c>
      <c r="BX41" s="14">
        <f>IF([1]Sheet2!CF40=999999,"NA",[1]Sheet2!CF40)</f>
        <v>327</v>
      </c>
      <c r="BY41" s="14">
        <f>IF([1]Sheet2!CG40=999999,"NA",[1]Sheet2!CG40)</f>
        <v>221</v>
      </c>
      <c r="BZ41" s="14">
        <f>IF([1]Sheet2!CH40=999999,"NA",[1]Sheet2!CH40)</f>
        <v>327</v>
      </c>
      <c r="CA41" s="14">
        <f>IF([1]Sheet2!CI40=999999,"NA",[1]Sheet2!CI40)</f>
        <v>327</v>
      </c>
      <c r="CB41" s="14">
        <f>IF([1]Sheet2!CJ40=999999,"NA",[1]Sheet2!CJ40)</f>
        <v>327</v>
      </c>
      <c r="CC41" s="14">
        <f>[1]Sheet2!BG40</f>
        <v>0</v>
      </c>
      <c r="CD41" s="14">
        <f>[1]Sheet2!BH40</f>
        <v>0</v>
      </c>
      <c r="CE41" s="14">
        <f>[1]Sheet2!BI40</f>
        <v>0</v>
      </c>
      <c r="CF41" s="14">
        <f>[1]Sheet2!BJ40</f>
        <v>0</v>
      </c>
      <c r="CG41" s="14">
        <f>[1]Sheet2!BK40</f>
        <v>0</v>
      </c>
      <c r="CH41" s="14">
        <f>[1]Sheet2!BL40</f>
        <v>0</v>
      </c>
      <c r="CI41" s="14">
        <f>[1]Sheet2!BM40</f>
        <v>0</v>
      </c>
      <c r="CJ41" s="14">
        <f>[1]Sheet2!BN40</f>
        <v>0</v>
      </c>
      <c r="CK41" s="14">
        <f>[1]Sheet2!BO40</f>
        <v>0</v>
      </c>
      <c r="CL41" s="14">
        <f>[1]Sheet2!BP40</f>
        <v>0</v>
      </c>
      <c r="CM41" s="16">
        <f>Demand_SW!B$4/28</f>
        <v>94.69780219780219</v>
      </c>
      <c r="CN41" s="16">
        <f>Demand_SW!C$4/28</f>
        <v>0</v>
      </c>
      <c r="CO41" s="16">
        <f>Demand_SW!D$4/28</f>
        <v>0</v>
      </c>
      <c r="CP41" s="16">
        <f>Demand_SW!E$4/28</f>
        <v>0</v>
      </c>
      <c r="CQ41" s="16">
        <f>Demand_SW!F$4/28</f>
        <v>0</v>
      </c>
      <c r="CR41" s="16">
        <f>Demand_SW!G$4/28</f>
        <v>85.714285714285708</v>
      </c>
      <c r="CS41" s="16">
        <f>Demand_SW!H$4/28</f>
        <v>0</v>
      </c>
      <c r="CT41" s="16">
        <f>Demand_SW!I$4/28</f>
        <v>0</v>
      </c>
      <c r="CU41" s="16">
        <f>Demand_SW!J$4/28</f>
        <v>0</v>
      </c>
      <c r="CV41" s="16">
        <f>Demand_SW!K$4/28</f>
        <v>0</v>
      </c>
      <c r="CW41" s="16">
        <f t="shared" si="23"/>
        <v>46010.192307692225</v>
      </c>
      <c r="CX41" s="16">
        <f t="shared" si="24"/>
        <v>500</v>
      </c>
      <c r="CY41" s="16">
        <f t="shared" si="25"/>
        <v>0</v>
      </c>
      <c r="CZ41" s="16">
        <f t="shared" si="26"/>
        <v>0</v>
      </c>
      <c r="DA41" s="16">
        <f t="shared" si="27"/>
        <v>0</v>
      </c>
      <c r="DB41" s="16">
        <f t="shared" si="28"/>
        <v>-3699.9999999999986</v>
      </c>
      <c r="DC41" s="16">
        <f t="shared" si="29"/>
        <v>500</v>
      </c>
      <c r="DD41" s="16">
        <f t="shared" si="30"/>
        <v>0</v>
      </c>
      <c r="DE41" s="16">
        <f t="shared" si="31"/>
        <v>0</v>
      </c>
      <c r="DF41" s="16">
        <f t="shared" si="32"/>
        <v>0</v>
      </c>
      <c r="DG41" s="14">
        <f>IF([1]Sheet2!DR40=999999,"NA",[1]Sheet2!DR40)</f>
        <v>73103</v>
      </c>
      <c r="DH41" s="14">
        <f>IF([1]Sheet2!DS40=999999,"NA",[1]Sheet2!DS40)</f>
        <v>327</v>
      </c>
      <c r="DI41" s="14">
        <f>IF([1]Sheet2!DT40=999999,"NA",[1]Sheet2!DT40)</f>
        <v>327</v>
      </c>
      <c r="DJ41" s="14" t="str">
        <f>IF([1]Sheet2!DU40=999999,"NA",[1]Sheet2!DU40)</f>
        <v>NA</v>
      </c>
      <c r="DK41" s="14" t="str">
        <f>IF([1]Sheet2!DV40=999999,"NA",[1]Sheet2!DV40)</f>
        <v>NA</v>
      </c>
      <c r="DL41" s="14" t="str">
        <f>IF([1]Sheet2!DW40=999999,"NA",[1]Sheet2!DW40)</f>
        <v>NA</v>
      </c>
      <c r="DM41" s="14">
        <f>IF([1]Sheet2!DX40=999999,"NA",[1]Sheet2!DX40)</f>
        <v>327</v>
      </c>
      <c r="DN41" s="14">
        <f>IF([1]Sheet2!DY40=999999,"NA",[1]Sheet2!DY40)</f>
        <v>327</v>
      </c>
      <c r="DO41" s="14" t="str">
        <f>IF([1]Sheet2!DZ40=999999,"NA",[1]Sheet2!DZ40)</f>
        <v>NA</v>
      </c>
      <c r="DP41" s="14" t="str">
        <f>IF([1]Sheet2!EA40=999999,"NA",[1]Sheet2!EA40)</f>
        <v>NA</v>
      </c>
      <c r="DQ41" s="14">
        <f>[1]Sheet2!CX40</f>
        <v>0</v>
      </c>
      <c r="DR41" s="14">
        <f>[1]Sheet2!CY40</f>
        <v>0</v>
      </c>
      <c r="DS41" s="14">
        <f>[1]Sheet2!CZ40</f>
        <v>0</v>
      </c>
      <c r="DT41" s="14">
        <f>[1]Sheet2!DA40</f>
        <v>0</v>
      </c>
      <c r="DU41" s="14">
        <f>[1]Sheet2!DB40</f>
        <v>0</v>
      </c>
      <c r="DV41" s="14">
        <f>[1]Sheet2!DC40</f>
        <v>0</v>
      </c>
      <c r="DW41" s="14">
        <f>[1]Sheet2!DD40</f>
        <v>0</v>
      </c>
      <c r="DX41" s="14">
        <f>[1]Sheet2!DE40</f>
        <v>0</v>
      </c>
      <c r="DY41" s="14">
        <f>[1]Sheet2!DF40</f>
        <v>0</v>
      </c>
      <c r="DZ41" s="14">
        <f>[1]Sheet2!DG40</f>
        <v>0</v>
      </c>
    </row>
    <row r="42" spans="1:130" x14ac:dyDescent="0.25">
      <c r="A42" s="15">
        <v>43504</v>
      </c>
      <c r="B42" s="1"/>
      <c r="C42" s="1"/>
      <c r="D42" s="1"/>
      <c r="E42" s="14">
        <f>[1]Sheet2!N41</f>
        <v>0</v>
      </c>
      <c r="F42" s="14">
        <f>[1]Sheet2!BE41</f>
        <v>0</v>
      </c>
      <c r="G42" s="14">
        <f>[1]Sheet2!CV41</f>
        <v>180.41208791208791</v>
      </c>
      <c r="H42" s="1"/>
      <c r="I42" s="1"/>
      <c r="J42" s="1"/>
      <c r="K42" s="16">
        <f>Demand_CWRS!B$4/28</f>
        <v>131.68146963713369</v>
      </c>
      <c r="L42" s="16">
        <f>Demand_CWRS!C$4/28</f>
        <v>501.27216117216119</v>
      </c>
      <c r="M42" s="16">
        <f>Demand_CWRS!D$4/28</f>
        <v>0</v>
      </c>
      <c r="N42" s="16">
        <f>Demand_CWRS!E$4/28</f>
        <v>130.17472527472526</v>
      </c>
      <c r="O42" s="16">
        <f>Demand_CWRS!F$4/28</f>
        <v>262.94741300366297</v>
      </c>
      <c r="P42" s="16">
        <f>Demand_CWRS!G$4/28</f>
        <v>127.85714285714286</v>
      </c>
      <c r="Q42" s="16">
        <f>Demand_CWRS!H$4/28</f>
        <v>501.27216117216119</v>
      </c>
      <c r="R42" s="16">
        <f>Demand_CWRS!I$4/28</f>
        <v>214.28571428571428</v>
      </c>
      <c r="S42" s="16">
        <f>Demand_CWRS!J$4/28</f>
        <v>207.14285714285714</v>
      </c>
      <c r="T42" s="16">
        <f>Demand_CWRS!K$4/28</f>
        <v>221.42857142857142</v>
      </c>
      <c r="U42" s="16">
        <f t="shared" si="3"/>
        <v>-7763.3144173534802</v>
      </c>
      <c r="V42" s="16">
        <f t="shared" si="4"/>
        <v>-9503.1875457875449</v>
      </c>
      <c r="W42" s="16">
        <f t="shared" si="5"/>
        <v>0</v>
      </c>
      <c r="X42" s="16">
        <f t="shared" si="6"/>
        <v>-2106.429853479854</v>
      </c>
      <c r="Y42" s="16">
        <f t="shared" si="7"/>
        <v>-7253.0183264652023</v>
      </c>
      <c r="Z42" s="16">
        <f t="shared" si="8"/>
        <v>-7622.8571428571468</v>
      </c>
      <c r="AA42" s="16">
        <f t="shared" si="9"/>
        <v>-9003.1875457875449</v>
      </c>
      <c r="AB42" s="16">
        <f t="shared" si="10"/>
        <v>-5914.2857142857174</v>
      </c>
      <c r="AC42" s="16">
        <f t="shared" si="11"/>
        <v>-6057.1428571428551</v>
      </c>
      <c r="AD42" s="16">
        <f t="shared" si="12"/>
        <v>-6471.4285714285706</v>
      </c>
      <c r="AE42" s="14">
        <f>IF([1]Sheet2!AJ41=999999,"NA",[1]Sheet2!AJ41)</f>
        <v>88</v>
      </c>
      <c r="AF42" s="14">
        <f>IF([1]Sheet2!AK41=999999,"NA",[1]Sheet2!AK41)</f>
        <v>19</v>
      </c>
      <c r="AG42" s="14" t="str">
        <f>IF([1]Sheet2!AL41=999999,"NA",[1]Sheet2!AL41)</f>
        <v>NA</v>
      </c>
      <c r="AH42" s="14">
        <f>IF([1]Sheet2!AM41=999999,"NA",[1]Sheet2!AM41)</f>
        <v>326</v>
      </c>
      <c r="AI42" s="14">
        <f>IF([1]Sheet2!AN41=999999,"NA",[1]Sheet2!AN41)</f>
        <v>326</v>
      </c>
      <c r="AJ42" s="14">
        <f>IF([1]Sheet2!AO41=999999,"NA",[1]Sheet2!AO41)</f>
        <v>326</v>
      </c>
      <c r="AK42" s="14">
        <f>IF([1]Sheet2!AP41=999999,"NA",[1]Sheet2!AP41)</f>
        <v>71</v>
      </c>
      <c r="AL42" s="14">
        <f>IF([1]Sheet2!AQ41=999999,"NA",[1]Sheet2!AQ41)</f>
        <v>202</v>
      </c>
      <c r="AM42" s="14">
        <f>IF([1]Sheet2!AR41=999999,"NA",[1]Sheet2!AR41)</f>
        <v>326</v>
      </c>
      <c r="AN42" s="14">
        <f>IF([1]Sheet2!AS41=999999,"NA",[1]Sheet2!AS41)</f>
        <v>258</v>
      </c>
      <c r="AO42" s="14">
        <f>[1]Sheet2!P41</f>
        <v>0</v>
      </c>
      <c r="AP42" s="14">
        <f>[1]Sheet2!Q41</f>
        <v>0</v>
      </c>
      <c r="AQ42" s="14">
        <f>[1]Sheet2!R41</f>
        <v>0</v>
      </c>
      <c r="AR42" s="14">
        <f>[1]Sheet2!S41</f>
        <v>0</v>
      </c>
      <c r="AS42" s="14">
        <f>[1]Sheet2!T41</f>
        <v>0</v>
      </c>
      <c r="AT42" s="14">
        <f>[1]Sheet2!U41</f>
        <v>0</v>
      </c>
      <c r="AU42" s="14">
        <f>[1]Sheet2!V41</f>
        <v>0</v>
      </c>
      <c r="AV42" s="14">
        <f>[1]Sheet2!W41</f>
        <v>0</v>
      </c>
      <c r="AW42" s="14">
        <f>[1]Sheet2!X41</f>
        <v>0</v>
      </c>
      <c r="AX42" s="14">
        <f>[1]Sheet2!Y41</f>
        <v>0</v>
      </c>
      <c r="AY42" s="16">
        <f>Demand_LP!B$4/28</f>
        <v>811.09813487293957</v>
      </c>
      <c r="AZ42" s="16">
        <f>Demand_LP!C$4/28</f>
        <v>502.83223443223443</v>
      </c>
      <c r="BA42" s="16">
        <f>Demand_LP!D$4/28</f>
        <v>282.53663003663002</v>
      </c>
      <c r="BB42" s="16">
        <f>Demand_LP!E$4/28</f>
        <v>759.73919413919407</v>
      </c>
      <c r="BC42" s="16">
        <f>Demand_LP!F$4/28</f>
        <v>495.28213999542123</v>
      </c>
      <c r="BD42" s="16">
        <f>Demand_LP!G$4/28</f>
        <v>821.42857142857144</v>
      </c>
      <c r="BE42" s="16">
        <f>Demand_LP!H$4/28</f>
        <v>535.71428571428567</v>
      </c>
      <c r="BF42" s="16">
        <f>Demand_LP!I$4/28</f>
        <v>496.42857142857144</v>
      </c>
      <c r="BG42" s="16">
        <f>Demand_LP!J$4/28</f>
        <v>482.14285714285717</v>
      </c>
      <c r="BH42" s="16">
        <f>Demand_LP!K$4/28</f>
        <v>471.42857142857144</v>
      </c>
      <c r="BI42" s="16" t="e">
        <f t="shared" si="13"/>
        <v>#VALUE!</v>
      </c>
      <c r="BJ42" s="16">
        <f t="shared" si="14"/>
        <v>-23585.775824175813</v>
      </c>
      <c r="BK42" s="16">
        <f t="shared" si="15"/>
        <v>-7427.7930402930469</v>
      </c>
      <c r="BL42" s="16">
        <f t="shared" si="16"/>
        <v>-24670.637912087921</v>
      </c>
      <c r="BM42" s="16">
        <f t="shared" si="17"/>
        <v>-15912.656238553109</v>
      </c>
      <c r="BN42" s="16">
        <f t="shared" si="18"/>
        <v>-20571.428571428572</v>
      </c>
      <c r="BO42" s="16">
        <f t="shared" si="19"/>
        <v>-25285.714285714297</v>
      </c>
      <c r="BP42" s="16">
        <f t="shared" si="20"/>
        <v>-15971.428571428571</v>
      </c>
      <c r="BQ42" s="16">
        <f t="shared" si="21"/>
        <v>-12857.142857142855</v>
      </c>
      <c r="BR42" s="16">
        <f t="shared" si="22"/>
        <v>-14271.428571428567</v>
      </c>
      <c r="BS42" s="14">
        <f>IF([1]Sheet2!CA41=999999,"NA",[1]Sheet2!CA41)</f>
        <v>202207.57142857168</v>
      </c>
      <c r="BT42" s="14">
        <f>IF([1]Sheet2!CB41=999999,"NA",[1]Sheet2!CB41)</f>
        <v>248</v>
      </c>
      <c r="BU42" s="14">
        <f>IF([1]Sheet2!CC41=999999,"NA",[1]Sheet2!CC41)</f>
        <v>326</v>
      </c>
      <c r="BV42" s="14">
        <f>IF([1]Sheet2!CD41=999999,"NA",[1]Sheet2!CD41)</f>
        <v>326</v>
      </c>
      <c r="BW42" s="14">
        <f>IF([1]Sheet2!CE41=999999,"NA",[1]Sheet2!CE41)</f>
        <v>288</v>
      </c>
      <c r="BX42" s="14">
        <f>IF([1]Sheet2!CF41=999999,"NA",[1]Sheet2!CF41)</f>
        <v>326</v>
      </c>
      <c r="BY42" s="14">
        <f>IF([1]Sheet2!CG41=999999,"NA",[1]Sheet2!CG41)</f>
        <v>220</v>
      </c>
      <c r="BZ42" s="14">
        <f>IF([1]Sheet2!CH41=999999,"NA",[1]Sheet2!CH41)</f>
        <v>326</v>
      </c>
      <c r="CA42" s="14">
        <f>IF([1]Sheet2!CI41=999999,"NA",[1]Sheet2!CI41)</f>
        <v>326</v>
      </c>
      <c r="CB42" s="14">
        <f>IF([1]Sheet2!CJ41=999999,"NA",[1]Sheet2!CJ41)</f>
        <v>326</v>
      </c>
      <c r="CC42" s="14">
        <f>[1]Sheet2!BG41</f>
        <v>0</v>
      </c>
      <c r="CD42" s="14">
        <f>[1]Sheet2!BH41</f>
        <v>0</v>
      </c>
      <c r="CE42" s="14">
        <f>[1]Sheet2!BI41</f>
        <v>0</v>
      </c>
      <c r="CF42" s="14">
        <f>[1]Sheet2!BJ41</f>
        <v>0</v>
      </c>
      <c r="CG42" s="14">
        <f>[1]Sheet2!BK41</f>
        <v>0</v>
      </c>
      <c r="CH42" s="14">
        <f>[1]Sheet2!BL41</f>
        <v>0</v>
      </c>
      <c r="CI42" s="14">
        <f>[1]Sheet2!BM41</f>
        <v>0</v>
      </c>
      <c r="CJ42" s="14">
        <f>[1]Sheet2!BN41</f>
        <v>0</v>
      </c>
      <c r="CK42" s="14">
        <f>[1]Sheet2!BO41</f>
        <v>0</v>
      </c>
      <c r="CL42" s="14">
        <f>[1]Sheet2!BP41</f>
        <v>0</v>
      </c>
      <c r="CM42" s="16">
        <f>Demand_SW!B$4/28</f>
        <v>94.69780219780219</v>
      </c>
      <c r="CN42" s="16">
        <f>Demand_SW!C$4/28</f>
        <v>0</v>
      </c>
      <c r="CO42" s="16">
        <f>Demand_SW!D$4/28</f>
        <v>0</v>
      </c>
      <c r="CP42" s="16">
        <f>Demand_SW!E$4/28</f>
        <v>0</v>
      </c>
      <c r="CQ42" s="16">
        <f>Demand_SW!F$4/28</f>
        <v>0</v>
      </c>
      <c r="CR42" s="16">
        <f>Demand_SW!G$4/28</f>
        <v>85.714285714285708</v>
      </c>
      <c r="CS42" s="16">
        <f>Demand_SW!H$4/28</f>
        <v>0</v>
      </c>
      <c r="CT42" s="16">
        <f>Demand_SW!I$4/28</f>
        <v>0</v>
      </c>
      <c r="CU42" s="16">
        <f>Demand_SW!J$4/28</f>
        <v>0</v>
      </c>
      <c r="CV42" s="16">
        <f>Demand_SW!K$4/28</f>
        <v>0</v>
      </c>
      <c r="CW42" s="16">
        <f t="shared" si="23"/>
        <v>45915.494505494426</v>
      </c>
      <c r="CX42" s="16">
        <f t="shared" si="24"/>
        <v>500</v>
      </c>
      <c r="CY42" s="16">
        <f t="shared" si="25"/>
        <v>0</v>
      </c>
      <c r="CZ42" s="16">
        <f t="shared" si="26"/>
        <v>0</v>
      </c>
      <c r="DA42" s="16">
        <f t="shared" si="27"/>
        <v>0</v>
      </c>
      <c r="DB42" s="16">
        <f t="shared" si="28"/>
        <v>-3785.7142857142844</v>
      </c>
      <c r="DC42" s="16">
        <f t="shared" si="29"/>
        <v>500</v>
      </c>
      <c r="DD42" s="16">
        <f t="shared" si="30"/>
        <v>0</v>
      </c>
      <c r="DE42" s="16">
        <f t="shared" si="31"/>
        <v>0</v>
      </c>
      <c r="DF42" s="16">
        <f t="shared" si="32"/>
        <v>0</v>
      </c>
      <c r="DG42" s="14">
        <f>IF([1]Sheet2!DR41=999999,"NA",[1]Sheet2!DR41)</f>
        <v>73103</v>
      </c>
      <c r="DH42" s="14">
        <f>IF([1]Sheet2!DS41=999999,"NA",[1]Sheet2!DS41)</f>
        <v>326</v>
      </c>
      <c r="DI42" s="14">
        <f>IF([1]Sheet2!DT41=999999,"NA",[1]Sheet2!DT41)</f>
        <v>326</v>
      </c>
      <c r="DJ42" s="14" t="str">
        <f>IF([1]Sheet2!DU41=999999,"NA",[1]Sheet2!DU41)</f>
        <v>NA</v>
      </c>
      <c r="DK42" s="14" t="str">
        <f>IF([1]Sheet2!DV41=999999,"NA",[1]Sheet2!DV41)</f>
        <v>NA</v>
      </c>
      <c r="DL42" s="14" t="str">
        <f>IF([1]Sheet2!DW41=999999,"NA",[1]Sheet2!DW41)</f>
        <v>NA</v>
      </c>
      <c r="DM42" s="14">
        <f>IF([1]Sheet2!DX41=999999,"NA",[1]Sheet2!DX41)</f>
        <v>326</v>
      </c>
      <c r="DN42" s="14">
        <f>IF([1]Sheet2!DY41=999999,"NA",[1]Sheet2!DY41)</f>
        <v>326</v>
      </c>
      <c r="DO42" s="14" t="str">
        <f>IF([1]Sheet2!DZ41=999999,"NA",[1]Sheet2!DZ41)</f>
        <v>NA</v>
      </c>
      <c r="DP42" s="14" t="str">
        <f>IF([1]Sheet2!EA41=999999,"NA",[1]Sheet2!EA41)</f>
        <v>NA</v>
      </c>
      <c r="DQ42" s="14">
        <f>[1]Sheet2!CX41</f>
        <v>0</v>
      </c>
      <c r="DR42" s="14">
        <f>[1]Sheet2!CY41</f>
        <v>0</v>
      </c>
      <c r="DS42" s="14">
        <f>[1]Sheet2!CZ41</f>
        <v>0</v>
      </c>
      <c r="DT42" s="14">
        <f>[1]Sheet2!DA41</f>
        <v>0</v>
      </c>
      <c r="DU42" s="14">
        <f>[1]Sheet2!DB41</f>
        <v>0</v>
      </c>
      <c r="DV42" s="14">
        <f>[1]Sheet2!DC41</f>
        <v>0</v>
      </c>
      <c r="DW42" s="14">
        <f>[1]Sheet2!DD41</f>
        <v>0</v>
      </c>
      <c r="DX42" s="14">
        <f>[1]Sheet2!DE41</f>
        <v>0</v>
      </c>
      <c r="DY42" s="14">
        <f>[1]Sheet2!DF41</f>
        <v>0</v>
      </c>
      <c r="DZ42" s="14">
        <f>[1]Sheet2!DG41</f>
        <v>0</v>
      </c>
    </row>
    <row r="43" spans="1:130" x14ac:dyDescent="0.25">
      <c r="A43" s="15">
        <v>43505</v>
      </c>
      <c r="B43" s="1"/>
      <c r="C43" s="1"/>
      <c r="D43" s="1"/>
      <c r="E43" s="14">
        <f>[1]Sheet2!N42</f>
        <v>0</v>
      </c>
      <c r="F43" s="14">
        <f>[1]Sheet2!BE42</f>
        <v>0</v>
      </c>
      <c r="G43" s="14">
        <f>[1]Sheet2!CV42</f>
        <v>180.41208791208791</v>
      </c>
      <c r="H43" s="1"/>
      <c r="I43" s="1"/>
      <c r="J43" s="1"/>
      <c r="K43" s="16">
        <f>Demand_CWRS!B$4/28</f>
        <v>131.68146963713369</v>
      </c>
      <c r="L43" s="16">
        <f>Demand_CWRS!C$4/28</f>
        <v>501.27216117216119</v>
      </c>
      <c r="M43" s="16">
        <f>Demand_CWRS!D$4/28</f>
        <v>0</v>
      </c>
      <c r="N43" s="16">
        <f>Demand_CWRS!E$4/28</f>
        <v>130.17472527472526</v>
      </c>
      <c r="O43" s="16">
        <f>Demand_CWRS!F$4/28</f>
        <v>262.94741300366297</v>
      </c>
      <c r="P43" s="16">
        <f>Demand_CWRS!G$4/28</f>
        <v>127.85714285714286</v>
      </c>
      <c r="Q43" s="16">
        <f>Demand_CWRS!H$4/28</f>
        <v>501.27216117216119</v>
      </c>
      <c r="R43" s="16">
        <f>Demand_CWRS!I$4/28</f>
        <v>214.28571428571428</v>
      </c>
      <c r="S43" s="16">
        <f>Demand_CWRS!J$4/28</f>
        <v>207.14285714285714</v>
      </c>
      <c r="T43" s="16">
        <f>Demand_CWRS!K$4/28</f>
        <v>221.42857142857142</v>
      </c>
      <c r="U43" s="16">
        <f t="shared" si="3"/>
        <v>-7894.9958869906141</v>
      </c>
      <c r="V43" s="16">
        <f t="shared" si="4"/>
        <v>-10004.459706959706</v>
      </c>
      <c r="W43" s="16">
        <f t="shared" si="5"/>
        <v>0</v>
      </c>
      <c r="X43" s="16">
        <f t="shared" si="6"/>
        <v>-2236.6045787545795</v>
      </c>
      <c r="Y43" s="16">
        <f t="shared" si="7"/>
        <v>-7515.9657394688656</v>
      </c>
      <c r="Z43" s="16">
        <f t="shared" si="8"/>
        <v>-7750.7142857142899</v>
      </c>
      <c r="AA43" s="16">
        <f t="shared" si="9"/>
        <v>-9504.4597069597057</v>
      </c>
      <c r="AB43" s="16">
        <f t="shared" si="10"/>
        <v>-6128.5714285714321</v>
      </c>
      <c r="AC43" s="16">
        <f t="shared" si="11"/>
        <v>-6264.2857142857119</v>
      </c>
      <c r="AD43" s="16">
        <f t="shared" si="12"/>
        <v>-6692.8571428571422</v>
      </c>
      <c r="AE43" s="14">
        <f>IF([1]Sheet2!AJ42=999999,"NA",[1]Sheet2!AJ42)</f>
        <v>87</v>
      </c>
      <c r="AF43" s="14">
        <f>IF([1]Sheet2!AK42=999999,"NA",[1]Sheet2!AK42)</f>
        <v>18</v>
      </c>
      <c r="AG43" s="14" t="str">
        <f>IF([1]Sheet2!AL42=999999,"NA",[1]Sheet2!AL42)</f>
        <v>NA</v>
      </c>
      <c r="AH43" s="14">
        <f>IF([1]Sheet2!AM42=999999,"NA",[1]Sheet2!AM42)</f>
        <v>325</v>
      </c>
      <c r="AI43" s="14">
        <f>IF([1]Sheet2!AN42=999999,"NA",[1]Sheet2!AN42)</f>
        <v>325</v>
      </c>
      <c r="AJ43" s="14">
        <f>IF([1]Sheet2!AO42=999999,"NA",[1]Sheet2!AO42)</f>
        <v>325</v>
      </c>
      <c r="AK43" s="14">
        <f>IF([1]Sheet2!AP42=999999,"NA",[1]Sheet2!AP42)</f>
        <v>70</v>
      </c>
      <c r="AL43" s="14">
        <f>IF([1]Sheet2!AQ42=999999,"NA",[1]Sheet2!AQ42)</f>
        <v>201</v>
      </c>
      <c r="AM43" s="14">
        <f>IF([1]Sheet2!AR42=999999,"NA",[1]Sheet2!AR42)</f>
        <v>325</v>
      </c>
      <c r="AN43" s="14">
        <f>IF([1]Sheet2!AS42=999999,"NA",[1]Sheet2!AS42)</f>
        <v>257</v>
      </c>
      <c r="AO43" s="14">
        <f>[1]Sheet2!P42</f>
        <v>0</v>
      </c>
      <c r="AP43" s="14">
        <f>[1]Sheet2!Q42</f>
        <v>0</v>
      </c>
      <c r="AQ43" s="14">
        <f>[1]Sheet2!R42</f>
        <v>0</v>
      </c>
      <c r="AR43" s="14">
        <f>[1]Sheet2!S42</f>
        <v>0</v>
      </c>
      <c r="AS43" s="14">
        <f>[1]Sheet2!T42</f>
        <v>0</v>
      </c>
      <c r="AT43" s="14">
        <f>[1]Sheet2!U42</f>
        <v>0</v>
      </c>
      <c r="AU43" s="14">
        <f>[1]Sheet2!V42</f>
        <v>0</v>
      </c>
      <c r="AV43" s="14">
        <f>[1]Sheet2!W42</f>
        <v>0</v>
      </c>
      <c r="AW43" s="14">
        <f>[1]Sheet2!X42</f>
        <v>0</v>
      </c>
      <c r="AX43" s="14">
        <f>[1]Sheet2!Y42</f>
        <v>0</v>
      </c>
      <c r="AY43" s="16">
        <f>Demand_LP!B$4/28</f>
        <v>811.09813487293957</v>
      </c>
      <c r="AZ43" s="16">
        <f>Demand_LP!C$4/28</f>
        <v>502.83223443223443</v>
      </c>
      <c r="BA43" s="16">
        <f>Demand_LP!D$4/28</f>
        <v>282.53663003663002</v>
      </c>
      <c r="BB43" s="16">
        <f>Demand_LP!E$4/28</f>
        <v>759.73919413919407</v>
      </c>
      <c r="BC43" s="16">
        <f>Demand_LP!F$4/28</f>
        <v>495.28213999542123</v>
      </c>
      <c r="BD43" s="16">
        <f>Demand_LP!G$4/28</f>
        <v>821.42857142857144</v>
      </c>
      <c r="BE43" s="16">
        <f>Demand_LP!H$4/28</f>
        <v>535.71428571428567</v>
      </c>
      <c r="BF43" s="16">
        <f>Demand_LP!I$4/28</f>
        <v>496.42857142857144</v>
      </c>
      <c r="BG43" s="16">
        <f>Demand_LP!J$4/28</f>
        <v>482.14285714285717</v>
      </c>
      <c r="BH43" s="16">
        <f>Demand_LP!K$4/28</f>
        <v>471.42857142857144</v>
      </c>
      <c r="BI43" s="16" t="e">
        <f t="shared" si="13"/>
        <v>#VALUE!</v>
      </c>
      <c r="BJ43" s="16">
        <f t="shared" si="14"/>
        <v>-24088.608058608046</v>
      </c>
      <c r="BK43" s="16">
        <f t="shared" si="15"/>
        <v>-7710.3296703296774</v>
      </c>
      <c r="BL43" s="16">
        <f t="shared" si="16"/>
        <v>-25430.377106227115</v>
      </c>
      <c r="BM43" s="16">
        <f t="shared" si="17"/>
        <v>-16407.93837854853</v>
      </c>
      <c r="BN43" s="16">
        <f t="shared" si="18"/>
        <v>-21392.857142857145</v>
      </c>
      <c r="BO43" s="16">
        <f t="shared" si="19"/>
        <v>-25821.428571428583</v>
      </c>
      <c r="BP43" s="16">
        <f t="shared" si="20"/>
        <v>-16467.857142857141</v>
      </c>
      <c r="BQ43" s="16">
        <f t="shared" si="21"/>
        <v>-13339.285714285712</v>
      </c>
      <c r="BR43" s="16">
        <f t="shared" si="22"/>
        <v>-14742.857142857138</v>
      </c>
      <c r="BS43" s="14">
        <f>IF([1]Sheet2!CA42=999999,"NA",[1]Sheet2!CA42)</f>
        <v>201736.1428571431</v>
      </c>
      <c r="BT43" s="14">
        <f>IF([1]Sheet2!CB42=999999,"NA",[1]Sheet2!CB42)</f>
        <v>247</v>
      </c>
      <c r="BU43" s="14">
        <f>IF([1]Sheet2!CC42=999999,"NA",[1]Sheet2!CC42)</f>
        <v>325</v>
      </c>
      <c r="BV43" s="14">
        <f>IF([1]Sheet2!CD42=999999,"NA",[1]Sheet2!CD42)</f>
        <v>325</v>
      </c>
      <c r="BW43" s="14">
        <f>IF([1]Sheet2!CE42=999999,"NA",[1]Sheet2!CE42)</f>
        <v>287</v>
      </c>
      <c r="BX43" s="14">
        <f>IF([1]Sheet2!CF42=999999,"NA",[1]Sheet2!CF42)</f>
        <v>325</v>
      </c>
      <c r="BY43" s="14">
        <f>IF([1]Sheet2!CG42=999999,"NA",[1]Sheet2!CG42)</f>
        <v>219</v>
      </c>
      <c r="BZ43" s="14">
        <f>IF([1]Sheet2!CH42=999999,"NA",[1]Sheet2!CH42)</f>
        <v>325</v>
      </c>
      <c r="CA43" s="14">
        <f>IF([1]Sheet2!CI42=999999,"NA",[1]Sheet2!CI42)</f>
        <v>325</v>
      </c>
      <c r="CB43" s="14">
        <f>IF([1]Sheet2!CJ42=999999,"NA",[1]Sheet2!CJ42)</f>
        <v>325</v>
      </c>
      <c r="CC43" s="14">
        <f>[1]Sheet2!BG42</f>
        <v>0</v>
      </c>
      <c r="CD43" s="14">
        <f>[1]Sheet2!BH42</f>
        <v>0</v>
      </c>
      <c r="CE43" s="14">
        <f>[1]Sheet2!BI42</f>
        <v>0</v>
      </c>
      <c r="CF43" s="14">
        <f>[1]Sheet2!BJ42</f>
        <v>0</v>
      </c>
      <c r="CG43" s="14">
        <f>[1]Sheet2!BK42</f>
        <v>0</v>
      </c>
      <c r="CH43" s="14">
        <f>[1]Sheet2!BL42</f>
        <v>0</v>
      </c>
      <c r="CI43" s="14">
        <f>[1]Sheet2!BM42</f>
        <v>0</v>
      </c>
      <c r="CJ43" s="14">
        <f>[1]Sheet2!BN42</f>
        <v>0</v>
      </c>
      <c r="CK43" s="14">
        <f>[1]Sheet2!BO42</f>
        <v>0</v>
      </c>
      <c r="CL43" s="14">
        <f>[1]Sheet2!BP42</f>
        <v>0</v>
      </c>
      <c r="CM43" s="16">
        <f>Demand_SW!B$4/28</f>
        <v>94.69780219780219</v>
      </c>
      <c r="CN43" s="16">
        <f>Demand_SW!C$4/28</f>
        <v>0</v>
      </c>
      <c r="CO43" s="16">
        <f>Demand_SW!D$4/28</f>
        <v>0</v>
      </c>
      <c r="CP43" s="16">
        <f>Demand_SW!E$4/28</f>
        <v>0</v>
      </c>
      <c r="CQ43" s="16">
        <f>Demand_SW!F$4/28</f>
        <v>0</v>
      </c>
      <c r="CR43" s="16">
        <f>Demand_SW!G$4/28</f>
        <v>85.714285714285708</v>
      </c>
      <c r="CS43" s="16">
        <f>Demand_SW!H$4/28</f>
        <v>0</v>
      </c>
      <c r="CT43" s="16">
        <f>Demand_SW!I$4/28</f>
        <v>0</v>
      </c>
      <c r="CU43" s="16">
        <f>Demand_SW!J$4/28</f>
        <v>0</v>
      </c>
      <c r="CV43" s="16">
        <f>Demand_SW!K$4/28</f>
        <v>0</v>
      </c>
      <c r="CW43" s="16">
        <f t="shared" si="23"/>
        <v>45820.796703296626</v>
      </c>
      <c r="CX43" s="16">
        <f t="shared" si="24"/>
        <v>500</v>
      </c>
      <c r="CY43" s="16">
        <f t="shared" si="25"/>
        <v>0</v>
      </c>
      <c r="CZ43" s="16">
        <f t="shared" si="26"/>
        <v>0</v>
      </c>
      <c r="DA43" s="16">
        <f t="shared" si="27"/>
        <v>0</v>
      </c>
      <c r="DB43" s="16">
        <f t="shared" si="28"/>
        <v>-3871.4285714285702</v>
      </c>
      <c r="DC43" s="16">
        <f t="shared" si="29"/>
        <v>500</v>
      </c>
      <c r="DD43" s="16">
        <f t="shared" si="30"/>
        <v>0</v>
      </c>
      <c r="DE43" s="16">
        <f t="shared" si="31"/>
        <v>0</v>
      </c>
      <c r="DF43" s="16">
        <f t="shared" si="32"/>
        <v>0</v>
      </c>
      <c r="DG43" s="14">
        <f>IF([1]Sheet2!DR42=999999,"NA",[1]Sheet2!DR42)</f>
        <v>73103</v>
      </c>
      <c r="DH43" s="14">
        <f>IF([1]Sheet2!DS42=999999,"NA",[1]Sheet2!DS42)</f>
        <v>325</v>
      </c>
      <c r="DI43" s="14">
        <f>IF([1]Sheet2!DT42=999999,"NA",[1]Sheet2!DT42)</f>
        <v>325</v>
      </c>
      <c r="DJ43" s="14" t="str">
        <f>IF([1]Sheet2!DU42=999999,"NA",[1]Sheet2!DU42)</f>
        <v>NA</v>
      </c>
      <c r="DK43" s="14" t="str">
        <f>IF([1]Sheet2!DV42=999999,"NA",[1]Sheet2!DV42)</f>
        <v>NA</v>
      </c>
      <c r="DL43" s="14" t="str">
        <f>IF([1]Sheet2!DW42=999999,"NA",[1]Sheet2!DW42)</f>
        <v>NA</v>
      </c>
      <c r="DM43" s="14">
        <f>IF([1]Sheet2!DX42=999999,"NA",[1]Sheet2!DX42)</f>
        <v>325</v>
      </c>
      <c r="DN43" s="14">
        <f>IF([1]Sheet2!DY42=999999,"NA",[1]Sheet2!DY42)</f>
        <v>325</v>
      </c>
      <c r="DO43" s="14" t="str">
        <f>IF([1]Sheet2!DZ42=999999,"NA",[1]Sheet2!DZ42)</f>
        <v>NA</v>
      </c>
      <c r="DP43" s="14" t="str">
        <f>IF([1]Sheet2!EA42=999999,"NA",[1]Sheet2!EA42)</f>
        <v>NA</v>
      </c>
      <c r="DQ43" s="14">
        <f>[1]Sheet2!CX42</f>
        <v>0</v>
      </c>
      <c r="DR43" s="14">
        <f>[1]Sheet2!CY42</f>
        <v>0</v>
      </c>
      <c r="DS43" s="14">
        <f>[1]Sheet2!CZ42</f>
        <v>0</v>
      </c>
      <c r="DT43" s="14">
        <f>[1]Sheet2!DA42</f>
        <v>0</v>
      </c>
      <c r="DU43" s="14">
        <f>[1]Sheet2!DB42</f>
        <v>0</v>
      </c>
      <c r="DV43" s="14">
        <f>[1]Sheet2!DC42</f>
        <v>0</v>
      </c>
      <c r="DW43" s="14">
        <f>[1]Sheet2!DD42</f>
        <v>0</v>
      </c>
      <c r="DX43" s="14">
        <f>[1]Sheet2!DE42</f>
        <v>0</v>
      </c>
      <c r="DY43" s="14">
        <f>[1]Sheet2!DF42</f>
        <v>0</v>
      </c>
      <c r="DZ43" s="14">
        <f>[1]Sheet2!DG42</f>
        <v>0</v>
      </c>
    </row>
    <row r="44" spans="1:130" x14ac:dyDescent="0.25">
      <c r="A44" s="15">
        <v>43506</v>
      </c>
      <c r="B44" s="1"/>
      <c r="C44" s="1"/>
      <c r="D44" s="1"/>
      <c r="E44" s="14">
        <f>[1]Sheet2!N43</f>
        <v>0</v>
      </c>
      <c r="F44" s="14">
        <f>[1]Sheet2!BE43</f>
        <v>0</v>
      </c>
      <c r="G44" s="14">
        <f>[1]Sheet2!CV43</f>
        <v>180.41208791208791</v>
      </c>
      <c r="H44" s="1"/>
      <c r="I44" s="1"/>
      <c r="J44" s="1"/>
      <c r="K44" s="16">
        <f>Demand_CWRS!B$4/28</f>
        <v>131.68146963713369</v>
      </c>
      <c r="L44" s="16">
        <f>Demand_CWRS!C$4/28</f>
        <v>501.27216117216119</v>
      </c>
      <c r="M44" s="16">
        <f>Demand_CWRS!D$4/28</f>
        <v>0</v>
      </c>
      <c r="N44" s="16">
        <f>Demand_CWRS!E$4/28</f>
        <v>130.17472527472526</v>
      </c>
      <c r="O44" s="16">
        <f>Demand_CWRS!F$4/28</f>
        <v>262.94741300366297</v>
      </c>
      <c r="P44" s="16">
        <f>Demand_CWRS!G$4/28</f>
        <v>127.85714285714286</v>
      </c>
      <c r="Q44" s="16">
        <f>Demand_CWRS!H$4/28</f>
        <v>501.27216117216119</v>
      </c>
      <c r="R44" s="16">
        <f>Demand_CWRS!I$4/28</f>
        <v>214.28571428571428</v>
      </c>
      <c r="S44" s="16">
        <f>Demand_CWRS!J$4/28</f>
        <v>207.14285714285714</v>
      </c>
      <c r="T44" s="16">
        <f>Demand_CWRS!K$4/28</f>
        <v>221.42857142857142</v>
      </c>
      <c r="U44" s="16">
        <f t="shared" si="3"/>
        <v>-8026.6773566277479</v>
      </c>
      <c r="V44" s="16">
        <f t="shared" si="4"/>
        <v>-10505.731868131867</v>
      </c>
      <c r="W44" s="16">
        <f t="shared" si="5"/>
        <v>0</v>
      </c>
      <c r="X44" s="16">
        <f t="shared" si="6"/>
        <v>-2366.779304029305</v>
      </c>
      <c r="Y44" s="16">
        <f t="shared" si="7"/>
        <v>-7778.913152472529</v>
      </c>
      <c r="Z44" s="16">
        <f t="shared" si="8"/>
        <v>-7878.571428571433</v>
      </c>
      <c r="AA44" s="16">
        <f t="shared" si="9"/>
        <v>-10005.731868131867</v>
      </c>
      <c r="AB44" s="16">
        <f t="shared" si="10"/>
        <v>-6342.8571428571468</v>
      </c>
      <c r="AC44" s="16">
        <f t="shared" si="11"/>
        <v>-6471.4285714285688</v>
      </c>
      <c r="AD44" s="16">
        <f t="shared" si="12"/>
        <v>-6914.2857142857138</v>
      </c>
      <c r="AE44" s="14">
        <f>IF([1]Sheet2!AJ43=999999,"NA",[1]Sheet2!AJ43)</f>
        <v>86</v>
      </c>
      <c r="AF44" s="14">
        <f>IF([1]Sheet2!AK43=999999,"NA",[1]Sheet2!AK43)</f>
        <v>17</v>
      </c>
      <c r="AG44" s="14" t="str">
        <f>IF([1]Sheet2!AL43=999999,"NA",[1]Sheet2!AL43)</f>
        <v>NA</v>
      </c>
      <c r="AH44" s="14">
        <f>IF([1]Sheet2!AM43=999999,"NA",[1]Sheet2!AM43)</f>
        <v>324</v>
      </c>
      <c r="AI44" s="14">
        <f>IF([1]Sheet2!AN43=999999,"NA",[1]Sheet2!AN43)</f>
        <v>324</v>
      </c>
      <c r="AJ44" s="14">
        <f>IF([1]Sheet2!AO43=999999,"NA",[1]Sheet2!AO43)</f>
        <v>324</v>
      </c>
      <c r="AK44" s="14">
        <f>IF([1]Sheet2!AP43=999999,"NA",[1]Sheet2!AP43)</f>
        <v>69</v>
      </c>
      <c r="AL44" s="14">
        <f>IF([1]Sheet2!AQ43=999999,"NA",[1]Sheet2!AQ43)</f>
        <v>200</v>
      </c>
      <c r="AM44" s="14">
        <f>IF([1]Sheet2!AR43=999999,"NA",[1]Sheet2!AR43)</f>
        <v>324</v>
      </c>
      <c r="AN44" s="14">
        <f>IF([1]Sheet2!AS43=999999,"NA",[1]Sheet2!AS43)</f>
        <v>256</v>
      </c>
      <c r="AO44" s="14">
        <f>[1]Sheet2!P43</f>
        <v>0</v>
      </c>
      <c r="AP44" s="14">
        <f>[1]Sheet2!Q43</f>
        <v>0</v>
      </c>
      <c r="AQ44" s="14">
        <f>[1]Sheet2!R43</f>
        <v>0</v>
      </c>
      <c r="AR44" s="14">
        <f>[1]Sheet2!S43</f>
        <v>0</v>
      </c>
      <c r="AS44" s="14">
        <f>[1]Sheet2!T43</f>
        <v>0</v>
      </c>
      <c r="AT44" s="14">
        <f>[1]Sheet2!U43</f>
        <v>0</v>
      </c>
      <c r="AU44" s="14">
        <f>[1]Sheet2!V43</f>
        <v>0</v>
      </c>
      <c r="AV44" s="14">
        <f>[1]Sheet2!W43</f>
        <v>0</v>
      </c>
      <c r="AW44" s="14">
        <f>[1]Sheet2!X43</f>
        <v>0</v>
      </c>
      <c r="AX44" s="14">
        <f>[1]Sheet2!Y43</f>
        <v>0</v>
      </c>
      <c r="AY44" s="16">
        <f>Demand_LP!B$4/28</f>
        <v>811.09813487293957</v>
      </c>
      <c r="AZ44" s="16">
        <f>Demand_LP!C$4/28</f>
        <v>502.83223443223443</v>
      </c>
      <c r="BA44" s="16">
        <f>Demand_LP!D$4/28</f>
        <v>282.53663003663002</v>
      </c>
      <c r="BB44" s="16">
        <f>Demand_LP!E$4/28</f>
        <v>759.73919413919407</v>
      </c>
      <c r="BC44" s="16">
        <f>Demand_LP!F$4/28</f>
        <v>495.28213999542123</v>
      </c>
      <c r="BD44" s="16">
        <f>Demand_LP!G$4/28</f>
        <v>821.42857142857144</v>
      </c>
      <c r="BE44" s="16">
        <f>Demand_LP!H$4/28</f>
        <v>535.71428571428567</v>
      </c>
      <c r="BF44" s="16">
        <f>Demand_LP!I$4/28</f>
        <v>496.42857142857144</v>
      </c>
      <c r="BG44" s="16">
        <f>Demand_LP!J$4/28</f>
        <v>482.14285714285717</v>
      </c>
      <c r="BH44" s="16">
        <f>Demand_LP!K$4/28</f>
        <v>471.42857142857144</v>
      </c>
      <c r="BI44" s="16" t="e">
        <f t="shared" si="13"/>
        <v>#VALUE!</v>
      </c>
      <c r="BJ44" s="16">
        <f t="shared" si="14"/>
        <v>-24591.440293040279</v>
      </c>
      <c r="BK44" s="16">
        <f t="shared" si="15"/>
        <v>-7992.8663003663078</v>
      </c>
      <c r="BL44" s="16">
        <f t="shared" si="16"/>
        <v>-26190.11630036631</v>
      </c>
      <c r="BM44" s="16">
        <f t="shared" si="17"/>
        <v>-16903.220518543952</v>
      </c>
      <c r="BN44" s="16">
        <f t="shared" si="18"/>
        <v>-22214.285714285717</v>
      </c>
      <c r="BO44" s="16">
        <f t="shared" si="19"/>
        <v>-26357.14285714287</v>
      </c>
      <c r="BP44" s="16">
        <f t="shared" si="20"/>
        <v>-16964.285714285714</v>
      </c>
      <c r="BQ44" s="16">
        <f t="shared" si="21"/>
        <v>-13821.428571428569</v>
      </c>
      <c r="BR44" s="16">
        <f t="shared" si="22"/>
        <v>-15214.285714285708</v>
      </c>
      <c r="BS44" s="14">
        <f>IF([1]Sheet2!CA43=999999,"NA",[1]Sheet2!CA43)</f>
        <v>201264.71428571452</v>
      </c>
      <c r="BT44" s="14">
        <f>IF([1]Sheet2!CB43=999999,"NA",[1]Sheet2!CB43)</f>
        <v>246</v>
      </c>
      <c r="BU44" s="14">
        <f>IF([1]Sheet2!CC43=999999,"NA",[1]Sheet2!CC43)</f>
        <v>324</v>
      </c>
      <c r="BV44" s="14">
        <f>IF([1]Sheet2!CD43=999999,"NA",[1]Sheet2!CD43)</f>
        <v>324</v>
      </c>
      <c r="BW44" s="14">
        <f>IF([1]Sheet2!CE43=999999,"NA",[1]Sheet2!CE43)</f>
        <v>286</v>
      </c>
      <c r="BX44" s="14">
        <f>IF([1]Sheet2!CF43=999999,"NA",[1]Sheet2!CF43)</f>
        <v>324</v>
      </c>
      <c r="BY44" s="14">
        <f>IF([1]Sheet2!CG43=999999,"NA",[1]Sheet2!CG43)</f>
        <v>218</v>
      </c>
      <c r="BZ44" s="14">
        <f>IF([1]Sheet2!CH43=999999,"NA",[1]Sheet2!CH43)</f>
        <v>324</v>
      </c>
      <c r="CA44" s="14">
        <f>IF([1]Sheet2!CI43=999999,"NA",[1]Sheet2!CI43)</f>
        <v>324</v>
      </c>
      <c r="CB44" s="14">
        <f>IF([1]Sheet2!CJ43=999999,"NA",[1]Sheet2!CJ43)</f>
        <v>324</v>
      </c>
      <c r="CC44" s="14">
        <f>[1]Sheet2!BG43</f>
        <v>0</v>
      </c>
      <c r="CD44" s="14">
        <f>[1]Sheet2!BH43</f>
        <v>0</v>
      </c>
      <c r="CE44" s="14">
        <f>[1]Sheet2!BI43</f>
        <v>0</v>
      </c>
      <c r="CF44" s="14">
        <f>[1]Sheet2!BJ43</f>
        <v>0</v>
      </c>
      <c r="CG44" s="14">
        <f>[1]Sheet2!BK43</f>
        <v>0</v>
      </c>
      <c r="CH44" s="14">
        <f>[1]Sheet2!BL43</f>
        <v>0</v>
      </c>
      <c r="CI44" s="14">
        <f>[1]Sheet2!BM43</f>
        <v>0</v>
      </c>
      <c r="CJ44" s="14">
        <f>[1]Sheet2!BN43</f>
        <v>0</v>
      </c>
      <c r="CK44" s="14">
        <f>[1]Sheet2!BO43</f>
        <v>0</v>
      </c>
      <c r="CL44" s="14">
        <f>[1]Sheet2!BP43</f>
        <v>0</v>
      </c>
      <c r="CM44" s="16">
        <f>Demand_SW!B$4/28</f>
        <v>94.69780219780219</v>
      </c>
      <c r="CN44" s="16">
        <f>Demand_SW!C$4/28</f>
        <v>0</v>
      </c>
      <c r="CO44" s="16">
        <f>Demand_SW!D$4/28</f>
        <v>0</v>
      </c>
      <c r="CP44" s="16">
        <f>Demand_SW!E$4/28</f>
        <v>0</v>
      </c>
      <c r="CQ44" s="16">
        <f>Demand_SW!F$4/28</f>
        <v>0</v>
      </c>
      <c r="CR44" s="16">
        <f>Demand_SW!G$4/28</f>
        <v>85.714285714285708</v>
      </c>
      <c r="CS44" s="16">
        <f>Demand_SW!H$4/28</f>
        <v>0</v>
      </c>
      <c r="CT44" s="16">
        <f>Demand_SW!I$4/28</f>
        <v>0</v>
      </c>
      <c r="CU44" s="16">
        <f>Demand_SW!J$4/28</f>
        <v>0</v>
      </c>
      <c r="CV44" s="16">
        <f>Demand_SW!K$4/28</f>
        <v>0</v>
      </c>
      <c r="CW44" s="16">
        <f t="shared" si="23"/>
        <v>45726.098901098827</v>
      </c>
      <c r="CX44" s="16">
        <f t="shared" si="24"/>
        <v>500</v>
      </c>
      <c r="CY44" s="16">
        <f t="shared" si="25"/>
        <v>0</v>
      </c>
      <c r="CZ44" s="16">
        <f t="shared" si="26"/>
        <v>0</v>
      </c>
      <c r="DA44" s="16">
        <f t="shared" si="27"/>
        <v>0</v>
      </c>
      <c r="DB44" s="16">
        <f t="shared" si="28"/>
        <v>-3957.142857142856</v>
      </c>
      <c r="DC44" s="16">
        <f t="shared" si="29"/>
        <v>500</v>
      </c>
      <c r="DD44" s="16">
        <f t="shared" si="30"/>
        <v>0</v>
      </c>
      <c r="DE44" s="16">
        <f t="shared" si="31"/>
        <v>0</v>
      </c>
      <c r="DF44" s="16">
        <f t="shared" si="32"/>
        <v>0</v>
      </c>
      <c r="DG44" s="14">
        <f>IF([1]Sheet2!DR43=999999,"NA",[1]Sheet2!DR43)</f>
        <v>73103</v>
      </c>
      <c r="DH44" s="14">
        <f>IF([1]Sheet2!DS43=999999,"NA",[1]Sheet2!DS43)</f>
        <v>324</v>
      </c>
      <c r="DI44" s="14">
        <f>IF([1]Sheet2!DT43=999999,"NA",[1]Sheet2!DT43)</f>
        <v>324</v>
      </c>
      <c r="DJ44" s="14" t="str">
        <f>IF([1]Sheet2!DU43=999999,"NA",[1]Sheet2!DU43)</f>
        <v>NA</v>
      </c>
      <c r="DK44" s="14" t="str">
        <f>IF([1]Sheet2!DV43=999999,"NA",[1]Sheet2!DV43)</f>
        <v>NA</v>
      </c>
      <c r="DL44" s="14" t="str">
        <f>IF([1]Sheet2!DW43=999999,"NA",[1]Sheet2!DW43)</f>
        <v>NA</v>
      </c>
      <c r="DM44" s="14">
        <f>IF([1]Sheet2!DX43=999999,"NA",[1]Sheet2!DX43)</f>
        <v>324</v>
      </c>
      <c r="DN44" s="14">
        <f>IF([1]Sheet2!DY43=999999,"NA",[1]Sheet2!DY43)</f>
        <v>324</v>
      </c>
      <c r="DO44" s="14" t="str">
        <f>IF([1]Sheet2!DZ43=999999,"NA",[1]Sheet2!DZ43)</f>
        <v>NA</v>
      </c>
      <c r="DP44" s="14" t="str">
        <f>IF([1]Sheet2!EA43=999999,"NA",[1]Sheet2!EA43)</f>
        <v>NA</v>
      </c>
      <c r="DQ44" s="14">
        <f>[1]Sheet2!CX43</f>
        <v>0</v>
      </c>
      <c r="DR44" s="14">
        <f>[1]Sheet2!CY43</f>
        <v>0</v>
      </c>
      <c r="DS44" s="14">
        <f>[1]Sheet2!CZ43</f>
        <v>0</v>
      </c>
      <c r="DT44" s="14">
        <f>[1]Sheet2!DA43</f>
        <v>0</v>
      </c>
      <c r="DU44" s="14">
        <f>[1]Sheet2!DB43</f>
        <v>0</v>
      </c>
      <c r="DV44" s="14">
        <f>[1]Sheet2!DC43</f>
        <v>0</v>
      </c>
      <c r="DW44" s="14">
        <f>[1]Sheet2!DD43</f>
        <v>0</v>
      </c>
      <c r="DX44" s="14">
        <f>[1]Sheet2!DE43</f>
        <v>0</v>
      </c>
      <c r="DY44" s="14">
        <f>[1]Sheet2!DF43</f>
        <v>0</v>
      </c>
      <c r="DZ44" s="14">
        <f>[1]Sheet2!DG43</f>
        <v>0</v>
      </c>
    </row>
    <row r="45" spans="1:130" x14ac:dyDescent="0.25">
      <c r="A45" s="15">
        <v>43507</v>
      </c>
      <c r="B45" s="1"/>
      <c r="C45" s="1"/>
      <c r="D45" s="1"/>
      <c r="E45" s="14">
        <f>[1]Sheet2!N44</f>
        <v>0</v>
      </c>
      <c r="F45" s="14">
        <f>[1]Sheet2!BE44</f>
        <v>0</v>
      </c>
      <c r="G45" s="14">
        <f>[1]Sheet2!CV44</f>
        <v>180.41208791208791</v>
      </c>
      <c r="H45" s="1"/>
      <c r="I45" s="1"/>
      <c r="J45" s="1"/>
      <c r="K45" s="16">
        <f>Demand_CWRS!B$4/28</f>
        <v>131.68146963713369</v>
      </c>
      <c r="L45" s="16">
        <f>Demand_CWRS!C$4/28</f>
        <v>501.27216117216119</v>
      </c>
      <c r="M45" s="16">
        <f>Demand_CWRS!D$4/28</f>
        <v>0</v>
      </c>
      <c r="N45" s="16">
        <f>Demand_CWRS!E$4/28</f>
        <v>130.17472527472526</v>
      </c>
      <c r="O45" s="16">
        <f>Demand_CWRS!F$4/28</f>
        <v>262.94741300366297</v>
      </c>
      <c r="P45" s="16">
        <f>Demand_CWRS!G$4/28</f>
        <v>127.85714285714286</v>
      </c>
      <c r="Q45" s="16">
        <f>Demand_CWRS!H$4/28</f>
        <v>501.27216117216119</v>
      </c>
      <c r="R45" s="16">
        <f>Demand_CWRS!I$4/28</f>
        <v>214.28571428571428</v>
      </c>
      <c r="S45" s="16">
        <f>Demand_CWRS!J$4/28</f>
        <v>207.14285714285714</v>
      </c>
      <c r="T45" s="16">
        <f>Demand_CWRS!K$4/28</f>
        <v>221.42857142857142</v>
      </c>
      <c r="U45" s="16">
        <f t="shared" si="3"/>
        <v>-8158.3588262648818</v>
      </c>
      <c r="V45" s="16">
        <f t="shared" si="4"/>
        <v>-11007.004029304027</v>
      </c>
      <c r="W45" s="16">
        <f t="shared" si="5"/>
        <v>0</v>
      </c>
      <c r="X45" s="16">
        <f t="shared" si="6"/>
        <v>-2496.9540293040304</v>
      </c>
      <c r="Y45" s="16">
        <f t="shared" si="7"/>
        <v>-8041.8605654761923</v>
      </c>
      <c r="Z45" s="16">
        <f t="shared" si="8"/>
        <v>-8006.4285714285761</v>
      </c>
      <c r="AA45" s="16">
        <f t="shared" si="9"/>
        <v>-10507.004029304027</v>
      </c>
      <c r="AB45" s="16">
        <f t="shared" si="10"/>
        <v>-6557.1428571428614</v>
      </c>
      <c r="AC45" s="16">
        <f t="shared" si="11"/>
        <v>-6678.5714285714257</v>
      </c>
      <c r="AD45" s="16">
        <f t="shared" si="12"/>
        <v>-7135.7142857142853</v>
      </c>
      <c r="AE45" s="14">
        <f>IF([1]Sheet2!AJ44=999999,"NA",[1]Sheet2!AJ44)</f>
        <v>85</v>
      </c>
      <c r="AF45" s="14">
        <f>IF([1]Sheet2!AK44=999999,"NA",[1]Sheet2!AK44)</f>
        <v>16</v>
      </c>
      <c r="AG45" s="14" t="str">
        <f>IF([1]Sheet2!AL44=999999,"NA",[1]Sheet2!AL44)</f>
        <v>NA</v>
      </c>
      <c r="AH45" s="14">
        <f>IF([1]Sheet2!AM44=999999,"NA",[1]Sheet2!AM44)</f>
        <v>323</v>
      </c>
      <c r="AI45" s="14">
        <f>IF([1]Sheet2!AN44=999999,"NA",[1]Sheet2!AN44)</f>
        <v>323</v>
      </c>
      <c r="AJ45" s="14">
        <f>IF([1]Sheet2!AO44=999999,"NA",[1]Sheet2!AO44)</f>
        <v>323</v>
      </c>
      <c r="AK45" s="14">
        <f>IF([1]Sheet2!AP44=999999,"NA",[1]Sheet2!AP44)</f>
        <v>68</v>
      </c>
      <c r="AL45" s="14">
        <f>IF([1]Sheet2!AQ44=999999,"NA",[1]Sheet2!AQ44)</f>
        <v>199</v>
      </c>
      <c r="AM45" s="14">
        <f>IF([1]Sheet2!AR44=999999,"NA",[1]Sheet2!AR44)</f>
        <v>323</v>
      </c>
      <c r="AN45" s="14">
        <f>IF([1]Sheet2!AS44=999999,"NA",[1]Sheet2!AS44)</f>
        <v>255</v>
      </c>
      <c r="AO45" s="14">
        <f>[1]Sheet2!P44</f>
        <v>0</v>
      </c>
      <c r="AP45" s="14">
        <f>[1]Sheet2!Q44</f>
        <v>0</v>
      </c>
      <c r="AQ45" s="14">
        <f>[1]Sheet2!R44</f>
        <v>0</v>
      </c>
      <c r="AR45" s="14">
        <f>[1]Sheet2!S44</f>
        <v>0</v>
      </c>
      <c r="AS45" s="14">
        <f>[1]Sheet2!T44</f>
        <v>0</v>
      </c>
      <c r="AT45" s="14">
        <f>[1]Sheet2!U44</f>
        <v>0</v>
      </c>
      <c r="AU45" s="14">
        <f>[1]Sheet2!V44</f>
        <v>0</v>
      </c>
      <c r="AV45" s="14">
        <f>[1]Sheet2!W44</f>
        <v>0</v>
      </c>
      <c r="AW45" s="14">
        <f>[1]Sheet2!X44</f>
        <v>0</v>
      </c>
      <c r="AX45" s="14">
        <f>[1]Sheet2!Y44</f>
        <v>0</v>
      </c>
      <c r="AY45" s="16">
        <f>Demand_LP!B$4/28</f>
        <v>811.09813487293957</v>
      </c>
      <c r="AZ45" s="16">
        <f>Demand_LP!C$4/28</f>
        <v>502.83223443223443</v>
      </c>
      <c r="BA45" s="16">
        <f>Demand_LP!D$4/28</f>
        <v>282.53663003663002</v>
      </c>
      <c r="BB45" s="16">
        <f>Demand_LP!E$4/28</f>
        <v>759.73919413919407</v>
      </c>
      <c r="BC45" s="16">
        <f>Demand_LP!F$4/28</f>
        <v>495.28213999542123</v>
      </c>
      <c r="BD45" s="16">
        <f>Demand_LP!G$4/28</f>
        <v>821.42857142857144</v>
      </c>
      <c r="BE45" s="16">
        <f>Demand_LP!H$4/28</f>
        <v>535.71428571428567</v>
      </c>
      <c r="BF45" s="16">
        <f>Demand_LP!I$4/28</f>
        <v>496.42857142857144</v>
      </c>
      <c r="BG45" s="16">
        <f>Demand_LP!J$4/28</f>
        <v>482.14285714285717</v>
      </c>
      <c r="BH45" s="16">
        <f>Demand_LP!K$4/28</f>
        <v>471.42857142857144</v>
      </c>
      <c r="BI45" s="16" t="e">
        <f t="shared" si="13"/>
        <v>#VALUE!</v>
      </c>
      <c r="BJ45" s="16">
        <f t="shared" si="14"/>
        <v>-25094.272527472513</v>
      </c>
      <c r="BK45" s="16">
        <f t="shared" si="15"/>
        <v>-8275.4029304029373</v>
      </c>
      <c r="BL45" s="16">
        <f t="shared" si="16"/>
        <v>-26949.855494505504</v>
      </c>
      <c r="BM45" s="16">
        <f t="shared" si="17"/>
        <v>-17398.502658539375</v>
      </c>
      <c r="BN45" s="16">
        <f t="shared" si="18"/>
        <v>-23035.71428571429</v>
      </c>
      <c r="BO45" s="16">
        <f t="shared" si="19"/>
        <v>-26892.857142857156</v>
      </c>
      <c r="BP45" s="16">
        <f t="shared" si="20"/>
        <v>-17460.714285714286</v>
      </c>
      <c r="BQ45" s="16">
        <f t="shared" si="21"/>
        <v>-14303.571428571426</v>
      </c>
      <c r="BR45" s="16">
        <f t="shared" si="22"/>
        <v>-15685.714285714279</v>
      </c>
      <c r="BS45" s="14">
        <f>IF([1]Sheet2!CA44=999999,"NA",[1]Sheet2!CA44)</f>
        <v>200793.28571428594</v>
      </c>
      <c r="BT45" s="14">
        <f>IF([1]Sheet2!CB44=999999,"NA",[1]Sheet2!CB44)</f>
        <v>245</v>
      </c>
      <c r="BU45" s="14">
        <f>IF([1]Sheet2!CC44=999999,"NA",[1]Sheet2!CC44)</f>
        <v>323</v>
      </c>
      <c r="BV45" s="14">
        <f>IF([1]Sheet2!CD44=999999,"NA",[1]Sheet2!CD44)</f>
        <v>323</v>
      </c>
      <c r="BW45" s="14">
        <f>IF([1]Sheet2!CE44=999999,"NA",[1]Sheet2!CE44)</f>
        <v>285</v>
      </c>
      <c r="BX45" s="14">
        <f>IF([1]Sheet2!CF44=999999,"NA",[1]Sheet2!CF44)</f>
        <v>323</v>
      </c>
      <c r="BY45" s="14">
        <f>IF([1]Sheet2!CG44=999999,"NA",[1]Sheet2!CG44)</f>
        <v>217</v>
      </c>
      <c r="BZ45" s="14">
        <f>IF([1]Sheet2!CH44=999999,"NA",[1]Sheet2!CH44)</f>
        <v>323</v>
      </c>
      <c r="CA45" s="14">
        <f>IF([1]Sheet2!CI44=999999,"NA",[1]Sheet2!CI44)</f>
        <v>323</v>
      </c>
      <c r="CB45" s="14">
        <f>IF([1]Sheet2!CJ44=999999,"NA",[1]Sheet2!CJ44)</f>
        <v>323</v>
      </c>
      <c r="CC45" s="14">
        <f>[1]Sheet2!BG44</f>
        <v>0</v>
      </c>
      <c r="CD45" s="14">
        <f>[1]Sheet2!BH44</f>
        <v>0</v>
      </c>
      <c r="CE45" s="14">
        <f>[1]Sheet2!BI44</f>
        <v>0</v>
      </c>
      <c r="CF45" s="14">
        <f>[1]Sheet2!BJ44</f>
        <v>0</v>
      </c>
      <c r="CG45" s="14">
        <f>[1]Sheet2!BK44</f>
        <v>0</v>
      </c>
      <c r="CH45" s="14">
        <f>[1]Sheet2!BL44</f>
        <v>0</v>
      </c>
      <c r="CI45" s="14">
        <f>[1]Sheet2!BM44</f>
        <v>0</v>
      </c>
      <c r="CJ45" s="14">
        <f>[1]Sheet2!BN44</f>
        <v>0</v>
      </c>
      <c r="CK45" s="14">
        <f>[1]Sheet2!BO44</f>
        <v>0</v>
      </c>
      <c r="CL45" s="14">
        <f>[1]Sheet2!BP44</f>
        <v>0</v>
      </c>
      <c r="CM45" s="16">
        <f>Demand_SW!B$4/28</f>
        <v>94.69780219780219</v>
      </c>
      <c r="CN45" s="16">
        <f>Demand_SW!C$4/28</f>
        <v>0</v>
      </c>
      <c r="CO45" s="16">
        <f>Demand_SW!D$4/28</f>
        <v>0</v>
      </c>
      <c r="CP45" s="16">
        <f>Demand_SW!E$4/28</f>
        <v>0</v>
      </c>
      <c r="CQ45" s="16">
        <f>Demand_SW!F$4/28</f>
        <v>0</v>
      </c>
      <c r="CR45" s="16">
        <f>Demand_SW!G$4/28</f>
        <v>85.714285714285708</v>
      </c>
      <c r="CS45" s="16">
        <f>Demand_SW!H$4/28</f>
        <v>0</v>
      </c>
      <c r="CT45" s="16">
        <f>Demand_SW!I$4/28</f>
        <v>0</v>
      </c>
      <c r="CU45" s="16">
        <f>Demand_SW!J$4/28</f>
        <v>0</v>
      </c>
      <c r="CV45" s="16">
        <f>Demand_SW!K$4/28</f>
        <v>0</v>
      </c>
      <c r="CW45" s="16">
        <f t="shared" si="23"/>
        <v>45631.401098901028</v>
      </c>
      <c r="CX45" s="16">
        <f t="shared" si="24"/>
        <v>500</v>
      </c>
      <c r="CY45" s="16">
        <f t="shared" si="25"/>
        <v>0</v>
      </c>
      <c r="CZ45" s="16">
        <f t="shared" si="26"/>
        <v>0</v>
      </c>
      <c r="DA45" s="16">
        <f t="shared" si="27"/>
        <v>0</v>
      </c>
      <c r="DB45" s="16">
        <f t="shared" si="28"/>
        <v>-4042.8571428571418</v>
      </c>
      <c r="DC45" s="16">
        <f t="shared" si="29"/>
        <v>500</v>
      </c>
      <c r="DD45" s="16">
        <f t="shared" si="30"/>
        <v>0</v>
      </c>
      <c r="DE45" s="16">
        <f t="shared" si="31"/>
        <v>0</v>
      </c>
      <c r="DF45" s="16">
        <f t="shared" si="32"/>
        <v>0</v>
      </c>
      <c r="DG45" s="14">
        <f>IF([1]Sheet2!DR44=999999,"NA",[1]Sheet2!DR44)</f>
        <v>73103</v>
      </c>
      <c r="DH45" s="14">
        <f>IF([1]Sheet2!DS44=999999,"NA",[1]Sheet2!DS44)</f>
        <v>323</v>
      </c>
      <c r="DI45" s="14">
        <f>IF([1]Sheet2!DT44=999999,"NA",[1]Sheet2!DT44)</f>
        <v>323</v>
      </c>
      <c r="DJ45" s="14" t="str">
        <f>IF([1]Sheet2!DU44=999999,"NA",[1]Sheet2!DU44)</f>
        <v>NA</v>
      </c>
      <c r="DK45" s="14" t="str">
        <f>IF([1]Sheet2!DV44=999999,"NA",[1]Sheet2!DV44)</f>
        <v>NA</v>
      </c>
      <c r="DL45" s="14" t="str">
        <f>IF([1]Sheet2!DW44=999999,"NA",[1]Sheet2!DW44)</f>
        <v>NA</v>
      </c>
      <c r="DM45" s="14">
        <f>IF([1]Sheet2!DX44=999999,"NA",[1]Sheet2!DX44)</f>
        <v>323</v>
      </c>
      <c r="DN45" s="14">
        <f>IF([1]Sheet2!DY44=999999,"NA",[1]Sheet2!DY44)</f>
        <v>323</v>
      </c>
      <c r="DO45" s="14" t="str">
        <f>IF([1]Sheet2!DZ44=999999,"NA",[1]Sheet2!DZ44)</f>
        <v>NA</v>
      </c>
      <c r="DP45" s="14" t="str">
        <f>IF([1]Sheet2!EA44=999999,"NA",[1]Sheet2!EA44)</f>
        <v>NA</v>
      </c>
      <c r="DQ45" s="14">
        <f>[1]Sheet2!CX44</f>
        <v>0</v>
      </c>
      <c r="DR45" s="14">
        <f>[1]Sheet2!CY44</f>
        <v>0</v>
      </c>
      <c r="DS45" s="14">
        <f>[1]Sheet2!CZ44</f>
        <v>0</v>
      </c>
      <c r="DT45" s="14">
        <f>[1]Sheet2!DA44</f>
        <v>0</v>
      </c>
      <c r="DU45" s="14">
        <f>[1]Sheet2!DB44</f>
        <v>0</v>
      </c>
      <c r="DV45" s="14">
        <f>[1]Sheet2!DC44</f>
        <v>0</v>
      </c>
      <c r="DW45" s="14">
        <f>[1]Sheet2!DD44</f>
        <v>0</v>
      </c>
      <c r="DX45" s="14">
        <f>[1]Sheet2!DE44</f>
        <v>0</v>
      </c>
      <c r="DY45" s="14">
        <f>[1]Sheet2!DF44</f>
        <v>0</v>
      </c>
      <c r="DZ45" s="14">
        <f>[1]Sheet2!DG44</f>
        <v>0</v>
      </c>
    </row>
    <row r="46" spans="1:130" x14ac:dyDescent="0.25">
      <c r="A46" s="15">
        <v>43508</v>
      </c>
      <c r="B46" s="1"/>
      <c r="C46" s="1"/>
      <c r="D46" s="1"/>
      <c r="E46" s="14">
        <f>[1]Sheet2!N45</f>
        <v>0</v>
      </c>
      <c r="F46" s="14">
        <f>[1]Sheet2!BE45</f>
        <v>0</v>
      </c>
      <c r="G46" s="14">
        <f>[1]Sheet2!CV45</f>
        <v>180.41208791208791</v>
      </c>
      <c r="H46" s="1"/>
      <c r="I46" s="1"/>
      <c r="J46" s="1"/>
      <c r="K46" s="16">
        <f>Demand_CWRS!B$4/28</f>
        <v>131.68146963713369</v>
      </c>
      <c r="L46" s="16">
        <f>Demand_CWRS!C$4/28</f>
        <v>501.27216117216119</v>
      </c>
      <c r="M46" s="16">
        <f>Demand_CWRS!D$4/28</f>
        <v>0</v>
      </c>
      <c r="N46" s="16">
        <f>Demand_CWRS!E$4/28</f>
        <v>130.17472527472526</v>
      </c>
      <c r="O46" s="16">
        <f>Demand_CWRS!F$4/28</f>
        <v>262.94741300366297</v>
      </c>
      <c r="P46" s="16">
        <f>Demand_CWRS!G$4/28</f>
        <v>127.85714285714286</v>
      </c>
      <c r="Q46" s="16">
        <f>Demand_CWRS!H$4/28</f>
        <v>501.27216117216119</v>
      </c>
      <c r="R46" s="16">
        <f>Demand_CWRS!I$4/28</f>
        <v>214.28571428571428</v>
      </c>
      <c r="S46" s="16">
        <f>Demand_CWRS!J$4/28</f>
        <v>207.14285714285714</v>
      </c>
      <c r="T46" s="16">
        <f>Demand_CWRS!K$4/28</f>
        <v>221.42857142857142</v>
      </c>
      <c r="U46" s="16">
        <f t="shared" si="3"/>
        <v>-8290.0402959020157</v>
      </c>
      <c r="V46" s="16">
        <f t="shared" si="4"/>
        <v>-11508.276190476188</v>
      </c>
      <c r="W46" s="16">
        <f t="shared" si="5"/>
        <v>0</v>
      </c>
      <c r="X46" s="16">
        <f t="shared" si="6"/>
        <v>-2627.1287545787559</v>
      </c>
      <c r="Y46" s="16">
        <f t="shared" si="7"/>
        <v>-8304.8079784798556</v>
      </c>
      <c r="Z46" s="16">
        <f t="shared" si="8"/>
        <v>-8134.2857142857192</v>
      </c>
      <c r="AA46" s="16">
        <f t="shared" si="9"/>
        <v>-11008.276190476188</v>
      </c>
      <c r="AB46" s="16">
        <f t="shared" si="10"/>
        <v>-6771.4285714285761</v>
      </c>
      <c r="AC46" s="16">
        <f t="shared" si="11"/>
        <v>-6885.7142857142826</v>
      </c>
      <c r="AD46" s="16">
        <f t="shared" si="12"/>
        <v>-7357.1428571428569</v>
      </c>
      <c r="AE46" s="14">
        <f>IF([1]Sheet2!AJ45=999999,"NA",[1]Sheet2!AJ45)</f>
        <v>84</v>
      </c>
      <c r="AF46" s="14">
        <f>IF([1]Sheet2!AK45=999999,"NA",[1]Sheet2!AK45)</f>
        <v>15</v>
      </c>
      <c r="AG46" s="14" t="str">
        <f>IF([1]Sheet2!AL45=999999,"NA",[1]Sheet2!AL45)</f>
        <v>NA</v>
      </c>
      <c r="AH46" s="14">
        <f>IF([1]Sheet2!AM45=999999,"NA",[1]Sheet2!AM45)</f>
        <v>322</v>
      </c>
      <c r="AI46" s="14">
        <f>IF([1]Sheet2!AN45=999999,"NA",[1]Sheet2!AN45)</f>
        <v>322</v>
      </c>
      <c r="AJ46" s="14">
        <f>IF([1]Sheet2!AO45=999999,"NA",[1]Sheet2!AO45)</f>
        <v>322</v>
      </c>
      <c r="AK46" s="14">
        <f>IF([1]Sheet2!AP45=999999,"NA",[1]Sheet2!AP45)</f>
        <v>67</v>
      </c>
      <c r="AL46" s="14">
        <f>IF([1]Sheet2!AQ45=999999,"NA",[1]Sheet2!AQ45)</f>
        <v>198</v>
      </c>
      <c r="AM46" s="14">
        <f>IF([1]Sheet2!AR45=999999,"NA",[1]Sheet2!AR45)</f>
        <v>322</v>
      </c>
      <c r="AN46" s="14">
        <f>IF([1]Sheet2!AS45=999999,"NA",[1]Sheet2!AS45)</f>
        <v>254</v>
      </c>
      <c r="AO46" s="14">
        <f>[1]Sheet2!P45</f>
        <v>0</v>
      </c>
      <c r="AP46" s="14">
        <f>[1]Sheet2!Q45</f>
        <v>0</v>
      </c>
      <c r="AQ46" s="14">
        <f>[1]Sheet2!R45</f>
        <v>0</v>
      </c>
      <c r="AR46" s="14">
        <f>[1]Sheet2!S45</f>
        <v>0</v>
      </c>
      <c r="AS46" s="14">
        <f>[1]Sheet2!T45</f>
        <v>0</v>
      </c>
      <c r="AT46" s="14">
        <f>[1]Sheet2!U45</f>
        <v>0</v>
      </c>
      <c r="AU46" s="14">
        <f>[1]Sheet2!V45</f>
        <v>0</v>
      </c>
      <c r="AV46" s="14">
        <f>[1]Sheet2!W45</f>
        <v>0</v>
      </c>
      <c r="AW46" s="14">
        <f>[1]Sheet2!X45</f>
        <v>0</v>
      </c>
      <c r="AX46" s="14">
        <f>[1]Sheet2!Y45</f>
        <v>0</v>
      </c>
      <c r="AY46" s="16">
        <f>Demand_LP!B$4/28</f>
        <v>811.09813487293957</v>
      </c>
      <c r="AZ46" s="16">
        <f>Demand_LP!C$4/28</f>
        <v>502.83223443223443</v>
      </c>
      <c r="BA46" s="16">
        <f>Demand_LP!D$4/28</f>
        <v>282.53663003663002</v>
      </c>
      <c r="BB46" s="16">
        <f>Demand_LP!E$4/28</f>
        <v>759.73919413919407</v>
      </c>
      <c r="BC46" s="16">
        <f>Demand_LP!F$4/28</f>
        <v>495.28213999542123</v>
      </c>
      <c r="BD46" s="16">
        <f>Demand_LP!G$4/28</f>
        <v>821.42857142857144</v>
      </c>
      <c r="BE46" s="16">
        <f>Demand_LP!H$4/28</f>
        <v>535.71428571428567</v>
      </c>
      <c r="BF46" s="16">
        <f>Demand_LP!I$4/28</f>
        <v>496.42857142857144</v>
      </c>
      <c r="BG46" s="16">
        <f>Demand_LP!J$4/28</f>
        <v>482.14285714285717</v>
      </c>
      <c r="BH46" s="16">
        <f>Demand_LP!K$4/28</f>
        <v>471.42857142857144</v>
      </c>
      <c r="BI46" s="16" t="e">
        <f t="shared" si="13"/>
        <v>#VALUE!</v>
      </c>
      <c r="BJ46" s="16">
        <f t="shared" si="14"/>
        <v>-25597.104761904746</v>
      </c>
      <c r="BK46" s="16">
        <f t="shared" si="15"/>
        <v>-8557.9395604395668</v>
      </c>
      <c r="BL46" s="16">
        <f t="shared" si="16"/>
        <v>-27709.594688644698</v>
      </c>
      <c r="BM46" s="16">
        <f t="shared" si="17"/>
        <v>-17893.784798534798</v>
      </c>
      <c r="BN46" s="16">
        <f t="shared" si="18"/>
        <v>-23857.142857142862</v>
      </c>
      <c r="BO46" s="16">
        <f t="shared" si="19"/>
        <v>-27428.571428571442</v>
      </c>
      <c r="BP46" s="16">
        <f t="shared" si="20"/>
        <v>-17957.142857142859</v>
      </c>
      <c r="BQ46" s="16">
        <f t="shared" si="21"/>
        <v>-14785.714285714283</v>
      </c>
      <c r="BR46" s="16">
        <f t="shared" si="22"/>
        <v>-16157.14285714285</v>
      </c>
      <c r="BS46" s="14">
        <f>IF([1]Sheet2!CA45=999999,"NA",[1]Sheet2!CA45)</f>
        <v>200321.85714285736</v>
      </c>
      <c r="BT46" s="14">
        <f>IF([1]Sheet2!CB45=999999,"NA",[1]Sheet2!CB45)</f>
        <v>244</v>
      </c>
      <c r="BU46" s="14">
        <f>IF([1]Sheet2!CC45=999999,"NA",[1]Sheet2!CC45)</f>
        <v>322</v>
      </c>
      <c r="BV46" s="14">
        <f>IF([1]Sheet2!CD45=999999,"NA",[1]Sheet2!CD45)</f>
        <v>322</v>
      </c>
      <c r="BW46" s="14">
        <f>IF([1]Sheet2!CE45=999999,"NA",[1]Sheet2!CE45)</f>
        <v>284</v>
      </c>
      <c r="BX46" s="14">
        <f>IF([1]Sheet2!CF45=999999,"NA",[1]Sheet2!CF45)</f>
        <v>322</v>
      </c>
      <c r="BY46" s="14">
        <f>IF([1]Sheet2!CG45=999999,"NA",[1]Sheet2!CG45)</f>
        <v>216</v>
      </c>
      <c r="BZ46" s="14">
        <f>IF([1]Sheet2!CH45=999999,"NA",[1]Sheet2!CH45)</f>
        <v>322</v>
      </c>
      <c r="CA46" s="14">
        <f>IF([1]Sheet2!CI45=999999,"NA",[1]Sheet2!CI45)</f>
        <v>322</v>
      </c>
      <c r="CB46" s="14">
        <f>IF([1]Sheet2!CJ45=999999,"NA",[1]Sheet2!CJ45)</f>
        <v>322</v>
      </c>
      <c r="CC46" s="14">
        <f>[1]Sheet2!BG45</f>
        <v>0</v>
      </c>
      <c r="CD46" s="14">
        <f>[1]Sheet2!BH45</f>
        <v>0</v>
      </c>
      <c r="CE46" s="14">
        <f>[1]Sheet2!BI45</f>
        <v>0</v>
      </c>
      <c r="CF46" s="14">
        <f>[1]Sheet2!BJ45</f>
        <v>0</v>
      </c>
      <c r="CG46" s="14">
        <f>[1]Sheet2!BK45</f>
        <v>0</v>
      </c>
      <c r="CH46" s="14">
        <f>[1]Sheet2!BL45</f>
        <v>0</v>
      </c>
      <c r="CI46" s="14">
        <f>[1]Sheet2!BM45</f>
        <v>0</v>
      </c>
      <c r="CJ46" s="14">
        <f>[1]Sheet2!BN45</f>
        <v>0</v>
      </c>
      <c r="CK46" s="14">
        <f>[1]Sheet2!BO45</f>
        <v>0</v>
      </c>
      <c r="CL46" s="14">
        <f>[1]Sheet2!BP45</f>
        <v>0</v>
      </c>
      <c r="CM46" s="16">
        <f>Demand_SW!B$4/28</f>
        <v>94.69780219780219</v>
      </c>
      <c r="CN46" s="16">
        <f>Demand_SW!C$4/28</f>
        <v>0</v>
      </c>
      <c r="CO46" s="16">
        <f>Demand_SW!D$4/28</f>
        <v>0</v>
      </c>
      <c r="CP46" s="16">
        <f>Demand_SW!E$4/28</f>
        <v>0</v>
      </c>
      <c r="CQ46" s="16">
        <f>Demand_SW!F$4/28</f>
        <v>0</v>
      </c>
      <c r="CR46" s="16">
        <f>Demand_SW!G$4/28</f>
        <v>85.714285714285708</v>
      </c>
      <c r="CS46" s="16">
        <f>Demand_SW!H$4/28</f>
        <v>0</v>
      </c>
      <c r="CT46" s="16">
        <f>Demand_SW!I$4/28</f>
        <v>0</v>
      </c>
      <c r="CU46" s="16">
        <f>Demand_SW!J$4/28</f>
        <v>0</v>
      </c>
      <c r="CV46" s="16">
        <f>Demand_SW!K$4/28</f>
        <v>0</v>
      </c>
      <c r="CW46" s="16">
        <f t="shared" si="23"/>
        <v>45536.703296703228</v>
      </c>
      <c r="CX46" s="16">
        <f t="shared" si="24"/>
        <v>500</v>
      </c>
      <c r="CY46" s="16">
        <f t="shared" si="25"/>
        <v>0</v>
      </c>
      <c r="CZ46" s="16">
        <f t="shared" si="26"/>
        <v>0</v>
      </c>
      <c r="DA46" s="16">
        <f t="shared" si="27"/>
        <v>0</v>
      </c>
      <c r="DB46" s="16">
        <f t="shared" si="28"/>
        <v>-4128.5714285714275</v>
      </c>
      <c r="DC46" s="16">
        <f t="shared" si="29"/>
        <v>500</v>
      </c>
      <c r="DD46" s="16">
        <f t="shared" si="30"/>
        <v>0</v>
      </c>
      <c r="DE46" s="16">
        <f t="shared" si="31"/>
        <v>0</v>
      </c>
      <c r="DF46" s="16">
        <f t="shared" si="32"/>
        <v>0</v>
      </c>
      <c r="DG46" s="14">
        <f>IF([1]Sheet2!DR45=999999,"NA",[1]Sheet2!DR45)</f>
        <v>73103</v>
      </c>
      <c r="DH46" s="14">
        <f>IF([1]Sheet2!DS45=999999,"NA",[1]Sheet2!DS45)</f>
        <v>322</v>
      </c>
      <c r="DI46" s="14">
        <f>IF([1]Sheet2!DT45=999999,"NA",[1]Sheet2!DT45)</f>
        <v>322</v>
      </c>
      <c r="DJ46" s="14" t="str">
        <f>IF([1]Sheet2!DU45=999999,"NA",[1]Sheet2!DU45)</f>
        <v>NA</v>
      </c>
      <c r="DK46" s="14" t="str">
        <f>IF([1]Sheet2!DV45=999999,"NA",[1]Sheet2!DV45)</f>
        <v>NA</v>
      </c>
      <c r="DL46" s="14" t="str">
        <f>IF([1]Sheet2!DW45=999999,"NA",[1]Sheet2!DW45)</f>
        <v>NA</v>
      </c>
      <c r="DM46" s="14">
        <f>IF([1]Sheet2!DX45=999999,"NA",[1]Sheet2!DX45)</f>
        <v>322</v>
      </c>
      <c r="DN46" s="14">
        <f>IF([1]Sheet2!DY45=999999,"NA",[1]Sheet2!DY45)</f>
        <v>322</v>
      </c>
      <c r="DO46" s="14" t="str">
        <f>IF([1]Sheet2!DZ45=999999,"NA",[1]Sheet2!DZ45)</f>
        <v>NA</v>
      </c>
      <c r="DP46" s="14" t="str">
        <f>IF([1]Sheet2!EA45=999999,"NA",[1]Sheet2!EA45)</f>
        <v>NA</v>
      </c>
      <c r="DQ46" s="14">
        <f>[1]Sheet2!CX45</f>
        <v>0</v>
      </c>
      <c r="DR46" s="14">
        <f>[1]Sheet2!CY45</f>
        <v>0</v>
      </c>
      <c r="DS46" s="14">
        <f>[1]Sheet2!CZ45</f>
        <v>0</v>
      </c>
      <c r="DT46" s="14">
        <f>[1]Sheet2!DA45</f>
        <v>0</v>
      </c>
      <c r="DU46" s="14">
        <f>[1]Sheet2!DB45</f>
        <v>0</v>
      </c>
      <c r="DV46" s="14">
        <f>[1]Sheet2!DC45</f>
        <v>0</v>
      </c>
      <c r="DW46" s="14">
        <f>[1]Sheet2!DD45</f>
        <v>0</v>
      </c>
      <c r="DX46" s="14">
        <f>[1]Sheet2!DE45</f>
        <v>0</v>
      </c>
      <c r="DY46" s="14">
        <f>[1]Sheet2!DF45</f>
        <v>0</v>
      </c>
      <c r="DZ46" s="14">
        <f>[1]Sheet2!DG45</f>
        <v>0</v>
      </c>
    </row>
    <row r="47" spans="1:130" x14ac:dyDescent="0.25">
      <c r="A47" s="15">
        <v>43509</v>
      </c>
      <c r="B47" s="1"/>
      <c r="C47" s="1"/>
      <c r="D47" s="1"/>
      <c r="E47" s="14">
        <f>[1]Sheet2!N46</f>
        <v>0</v>
      </c>
      <c r="F47" s="14">
        <f>[1]Sheet2!BE46</f>
        <v>0</v>
      </c>
      <c r="G47" s="14">
        <f>[1]Sheet2!CV46</f>
        <v>180.41208791208791</v>
      </c>
      <c r="H47" s="1"/>
      <c r="I47" s="1"/>
      <c r="J47" s="1"/>
      <c r="K47" s="16">
        <f>Demand_CWRS!B$4/28</f>
        <v>131.68146963713369</v>
      </c>
      <c r="L47" s="16">
        <f>Demand_CWRS!C$4/28</f>
        <v>501.27216117216119</v>
      </c>
      <c r="M47" s="16">
        <f>Demand_CWRS!D$4/28</f>
        <v>0</v>
      </c>
      <c r="N47" s="16">
        <f>Demand_CWRS!E$4/28</f>
        <v>130.17472527472526</v>
      </c>
      <c r="O47" s="16">
        <f>Demand_CWRS!F$4/28</f>
        <v>262.94741300366297</v>
      </c>
      <c r="P47" s="16">
        <f>Demand_CWRS!G$4/28</f>
        <v>127.85714285714286</v>
      </c>
      <c r="Q47" s="16">
        <f>Demand_CWRS!H$4/28</f>
        <v>501.27216117216119</v>
      </c>
      <c r="R47" s="16">
        <f>Demand_CWRS!I$4/28</f>
        <v>214.28571428571428</v>
      </c>
      <c r="S47" s="16">
        <f>Demand_CWRS!J$4/28</f>
        <v>207.14285714285714</v>
      </c>
      <c r="T47" s="16">
        <f>Demand_CWRS!K$4/28</f>
        <v>221.42857142857142</v>
      </c>
      <c r="U47" s="16">
        <f t="shared" si="3"/>
        <v>-8421.7217655391487</v>
      </c>
      <c r="V47" s="16">
        <f t="shared" si="4"/>
        <v>-12009.548351648349</v>
      </c>
      <c r="W47" s="16">
        <f t="shared" si="5"/>
        <v>0</v>
      </c>
      <c r="X47" s="16">
        <f t="shared" si="6"/>
        <v>-2757.3034798534813</v>
      </c>
      <c r="Y47" s="16">
        <f t="shared" si="7"/>
        <v>-8567.7553914835189</v>
      </c>
      <c r="Z47" s="16">
        <f t="shared" si="8"/>
        <v>-8262.1428571428623</v>
      </c>
      <c r="AA47" s="16">
        <f t="shared" si="9"/>
        <v>-11509.548351648349</v>
      </c>
      <c r="AB47" s="16">
        <f t="shared" si="10"/>
        <v>-6985.7142857142908</v>
      </c>
      <c r="AC47" s="16">
        <f t="shared" si="11"/>
        <v>-7092.8571428571395</v>
      </c>
      <c r="AD47" s="16">
        <f t="shared" si="12"/>
        <v>-7578.5714285714284</v>
      </c>
      <c r="AE47" s="14">
        <f>IF([1]Sheet2!AJ46=999999,"NA",[1]Sheet2!AJ46)</f>
        <v>83</v>
      </c>
      <c r="AF47" s="14">
        <f>IF([1]Sheet2!AK46=999999,"NA",[1]Sheet2!AK46)</f>
        <v>14</v>
      </c>
      <c r="AG47" s="14" t="str">
        <f>IF([1]Sheet2!AL46=999999,"NA",[1]Sheet2!AL46)</f>
        <v>NA</v>
      </c>
      <c r="AH47" s="14">
        <f>IF([1]Sheet2!AM46=999999,"NA",[1]Sheet2!AM46)</f>
        <v>321</v>
      </c>
      <c r="AI47" s="14">
        <f>IF([1]Sheet2!AN46=999999,"NA",[1]Sheet2!AN46)</f>
        <v>321</v>
      </c>
      <c r="AJ47" s="14">
        <f>IF([1]Sheet2!AO46=999999,"NA",[1]Sheet2!AO46)</f>
        <v>321</v>
      </c>
      <c r="AK47" s="14">
        <f>IF([1]Sheet2!AP46=999999,"NA",[1]Sheet2!AP46)</f>
        <v>66</v>
      </c>
      <c r="AL47" s="14">
        <f>IF([1]Sheet2!AQ46=999999,"NA",[1]Sheet2!AQ46)</f>
        <v>197</v>
      </c>
      <c r="AM47" s="14">
        <f>IF([1]Sheet2!AR46=999999,"NA",[1]Sheet2!AR46)</f>
        <v>321</v>
      </c>
      <c r="AN47" s="14">
        <f>IF([1]Sheet2!AS46=999999,"NA",[1]Sheet2!AS46)</f>
        <v>253</v>
      </c>
      <c r="AO47" s="14">
        <f>[1]Sheet2!P46</f>
        <v>0</v>
      </c>
      <c r="AP47" s="14">
        <f>[1]Sheet2!Q46</f>
        <v>0</v>
      </c>
      <c r="AQ47" s="14">
        <f>[1]Sheet2!R46</f>
        <v>0</v>
      </c>
      <c r="AR47" s="14">
        <f>[1]Sheet2!S46</f>
        <v>0</v>
      </c>
      <c r="AS47" s="14">
        <f>[1]Sheet2!T46</f>
        <v>0</v>
      </c>
      <c r="AT47" s="14">
        <f>[1]Sheet2!U46</f>
        <v>0</v>
      </c>
      <c r="AU47" s="14">
        <f>[1]Sheet2!V46</f>
        <v>0</v>
      </c>
      <c r="AV47" s="14">
        <f>[1]Sheet2!W46</f>
        <v>0</v>
      </c>
      <c r="AW47" s="14">
        <f>[1]Sheet2!X46</f>
        <v>0</v>
      </c>
      <c r="AX47" s="14">
        <f>[1]Sheet2!Y46</f>
        <v>0</v>
      </c>
      <c r="AY47" s="16">
        <f>Demand_LP!B$4/28</f>
        <v>811.09813487293957</v>
      </c>
      <c r="AZ47" s="16">
        <f>Demand_LP!C$4/28</f>
        <v>502.83223443223443</v>
      </c>
      <c r="BA47" s="16">
        <f>Demand_LP!D$4/28</f>
        <v>282.53663003663002</v>
      </c>
      <c r="BB47" s="16">
        <f>Demand_LP!E$4/28</f>
        <v>759.73919413919407</v>
      </c>
      <c r="BC47" s="16">
        <f>Demand_LP!F$4/28</f>
        <v>495.28213999542123</v>
      </c>
      <c r="BD47" s="16">
        <f>Demand_LP!G$4/28</f>
        <v>821.42857142857144</v>
      </c>
      <c r="BE47" s="16">
        <f>Demand_LP!H$4/28</f>
        <v>535.71428571428567</v>
      </c>
      <c r="BF47" s="16">
        <f>Demand_LP!I$4/28</f>
        <v>496.42857142857144</v>
      </c>
      <c r="BG47" s="16">
        <f>Demand_LP!J$4/28</f>
        <v>482.14285714285717</v>
      </c>
      <c r="BH47" s="16">
        <f>Demand_LP!K$4/28</f>
        <v>471.42857142857144</v>
      </c>
      <c r="BI47" s="16" t="e">
        <f t="shared" si="13"/>
        <v>#VALUE!</v>
      </c>
      <c r="BJ47" s="16">
        <f t="shared" si="14"/>
        <v>-26099.936996336979</v>
      </c>
      <c r="BK47" s="16">
        <f t="shared" si="15"/>
        <v>-8840.4761904761963</v>
      </c>
      <c r="BL47" s="16">
        <f t="shared" si="16"/>
        <v>-28469.333882783892</v>
      </c>
      <c r="BM47" s="16">
        <f t="shared" si="17"/>
        <v>-18389.066938530221</v>
      </c>
      <c r="BN47" s="16">
        <f t="shared" si="18"/>
        <v>-24678.571428571435</v>
      </c>
      <c r="BO47" s="16">
        <f t="shared" si="19"/>
        <v>-27964.285714285728</v>
      </c>
      <c r="BP47" s="16">
        <f t="shared" si="20"/>
        <v>-18453.571428571431</v>
      </c>
      <c r="BQ47" s="16">
        <f t="shared" si="21"/>
        <v>-15267.857142857139</v>
      </c>
      <c r="BR47" s="16">
        <f t="shared" si="22"/>
        <v>-16628.57142857142</v>
      </c>
      <c r="BS47" s="14">
        <f>IF([1]Sheet2!CA46=999999,"NA",[1]Sheet2!CA46)</f>
        <v>199850.42857142878</v>
      </c>
      <c r="BT47" s="14">
        <f>IF([1]Sheet2!CB46=999999,"NA",[1]Sheet2!CB46)</f>
        <v>243</v>
      </c>
      <c r="BU47" s="14">
        <f>IF([1]Sheet2!CC46=999999,"NA",[1]Sheet2!CC46)</f>
        <v>321</v>
      </c>
      <c r="BV47" s="14">
        <f>IF([1]Sheet2!CD46=999999,"NA",[1]Sheet2!CD46)</f>
        <v>321</v>
      </c>
      <c r="BW47" s="14">
        <f>IF([1]Sheet2!CE46=999999,"NA",[1]Sheet2!CE46)</f>
        <v>283</v>
      </c>
      <c r="BX47" s="14">
        <f>IF([1]Sheet2!CF46=999999,"NA",[1]Sheet2!CF46)</f>
        <v>321</v>
      </c>
      <c r="BY47" s="14">
        <f>IF([1]Sheet2!CG46=999999,"NA",[1]Sheet2!CG46)</f>
        <v>215</v>
      </c>
      <c r="BZ47" s="14">
        <f>IF([1]Sheet2!CH46=999999,"NA",[1]Sheet2!CH46)</f>
        <v>321</v>
      </c>
      <c r="CA47" s="14">
        <f>IF([1]Sheet2!CI46=999999,"NA",[1]Sheet2!CI46)</f>
        <v>321</v>
      </c>
      <c r="CB47" s="14">
        <f>IF([1]Sheet2!CJ46=999999,"NA",[1]Sheet2!CJ46)</f>
        <v>321</v>
      </c>
      <c r="CC47" s="14">
        <f>[1]Sheet2!BG46</f>
        <v>0</v>
      </c>
      <c r="CD47" s="14">
        <f>[1]Sheet2!BH46</f>
        <v>0</v>
      </c>
      <c r="CE47" s="14">
        <f>[1]Sheet2!BI46</f>
        <v>0</v>
      </c>
      <c r="CF47" s="14">
        <f>[1]Sheet2!BJ46</f>
        <v>0</v>
      </c>
      <c r="CG47" s="14">
        <f>[1]Sheet2!BK46</f>
        <v>0</v>
      </c>
      <c r="CH47" s="14">
        <f>[1]Sheet2!BL46</f>
        <v>0</v>
      </c>
      <c r="CI47" s="14">
        <f>[1]Sheet2!BM46</f>
        <v>0</v>
      </c>
      <c r="CJ47" s="14">
        <f>[1]Sheet2!BN46</f>
        <v>0</v>
      </c>
      <c r="CK47" s="14">
        <f>[1]Sheet2!BO46</f>
        <v>0</v>
      </c>
      <c r="CL47" s="14">
        <f>[1]Sheet2!BP46</f>
        <v>0</v>
      </c>
      <c r="CM47" s="16">
        <f>Demand_SW!B$4/28</f>
        <v>94.69780219780219</v>
      </c>
      <c r="CN47" s="16">
        <f>Demand_SW!C$4/28</f>
        <v>0</v>
      </c>
      <c r="CO47" s="16">
        <f>Demand_SW!D$4/28</f>
        <v>0</v>
      </c>
      <c r="CP47" s="16">
        <f>Demand_SW!E$4/28</f>
        <v>0</v>
      </c>
      <c r="CQ47" s="16">
        <f>Demand_SW!F$4/28</f>
        <v>0</v>
      </c>
      <c r="CR47" s="16">
        <f>Demand_SW!G$4/28</f>
        <v>85.714285714285708</v>
      </c>
      <c r="CS47" s="16">
        <f>Demand_SW!H$4/28</f>
        <v>0</v>
      </c>
      <c r="CT47" s="16">
        <f>Demand_SW!I$4/28</f>
        <v>0</v>
      </c>
      <c r="CU47" s="16">
        <f>Demand_SW!J$4/28</f>
        <v>0</v>
      </c>
      <c r="CV47" s="16">
        <f>Demand_SW!K$4/28</f>
        <v>0</v>
      </c>
      <c r="CW47" s="16">
        <f t="shared" si="23"/>
        <v>45442.005494505429</v>
      </c>
      <c r="CX47" s="16">
        <f t="shared" si="24"/>
        <v>500</v>
      </c>
      <c r="CY47" s="16">
        <f t="shared" si="25"/>
        <v>0</v>
      </c>
      <c r="CZ47" s="16">
        <f t="shared" si="26"/>
        <v>0</v>
      </c>
      <c r="DA47" s="16">
        <f t="shared" si="27"/>
        <v>0</v>
      </c>
      <c r="DB47" s="16">
        <f t="shared" si="28"/>
        <v>-4214.2857142857129</v>
      </c>
      <c r="DC47" s="16">
        <f t="shared" si="29"/>
        <v>500</v>
      </c>
      <c r="DD47" s="16">
        <f t="shared" si="30"/>
        <v>0</v>
      </c>
      <c r="DE47" s="16">
        <f t="shared" si="31"/>
        <v>0</v>
      </c>
      <c r="DF47" s="16">
        <f t="shared" si="32"/>
        <v>0</v>
      </c>
      <c r="DG47" s="14">
        <f>IF([1]Sheet2!DR46=999999,"NA",[1]Sheet2!DR46)</f>
        <v>73103</v>
      </c>
      <c r="DH47" s="14">
        <f>IF([1]Sheet2!DS46=999999,"NA",[1]Sheet2!DS46)</f>
        <v>321</v>
      </c>
      <c r="DI47" s="14">
        <f>IF([1]Sheet2!DT46=999999,"NA",[1]Sheet2!DT46)</f>
        <v>321</v>
      </c>
      <c r="DJ47" s="14" t="str">
        <f>IF([1]Sheet2!DU46=999999,"NA",[1]Sheet2!DU46)</f>
        <v>NA</v>
      </c>
      <c r="DK47" s="14" t="str">
        <f>IF([1]Sheet2!DV46=999999,"NA",[1]Sheet2!DV46)</f>
        <v>NA</v>
      </c>
      <c r="DL47" s="14" t="str">
        <f>IF([1]Sheet2!DW46=999999,"NA",[1]Sheet2!DW46)</f>
        <v>NA</v>
      </c>
      <c r="DM47" s="14">
        <f>IF([1]Sheet2!DX46=999999,"NA",[1]Sheet2!DX46)</f>
        <v>321</v>
      </c>
      <c r="DN47" s="14">
        <f>IF([1]Sheet2!DY46=999999,"NA",[1]Sheet2!DY46)</f>
        <v>321</v>
      </c>
      <c r="DO47" s="14" t="str">
        <f>IF([1]Sheet2!DZ46=999999,"NA",[1]Sheet2!DZ46)</f>
        <v>NA</v>
      </c>
      <c r="DP47" s="14" t="str">
        <f>IF([1]Sheet2!EA46=999999,"NA",[1]Sheet2!EA46)</f>
        <v>NA</v>
      </c>
      <c r="DQ47" s="14">
        <f>[1]Sheet2!CX46</f>
        <v>0</v>
      </c>
      <c r="DR47" s="14">
        <f>[1]Sheet2!CY46</f>
        <v>0</v>
      </c>
      <c r="DS47" s="14">
        <f>[1]Sheet2!CZ46</f>
        <v>0</v>
      </c>
      <c r="DT47" s="14">
        <f>[1]Sheet2!DA46</f>
        <v>0</v>
      </c>
      <c r="DU47" s="14">
        <f>[1]Sheet2!DB46</f>
        <v>0</v>
      </c>
      <c r="DV47" s="14">
        <f>[1]Sheet2!DC46</f>
        <v>0</v>
      </c>
      <c r="DW47" s="14">
        <f>[1]Sheet2!DD46</f>
        <v>0</v>
      </c>
      <c r="DX47" s="14">
        <f>[1]Sheet2!DE46</f>
        <v>0</v>
      </c>
      <c r="DY47" s="14">
        <f>[1]Sheet2!DF46</f>
        <v>0</v>
      </c>
      <c r="DZ47" s="14">
        <f>[1]Sheet2!DG46</f>
        <v>0</v>
      </c>
    </row>
    <row r="48" spans="1:130" x14ac:dyDescent="0.25">
      <c r="A48" s="15">
        <v>43510</v>
      </c>
      <c r="B48" s="1"/>
      <c r="C48" s="1"/>
      <c r="D48" s="1"/>
      <c r="E48" s="14">
        <f>[1]Sheet2!N47</f>
        <v>0</v>
      </c>
      <c r="F48" s="14">
        <f>[1]Sheet2!BE47</f>
        <v>0</v>
      </c>
      <c r="G48" s="14">
        <f>[1]Sheet2!CV47</f>
        <v>180.41208791208791</v>
      </c>
      <c r="H48" s="1"/>
      <c r="I48" s="1"/>
      <c r="J48" s="1"/>
      <c r="K48" s="16">
        <f>Demand_CWRS!B$4/28</f>
        <v>131.68146963713369</v>
      </c>
      <c r="L48" s="16">
        <f>Demand_CWRS!C$4/28</f>
        <v>501.27216117216119</v>
      </c>
      <c r="M48" s="16">
        <f>Demand_CWRS!D$4/28</f>
        <v>0</v>
      </c>
      <c r="N48" s="16">
        <f>Demand_CWRS!E$4/28</f>
        <v>130.17472527472526</v>
      </c>
      <c r="O48" s="16">
        <f>Demand_CWRS!F$4/28</f>
        <v>262.94741300366297</v>
      </c>
      <c r="P48" s="16">
        <f>Demand_CWRS!G$4/28</f>
        <v>127.85714285714286</v>
      </c>
      <c r="Q48" s="16">
        <f>Demand_CWRS!H$4/28</f>
        <v>501.27216117216119</v>
      </c>
      <c r="R48" s="16">
        <f>Demand_CWRS!I$4/28</f>
        <v>214.28571428571428</v>
      </c>
      <c r="S48" s="16">
        <f>Demand_CWRS!J$4/28</f>
        <v>207.14285714285714</v>
      </c>
      <c r="T48" s="16">
        <f>Demand_CWRS!K$4/28</f>
        <v>221.42857142857142</v>
      </c>
      <c r="U48" s="16">
        <f t="shared" si="3"/>
        <v>-8553.4032351762817</v>
      </c>
      <c r="V48" s="16">
        <f t="shared" si="4"/>
        <v>-12510.82051282051</v>
      </c>
      <c r="W48" s="16">
        <f t="shared" si="5"/>
        <v>0</v>
      </c>
      <c r="X48" s="16">
        <f t="shared" si="6"/>
        <v>-2887.4782051282068</v>
      </c>
      <c r="Y48" s="16">
        <f t="shared" si="7"/>
        <v>-8830.7028044871822</v>
      </c>
      <c r="Z48" s="16">
        <f t="shared" si="8"/>
        <v>-8390.0000000000055</v>
      </c>
      <c r="AA48" s="16">
        <f t="shared" si="9"/>
        <v>-12010.82051282051</v>
      </c>
      <c r="AB48" s="16">
        <f t="shared" si="10"/>
        <v>-7200.0000000000055</v>
      </c>
      <c r="AC48" s="16">
        <f t="shared" si="11"/>
        <v>-7299.9999999999964</v>
      </c>
      <c r="AD48" s="16">
        <f t="shared" si="12"/>
        <v>-7800</v>
      </c>
      <c r="AE48" s="14">
        <f>IF([1]Sheet2!AJ47=999999,"NA",[1]Sheet2!AJ47)</f>
        <v>82</v>
      </c>
      <c r="AF48" s="14">
        <f>IF([1]Sheet2!AK47=999999,"NA",[1]Sheet2!AK47)</f>
        <v>13</v>
      </c>
      <c r="AG48" s="14" t="str">
        <f>IF([1]Sheet2!AL47=999999,"NA",[1]Sheet2!AL47)</f>
        <v>NA</v>
      </c>
      <c r="AH48" s="14">
        <f>IF([1]Sheet2!AM47=999999,"NA",[1]Sheet2!AM47)</f>
        <v>320</v>
      </c>
      <c r="AI48" s="14">
        <f>IF([1]Sheet2!AN47=999999,"NA",[1]Sheet2!AN47)</f>
        <v>320</v>
      </c>
      <c r="AJ48" s="14">
        <f>IF([1]Sheet2!AO47=999999,"NA",[1]Sheet2!AO47)</f>
        <v>320</v>
      </c>
      <c r="AK48" s="14">
        <f>IF([1]Sheet2!AP47=999999,"NA",[1]Sheet2!AP47)</f>
        <v>65</v>
      </c>
      <c r="AL48" s="14">
        <f>IF([1]Sheet2!AQ47=999999,"NA",[1]Sheet2!AQ47)</f>
        <v>196</v>
      </c>
      <c r="AM48" s="14">
        <f>IF([1]Sheet2!AR47=999999,"NA",[1]Sheet2!AR47)</f>
        <v>320</v>
      </c>
      <c r="AN48" s="14">
        <f>IF([1]Sheet2!AS47=999999,"NA",[1]Sheet2!AS47)</f>
        <v>252</v>
      </c>
      <c r="AO48" s="14">
        <f>[1]Sheet2!P47</f>
        <v>0</v>
      </c>
      <c r="AP48" s="14">
        <f>[1]Sheet2!Q47</f>
        <v>0</v>
      </c>
      <c r="AQ48" s="14">
        <f>[1]Sheet2!R47</f>
        <v>0</v>
      </c>
      <c r="AR48" s="14">
        <f>[1]Sheet2!S47</f>
        <v>0</v>
      </c>
      <c r="AS48" s="14">
        <f>[1]Sheet2!T47</f>
        <v>0</v>
      </c>
      <c r="AT48" s="14">
        <f>[1]Sheet2!U47</f>
        <v>0</v>
      </c>
      <c r="AU48" s="14">
        <f>[1]Sheet2!V47</f>
        <v>0</v>
      </c>
      <c r="AV48" s="14">
        <f>[1]Sheet2!W47</f>
        <v>0</v>
      </c>
      <c r="AW48" s="14">
        <f>[1]Sheet2!X47</f>
        <v>0</v>
      </c>
      <c r="AX48" s="14">
        <f>[1]Sheet2!Y47</f>
        <v>0</v>
      </c>
      <c r="AY48" s="16">
        <f>Demand_LP!B$4/28</f>
        <v>811.09813487293957</v>
      </c>
      <c r="AZ48" s="16">
        <f>Demand_LP!C$4/28</f>
        <v>502.83223443223443</v>
      </c>
      <c r="BA48" s="16">
        <f>Demand_LP!D$4/28</f>
        <v>282.53663003663002</v>
      </c>
      <c r="BB48" s="16">
        <f>Demand_LP!E$4/28</f>
        <v>759.73919413919407</v>
      </c>
      <c r="BC48" s="16">
        <f>Demand_LP!F$4/28</f>
        <v>495.28213999542123</v>
      </c>
      <c r="BD48" s="16">
        <f>Demand_LP!G$4/28</f>
        <v>821.42857142857144</v>
      </c>
      <c r="BE48" s="16">
        <f>Demand_LP!H$4/28</f>
        <v>535.71428571428567</v>
      </c>
      <c r="BF48" s="16">
        <f>Demand_LP!I$4/28</f>
        <v>496.42857142857144</v>
      </c>
      <c r="BG48" s="16">
        <f>Demand_LP!J$4/28</f>
        <v>482.14285714285717</v>
      </c>
      <c r="BH48" s="16">
        <f>Demand_LP!K$4/28</f>
        <v>471.42857142857144</v>
      </c>
      <c r="BI48" s="16" t="e">
        <f t="shared" si="13"/>
        <v>#VALUE!</v>
      </c>
      <c r="BJ48" s="16">
        <f t="shared" si="14"/>
        <v>-26602.769230769212</v>
      </c>
      <c r="BK48" s="16">
        <f t="shared" si="15"/>
        <v>-9123.0128205128258</v>
      </c>
      <c r="BL48" s="16">
        <f t="shared" si="16"/>
        <v>-29229.073076923087</v>
      </c>
      <c r="BM48" s="16">
        <f t="shared" si="17"/>
        <v>-18884.349078525644</v>
      </c>
      <c r="BN48" s="16">
        <f t="shared" si="18"/>
        <v>-25500.000000000007</v>
      </c>
      <c r="BO48" s="16">
        <f t="shared" si="19"/>
        <v>-28500.000000000015</v>
      </c>
      <c r="BP48" s="16">
        <f t="shared" si="20"/>
        <v>-18950.000000000004</v>
      </c>
      <c r="BQ48" s="16">
        <f t="shared" si="21"/>
        <v>-15749.999999999996</v>
      </c>
      <c r="BR48" s="16">
        <f t="shared" si="22"/>
        <v>-17099.999999999993</v>
      </c>
      <c r="BS48" s="14">
        <f>IF([1]Sheet2!CA47=999999,"NA",[1]Sheet2!CA47)</f>
        <v>199379.0000000002</v>
      </c>
      <c r="BT48" s="14">
        <f>IF([1]Sheet2!CB47=999999,"NA",[1]Sheet2!CB47)</f>
        <v>242</v>
      </c>
      <c r="BU48" s="14">
        <f>IF([1]Sheet2!CC47=999999,"NA",[1]Sheet2!CC47)</f>
        <v>320</v>
      </c>
      <c r="BV48" s="14">
        <f>IF([1]Sheet2!CD47=999999,"NA",[1]Sheet2!CD47)</f>
        <v>320</v>
      </c>
      <c r="BW48" s="14">
        <f>IF([1]Sheet2!CE47=999999,"NA",[1]Sheet2!CE47)</f>
        <v>282</v>
      </c>
      <c r="BX48" s="14">
        <f>IF([1]Sheet2!CF47=999999,"NA",[1]Sheet2!CF47)</f>
        <v>320</v>
      </c>
      <c r="BY48" s="14">
        <f>IF([1]Sheet2!CG47=999999,"NA",[1]Sheet2!CG47)</f>
        <v>214</v>
      </c>
      <c r="BZ48" s="14">
        <f>IF([1]Sheet2!CH47=999999,"NA",[1]Sheet2!CH47)</f>
        <v>320</v>
      </c>
      <c r="CA48" s="14">
        <f>IF([1]Sheet2!CI47=999999,"NA",[1]Sheet2!CI47)</f>
        <v>320</v>
      </c>
      <c r="CB48" s="14">
        <f>IF([1]Sheet2!CJ47=999999,"NA",[1]Sheet2!CJ47)</f>
        <v>320</v>
      </c>
      <c r="CC48" s="14">
        <f>[1]Sheet2!BG47</f>
        <v>0</v>
      </c>
      <c r="CD48" s="14">
        <f>[1]Sheet2!BH47</f>
        <v>0</v>
      </c>
      <c r="CE48" s="14">
        <f>[1]Sheet2!BI47</f>
        <v>0</v>
      </c>
      <c r="CF48" s="14">
        <f>[1]Sheet2!BJ47</f>
        <v>0</v>
      </c>
      <c r="CG48" s="14">
        <f>[1]Sheet2!BK47</f>
        <v>0</v>
      </c>
      <c r="CH48" s="14">
        <f>[1]Sheet2!BL47</f>
        <v>0</v>
      </c>
      <c r="CI48" s="14">
        <f>[1]Sheet2!BM47</f>
        <v>0</v>
      </c>
      <c r="CJ48" s="14">
        <f>[1]Sheet2!BN47</f>
        <v>0</v>
      </c>
      <c r="CK48" s="14">
        <f>[1]Sheet2!BO47</f>
        <v>0</v>
      </c>
      <c r="CL48" s="14">
        <f>[1]Sheet2!BP47</f>
        <v>0</v>
      </c>
      <c r="CM48" s="16">
        <f>Demand_SW!B$4/28</f>
        <v>94.69780219780219</v>
      </c>
      <c r="CN48" s="16">
        <f>Demand_SW!C$4/28</f>
        <v>0</v>
      </c>
      <c r="CO48" s="16">
        <f>Demand_SW!D$4/28</f>
        <v>0</v>
      </c>
      <c r="CP48" s="16">
        <f>Demand_SW!E$4/28</f>
        <v>0</v>
      </c>
      <c r="CQ48" s="16">
        <f>Demand_SW!F$4/28</f>
        <v>0</v>
      </c>
      <c r="CR48" s="16">
        <f>Demand_SW!G$4/28</f>
        <v>85.714285714285708</v>
      </c>
      <c r="CS48" s="16">
        <f>Demand_SW!H$4/28</f>
        <v>0</v>
      </c>
      <c r="CT48" s="16">
        <f>Demand_SW!I$4/28</f>
        <v>0</v>
      </c>
      <c r="CU48" s="16">
        <f>Demand_SW!J$4/28</f>
        <v>0</v>
      </c>
      <c r="CV48" s="16">
        <f>Demand_SW!K$4/28</f>
        <v>0</v>
      </c>
      <c r="CW48" s="16">
        <f t="shared" si="23"/>
        <v>45347.30769230763</v>
      </c>
      <c r="CX48" s="16">
        <f t="shared" si="24"/>
        <v>500</v>
      </c>
      <c r="CY48" s="16">
        <f t="shared" si="25"/>
        <v>0</v>
      </c>
      <c r="CZ48" s="16">
        <f t="shared" si="26"/>
        <v>0</v>
      </c>
      <c r="DA48" s="16">
        <f t="shared" si="27"/>
        <v>0</v>
      </c>
      <c r="DB48" s="16">
        <f t="shared" si="28"/>
        <v>-4299.9999999999982</v>
      </c>
      <c r="DC48" s="16">
        <f t="shared" si="29"/>
        <v>500</v>
      </c>
      <c r="DD48" s="16">
        <f t="shared" si="30"/>
        <v>0</v>
      </c>
      <c r="DE48" s="16">
        <f t="shared" si="31"/>
        <v>0</v>
      </c>
      <c r="DF48" s="16">
        <f t="shared" si="32"/>
        <v>0</v>
      </c>
      <c r="DG48" s="14">
        <f>IF([1]Sheet2!DR47=999999,"NA",[1]Sheet2!DR47)</f>
        <v>73103</v>
      </c>
      <c r="DH48" s="14">
        <f>IF([1]Sheet2!DS47=999999,"NA",[1]Sheet2!DS47)</f>
        <v>320</v>
      </c>
      <c r="DI48" s="14">
        <f>IF([1]Sheet2!DT47=999999,"NA",[1]Sheet2!DT47)</f>
        <v>320</v>
      </c>
      <c r="DJ48" s="14" t="str">
        <f>IF([1]Sheet2!DU47=999999,"NA",[1]Sheet2!DU47)</f>
        <v>NA</v>
      </c>
      <c r="DK48" s="14" t="str">
        <f>IF([1]Sheet2!DV47=999999,"NA",[1]Sheet2!DV47)</f>
        <v>NA</v>
      </c>
      <c r="DL48" s="14" t="str">
        <f>IF([1]Sheet2!DW47=999999,"NA",[1]Sheet2!DW47)</f>
        <v>NA</v>
      </c>
      <c r="DM48" s="14">
        <f>IF([1]Sheet2!DX47=999999,"NA",[1]Sheet2!DX47)</f>
        <v>320</v>
      </c>
      <c r="DN48" s="14">
        <f>IF([1]Sheet2!DY47=999999,"NA",[1]Sheet2!DY47)</f>
        <v>320</v>
      </c>
      <c r="DO48" s="14" t="str">
        <f>IF([1]Sheet2!DZ47=999999,"NA",[1]Sheet2!DZ47)</f>
        <v>NA</v>
      </c>
      <c r="DP48" s="14" t="str">
        <f>IF([1]Sheet2!EA47=999999,"NA",[1]Sheet2!EA47)</f>
        <v>NA</v>
      </c>
      <c r="DQ48" s="14">
        <f>[1]Sheet2!CX47</f>
        <v>0</v>
      </c>
      <c r="DR48" s="14">
        <f>[1]Sheet2!CY47</f>
        <v>0</v>
      </c>
      <c r="DS48" s="14">
        <f>[1]Sheet2!CZ47</f>
        <v>0</v>
      </c>
      <c r="DT48" s="14">
        <f>[1]Sheet2!DA47</f>
        <v>0</v>
      </c>
      <c r="DU48" s="14">
        <f>[1]Sheet2!DB47</f>
        <v>0</v>
      </c>
      <c r="DV48" s="14">
        <f>[1]Sheet2!DC47</f>
        <v>0</v>
      </c>
      <c r="DW48" s="14">
        <f>[1]Sheet2!DD47</f>
        <v>0</v>
      </c>
      <c r="DX48" s="14">
        <f>[1]Sheet2!DE47</f>
        <v>0</v>
      </c>
      <c r="DY48" s="14">
        <f>[1]Sheet2!DF47</f>
        <v>0</v>
      </c>
      <c r="DZ48" s="14">
        <f>[1]Sheet2!DG47</f>
        <v>0</v>
      </c>
    </row>
    <row r="49" spans="1:130" x14ac:dyDescent="0.25">
      <c r="A49" s="15">
        <v>43511</v>
      </c>
      <c r="B49" s="1"/>
      <c r="C49" s="1"/>
      <c r="D49" s="1"/>
      <c r="E49" s="14">
        <f>[1]Sheet2!N48</f>
        <v>0</v>
      </c>
      <c r="F49" s="14">
        <f>[1]Sheet2!BE48</f>
        <v>0</v>
      </c>
      <c r="G49" s="14">
        <f>[1]Sheet2!CV48</f>
        <v>180.41208791208791</v>
      </c>
      <c r="H49" s="1"/>
      <c r="I49" s="1"/>
      <c r="J49" s="1"/>
      <c r="K49" s="16">
        <f>Demand_CWRS!B$4/28</f>
        <v>131.68146963713369</v>
      </c>
      <c r="L49" s="16">
        <f>Demand_CWRS!C$4/28</f>
        <v>501.27216117216119</v>
      </c>
      <c r="M49" s="16">
        <f>Demand_CWRS!D$4/28</f>
        <v>0</v>
      </c>
      <c r="N49" s="16">
        <f>Demand_CWRS!E$4/28</f>
        <v>130.17472527472526</v>
      </c>
      <c r="O49" s="16">
        <f>Demand_CWRS!F$4/28</f>
        <v>262.94741300366297</v>
      </c>
      <c r="P49" s="16">
        <f>Demand_CWRS!G$4/28</f>
        <v>127.85714285714286</v>
      </c>
      <c r="Q49" s="16">
        <f>Demand_CWRS!H$4/28</f>
        <v>501.27216117216119</v>
      </c>
      <c r="R49" s="16">
        <f>Demand_CWRS!I$4/28</f>
        <v>214.28571428571428</v>
      </c>
      <c r="S49" s="16">
        <f>Demand_CWRS!J$4/28</f>
        <v>207.14285714285714</v>
      </c>
      <c r="T49" s="16">
        <f>Demand_CWRS!K$4/28</f>
        <v>221.42857142857142</v>
      </c>
      <c r="U49" s="16">
        <f t="shared" si="3"/>
        <v>-8685.0847048134146</v>
      </c>
      <c r="V49" s="16">
        <f t="shared" si="4"/>
        <v>-13012.092673992671</v>
      </c>
      <c r="W49" s="16">
        <f t="shared" si="5"/>
        <v>0</v>
      </c>
      <c r="X49" s="16">
        <f t="shared" si="6"/>
        <v>-3017.6529304029323</v>
      </c>
      <c r="Y49" s="16">
        <f t="shared" si="7"/>
        <v>-9093.6502174908455</v>
      </c>
      <c r="Z49" s="16">
        <f t="shared" si="8"/>
        <v>-8517.8571428571486</v>
      </c>
      <c r="AA49" s="16">
        <f t="shared" si="9"/>
        <v>-12512.092673992671</v>
      </c>
      <c r="AB49" s="16">
        <f t="shared" si="10"/>
        <v>-7414.2857142857201</v>
      </c>
      <c r="AC49" s="16">
        <f t="shared" si="11"/>
        <v>-7507.1428571428532</v>
      </c>
      <c r="AD49" s="16">
        <f t="shared" si="12"/>
        <v>-8021.4285714285716</v>
      </c>
      <c r="AE49" s="14">
        <f>IF([1]Sheet2!AJ48=999999,"NA",[1]Sheet2!AJ48)</f>
        <v>81</v>
      </c>
      <c r="AF49" s="14">
        <f>IF([1]Sheet2!AK48=999999,"NA",[1]Sheet2!AK48)</f>
        <v>12</v>
      </c>
      <c r="AG49" s="14" t="str">
        <f>IF([1]Sheet2!AL48=999999,"NA",[1]Sheet2!AL48)</f>
        <v>NA</v>
      </c>
      <c r="AH49" s="14">
        <f>IF([1]Sheet2!AM48=999999,"NA",[1]Sheet2!AM48)</f>
        <v>319</v>
      </c>
      <c r="AI49" s="14">
        <f>IF([1]Sheet2!AN48=999999,"NA",[1]Sheet2!AN48)</f>
        <v>319</v>
      </c>
      <c r="AJ49" s="14">
        <f>IF([1]Sheet2!AO48=999999,"NA",[1]Sheet2!AO48)</f>
        <v>319</v>
      </c>
      <c r="AK49" s="14">
        <f>IF([1]Sheet2!AP48=999999,"NA",[1]Sheet2!AP48)</f>
        <v>64</v>
      </c>
      <c r="AL49" s="14">
        <f>IF([1]Sheet2!AQ48=999999,"NA",[1]Sheet2!AQ48)</f>
        <v>195</v>
      </c>
      <c r="AM49" s="14">
        <f>IF([1]Sheet2!AR48=999999,"NA",[1]Sheet2!AR48)</f>
        <v>319</v>
      </c>
      <c r="AN49" s="14">
        <f>IF([1]Sheet2!AS48=999999,"NA",[1]Sheet2!AS48)</f>
        <v>251</v>
      </c>
      <c r="AO49" s="14">
        <f>[1]Sheet2!P48</f>
        <v>0</v>
      </c>
      <c r="AP49" s="14">
        <f>[1]Sheet2!Q48</f>
        <v>0</v>
      </c>
      <c r="AQ49" s="14">
        <f>[1]Sheet2!R48</f>
        <v>0</v>
      </c>
      <c r="AR49" s="14">
        <f>[1]Sheet2!S48</f>
        <v>0</v>
      </c>
      <c r="AS49" s="14">
        <f>[1]Sheet2!T48</f>
        <v>0</v>
      </c>
      <c r="AT49" s="14">
        <f>[1]Sheet2!U48</f>
        <v>0</v>
      </c>
      <c r="AU49" s="14">
        <f>[1]Sheet2!V48</f>
        <v>0</v>
      </c>
      <c r="AV49" s="14">
        <f>[1]Sheet2!W48</f>
        <v>0</v>
      </c>
      <c r="AW49" s="14">
        <f>[1]Sheet2!X48</f>
        <v>0</v>
      </c>
      <c r="AX49" s="14">
        <f>[1]Sheet2!Y48</f>
        <v>0</v>
      </c>
      <c r="AY49" s="16">
        <f>Demand_LP!B$4/28</f>
        <v>811.09813487293957</v>
      </c>
      <c r="AZ49" s="16">
        <f>Demand_LP!C$4/28</f>
        <v>502.83223443223443</v>
      </c>
      <c r="BA49" s="16">
        <f>Demand_LP!D$4/28</f>
        <v>282.53663003663002</v>
      </c>
      <c r="BB49" s="16">
        <f>Demand_LP!E$4/28</f>
        <v>759.73919413919407</v>
      </c>
      <c r="BC49" s="16">
        <f>Demand_LP!F$4/28</f>
        <v>495.28213999542123</v>
      </c>
      <c r="BD49" s="16">
        <f>Demand_LP!G$4/28</f>
        <v>821.42857142857144</v>
      </c>
      <c r="BE49" s="16">
        <f>Demand_LP!H$4/28</f>
        <v>535.71428571428567</v>
      </c>
      <c r="BF49" s="16">
        <f>Demand_LP!I$4/28</f>
        <v>496.42857142857144</v>
      </c>
      <c r="BG49" s="16">
        <f>Demand_LP!J$4/28</f>
        <v>482.14285714285717</v>
      </c>
      <c r="BH49" s="16">
        <f>Demand_LP!K$4/28</f>
        <v>471.42857142857144</v>
      </c>
      <c r="BI49" s="16" t="e">
        <f t="shared" si="13"/>
        <v>#VALUE!</v>
      </c>
      <c r="BJ49" s="16">
        <f t="shared" si="14"/>
        <v>-27105.601465201446</v>
      </c>
      <c r="BK49" s="16">
        <f t="shared" si="15"/>
        <v>-9405.5494505494553</v>
      </c>
      <c r="BL49" s="16">
        <f t="shared" si="16"/>
        <v>-29988.812271062281</v>
      </c>
      <c r="BM49" s="16">
        <f t="shared" si="17"/>
        <v>-19379.631218521066</v>
      </c>
      <c r="BN49" s="16">
        <f t="shared" si="18"/>
        <v>-26321.42857142858</v>
      </c>
      <c r="BO49" s="16">
        <f t="shared" si="19"/>
        <v>-29035.714285714301</v>
      </c>
      <c r="BP49" s="16">
        <f t="shared" si="20"/>
        <v>-19446.428571428576</v>
      </c>
      <c r="BQ49" s="16">
        <f t="shared" si="21"/>
        <v>-16232.142857142853</v>
      </c>
      <c r="BR49" s="16">
        <f t="shared" si="22"/>
        <v>-17571.428571428565</v>
      </c>
      <c r="BS49" s="14">
        <f>IF([1]Sheet2!CA48=999999,"NA",[1]Sheet2!CA48)</f>
        <v>198907.57142857162</v>
      </c>
      <c r="BT49" s="14">
        <f>IF([1]Sheet2!CB48=999999,"NA",[1]Sheet2!CB48)</f>
        <v>241</v>
      </c>
      <c r="BU49" s="14">
        <f>IF([1]Sheet2!CC48=999999,"NA",[1]Sheet2!CC48)</f>
        <v>319</v>
      </c>
      <c r="BV49" s="14">
        <f>IF([1]Sheet2!CD48=999999,"NA",[1]Sheet2!CD48)</f>
        <v>319</v>
      </c>
      <c r="BW49" s="14">
        <f>IF([1]Sheet2!CE48=999999,"NA",[1]Sheet2!CE48)</f>
        <v>281</v>
      </c>
      <c r="BX49" s="14">
        <f>IF([1]Sheet2!CF48=999999,"NA",[1]Sheet2!CF48)</f>
        <v>319</v>
      </c>
      <c r="BY49" s="14">
        <f>IF([1]Sheet2!CG48=999999,"NA",[1]Sheet2!CG48)</f>
        <v>213</v>
      </c>
      <c r="BZ49" s="14">
        <f>IF([1]Sheet2!CH48=999999,"NA",[1]Sheet2!CH48)</f>
        <v>319</v>
      </c>
      <c r="CA49" s="14">
        <f>IF([1]Sheet2!CI48=999999,"NA",[1]Sheet2!CI48)</f>
        <v>319</v>
      </c>
      <c r="CB49" s="14">
        <f>IF([1]Sheet2!CJ48=999999,"NA",[1]Sheet2!CJ48)</f>
        <v>319</v>
      </c>
      <c r="CC49" s="14">
        <f>[1]Sheet2!BG48</f>
        <v>0</v>
      </c>
      <c r="CD49" s="14">
        <f>[1]Sheet2!BH48</f>
        <v>0</v>
      </c>
      <c r="CE49" s="14">
        <f>[1]Sheet2!BI48</f>
        <v>0</v>
      </c>
      <c r="CF49" s="14">
        <f>[1]Sheet2!BJ48</f>
        <v>0</v>
      </c>
      <c r="CG49" s="14">
        <f>[1]Sheet2!BK48</f>
        <v>0</v>
      </c>
      <c r="CH49" s="14">
        <f>[1]Sheet2!BL48</f>
        <v>0</v>
      </c>
      <c r="CI49" s="14">
        <f>[1]Sheet2!BM48</f>
        <v>0</v>
      </c>
      <c r="CJ49" s="14">
        <f>[1]Sheet2!BN48</f>
        <v>0</v>
      </c>
      <c r="CK49" s="14">
        <f>[1]Sheet2!BO48</f>
        <v>0</v>
      </c>
      <c r="CL49" s="14">
        <f>[1]Sheet2!BP48</f>
        <v>0</v>
      </c>
      <c r="CM49" s="16">
        <f>Demand_SW!B$4/28</f>
        <v>94.69780219780219</v>
      </c>
      <c r="CN49" s="16">
        <f>Demand_SW!C$4/28</f>
        <v>0</v>
      </c>
      <c r="CO49" s="16">
        <f>Demand_SW!D$4/28</f>
        <v>0</v>
      </c>
      <c r="CP49" s="16">
        <f>Demand_SW!E$4/28</f>
        <v>0</v>
      </c>
      <c r="CQ49" s="16">
        <f>Demand_SW!F$4/28</f>
        <v>0</v>
      </c>
      <c r="CR49" s="16">
        <f>Demand_SW!G$4/28</f>
        <v>85.714285714285708</v>
      </c>
      <c r="CS49" s="16">
        <f>Demand_SW!H$4/28</f>
        <v>0</v>
      </c>
      <c r="CT49" s="16">
        <f>Demand_SW!I$4/28</f>
        <v>0</v>
      </c>
      <c r="CU49" s="16">
        <f>Demand_SW!J$4/28</f>
        <v>0</v>
      </c>
      <c r="CV49" s="16">
        <f>Demand_SW!K$4/28</f>
        <v>0</v>
      </c>
      <c r="CW49" s="16">
        <f t="shared" si="23"/>
        <v>45252.60989010983</v>
      </c>
      <c r="CX49" s="16">
        <f t="shared" si="24"/>
        <v>500</v>
      </c>
      <c r="CY49" s="16">
        <f t="shared" si="25"/>
        <v>0</v>
      </c>
      <c r="CZ49" s="16">
        <f t="shared" si="26"/>
        <v>0</v>
      </c>
      <c r="DA49" s="16">
        <f t="shared" si="27"/>
        <v>0</v>
      </c>
      <c r="DB49" s="16">
        <f t="shared" si="28"/>
        <v>-4385.7142857142835</v>
      </c>
      <c r="DC49" s="16">
        <f t="shared" si="29"/>
        <v>500</v>
      </c>
      <c r="DD49" s="16">
        <f t="shared" si="30"/>
        <v>0</v>
      </c>
      <c r="DE49" s="16">
        <f t="shared" si="31"/>
        <v>0</v>
      </c>
      <c r="DF49" s="16">
        <f t="shared" si="32"/>
        <v>0</v>
      </c>
      <c r="DG49" s="14">
        <f>IF([1]Sheet2!DR48=999999,"NA",[1]Sheet2!DR48)</f>
        <v>73103</v>
      </c>
      <c r="DH49" s="14">
        <f>IF([1]Sheet2!DS48=999999,"NA",[1]Sheet2!DS48)</f>
        <v>319</v>
      </c>
      <c r="DI49" s="14">
        <f>IF([1]Sheet2!DT48=999999,"NA",[1]Sheet2!DT48)</f>
        <v>319</v>
      </c>
      <c r="DJ49" s="14" t="str">
        <f>IF([1]Sheet2!DU48=999999,"NA",[1]Sheet2!DU48)</f>
        <v>NA</v>
      </c>
      <c r="DK49" s="14" t="str">
        <f>IF([1]Sheet2!DV48=999999,"NA",[1]Sheet2!DV48)</f>
        <v>NA</v>
      </c>
      <c r="DL49" s="14" t="str">
        <f>IF([1]Sheet2!DW48=999999,"NA",[1]Sheet2!DW48)</f>
        <v>NA</v>
      </c>
      <c r="DM49" s="14">
        <f>IF([1]Sheet2!DX48=999999,"NA",[1]Sheet2!DX48)</f>
        <v>319</v>
      </c>
      <c r="DN49" s="14">
        <f>IF([1]Sheet2!DY48=999999,"NA",[1]Sheet2!DY48)</f>
        <v>319</v>
      </c>
      <c r="DO49" s="14" t="str">
        <f>IF([1]Sheet2!DZ48=999999,"NA",[1]Sheet2!DZ48)</f>
        <v>NA</v>
      </c>
      <c r="DP49" s="14" t="str">
        <f>IF([1]Sheet2!EA48=999999,"NA",[1]Sheet2!EA48)</f>
        <v>NA</v>
      </c>
      <c r="DQ49" s="14">
        <f>[1]Sheet2!CX48</f>
        <v>0</v>
      </c>
      <c r="DR49" s="14">
        <f>[1]Sheet2!CY48</f>
        <v>0</v>
      </c>
      <c r="DS49" s="14">
        <f>[1]Sheet2!CZ48</f>
        <v>0</v>
      </c>
      <c r="DT49" s="14">
        <f>[1]Sheet2!DA48</f>
        <v>0</v>
      </c>
      <c r="DU49" s="14">
        <f>[1]Sheet2!DB48</f>
        <v>0</v>
      </c>
      <c r="DV49" s="14">
        <f>[1]Sheet2!DC48</f>
        <v>0</v>
      </c>
      <c r="DW49" s="14">
        <f>[1]Sheet2!DD48</f>
        <v>0</v>
      </c>
      <c r="DX49" s="14">
        <f>[1]Sheet2!DE48</f>
        <v>0</v>
      </c>
      <c r="DY49" s="14">
        <f>[1]Sheet2!DF48</f>
        <v>0</v>
      </c>
      <c r="DZ49" s="14">
        <f>[1]Sheet2!DG48</f>
        <v>0</v>
      </c>
    </row>
    <row r="50" spans="1:130" x14ac:dyDescent="0.25">
      <c r="A50" s="15">
        <v>43512</v>
      </c>
      <c r="B50" s="1"/>
      <c r="C50" s="1"/>
      <c r="D50" s="1"/>
      <c r="E50" s="14">
        <f>[1]Sheet2!N49</f>
        <v>0</v>
      </c>
      <c r="F50" s="14">
        <f>[1]Sheet2!BE49</f>
        <v>0</v>
      </c>
      <c r="G50" s="14">
        <f>[1]Sheet2!CV49</f>
        <v>180.41208791208791</v>
      </c>
      <c r="H50" s="1"/>
      <c r="I50" s="1"/>
      <c r="J50" s="1"/>
      <c r="K50" s="16">
        <f>Demand_CWRS!B$4/28</f>
        <v>131.68146963713369</v>
      </c>
      <c r="L50" s="16">
        <f>Demand_CWRS!C$4/28</f>
        <v>501.27216117216119</v>
      </c>
      <c r="M50" s="16">
        <f>Demand_CWRS!D$4/28</f>
        <v>0</v>
      </c>
      <c r="N50" s="16">
        <f>Demand_CWRS!E$4/28</f>
        <v>130.17472527472526</v>
      </c>
      <c r="O50" s="16">
        <f>Demand_CWRS!F$4/28</f>
        <v>262.94741300366297</v>
      </c>
      <c r="P50" s="16">
        <f>Demand_CWRS!G$4/28</f>
        <v>127.85714285714286</v>
      </c>
      <c r="Q50" s="16">
        <f>Demand_CWRS!H$4/28</f>
        <v>501.27216117216119</v>
      </c>
      <c r="R50" s="16">
        <f>Demand_CWRS!I$4/28</f>
        <v>214.28571428571428</v>
      </c>
      <c r="S50" s="16">
        <f>Demand_CWRS!J$4/28</f>
        <v>207.14285714285714</v>
      </c>
      <c r="T50" s="16">
        <f>Demand_CWRS!K$4/28</f>
        <v>221.42857142857142</v>
      </c>
      <c r="U50" s="16">
        <f t="shared" si="3"/>
        <v>-8816.7661744505476</v>
      </c>
      <c r="V50" s="16">
        <f t="shared" si="4"/>
        <v>-13513.364835164832</v>
      </c>
      <c r="W50" s="16">
        <f t="shared" si="5"/>
        <v>0</v>
      </c>
      <c r="X50" s="16">
        <f t="shared" si="6"/>
        <v>-3147.8276556776577</v>
      </c>
      <c r="Y50" s="16">
        <f t="shared" si="7"/>
        <v>-9356.5976304945088</v>
      </c>
      <c r="Z50" s="16">
        <f t="shared" si="8"/>
        <v>-8645.7142857142917</v>
      </c>
      <c r="AA50" s="16">
        <f t="shared" si="9"/>
        <v>-13013.364835164832</v>
      </c>
      <c r="AB50" s="16">
        <f t="shared" si="10"/>
        <v>-7628.5714285714348</v>
      </c>
      <c r="AC50" s="16">
        <f t="shared" si="11"/>
        <v>-7714.2857142857101</v>
      </c>
      <c r="AD50" s="16">
        <f t="shared" si="12"/>
        <v>-8242.8571428571431</v>
      </c>
      <c r="AE50" s="14">
        <f>IF([1]Sheet2!AJ49=999999,"NA",[1]Sheet2!AJ49)</f>
        <v>80</v>
      </c>
      <c r="AF50" s="14">
        <f>IF([1]Sheet2!AK49=999999,"NA",[1]Sheet2!AK49)</f>
        <v>11</v>
      </c>
      <c r="AG50" s="14" t="str">
        <f>IF([1]Sheet2!AL49=999999,"NA",[1]Sheet2!AL49)</f>
        <v>NA</v>
      </c>
      <c r="AH50" s="14">
        <f>IF([1]Sheet2!AM49=999999,"NA",[1]Sheet2!AM49)</f>
        <v>318</v>
      </c>
      <c r="AI50" s="14">
        <f>IF([1]Sheet2!AN49=999999,"NA",[1]Sheet2!AN49)</f>
        <v>318</v>
      </c>
      <c r="AJ50" s="14">
        <f>IF([1]Sheet2!AO49=999999,"NA",[1]Sheet2!AO49)</f>
        <v>318</v>
      </c>
      <c r="AK50" s="14">
        <f>IF([1]Sheet2!AP49=999999,"NA",[1]Sheet2!AP49)</f>
        <v>63</v>
      </c>
      <c r="AL50" s="14">
        <f>IF([1]Sheet2!AQ49=999999,"NA",[1]Sheet2!AQ49)</f>
        <v>194</v>
      </c>
      <c r="AM50" s="14">
        <f>IF([1]Sheet2!AR49=999999,"NA",[1]Sheet2!AR49)</f>
        <v>318</v>
      </c>
      <c r="AN50" s="14">
        <f>IF([1]Sheet2!AS49=999999,"NA",[1]Sheet2!AS49)</f>
        <v>250</v>
      </c>
      <c r="AO50" s="14">
        <f>[1]Sheet2!P49</f>
        <v>0</v>
      </c>
      <c r="AP50" s="14">
        <f>[1]Sheet2!Q49</f>
        <v>0</v>
      </c>
      <c r="AQ50" s="14">
        <f>[1]Sheet2!R49</f>
        <v>0</v>
      </c>
      <c r="AR50" s="14">
        <f>[1]Sheet2!S49</f>
        <v>0</v>
      </c>
      <c r="AS50" s="14">
        <f>[1]Sheet2!T49</f>
        <v>0</v>
      </c>
      <c r="AT50" s="14">
        <f>[1]Sheet2!U49</f>
        <v>0</v>
      </c>
      <c r="AU50" s="14">
        <f>[1]Sheet2!V49</f>
        <v>0</v>
      </c>
      <c r="AV50" s="14">
        <f>[1]Sheet2!W49</f>
        <v>0</v>
      </c>
      <c r="AW50" s="14">
        <f>[1]Sheet2!X49</f>
        <v>0</v>
      </c>
      <c r="AX50" s="14">
        <f>[1]Sheet2!Y49</f>
        <v>0</v>
      </c>
      <c r="AY50" s="16">
        <f>Demand_LP!B$4/28</f>
        <v>811.09813487293957</v>
      </c>
      <c r="AZ50" s="16">
        <f>Demand_LP!C$4/28</f>
        <v>502.83223443223443</v>
      </c>
      <c r="BA50" s="16">
        <f>Demand_LP!D$4/28</f>
        <v>282.53663003663002</v>
      </c>
      <c r="BB50" s="16">
        <f>Demand_LP!E$4/28</f>
        <v>759.73919413919407</v>
      </c>
      <c r="BC50" s="16">
        <f>Demand_LP!F$4/28</f>
        <v>495.28213999542123</v>
      </c>
      <c r="BD50" s="16">
        <f>Demand_LP!G$4/28</f>
        <v>821.42857142857144</v>
      </c>
      <c r="BE50" s="16">
        <f>Demand_LP!H$4/28</f>
        <v>535.71428571428567</v>
      </c>
      <c r="BF50" s="16">
        <f>Demand_LP!I$4/28</f>
        <v>496.42857142857144</v>
      </c>
      <c r="BG50" s="16">
        <f>Demand_LP!J$4/28</f>
        <v>482.14285714285717</v>
      </c>
      <c r="BH50" s="16">
        <f>Demand_LP!K$4/28</f>
        <v>471.42857142857144</v>
      </c>
      <c r="BI50" s="16" t="e">
        <f t="shared" si="13"/>
        <v>#VALUE!</v>
      </c>
      <c r="BJ50" s="16">
        <f t="shared" si="14"/>
        <v>-27608.433699633679</v>
      </c>
      <c r="BK50" s="16">
        <f t="shared" si="15"/>
        <v>-9688.0860805860848</v>
      </c>
      <c r="BL50" s="16">
        <f t="shared" si="16"/>
        <v>-30748.551465201475</v>
      </c>
      <c r="BM50" s="16">
        <f t="shared" si="17"/>
        <v>-19874.913358516489</v>
      </c>
      <c r="BN50" s="16">
        <f t="shared" si="18"/>
        <v>-27142.857142857152</v>
      </c>
      <c r="BO50" s="16">
        <f t="shared" si="19"/>
        <v>-29571.428571428587</v>
      </c>
      <c r="BP50" s="16">
        <f t="shared" si="20"/>
        <v>-19942.857142857149</v>
      </c>
      <c r="BQ50" s="16">
        <f t="shared" si="21"/>
        <v>-16714.28571428571</v>
      </c>
      <c r="BR50" s="16">
        <f t="shared" si="22"/>
        <v>-18042.857142857138</v>
      </c>
      <c r="BS50" s="14">
        <f>IF([1]Sheet2!CA49=999999,"NA",[1]Sheet2!CA49)</f>
        <v>198436.14285714304</v>
      </c>
      <c r="BT50" s="14">
        <f>IF([1]Sheet2!CB49=999999,"NA",[1]Sheet2!CB49)</f>
        <v>240</v>
      </c>
      <c r="BU50" s="14">
        <f>IF([1]Sheet2!CC49=999999,"NA",[1]Sheet2!CC49)</f>
        <v>318</v>
      </c>
      <c r="BV50" s="14">
        <f>IF([1]Sheet2!CD49=999999,"NA",[1]Sheet2!CD49)</f>
        <v>318</v>
      </c>
      <c r="BW50" s="14">
        <f>IF([1]Sheet2!CE49=999999,"NA",[1]Sheet2!CE49)</f>
        <v>280</v>
      </c>
      <c r="BX50" s="14">
        <f>IF([1]Sheet2!CF49=999999,"NA",[1]Sheet2!CF49)</f>
        <v>318</v>
      </c>
      <c r="BY50" s="14">
        <f>IF([1]Sheet2!CG49=999999,"NA",[1]Sheet2!CG49)</f>
        <v>212</v>
      </c>
      <c r="BZ50" s="14">
        <f>IF([1]Sheet2!CH49=999999,"NA",[1]Sheet2!CH49)</f>
        <v>318</v>
      </c>
      <c r="CA50" s="14">
        <f>IF([1]Sheet2!CI49=999999,"NA",[1]Sheet2!CI49)</f>
        <v>318</v>
      </c>
      <c r="CB50" s="14">
        <f>IF([1]Sheet2!CJ49=999999,"NA",[1]Sheet2!CJ49)</f>
        <v>318</v>
      </c>
      <c r="CC50" s="14">
        <f>[1]Sheet2!BG49</f>
        <v>0</v>
      </c>
      <c r="CD50" s="14">
        <f>[1]Sheet2!BH49</f>
        <v>0</v>
      </c>
      <c r="CE50" s="14">
        <f>[1]Sheet2!BI49</f>
        <v>0</v>
      </c>
      <c r="CF50" s="14">
        <f>[1]Sheet2!BJ49</f>
        <v>0</v>
      </c>
      <c r="CG50" s="14">
        <f>[1]Sheet2!BK49</f>
        <v>0</v>
      </c>
      <c r="CH50" s="14">
        <f>[1]Sheet2!BL49</f>
        <v>0</v>
      </c>
      <c r="CI50" s="14">
        <f>[1]Sheet2!BM49</f>
        <v>0</v>
      </c>
      <c r="CJ50" s="14">
        <f>[1]Sheet2!BN49</f>
        <v>0</v>
      </c>
      <c r="CK50" s="14">
        <f>[1]Sheet2!BO49</f>
        <v>0</v>
      </c>
      <c r="CL50" s="14">
        <f>[1]Sheet2!BP49</f>
        <v>0</v>
      </c>
      <c r="CM50" s="16">
        <f>Demand_SW!B$4/28</f>
        <v>94.69780219780219</v>
      </c>
      <c r="CN50" s="16">
        <f>Demand_SW!C$4/28</f>
        <v>0</v>
      </c>
      <c r="CO50" s="16">
        <f>Demand_SW!D$4/28</f>
        <v>0</v>
      </c>
      <c r="CP50" s="16">
        <f>Demand_SW!E$4/28</f>
        <v>0</v>
      </c>
      <c r="CQ50" s="16">
        <f>Demand_SW!F$4/28</f>
        <v>0</v>
      </c>
      <c r="CR50" s="16">
        <f>Demand_SW!G$4/28</f>
        <v>85.714285714285708</v>
      </c>
      <c r="CS50" s="16">
        <f>Demand_SW!H$4/28</f>
        <v>0</v>
      </c>
      <c r="CT50" s="16">
        <f>Demand_SW!I$4/28</f>
        <v>0</v>
      </c>
      <c r="CU50" s="16">
        <f>Demand_SW!J$4/28</f>
        <v>0</v>
      </c>
      <c r="CV50" s="16">
        <f>Demand_SW!K$4/28</f>
        <v>0</v>
      </c>
      <c r="CW50" s="16">
        <f t="shared" si="23"/>
        <v>45157.912087912031</v>
      </c>
      <c r="CX50" s="16">
        <f t="shared" si="24"/>
        <v>500</v>
      </c>
      <c r="CY50" s="16">
        <f t="shared" si="25"/>
        <v>0</v>
      </c>
      <c r="CZ50" s="16">
        <f t="shared" si="26"/>
        <v>0</v>
      </c>
      <c r="DA50" s="16">
        <f t="shared" si="27"/>
        <v>0</v>
      </c>
      <c r="DB50" s="16">
        <f t="shared" si="28"/>
        <v>-4471.4285714285688</v>
      </c>
      <c r="DC50" s="16">
        <f t="shared" si="29"/>
        <v>500</v>
      </c>
      <c r="DD50" s="16">
        <f t="shared" si="30"/>
        <v>0</v>
      </c>
      <c r="DE50" s="16">
        <f t="shared" si="31"/>
        <v>0</v>
      </c>
      <c r="DF50" s="16">
        <f t="shared" si="32"/>
        <v>0</v>
      </c>
      <c r="DG50" s="14">
        <f>IF([1]Sheet2!DR49=999999,"NA",[1]Sheet2!DR49)</f>
        <v>73103</v>
      </c>
      <c r="DH50" s="14">
        <f>IF([1]Sheet2!DS49=999999,"NA",[1]Sheet2!DS49)</f>
        <v>318</v>
      </c>
      <c r="DI50" s="14">
        <f>IF([1]Sheet2!DT49=999999,"NA",[1]Sheet2!DT49)</f>
        <v>318</v>
      </c>
      <c r="DJ50" s="14" t="str">
        <f>IF([1]Sheet2!DU49=999999,"NA",[1]Sheet2!DU49)</f>
        <v>NA</v>
      </c>
      <c r="DK50" s="14" t="str">
        <f>IF([1]Sheet2!DV49=999999,"NA",[1]Sheet2!DV49)</f>
        <v>NA</v>
      </c>
      <c r="DL50" s="14" t="str">
        <f>IF([1]Sheet2!DW49=999999,"NA",[1]Sheet2!DW49)</f>
        <v>NA</v>
      </c>
      <c r="DM50" s="14">
        <f>IF([1]Sheet2!DX49=999999,"NA",[1]Sheet2!DX49)</f>
        <v>318</v>
      </c>
      <c r="DN50" s="14">
        <f>IF([1]Sheet2!DY49=999999,"NA",[1]Sheet2!DY49)</f>
        <v>318</v>
      </c>
      <c r="DO50" s="14" t="str">
        <f>IF([1]Sheet2!DZ49=999999,"NA",[1]Sheet2!DZ49)</f>
        <v>NA</v>
      </c>
      <c r="DP50" s="14" t="str">
        <f>IF([1]Sheet2!EA49=999999,"NA",[1]Sheet2!EA49)</f>
        <v>NA</v>
      </c>
      <c r="DQ50" s="14">
        <f>[1]Sheet2!CX49</f>
        <v>0</v>
      </c>
      <c r="DR50" s="14">
        <f>[1]Sheet2!CY49</f>
        <v>0</v>
      </c>
      <c r="DS50" s="14">
        <f>[1]Sheet2!CZ49</f>
        <v>0</v>
      </c>
      <c r="DT50" s="14">
        <f>[1]Sheet2!DA49</f>
        <v>0</v>
      </c>
      <c r="DU50" s="14">
        <f>[1]Sheet2!DB49</f>
        <v>0</v>
      </c>
      <c r="DV50" s="14">
        <f>[1]Sheet2!DC49</f>
        <v>0</v>
      </c>
      <c r="DW50" s="14">
        <f>[1]Sheet2!DD49</f>
        <v>0</v>
      </c>
      <c r="DX50" s="14">
        <f>[1]Sheet2!DE49</f>
        <v>0</v>
      </c>
      <c r="DY50" s="14">
        <f>[1]Sheet2!DF49</f>
        <v>0</v>
      </c>
      <c r="DZ50" s="14">
        <f>[1]Sheet2!DG49</f>
        <v>0</v>
      </c>
    </row>
    <row r="51" spans="1:130" x14ac:dyDescent="0.25">
      <c r="A51" s="15">
        <v>43513</v>
      </c>
      <c r="B51" s="1"/>
      <c r="C51" s="1"/>
      <c r="D51" s="1"/>
      <c r="E51" s="14">
        <f>[1]Sheet2!N50</f>
        <v>0</v>
      </c>
      <c r="F51" s="14">
        <f>[1]Sheet2!BE50</f>
        <v>0</v>
      </c>
      <c r="G51" s="14">
        <f>[1]Sheet2!CV50</f>
        <v>180.41208791208791</v>
      </c>
      <c r="H51" s="1"/>
      <c r="I51" s="1"/>
      <c r="J51" s="1"/>
      <c r="K51" s="16">
        <f>Demand_CWRS!B$4/28</f>
        <v>131.68146963713369</v>
      </c>
      <c r="L51" s="16">
        <f>Demand_CWRS!C$4/28</f>
        <v>501.27216117216119</v>
      </c>
      <c r="M51" s="16">
        <f>Demand_CWRS!D$4/28</f>
        <v>0</v>
      </c>
      <c r="N51" s="16">
        <f>Demand_CWRS!E$4/28</f>
        <v>130.17472527472526</v>
      </c>
      <c r="O51" s="16">
        <f>Demand_CWRS!F$4/28</f>
        <v>262.94741300366297</v>
      </c>
      <c r="P51" s="16">
        <f>Demand_CWRS!G$4/28</f>
        <v>127.85714285714286</v>
      </c>
      <c r="Q51" s="16">
        <f>Demand_CWRS!H$4/28</f>
        <v>501.27216117216119</v>
      </c>
      <c r="R51" s="16">
        <f>Demand_CWRS!I$4/28</f>
        <v>214.28571428571428</v>
      </c>
      <c r="S51" s="16">
        <f>Demand_CWRS!J$4/28</f>
        <v>207.14285714285714</v>
      </c>
      <c r="T51" s="16">
        <f>Demand_CWRS!K$4/28</f>
        <v>221.42857142857142</v>
      </c>
      <c r="U51" s="16">
        <f t="shared" si="3"/>
        <v>-8948.4476440876806</v>
      </c>
      <c r="V51" s="16">
        <f t="shared" si="4"/>
        <v>-14014.636996336993</v>
      </c>
      <c r="W51" s="16">
        <f t="shared" si="5"/>
        <v>0</v>
      </c>
      <c r="X51" s="16">
        <f t="shared" si="6"/>
        <v>-3278.0023809523832</v>
      </c>
      <c r="Y51" s="16">
        <f t="shared" si="7"/>
        <v>-9619.5450434981722</v>
      </c>
      <c r="Z51" s="16">
        <f t="shared" si="8"/>
        <v>-8773.5714285714348</v>
      </c>
      <c r="AA51" s="16">
        <f t="shared" si="9"/>
        <v>-13514.636996336993</v>
      </c>
      <c r="AB51" s="16">
        <f t="shared" si="10"/>
        <v>-7842.8571428571495</v>
      </c>
      <c r="AC51" s="16">
        <f t="shared" si="11"/>
        <v>-7921.428571428567</v>
      </c>
      <c r="AD51" s="16">
        <f t="shared" si="12"/>
        <v>-8464.2857142857138</v>
      </c>
      <c r="AE51" s="14">
        <f>IF([1]Sheet2!AJ50=999999,"NA",[1]Sheet2!AJ50)</f>
        <v>79</v>
      </c>
      <c r="AF51" s="14">
        <f>IF([1]Sheet2!AK50=999999,"NA",[1]Sheet2!AK50)</f>
        <v>10</v>
      </c>
      <c r="AG51" s="14" t="str">
        <f>IF([1]Sheet2!AL50=999999,"NA",[1]Sheet2!AL50)</f>
        <v>NA</v>
      </c>
      <c r="AH51" s="14">
        <f>IF([1]Sheet2!AM50=999999,"NA",[1]Sheet2!AM50)</f>
        <v>317</v>
      </c>
      <c r="AI51" s="14">
        <f>IF([1]Sheet2!AN50=999999,"NA",[1]Sheet2!AN50)</f>
        <v>317</v>
      </c>
      <c r="AJ51" s="14">
        <f>IF([1]Sheet2!AO50=999999,"NA",[1]Sheet2!AO50)</f>
        <v>317</v>
      </c>
      <c r="AK51" s="14">
        <f>IF([1]Sheet2!AP50=999999,"NA",[1]Sheet2!AP50)</f>
        <v>62</v>
      </c>
      <c r="AL51" s="14">
        <f>IF([1]Sheet2!AQ50=999999,"NA",[1]Sheet2!AQ50)</f>
        <v>193</v>
      </c>
      <c r="AM51" s="14">
        <f>IF([1]Sheet2!AR50=999999,"NA",[1]Sheet2!AR50)</f>
        <v>317</v>
      </c>
      <c r="AN51" s="14">
        <f>IF([1]Sheet2!AS50=999999,"NA",[1]Sheet2!AS50)</f>
        <v>249</v>
      </c>
      <c r="AO51" s="14">
        <f>[1]Sheet2!P50</f>
        <v>0</v>
      </c>
      <c r="AP51" s="14">
        <f>[1]Sheet2!Q50</f>
        <v>0</v>
      </c>
      <c r="AQ51" s="14">
        <f>[1]Sheet2!R50</f>
        <v>0</v>
      </c>
      <c r="AR51" s="14">
        <f>[1]Sheet2!S50</f>
        <v>0</v>
      </c>
      <c r="AS51" s="14">
        <f>[1]Sheet2!T50</f>
        <v>0</v>
      </c>
      <c r="AT51" s="14">
        <f>[1]Sheet2!U50</f>
        <v>0</v>
      </c>
      <c r="AU51" s="14">
        <f>[1]Sheet2!V50</f>
        <v>0</v>
      </c>
      <c r="AV51" s="14">
        <f>[1]Sheet2!W50</f>
        <v>0</v>
      </c>
      <c r="AW51" s="14">
        <f>[1]Sheet2!X50</f>
        <v>0</v>
      </c>
      <c r="AX51" s="14">
        <f>[1]Sheet2!Y50</f>
        <v>0</v>
      </c>
      <c r="AY51" s="16">
        <f>Demand_LP!B$4/28</f>
        <v>811.09813487293957</v>
      </c>
      <c r="AZ51" s="16">
        <f>Demand_LP!C$4/28</f>
        <v>502.83223443223443</v>
      </c>
      <c r="BA51" s="16">
        <f>Demand_LP!D$4/28</f>
        <v>282.53663003663002</v>
      </c>
      <c r="BB51" s="16">
        <f>Demand_LP!E$4/28</f>
        <v>759.73919413919407</v>
      </c>
      <c r="BC51" s="16">
        <f>Demand_LP!F$4/28</f>
        <v>495.28213999542123</v>
      </c>
      <c r="BD51" s="16">
        <f>Demand_LP!G$4/28</f>
        <v>821.42857142857144</v>
      </c>
      <c r="BE51" s="16">
        <f>Demand_LP!H$4/28</f>
        <v>535.71428571428567</v>
      </c>
      <c r="BF51" s="16">
        <f>Demand_LP!I$4/28</f>
        <v>496.42857142857144</v>
      </c>
      <c r="BG51" s="16">
        <f>Demand_LP!J$4/28</f>
        <v>482.14285714285717</v>
      </c>
      <c r="BH51" s="16">
        <f>Demand_LP!K$4/28</f>
        <v>471.42857142857144</v>
      </c>
      <c r="BI51" s="16" t="e">
        <f t="shared" si="13"/>
        <v>#VALUE!</v>
      </c>
      <c r="BJ51" s="16">
        <f t="shared" si="14"/>
        <v>-28111.265934065912</v>
      </c>
      <c r="BK51" s="16">
        <f t="shared" si="15"/>
        <v>-9970.6227106227143</v>
      </c>
      <c r="BL51" s="16">
        <f t="shared" si="16"/>
        <v>-31508.29065934067</v>
      </c>
      <c r="BM51" s="16">
        <f t="shared" si="17"/>
        <v>-20370.195498511912</v>
      </c>
      <c r="BN51" s="16">
        <f t="shared" si="18"/>
        <v>-27964.285714285725</v>
      </c>
      <c r="BO51" s="16">
        <f t="shared" si="19"/>
        <v>-30107.142857142873</v>
      </c>
      <c r="BP51" s="16">
        <f t="shared" si="20"/>
        <v>-20439.285714285721</v>
      </c>
      <c r="BQ51" s="16">
        <f t="shared" si="21"/>
        <v>-17196.428571428569</v>
      </c>
      <c r="BR51" s="16">
        <f t="shared" si="22"/>
        <v>-18514.28571428571</v>
      </c>
      <c r="BS51" s="14">
        <f>IF([1]Sheet2!CA50=999999,"NA",[1]Sheet2!CA50)</f>
        <v>197964.71428571446</v>
      </c>
      <c r="BT51" s="14">
        <f>IF([1]Sheet2!CB50=999999,"NA",[1]Sheet2!CB50)</f>
        <v>239</v>
      </c>
      <c r="BU51" s="14">
        <f>IF([1]Sheet2!CC50=999999,"NA",[1]Sheet2!CC50)</f>
        <v>317</v>
      </c>
      <c r="BV51" s="14">
        <f>IF([1]Sheet2!CD50=999999,"NA",[1]Sheet2!CD50)</f>
        <v>317</v>
      </c>
      <c r="BW51" s="14">
        <f>IF([1]Sheet2!CE50=999999,"NA",[1]Sheet2!CE50)</f>
        <v>279</v>
      </c>
      <c r="BX51" s="14">
        <f>IF([1]Sheet2!CF50=999999,"NA",[1]Sheet2!CF50)</f>
        <v>317</v>
      </c>
      <c r="BY51" s="14">
        <f>IF([1]Sheet2!CG50=999999,"NA",[1]Sheet2!CG50)</f>
        <v>211</v>
      </c>
      <c r="BZ51" s="14">
        <f>IF([1]Sheet2!CH50=999999,"NA",[1]Sheet2!CH50)</f>
        <v>317</v>
      </c>
      <c r="CA51" s="14">
        <f>IF([1]Sheet2!CI50=999999,"NA",[1]Sheet2!CI50)</f>
        <v>317</v>
      </c>
      <c r="CB51" s="14">
        <f>IF([1]Sheet2!CJ50=999999,"NA",[1]Sheet2!CJ50)</f>
        <v>317</v>
      </c>
      <c r="CC51" s="14">
        <f>[1]Sheet2!BG50</f>
        <v>0</v>
      </c>
      <c r="CD51" s="14">
        <f>[1]Sheet2!BH50</f>
        <v>0</v>
      </c>
      <c r="CE51" s="14">
        <f>[1]Sheet2!BI50</f>
        <v>0</v>
      </c>
      <c r="CF51" s="14">
        <f>[1]Sheet2!BJ50</f>
        <v>0</v>
      </c>
      <c r="CG51" s="14">
        <f>[1]Sheet2!BK50</f>
        <v>0</v>
      </c>
      <c r="CH51" s="14">
        <f>[1]Sheet2!BL50</f>
        <v>0</v>
      </c>
      <c r="CI51" s="14">
        <f>[1]Sheet2!BM50</f>
        <v>0</v>
      </c>
      <c r="CJ51" s="14">
        <f>[1]Sheet2!BN50</f>
        <v>0</v>
      </c>
      <c r="CK51" s="14">
        <f>[1]Sheet2!BO50</f>
        <v>0</v>
      </c>
      <c r="CL51" s="14">
        <f>[1]Sheet2!BP50</f>
        <v>0</v>
      </c>
      <c r="CM51" s="16">
        <f>Demand_SW!B$4/28</f>
        <v>94.69780219780219</v>
      </c>
      <c r="CN51" s="16">
        <f>Demand_SW!C$4/28</f>
        <v>0</v>
      </c>
      <c r="CO51" s="16">
        <f>Demand_SW!D$4/28</f>
        <v>0</v>
      </c>
      <c r="CP51" s="16">
        <f>Demand_SW!E$4/28</f>
        <v>0</v>
      </c>
      <c r="CQ51" s="16">
        <f>Demand_SW!F$4/28</f>
        <v>0</v>
      </c>
      <c r="CR51" s="16">
        <f>Demand_SW!G$4/28</f>
        <v>85.714285714285708</v>
      </c>
      <c r="CS51" s="16">
        <f>Demand_SW!H$4/28</f>
        <v>0</v>
      </c>
      <c r="CT51" s="16">
        <f>Demand_SW!I$4/28</f>
        <v>0</v>
      </c>
      <c r="CU51" s="16">
        <f>Demand_SW!J$4/28</f>
        <v>0</v>
      </c>
      <c r="CV51" s="16">
        <f>Demand_SW!K$4/28</f>
        <v>0</v>
      </c>
      <c r="CW51" s="16">
        <f t="shared" si="23"/>
        <v>45063.214285714232</v>
      </c>
      <c r="CX51" s="16">
        <f t="shared" si="24"/>
        <v>500</v>
      </c>
      <c r="CY51" s="16">
        <f t="shared" si="25"/>
        <v>0</v>
      </c>
      <c r="CZ51" s="16">
        <f t="shared" si="26"/>
        <v>0</v>
      </c>
      <c r="DA51" s="16">
        <f t="shared" si="27"/>
        <v>0</v>
      </c>
      <c r="DB51" s="16">
        <f t="shared" si="28"/>
        <v>-4557.1428571428542</v>
      </c>
      <c r="DC51" s="16">
        <f t="shared" si="29"/>
        <v>500</v>
      </c>
      <c r="DD51" s="16">
        <f t="shared" si="30"/>
        <v>0</v>
      </c>
      <c r="DE51" s="16">
        <f t="shared" si="31"/>
        <v>0</v>
      </c>
      <c r="DF51" s="16">
        <f t="shared" si="32"/>
        <v>0</v>
      </c>
      <c r="DG51" s="14">
        <f>IF([1]Sheet2!DR50=999999,"NA",[1]Sheet2!DR50)</f>
        <v>73103</v>
      </c>
      <c r="DH51" s="14">
        <f>IF([1]Sheet2!DS50=999999,"NA",[1]Sheet2!DS50)</f>
        <v>317</v>
      </c>
      <c r="DI51" s="14">
        <f>IF([1]Sheet2!DT50=999999,"NA",[1]Sheet2!DT50)</f>
        <v>317</v>
      </c>
      <c r="DJ51" s="14" t="str">
        <f>IF([1]Sheet2!DU50=999999,"NA",[1]Sheet2!DU50)</f>
        <v>NA</v>
      </c>
      <c r="DK51" s="14" t="str">
        <f>IF([1]Sheet2!DV50=999999,"NA",[1]Sheet2!DV50)</f>
        <v>NA</v>
      </c>
      <c r="DL51" s="14" t="str">
        <f>IF([1]Sheet2!DW50=999999,"NA",[1]Sheet2!DW50)</f>
        <v>NA</v>
      </c>
      <c r="DM51" s="14">
        <f>IF([1]Sheet2!DX50=999999,"NA",[1]Sheet2!DX50)</f>
        <v>317</v>
      </c>
      <c r="DN51" s="14">
        <f>IF([1]Sheet2!DY50=999999,"NA",[1]Sheet2!DY50)</f>
        <v>317</v>
      </c>
      <c r="DO51" s="14" t="str">
        <f>IF([1]Sheet2!DZ50=999999,"NA",[1]Sheet2!DZ50)</f>
        <v>NA</v>
      </c>
      <c r="DP51" s="14" t="str">
        <f>IF([1]Sheet2!EA50=999999,"NA",[1]Sheet2!EA50)</f>
        <v>NA</v>
      </c>
      <c r="DQ51" s="14">
        <f>[1]Sheet2!CX50</f>
        <v>0</v>
      </c>
      <c r="DR51" s="14">
        <f>[1]Sheet2!CY50</f>
        <v>0</v>
      </c>
      <c r="DS51" s="14">
        <f>[1]Sheet2!CZ50</f>
        <v>0</v>
      </c>
      <c r="DT51" s="14">
        <f>[1]Sheet2!DA50</f>
        <v>0</v>
      </c>
      <c r="DU51" s="14">
        <f>[1]Sheet2!DB50</f>
        <v>0</v>
      </c>
      <c r="DV51" s="14">
        <f>[1]Sheet2!DC50</f>
        <v>0</v>
      </c>
      <c r="DW51" s="14">
        <f>[1]Sheet2!DD50</f>
        <v>0</v>
      </c>
      <c r="DX51" s="14">
        <f>[1]Sheet2!DE50</f>
        <v>0</v>
      </c>
      <c r="DY51" s="14">
        <f>[1]Sheet2!DF50</f>
        <v>0</v>
      </c>
      <c r="DZ51" s="14">
        <f>[1]Sheet2!DG50</f>
        <v>0</v>
      </c>
    </row>
    <row r="52" spans="1:130" x14ac:dyDescent="0.25">
      <c r="A52" s="15">
        <v>43514</v>
      </c>
      <c r="B52" s="1"/>
      <c r="C52" s="1"/>
      <c r="D52" s="1"/>
      <c r="E52" s="14">
        <f>[1]Sheet2!N51</f>
        <v>0</v>
      </c>
      <c r="F52" s="14">
        <f>[1]Sheet2!BE51</f>
        <v>0</v>
      </c>
      <c r="G52" s="14">
        <f>[1]Sheet2!CV51</f>
        <v>180.41208791208791</v>
      </c>
      <c r="H52" s="1"/>
      <c r="I52" s="1"/>
      <c r="J52" s="1"/>
      <c r="K52" s="16">
        <f>Demand_CWRS!B$4/28</f>
        <v>131.68146963713369</v>
      </c>
      <c r="L52" s="16">
        <f>Demand_CWRS!C$4/28</f>
        <v>501.27216117216119</v>
      </c>
      <c r="M52" s="16">
        <f>Demand_CWRS!D$4/28</f>
        <v>0</v>
      </c>
      <c r="N52" s="16">
        <f>Demand_CWRS!E$4/28</f>
        <v>130.17472527472526</v>
      </c>
      <c r="O52" s="16">
        <f>Demand_CWRS!F$4/28</f>
        <v>262.94741300366297</v>
      </c>
      <c r="P52" s="16">
        <f>Demand_CWRS!G$4/28</f>
        <v>127.85714285714286</v>
      </c>
      <c r="Q52" s="16">
        <f>Demand_CWRS!H$4/28</f>
        <v>501.27216117216119</v>
      </c>
      <c r="R52" s="16">
        <f>Demand_CWRS!I$4/28</f>
        <v>214.28571428571428</v>
      </c>
      <c r="S52" s="16">
        <f>Demand_CWRS!J$4/28</f>
        <v>207.14285714285714</v>
      </c>
      <c r="T52" s="16">
        <f>Demand_CWRS!K$4/28</f>
        <v>221.42857142857142</v>
      </c>
      <c r="U52" s="16">
        <f t="shared" si="3"/>
        <v>-9080.1291137248136</v>
      </c>
      <c r="V52" s="16">
        <f t="shared" si="4"/>
        <v>-14515.909157509153</v>
      </c>
      <c r="W52" s="16">
        <f t="shared" si="5"/>
        <v>0</v>
      </c>
      <c r="X52" s="16">
        <f t="shared" si="6"/>
        <v>-3408.1771062271087</v>
      </c>
      <c r="Y52" s="16">
        <f t="shared" si="7"/>
        <v>-9882.4924565018355</v>
      </c>
      <c r="Z52" s="16">
        <f t="shared" si="8"/>
        <v>-8901.4285714285779</v>
      </c>
      <c r="AA52" s="16">
        <f t="shared" si="9"/>
        <v>-14015.909157509153</v>
      </c>
      <c r="AB52" s="16">
        <f t="shared" si="10"/>
        <v>-8057.1428571428642</v>
      </c>
      <c r="AC52" s="16">
        <f t="shared" si="11"/>
        <v>-8128.5714285714239</v>
      </c>
      <c r="AD52" s="16">
        <f t="shared" si="12"/>
        <v>-8685.7142857142844</v>
      </c>
      <c r="AE52" s="14">
        <f>IF([1]Sheet2!AJ51=999999,"NA",[1]Sheet2!AJ51)</f>
        <v>78</v>
      </c>
      <c r="AF52" s="14">
        <f>IF([1]Sheet2!AK51=999999,"NA",[1]Sheet2!AK51)</f>
        <v>9</v>
      </c>
      <c r="AG52" s="14" t="str">
        <f>IF([1]Sheet2!AL51=999999,"NA",[1]Sheet2!AL51)</f>
        <v>NA</v>
      </c>
      <c r="AH52" s="14">
        <f>IF([1]Sheet2!AM51=999999,"NA",[1]Sheet2!AM51)</f>
        <v>316</v>
      </c>
      <c r="AI52" s="14">
        <f>IF([1]Sheet2!AN51=999999,"NA",[1]Sheet2!AN51)</f>
        <v>316</v>
      </c>
      <c r="AJ52" s="14">
        <f>IF([1]Sheet2!AO51=999999,"NA",[1]Sheet2!AO51)</f>
        <v>316</v>
      </c>
      <c r="AK52" s="14">
        <f>IF([1]Sheet2!AP51=999999,"NA",[1]Sheet2!AP51)</f>
        <v>61</v>
      </c>
      <c r="AL52" s="14">
        <f>IF([1]Sheet2!AQ51=999999,"NA",[1]Sheet2!AQ51)</f>
        <v>192</v>
      </c>
      <c r="AM52" s="14">
        <f>IF([1]Sheet2!AR51=999999,"NA",[1]Sheet2!AR51)</f>
        <v>316</v>
      </c>
      <c r="AN52" s="14">
        <f>IF([1]Sheet2!AS51=999999,"NA",[1]Sheet2!AS51)</f>
        <v>248</v>
      </c>
      <c r="AO52" s="14">
        <f>[1]Sheet2!P51</f>
        <v>0</v>
      </c>
      <c r="AP52" s="14">
        <f>[1]Sheet2!Q51</f>
        <v>0</v>
      </c>
      <c r="AQ52" s="14">
        <f>[1]Sheet2!R51</f>
        <v>0</v>
      </c>
      <c r="AR52" s="14">
        <f>[1]Sheet2!S51</f>
        <v>0</v>
      </c>
      <c r="AS52" s="14">
        <f>[1]Sheet2!T51</f>
        <v>0</v>
      </c>
      <c r="AT52" s="14">
        <f>[1]Sheet2!U51</f>
        <v>0</v>
      </c>
      <c r="AU52" s="14">
        <f>[1]Sheet2!V51</f>
        <v>0</v>
      </c>
      <c r="AV52" s="14">
        <f>[1]Sheet2!W51</f>
        <v>0</v>
      </c>
      <c r="AW52" s="14">
        <f>[1]Sheet2!X51</f>
        <v>0</v>
      </c>
      <c r="AX52" s="14">
        <f>[1]Sheet2!Y51</f>
        <v>0</v>
      </c>
      <c r="AY52" s="16">
        <f>Demand_LP!B$4/28</f>
        <v>811.09813487293957</v>
      </c>
      <c r="AZ52" s="16">
        <f>Demand_LP!C$4/28</f>
        <v>502.83223443223443</v>
      </c>
      <c r="BA52" s="16">
        <f>Demand_LP!D$4/28</f>
        <v>282.53663003663002</v>
      </c>
      <c r="BB52" s="16">
        <f>Demand_LP!E$4/28</f>
        <v>759.73919413919407</v>
      </c>
      <c r="BC52" s="16">
        <f>Demand_LP!F$4/28</f>
        <v>495.28213999542123</v>
      </c>
      <c r="BD52" s="16">
        <f>Demand_LP!G$4/28</f>
        <v>821.42857142857144</v>
      </c>
      <c r="BE52" s="16">
        <f>Demand_LP!H$4/28</f>
        <v>535.71428571428567</v>
      </c>
      <c r="BF52" s="16">
        <f>Demand_LP!I$4/28</f>
        <v>496.42857142857144</v>
      </c>
      <c r="BG52" s="16">
        <f>Demand_LP!J$4/28</f>
        <v>482.14285714285717</v>
      </c>
      <c r="BH52" s="16">
        <f>Demand_LP!K$4/28</f>
        <v>471.42857142857144</v>
      </c>
      <c r="BI52" s="16" t="e">
        <f t="shared" si="13"/>
        <v>#VALUE!</v>
      </c>
      <c r="BJ52" s="16">
        <f t="shared" si="14"/>
        <v>-28614.098168498145</v>
      </c>
      <c r="BK52" s="16">
        <f t="shared" si="15"/>
        <v>-10253.159340659344</v>
      </c>
      <c r="BL52" s="16">
        <f t="shared" si="16"/>
        <v>-32268.029853479864</v>
      </c>
      <c r="BM52" s="16">
        <f t="shared" si="17"/>
        <v>-20865.477638507335</v>
      </c>
      <c r="BN52" s="16">
        <f t="shared" si="18"/>
        <v>-28785.714285714297</v>
      </c>
      <c r="BO52" s="16">
        <f t="shared" si="19"/>
        <v>-30642.857142857159</v>
      </c>
      <c r="BP52" s="16">
        <f t="shared" si="20"/>
        <v>-20935.714285714294</v>
      </c>
      <c r="BQ52" s="16">
        <f t="shared" si="21"/>
        <v>-17678.571428571428</v>
      </c>
      <c r="BR52" s="16">
        <f t="shared" si="22"/>
        <v>-18985.714285714283</v>
      </c>
      <c r="BS52" s="14">
        <f>IF([1]Sheet2!CA51=999999,"NA",[1]Sheet2!CA51)</f>
        <v>197493.28571428588</v>
      </c>
      <c r="BT52" s="14">
        <f>IF([1]Sheet2!CB51=999999,"NA",[1]Sheet2!CB51)</f>
        <v>238</v>
      </c>
      <c r="BU52" s="14">
        <f>IF([1]Sheet2!CC51=999999,"NA",[1]Sheet2!CC51)</f>
        <v>316</v>
      </c>
      <c r="BV52" s="14">
        <f>IF([1]Sheet2!CD51=999999,"NA",[1]Sheet2!CD51)</f>
        <v>316</v>
      </c>
      <c r="BW52" s="14">
        <f>IF([1]Sheet2!CE51=999999,"NA",[1]Sheet2!CE51)</f>
        <v>278</v>
      </c>
      <c r="BX52" s="14">
        <f>IF([1]Sheet2!CF51=999999,"NA",[1]Sheet2!CF51)</f>
        <v>316</v>
      </c>
      <c r="BY52" s="14">
        <f>IF([1]Sheet2!CG51=999999,"NA",[1]Sheet2!CG51)</f>
        <v>210</v>
      </c>
      <c r="BZ52" s="14">
        <f>IF([1]Sheet2!CH51=999999,"NA",[1]Sheet2!CH51)</f>
        <v>316</v>
      </c>
      <c r="CA52" s="14">
        <f>IF([1]Sheet2!CI51=999999,"NA",[1]Sheet2!CI51)</f>
        <v>316</v>
      </c>
      <c r="CB52" s="14">
        <f>IF([1]Sheet2!CJ51=999999,"NA",[1]Sheet2!CJ51)</f>
        <v>316</v>
      </c>
      <c r="CC52" s="14">
        <f>[1]Sheet2!BG51</f>
        <v>0</v>
      </c>
      <c r="CD52" s="14">
        <f>[1]Sheet2!BH51</f>
        <v>0</v>
      </c>
      <c r="CE52" s="14">
        <f>[1]Sheet2!BI51</f>
        <v>0</v>
      </c>
      <c r="CF52" s="14">
        <f>[1]Sheet2!BJ51</f>
        <v>0</v>
      </c>
      <c r="CG52" s="14">
        <f>[1]Sheet2!BK51</f>
        <v>0</v>
      </c>
      <c r="CH52" s="14">
        <f>[1]Sheet2!BL51</f>
        <v>0</v>
      </c>
      <c r="CI52" s="14">
        <f>[1]Sheet2!BM51</f>
        <v>0</v>
      </c>
      <c r="CJ52" s="14">
        <f>[1]Sheet2!BN51</f>
        <v>0</v>
      </c>
      <c r="CK52" s="14">
        <f>[1]Sheet2!BO51</f>
        <v>0</v>
      </c>
      <c r="CL52" s="14">
        <f>[1]Sheet2!BP51</f>
        <v>0</v>
      </c>
      <c r="CM52" s="16">
        <f>Demand_SW!B$4/28</f>
        <v>94.69780219780219</v>
      </c>
      <c r="CN52" s="16">
        <f>Demand_SW!C$4/28</f>
        <v>0</v>
      </c>
      <c r="CO52" s="16">
        <f>Demand_SW!D$4/28</f>
        <v>0</v>
      </c>
      <c r="CP52" s="16">
        <f>Demand_SW!E$4/28</f>
        <v>0</v>
      </c>
      <c r="CQ52" s="16">
        <f>Demand_SW!F$4/28</f>
        <v>0</v>
      </c>
      <c r="CR52" s="16">
        <f>Demand_SW!G$4/28</f>
        <v>85.714285714285708</v>
      </c>
      <c r="CS52" s="16">
        <f>Demand_SW!H$4/28</f>
        <v>0</v>
      </c>
      <c r="CT52" s="16">
        <f>Demand_SW!I$4/28</f>
        <v>0</v>
      </c>
      <c r="CU52" s="16">
        <f>Demand_SW!J$4/28</f>
        <v>0</v>
      </c>
      <c r="CV52" s="16">
        <f>Demand_SW!K$4/28</f>
        <v>0</v>
      </c>
      <c r="CW52" s="16">
        <f t="shared" si="23"/>
        <v>44968.516483516432</v>
      </c>
      <c r="CX52" s="16">
        <f t="shared" si="24"/>
        <v>500</v>
      </c>
      <c r="CY52" s="16">
        <f t="shared" si="25"/>
        <v>0</v>
      </c>
      <c r="CZ52" s="16">
        <f t="shared" si="26"/>
        <v>0</v>
      </c>
      <c r="DA52" s="16">
        <f t="shared" si="27"/>
        <v>0</v>
      </c>
      <c r="DB52" s="16">
        <f t="shared" si="28"/>
        <v>-4642.8571428571395</v>
      </c>
      <c r="DC52" s="16">
        <f t="shared" si="29"/>
        <v>500</v>
      </c>
      <c r="DD52" s="16">
        <f t="shared" si="30"/>
        <v>0</v>
      </c>
      <c r="DE52" s="16">
        <f t="shared" si="31"/>
        <v>0</v>
      </c>
      <c r="DF52" s="16">
        <f t="shared" si="32"/>
        <v>0</v>
      </c>
      <c r="DG52" s="14">
        <f>IF([1]Sheet2!DR51=999999,"NA",[1]Sheet2!DR51)</f>
        <v>73103</v>
      </c>
      <c r="DH52" s="14">
        <f>IF([1]Sheet2!DS51=999999,"NA",[1]Sheet2!DS51)</f>
        <v>316</v>
      </c>
      <c r="DI52" s="14">
        <f>IF([1]Sheet2!DT51=999999,"NA",[1]Sheet2!DT51)</f>
        <v>316</v>
      </c>
      <c r="DJ52" s="14" t="str">
        <f>IF([1]Sheet2!DU51=999999,"NA",[1]Sheet2!DU51)</f>
        <v>NA</v>
      </c>
      <c r="DK52" s="14" t="str">
        <f>IF([1]Sheet2!DV51=999999,"NA",[1]Sheet2!DV51)</f>
        <v>NA</v>
      </c>
      <c r="DL52" s="14" t="str">
        <f>IF([1]Sheet2!DW51=999999,"NA",[1]Sheet2!DW51)</f>
        <v>NA</v>
      </c>
      <c r="DM52" s="14">
        <f>IF([1]Sheet2!DX51=999999,"NA",[1]Sheet2!DX51)</f>
        <v>316</v>
      </c>
      <c r="DN52" s="14">
        <f>IF([1]Sheet2!DY51=999999,"NA",[1]Sheet2!DY51)</f>
        <v>316</v>
      </c>
      <c r="DO52" s="14" t="str">
        <f>IF([1]Sheet2!DZ51=999999,"NA",[1]Sheet2!DZ51)</f>
        <v>NA</v>
      </c>
      <c r="DP52" s="14" t="str">
        <f>IF([1]Sheet2!EA51=999999,"NA",[1]Sheet2!EA51)</f>
        <v>NA</v>
      </c>
      <c r="DQ52" s="14">
        <f>[1]Sheet2!CX51</f>
        <v>0</v>
      </c>
      <c r="DR52" s="14">
        <f>[1]Sheet2!CY51</f>
        <v>0</v>
      </c>
      <c r="DS52" s="14">
        <f>[1]Sheet2!CZ51</f>
        <v>0</v>
      </c>
      <c r="DT52" s="14">
        <f>[1]Sheet2!DA51</f>
        <v>0</v>
      </c>
      <c r="DU52" s="14">
        <f>[1]Sheet2!DB51</f>
        <v>0</v>
      </c>
      <c r="DV52" s="14">
        <f>[1]Sheet2!DC51</f>
        <v>0</v>
      </c>
      <c r="DW52" s="14">
        <f>[1]Sheet2!DD51</f>
        <v>0</v>
      </c>
      <c r="DX52" s="14">
        <f>[1]Sheet2!DE51</f>
        <v>0</v>
      </c>
      <c r="DY52" s="14">
        <f>[1]Sheet2!DF51</f>
        <v>0</v>
      </c>
      <c r="DZ52" s="14">
        <f>[1]Sheet2!DG51</f>
        <v>0</v>
      </c>
    </row>
    <row r="53" spans="1:130" x14ac:dyDescent="0.25">
      <c r="A53" s="15">
        <v>43515</v>
      </c>
      <c r="B53" s="1"/>
      <c r="C53" s="1"/>
      <c r="D53" s="1"/>
      <c r="E53" s="14">
        <f>[1]Sheet2!N52</f>
        <v>0</v>
      </c>
      <c r="F53" s="14">
        <f>[1]Sheet2!BE52</f>
        <v>0</v>
      </c>
      <c r="G53" s="14">
        <f>[1]Sheet2!CV52</f>
        <v>180.41208791208791</v>
      </c>
      <c r="H53" s="1"/>
      <c r="I53" s="1"/>
      <c r="J53" s="1"/>
      <c r="K53" s="16">
        <f>Demand_CWRS!B$4/28</f>
        <v>131.68146963713369</v>
      </c>
      <c r="L53" s="16">
        <f>Demand_CWRS!C$4/28</f>
        <v>501.27216117216119</v>
      </c>
      <c r="M53" s="16">
        <f>Demand_CWRS!D$4/28</f>
        <v>0</v>
      </c>
      <c r="N53" s="16">
        <f>Demand_CWRS!E$4/28</f>
        <v>130.17472527472526</v>
      </c>
      <c r="O53" s="16">
        <f>Demand_CWRS!F$4/28</f>
        <v>262.94741300366297</v>
      </c>
      <c r="P53" s="16">
        <f>Demand_CWRS!G$4/28</f>
        <v>127.85714285714286</v>
      </c>
      <c r="Q53" s="16">
        <f>Demand_CWRS!H$4/28</f>
        <v>501.27216117216119</v>
      </c>
      <c r="R53" s="16">
        <f>Demand_CWRS!I$4/28</f>
        <v>214.28571428571428</v>
      </c>
      <c r="S53" s="16">
        <f>Demand_CWRS!J$4/28</f>
        <v>207.14285714285714</v>
      </c>
      <c r="T53" s="16">
        <f>Demand_CWRS!K$4/28</f>
        <v>221.42857142857142</v>
      </c>
      <c r="U53" s="16">
        <f t="shared" si="3"/>
        <v>-9211.8105833619466</v>
      </c>
      <c r="V53" s="16">
        <f t="shared" si="4"/>
        <v>-15017.181318681314</v>
      </c>
      <c r="W53" s="16">
        <f t="shared" si="5"/>
        <v>0</v>
      </c>
      <c r="X53" s="16">
        <f t="shared" si="6"/>
        <v>-3538.3518315018341</v>
      </c>
      <c r="Y53" s="16">
        <f t="shared" si="7"/>
        <v>-10145.439869505499</v>
      </c>
      <c r="Z53" s="16">
        <f t="shared" si="8"/>
        <v>-9029.285714285721</v>
      </c>
      <c r="AA53" s="16">
        <f t="shared" si="9"/>
        <v>-14517.181318681314</v>
      </c>
      <c r="AB53" s="16">
        <f t="shared" si="10"/>
        <v>-8271.4285714285779</v>
      </c>
      <c r="AC53" s="16">
        <f t="shared" si="11"/>
        <v>-8335.7142857142808</v>
      </c>
      <c r="AD53" s="16">
        <f t="shared" si="12"/>
        <v>-8907.1428571428551</v>
      </c>
      <c r="AE53" s="14">
        <f>IF([1]Sheet2!AJ52=999999,"NA",[1]Sheet2!AJ52)</f>
        <v>77</v>
      </c>
      <c r="AF53" s="14">
        <f>IF([1]Sheet2!AK52=999999,"NA",[1]Sheet2!AK52)</f>
        <v>8</v>
      </c>
      <c r="AG53" s="14" t="str">
        <f>IF([1]Sheet2!AL52=999999,"NA",[1]Sheet2!AL52)</f>
        <v>NA</v>
      </c>
      <c r="AH53" s="14">
        <f>IF([1]Sheet2!AM52=999999,"NA",[1]Sheet2!AM52)</f>
        <v>315</v>
      </c>
      <c r="AI53" s="14">
        <f>IF([1]Sheet2!AN52=999999,"NA",[1]Sheet2!AN52)</f>
        <v>315</v>
      </c>
      <c r="AJ53" s="14">
        <f>IF([1]Sheet2!AO52=999999,"NA",[1]Sheet2!AO52)</f>
        <v>315</v>
      </c>
      <c r="AK53" s="14">
        <f>IF([1]Sheet2!AP52=999999,"NA",[1]Sheet2!AP52)</f>
        <v>60</v>
      </c>
      <c r="AL53" s="14">
        <f>IF([1]Sheet2!AQ52=999999,"NA",[1]Sheet2!AQ52)</f>
        <v>191</v>
      </c>
      <c r="AM53" s="14">
        <f>IF([1]Sheet2!AR52=999999,"NA",[1]Sheet2!AR52)</f>
        <v>315</v>
      </c>
      <c r="AN53" s="14">
        <f>IF([1]Sheet2!AS52=999999,"NA",[1]Sheet2!AS52)</f>
        <v>247</v>
      </c>
      <c r="AO53" s="14">
        <f>[1]Sheet2!P52</f>
        <v>0</v>
      </c>
      <c r="AP53" s="14">
        <f>[1]Sheet2!Q52</f>
        <v>0</v>
      </c>
      <c r="AQ53" s="14">
        <f>[1]Sheet2!R52</f>
        <v>0</v>
      </c>
      <c r="AR53" s="14">
        <f>[1]Sheet2!S52</f>
        <v>0</v>
      </c>
      <c r="AS53" s="14">
        <f>[1]Sheet2!T52</f>
        <v>0</v>
      </c>
      <c r="AT53" s="14">
        <f>[1]Sheet2!U52</f>
        <v>0</v>
      </c>
      <c r="AU53" s="14">
        <f>[1]Sheet2!V52</f>
        <v>0</v>
      </c>
      <c r="AV53" s="14">
        <f>[1]Sheet2!W52</f>
        <v>0</v>
      </c>
      <c r="AW53" s="14">
        <f>[1]Sheet2!X52</f>
        <v>0</v>
      </c>
      <c r="AX53" s="14">
        <f>[1]Sheet2!Y52</f>
        <v>0</v>
      </c>
      <c r="AY53" s="16">
        <f>Demand_LP!B$4/28</f>
        <v>811.09813487293957</v>
      </c>
      <c r="AZ53" s="16">
        <f>Demand_LP!C$4/28</f>
        <v>502.83223443223443</v>
      </c>
      <c r="BA53" s="16">
        <f>Demand_LP!D$4/28</f>
        <v>282.53663003663002</v>
      </c>
      <c r="BB53" s="16">
        <f>Demand_LP!E$4/28</f>
        <v>759.73919413919407</v>
      </c>
      <c r="BC53" s="16">
        <f>Demand_LP!F$4/28</f>
        <v>495.28213999542123</v>
      </c>
      <c r="BD53" s="16">
        <f>Demand_LP!G$4/28</f>
        <v>821.42857142857144</v>
      </c>
      <c r="BE53" s="16">
        <f>Demand_LP!H$4/28</f>
        <v>535.71428571428567</v>
      </c>
      <c r="BF53" s="16">
        <f>Demand_LP!I$4/28</f>
        <v>496.42857142857144</v>
      </c>
      <c r="BG53" s="16">
        <f>Demand_LP!J$4/28</f>
        <v>482.14285714285717</v>
      </c>
      <c r="BH53" s="16">
        <f>Demand_LP!K$4/28</f>
        <v>471.42857142857144</v>
      </c>
      <c r="BI53" s="16" t="e">
        <f t="shared" si="13"/>
        <v>#VALUE!</v>
      </c>
      <c r="BJ53" s="16">
        <f t="shared" si="14"/>
        <v>-29116.930402930378</v>
      </c>
      <c r="BK53" s="16">
        <f t="shared" si="15"/>
        <v>-10535.695970695973</v>
      </c>
      <c r="BL53" s="16">
        <f t="shared" si="16"/>
        <v>-33027.769047619055</v>
      </c>
      <c r="BM53" s="16">
        <f t="shared" si="17"/>
        <v>-21360.759778502757</v>
      </c>
      <c r="BN53" s="16">
        <f t="shared" si="18"/>
        <v>-29607.14285714287</v>
      </c>
      <c r="BO53" s="16">
        <f t="shared" si="19"/>
        <v>-31178.571428571446</v>
      </c>
      <c r="BP53" s="16">
        <f t="shared" si="20"/>
        <v>-21432.142857142866</v>
      </c>
      <c r="BQ53" s="16">
        <f t="shared" si="21"/>
        <v>-18160.714285714286</v>
      </c>
      <c r="BR53" s="16">
        <f t="shared" si="22"/>
        <v>-19457.142857142855</v>
      </c>
      <c r="BS53" s="14">
        <f>IF([1]Sheet2!CA52=999999,"NA",[1]Sheet2!CA52)</f>
        <v>197021.85714285731</v>
      </c>
      <c r="BT53" s="14">
        <f>IF([1]Sheet2!CB52=999999,"NA",[1]Sheet2!CB52)</f>
        <v>237</v>
      </c>
      <c r="BU53" s="14">
        <f>IF([1]Sheet2!CC52=999999,"NA",[1]Sheet2!CC52)</f>
        <v>315</v>
      </c>
      <c r="BV53" s="14">
        <f>IF([1]Sheet2!CD52=999999,"NA",[1]Sheet2!CD52)</f>
        <v>315</v>
      </c>
      <c r="BW53" s="14">
        <f>IF([1]Sheet2!CE52=999999,"NA",[1]Sheet2!CE52)</f>
        <v>277</v>
      </c>
      <c r="BX53" s="14">
        <f>IF([1]Sheet2!CF52=999999,"NA",[1]Sheet2!CF52)</f>
        <v>315</v>
      </c>
      <c r="BY53" s="14">
        <f>IF([1]Sheet2!CG52=999999,"NA",[1]Sheet2!CG52)</f>
        <v>209</v>
      </c>
      <c r="BZ53" s="14">
        <f>IF([1]Sheet2!CH52=999999,"NA",[1]Sheet2!CH52)</f>
        <v>315</v>
      </c>
      <c r="CA53" s="14">
        <f>IF([1]Sheet2!CI52=999999,"NA",[1]Sheet2!CI52)</f>
        <v>315</v>
      </c>
      <c r="CB53" s="14">
        <f>IF([1]Sheet2!CJ52=999999,"NA",[1]Sheet2!CJ52)</f>
        <v>315</v>
      </c>
      <c r="CC53" s="14">
        <f>[1]Sheet2!BG52</f>
        <v>0</v>
      </c>
      <c r="CD53" s="14">
        <f>[1]Sheet2!BH52</f>
        <v>0</v>
      </c>
      <c r="CE53" s="14">
        <f>[1]Sheet2!BI52</f>
        <v>0</v>
      </c>
      <c r="CF53" s="14">
        <f>[1]Sheet2!BJ52</f>
        <v>0</v>
      </c>
      <c r="CG53" s="14">
        <f>[1]Sheet2!BK52</f>
        <v>0</v>
      </c>
      <c r="CH53" s="14">
        <f>[1]Sheet2!BL52</f>
        <v>0</v>
      </c>
      <c r="CI53" s="14">
        <f>[1]Sheet2!BM52</f>
        <v>0</v>
      </c>
      <c r="CJ53" s="14">
        <f>[1]Sheet2!BN52</f>
        <v>0</v>
      </c>
      <c r="CK53" s="14">
        <f>[1]Sheet2!BO52</f>
        <v>0</v>
      </c>
      <c r="CL53" s="14">
        <f>[1]Sheet2!BP52</f>
        <v>0</v>
      </c>
      <c r="CM53" s="16">
        <f>Demand_SW!B$4/28</f>
        <v>94.69780219780219</v>
      </c>
      <c r="CN53" s="16">
        <f>Demand_SW!C$4/28</f>
        <v>0</v>
      </c>
      <c r="CO53" s="16">
        <f>Demand_SW!D$4/28</f>
        <v>0</v>
      </c>
      <c r="CP53" s="16">
        <f>Demand_SW!E$4/28</f>
        <v>0</v>
      </c>
      <c r="CQ53" s="16">
        <f>Demand_SW!F$4/28</f>
        <v>0</v>
      </c>
      <c r="CR53" s="16">
        <f>Demand_SW!G$4/28</f>
        <v>85.714285714285708</v>
      </c>
      <c r="CS53" s="16">
        <f>Demand_SW!H$4/28</f>
        <v>0</v>
      </c>
      <c r="CT53" s="16">
        <f>Demand_SW!I$4/28</f>
        <v>0</v>
      </c>
      <c r="CU53" s="16">
        <f>Demand_SW!J$4/28</f>
        <v>0</v>
      </c>
      <c r="CV53" s="16">
        <f>Demand_SW!K$4/28</f>
        <v>0</v>
      </c>
      <c r="CW53" s="16">
        <f t="shared" si="23"/>
        <v>44873.818681318633</v>
      </c>
      <c r="CX53" s="16">
        <f t="shared" si="24"/>
        <v>500</v>
      </c>
      <c r="CY53" s="16">
        <f t="shared" si="25"/>
        <v>0</v>
      </c>
      <c r="CZ53" s="16">
        <f t="shared" si="26"/>
        <v>0</v>
      </c>
      <c r="DA53" s="16">
        <f t="shared" si="27"/>
        <v>0</v>
      </c>
      <c r="DB53" s="16">
        <f t="shared" si="28"/>
        <v>-4728.5714285714248</v>
      </c>
      <c r="DC53" s="16">
        <f t="shared" si="29"/>
        <v>500</v>
      </c>
      <c r="DD53" s="16">
        <f t="shared" si="30"/>
        <v>0</v>
      </c>
      <c r="DE53" s="16">
        <f t="shared" si="31"/>
        <v>0</v>
      </c>
      <c r="DF53" s="16">
        <f t="shared" si="32"/>
        <v>0</v>
      </c>
      <c r="DG53" s="14">
        <f>IF([1]Sheet2!DR52=999999,"NA",[1]Sheet2!DR52)</f>
        <v>73103</v>
      </c>
      <c r="DH53" s="14">
        <f>IF([1]Sheet2!DS52=999999,"NA",[1]Sheet2!DS52)</f>
        <v>315</v>
      </c>
      <c r="DI53" s="14">
        <f>IF([1]Sheet2!DT52=999999,"NA",[1]Sheet2!DT52)</f>
        <v>315</v>
      </c>
      <c r="DJ53" s="14" t="str">
        <f>IF([1]Sheet2!DU52=999999,"NA",[1]Sheet2!DU52)</f>
        <v>NA</v>
      </c>
      <c r="DK53" s="14" t="str">
        <f>IF([1]Sheet2!DV52=999999,"NA",[1]Sheet2!DV52)</f>
        <v>NA</v>
      </c>
      <c r="DL53" s="14" t="str">
        <f>IF([1]Sheet2!DW52=999999,"NA",[1]Sheet2!DW52)</f>
        <v>NA</v>
      </c>
      <c r="DM53" s="14">
        <f>IF([1]Sheet2!DX52=999999,"NA",[1]Sheet2!DX52)</f>
        <v>315</v>
      </c>
      <c r="DN53" s="14">
        <f>IF([1]Sheet2!DY52=999999,"NA",[1]Sheet2!DY52)</f>
        <v>315</v>
      </c>
      <c r="DO53" s="14" t="str">
        <f>IF([1]Sheet2!DZ52=999999,"NA",[1]Sheet2!DZ52)</f>
        <v>NA</v>
      </c>
      <c r="DP53" s="14" t="str">
        <f>IF([1]Sheet2!EA52=999999,"NA",[1]Sheet2!EA52)</f>
        <v>NA</v>
      </c>
      <c r="DQ53" s="14">
        <f>[1]Sheet2!CX52</f>
        <v>0</v>
      </c>
      <c r="DR53" s="14">
        <f>[1]Sheet2!CY52</f>
        <v>0</v>
      </c>
      <c r="DS53" s="14">
        <f>[1]Sheet2!CZ52</f>
        <v>0</v>
      </c>
      <c r="DT53" s="14">
        <f>[1]Sheet2!DA52</f>
        <v>0</v>
      </c>
      <c r="DU53" s="14">
        <f>[1]Sheet2!DB52</f>
        <v>0</v>
      </c>
      <c r="DV53" s="14">
        <f>[1]Sheet2!DC52</f>
        <v>0</v>
      </c>
      <c r="DW53" s="14">
        <f>[1]Sheet2!DD52</f>
        <v>0</v>
      </c>
      <c r="DX53" s="14">
        <f>[1]Sheet2!DE52</f>
        <v>0</v>
      </c>
      <c r="DY53" s="14">
        <f>[1]Sheet2!DF52</f>
        <v>0</v>
      </c>
      <c r="DZ53" s="14">
        <f>[1]Sheet2!DG52</f>
        <v>0</v>
      </c>
    </row>
    <row r="54" spans="1:130" x14ac:dyDescent="0.25">
      <c r="A54" s="15">
        <v>43516</v>
      </c>
      <c r="B54" s="1"/>
      <c r="C54" s="1"/>
      <c r="D54" s="1"/>
      <c r="E54" s="14">
        <f>[1]Sheet2!N53</f>
        <v>0</v>
      </c>
      <c r="F54" s="14">
        <f>[1]Sheet2!BE53</f>
        <v>0</v>
      </c>
      <c r="G54" s="14">
        <f>[1]Sheet2!CV53</f>
        <v>180.41208791208791</v>
      </c>
      <c r="H54" s="1"/>
      <c r="I54" s="1"/>
      <c r="J54" s="1"/>
      <c r="K54" s="16">
        <f>Demand_CWRS!B$4/28</f>
        <v>131.68146963713369</v>
      </c>
      <c r="L54" s="16">
        <f>Demand_CWRS!C$4/28</f>
        <v>501.27216117216119</v>
      </c>
      <c r="M54" s="16">
        <f>Demand_CWRS!D$4/28</f>
        <v>0</v>
      </c>
      <c r="N54" s="16">
        <f>Demand_CWRS!E$4/28</f>
        <v>130.17472527472526</v>
      </c>
      <c r="O54" s="16">
        <f>Demand_CWRS!F$4/28</f>
        <v>262.94741300366297</v>
      </c>
      <c r="P54" s="16">
        <f>Demand_CWRS!G$4/28</f>
        <v>127.85714285714286</v>
      </c>
      <c r="Q54" s="16">
        <f>Demand_CWRS!H$4/28</f>
        <v>501.27216117216119</v>
      </c>
      <c r="R54" s="16">
        <f>Demand_CWRS!I$4/28</f>
        <v>214.28571428571428</v>
      </c>
      <c r="S54" s="16">
        <f>Demand_CWRS!J$4/28</f>
        <v>207.14285714285714</v>
      </c>
      <c r="T54" s="16">
        <f>Demand_CWRS!K$4/28</f>
        <v>221.42857142857142</v>
      </c>
      <c r="U54" s="16">
        <f t="shared" si="3"/>
        <v>-9343.4920529990795</v>
      </c>
      <c r="V54" s="16">
        <f t="shared" si="4"/>
        <v>-15518.453479853475</v>
      </c>
      <c r="W54" s="16">
        <f t="shared" si="5"/>
        <v>0</v>
      </c>
      <c r="X54" s="16">
        <f t="shared" si="6"/>
        <v>-3668.5265567765596</v>
      </c>
      <c r="Y54" s="16">
        <f t="shared" si="7"/>
        <v>-10408.387282509162</v>
      </c>
      <c r="Z54" s="16">
        <f t="shared" si="8"/>
        <v>-9157.1428571428642</v>
      </c>
      <c r="AA54" s="16">
        <f t="shared" si="9"/>
        <v>-15018.453479853475</v>
      </c>
      <c r="AB54" s="16">
        <f t="shared" si="10"/>
        <v>-8485.7142857142917</v>
      </c>
      <c r="AC54" s="16">
        <f t="shared" si="11"/>
        <v>-8542.8571428571377</v>
      </c>
      <c r="AD54" s="16">
        <f t="shared" si="12"/>
        <v>-9128.5714285714257</v>
      </c>
      <c r="AE54" s="14">
        <f>IF([1]Sheet2!AJ53=999999,"NA",[1]Sheet2!AJ53)</f>
        <v>76</v>
      </c>
      <c r="AF54" s="14">
        <f>IF([1]Sheet2!AK53=999999,"NA",[1]Sheet2!AK53)</f>
        <v>7</v>
      </c>
      <c r="AG54" s="14" t="str">
        <f>IF([1]Sheet2!AL53=999999,"NA",[1]Sheet2!AL53)</f>
        <v>NA</v>
      </c>
      <c r="AH54" s="14">
        <f>IF([1]Sheet2!AM53=999999,"NA",[1]Sheet2!AM53)</f>
        <v>314</v>
      </c>
      <c r="AI54" s="14">
        <f>IF([1]Sheet2!AN53=999999,"NA",[1]Sheet2!AN53)</f>
        <v>314</v>
      </c>
      <c r="AJ54" s="14">
        <f>IF([1]Sheet2!AO53=999999,"NA",[1]Sheet2!AO53)</f>
        <v>314</v>
      </c>
      <c r="AK54" s="14">
        <f>IF([1]Sheet2!AP53=999999,"NA",[1]Sheet2!AP53)</f>
        <v>59</v>
      </c>
      <c r="AL54" s="14">
        <f>IF([1]Sheet2!AQ53=999999,"NA",[1]Sheet2!AQ53)</f>
        <v>190</v>
      </c>
      <c r="AM54" s="14">
        <f>IF([1]Sheet2!AR53=999999,"NA",[1]Sheet2!AR53)</f>
        <v>314</v>
      </c>
      <c r="AN54" s="14">
        <f>IF([1]Sheet2!AS53=999999,"NA",[1]Sheet2!AS53)</f>
        <v>246</v>
      </c>
      <c r="AO54" s="14">
        <f>[1]Sheet2!P53</f>
        <v>0</v>
      </c>
      <c r="AP54" s="14">
        <f>[1]Sheet2!Q53</f>
        <v>0</v>
      </c>
      <c r="AQ54" s="14">
        <f>[1]Sheet2!R53</f>
        <v>0</v>
      </c>
      <c r="AR54" s="14">
        <f>[1]Sheet2!S53</f>
        <v>0</v>
      </c>
      <c r="AS54" s="14">
        <f>[1]Sheet2!T53</f>
        <v>0</v>
      </c>
      <c r="AT54" s="14">
        <f>[1]Sheet2!U53</f>
        <v>0</v>
      </c>
      <c r="AU54" s="14">
        <f>[1]Sheet2!V53</f>
        <v>0</v>
      </c>
      <c r="AV54" s="14">
        <f>[1]Sheet2!W53</f>
        <v>0</v>
      </c>
      <c r="AW54" s="14">
        <f>[1]Sheet2!X53</f>
        <v>0</v>
      </c>
      <c r="AX54" s="14">
        <f>[1]Sheet2!Y53</f>
        <v>0</v>
      </c>
      <c r="AY54" s="16">
        <f>Demand_LP!B$4/28</f>
        <v>811.09813487293957</v>
      </c>
      <c r="AZ54" s="16">
        <f>Demand_LP!C$4/28</f>
        <v>502.83223443223443</v>
      </c>
      <c r="BA54" s="16">
        <f>Demand_LP!D$4/28</f>
        <v>282.53663003663002</v>
      </c>
      <c r="BB54" s="16">
        <f>Demand_LP!E$4/28</f>
        <v>759.73919413919407</v>
      </c>
      <c r="BC54" s="16">
        <f>Demand_LP!F$4/28</f>
        <v>495.28213999542123</v>
      </c>
      <c r="BD54" s="16">
        <f>Demand_LP!G$4/28</f>
        <v>821.42857142857144</v>
      </c>
      <c r="BE54" s="16">
        <f>Demand_LP!H$4/28</f>
        <v>535.71428571428567</v>
      </c>
      <c r="BF54" s="16">
        <f>Demand_LP!I$4/28</f>
        <v>496.42857142857144</v>
      </c>
      <c r="BG54" s="16">
        <f>Demand_LP!J$4/28</f>
        <v>482.14285714285717</v>
      </c>
      <c r="BH54" s="16">
        <f>Demand_LP!K$4/28</f>
        <v>471.42857142857144</v>
      </c>
      <c r="BI54" s="16" t="e">
        <f t="shared" si="13"/>
        <v>#VALUE!</v>
      </c>
      <c r="BJ54" s="16">
        <f t="shared" si="14"/>
        <v>-29619.762637362612</v>
      </c>
      <c r="BK54" s="16">
        <f t="shared" si="15"/>
        <v>-10818.232600732603</v>
      </c>
      <c r="BL54" s="16">
        <f t="shared" si="16"/>
        <v>-33787.508241758245</v>
      </c>
      <c r="BM54" s="16">
        <f t="shared" si="17"/>
        <v>-21856.04191849818</v>
      </c>
      <c r="BN54" s="16">
        <f t="shared" si="18"/>
        <v>-30428.571428571442</v>
      </c>
      <c r="BO54" s="16">
        <f t="shared" si="19"/>
        <v>-31714.285714285732</v>
      </c>
      <c r="BP54" s="16">
        <f t="shared" si="20"/>
        <v>-21928.571428571438</v>
      </c>
      <c r="BQ54" s="16">
        <f t="shared" si="21"/>
        <v>-18642.857142857145</v>
      </c>
      <c r="BR54" s="16">
        <f t="shared" si="22"/>
        <v>-19928.571428571428</v>
      </c>
      <c r="BS54" s="14">
        <f>IF([1]Sheet2!CA53=999999,"NA",[1]Sheet2!CA53)</f>
        <v>196550.42857142873</v>
      </c>
      <c r="BT54" s="14">
        <f>IF([1]Sheet2!CB53=999999,"NA",[1]Sheet2!CB53)</f>
        <v>236</v>
      </c>
      <c r="BU54" s="14">
        <f>IF([1]Sheet2!CC53=999999,"NA",[1]Sheet2!CC53)</f>
        <v>314</v>
      </c>
      <c r="BV54" s="14">
        <f>IF([1]Sheet2!CD53=999999,"NA",[1]Sheet2!CD53)</f>
        <v>314</v>
      </c>
      <c r="BW54" s="14">
        <f>IF([1]Sheet2!CE53=999999,"NA",[1]Sheet2!CE53)</f>
        <v>276</v>
      </c>
      <c r="BX54" s="14">
        <f>IF([1]Sheet2!CF53=999999,"NA",[1]Sheet2!CF53)</f>
        <v>314</v>
      </c>
      <c r="BY54" s="14">
        <f>IF([1]Sheet2!CG53=999999,"NA",[1]Sheet2!CG53)</f>
        <v>208</v>
      </c>
      <c r="BZ54" s="14">
        <f>IF([1]Sheet2!CH53=999999,"NA",[1]Sheet2!CH53)</f>
        <v>314</v>
      </c>
      <c r="CA54" s="14">
        <f>IF([1]Sheet2!CI53=999999,"NA",[1]Sheet2!CI53)</f>
        <v>314</v>
      </c>
      <c r="CB54" s="14">
        <f>IF([1]Sheet2!CJ53=999999,"NA",[1]Sheet2!CJ53)</f>
        <v>314</v>
      </c>
      <c r="CC54" s="14">
        <f>[1]Sheet2!BG53</f>
        <v>0</v>
      </c>
      <c r="CD54" s="14">
        <f>[1]Sheet2!BH53</f>
        <v>0</v>
      </c>
      <c r="CE54" s="14">
        <f>[1]Sheet2!BI53</f>
        <v>0</v>
      </c>
      <c r="CF54" s="14">
        <f>[1]Sheet2!BJ53</f>
        <v>0</v>
      </c>
      <c r="CG54" s="14">
        <f>[1]Sheet2!BK53</f>
        <v>0</v>
      </c>
      <c r="CH54" s="14">
        <f>[1]Sheet2!BL53</f>
        <v>0</v>
      </c>
      <c r="CI54" s="14">
        <f>[1]Sheet2!BM53</f>
        <v>0</v>
      </c>
      <c r="CJ54" s="14">
        <f>[1]Sheet2!BN53</f>
        <v>0</v>
      </c>
      <c r="CK54" s="14">
        <f>[1]Sheet2!BO53</f>
        <v>0</v>
      </c>
      <c r="CL54" s="14">
        <f>[1]Sheet2!BP53</f>
        <v>0</v>
      </c>
      <c r="CM54" s="16">
        <f>Demand_SW!B$4/28</f>
        <v>94.69780219780219</v>
      </c>
      <c r="CN54" s="16">
        <f>Demand_SW!C$4/28</f>
        <v>0</v>
      </c>
      <c r="CO54" s="16">
        <f>Demand_SW!D$4/28</f>
        <v>0</v>
      </c>
      <c r="CP54" s="16">
        <f>Demand_SW!E$4/28</f>
        <v>0</v>
      </c>
      <c r="CQ54" s="16">
        <f>Demand_SW!F$4/28</f>
        <v>0</v>
      </c>
      <c r="CR54" s="16">
        <f>Demand_SW!G$4/28</f>
        <v>85.714285714285708</v>
      </c>
      <c r="CS54" s="16">
        <f>Demand_SW!H$4/28</f>
        <v>0</v>
      </c>
      <c r="CT54" s="16">
        <f>Demand_SW!I$4/28</f>
        <v>0</v>
      </c>
      <c r="CU54" s="16">
        <f>Demand_SW!J$4/28</f>
        <v>0</v>
      </c>
      <c r="CV54" s="16">
        <f>Demand_SW!K$4/28</f>
        <v>0</v>
      </c>
      <c r="CW54" s="16">
        <f t="shared" si="23"/>
        <v>44779.120879120834</v>
      </c>
      <c r="CX54" s="16">
        <f t="shared" si="24"/>
        <v>500</v>
      </c>
      <c r="CY54" s="16">
        <f t="shared" si="25"/>
        <v>0</v>
      </c>
      <c r="CZ54" s="16">
        <f t="shared" si="26"/>
        <v>0</v>
      </c>
      <c r="DA54" s="16">
        <f t="shared" si="27"/>
        <v>0</v>
      </c>
      <c r="DB54" s="16">
        <f t="shared" si="28"/>
        <v>-4814.2857142857101</v>
      </c>
      <c r="DC54" s="16">
        <f t="shared" si="29"/>
        <v>500</v>
      </c>
      <c r="DD54" s="16">
        <f t="shared" si="30"/>
        <v>0</v>
      </c>
      <c r="DE54" s="16">
        <f t="shared" si="31"/>
        <v>0</v>
      </c>
      <c r="DF54" s="16">
        <f t="shared" si="32"/>
        <v>0</v>
      </c>
      <c r="DG54" s="14">
        <f>IF([1]Sheet2!DR53=999999,"NA",[1]Sheet2!DR53)</f>
        <v>73103</v>
      </c>
      <c r="DH54" s="14">
        <f>IF([1]Sheet2!DS53=999999,"NA",[1]Sheet2!DS53)</f>
        <v>314</v>
      </c>
      <c r="DI54" s="14">
        <f>IF([1]Sheet2!DT53=999999,"NA",[1]Sheet2!DT53)</f>
        <v>314</v>
      </c>
      <c r="DJ54" s="14" t="str">
        <f>IF([1]Sheet2!DU53=999999,"NA",[1]Sheet2!DU53)</f>
        <v>NA</v>
      </c>
      <c r="DK54" s="14" t="str">
        <f>IF([1]Sheet2!DV53=999999,"NA",[1]Sheet2!DV53)</f>
        <v>NA</v>
      </c>
      <c r="DL54" s="14" t="str">
        <f>IF([1]Sheet2!DW53=999999,"NA",[1]Sheet2!DW53)</f>
        <v>NA</v>
      </c>
      <c r="DM54" s="14">
        <f>IF([1]Sheet2!DX53=999999,"NA",[1]Sheet2!DX53)</f>
        <v>314</v>
      </c>
      <c r="DN54" s="14">
        <f>IF([1]Sheet2!DY53=999999,"NA",[1]Sheet2!DY53)</f>
        <v>314</v>
      </c>
      <c r="DO54" s="14" t="str">
        <f>IF([1]Sheet2!DZ53=999999,"NA",[1]Sheet2!DZ53)</f>
        <v>NA</v>
      </c>
      <c r="DP54" s="14" t="str">
        <f>IF([1]Sheet2!EA53=999999,"NA",[1]Sheet2!EA53)</f>
        <v>NA</v>
      </c>
      <c r="DQ54" s="14">
        <f>[1]Sheet2!CX53</f>
        <v>0</v>
      </c>
      <c r="DR54" s="14">
        <f>[1]Sheet2!CY53</f>
        <v>0</v>
      </c>
      <c r="DS54" s="14">
        <f>[1]Sheet2!CZ53</f>
        <v>0</v>
      </c>
      <c r="DT54" s="14">
        <f>[1]Sheet2!DA53</f>
        <v>0</v>
      </c>
      <c r="DU54" s="14">
        <f>[1]Sheet2!DB53</f>
        <v>0</v>
      </c>
      <c r="DV54" s="14">
        <f>[1]Sheet2!DC53</f>
        <v>0</v>
      </c>
      <c r="DW54" s="14">
        <f>[1]Sheet2!DD53</f>
        <v>0</v>
      </c>
      <c r="DX54" s="14">
        <f>[1]Sheet2!DE53</f>
        <v>0</v>
      </c>
      <c r="DY54" s="14">
        <f>[1]Sheet2!DF53</f>
        <v>0</v>
      </c>
      <c r="DZ54" s="14">
        <f>[1]Sheet2!DG53</f>
        <v>0</v>
      </c>
    </row>
    <row r="55" spans="1:130" x14ac:dyDescent="0.25">
      <c r="A55" s="15">
        <v>43517</v>
      </c>
      <c r="B55" s="1"/>
      <c r="C55" s="1"/>
      <c r="D55" s="1"/>
      <c r="E55" s="14">
        <f>[1]Sheet2!N54</f>
        <v>0</v>
      </c>
      <c r="F55" s="14">
        <f>[1]Sheet2!BE54</f>
        <v>0</v>
      </c>
      <c r="G55" s="14">
        <f>[1]Sheet2!CV54</f>
        <v>180.41208791208791</v>
      </c>
      <c r="H55" s="1"/>
      <c r="I55" s="1"/>
      <c r="J55" s="1"/>
      <c r="K55" s="16">
        <f>Demand_CWRS!B$4/28</f>
        <v>131.68146963713369</v>
      </c>
      <c r="L55" s="16">
        <f>Demand_CWRS!C$4/28</f>
        <v>501.27216117216119</v>
      </c>
      <c r="M55" s="16">
        <f>Demand_CWRS!D$4/28</f>
        <v>0</v>
      </c>
      <c r="N55" s="16">
        <f>Demand_CWRS!E$4/28</f>
        <v>130.17472527472526</v>
      </c>
      <c r="O55" s="16">
        <f>Demand_CWRS!F$4/28</f>
        <v>262.94741300366297</v>
      </c>
      <c r="P55" s="16">
        <f>Demand_CWRS!G$4/28</f>
        <v>127.85714285714286</v>
      </c>
      <c r="Q55" s="16">
        <f>Demand_CWRS!H$4/28</f>
        <v>501.27216117216119</v>
      </c>
      <c r="R55" s="16">
        <f>Demand_CWRS!I$4/28</f>
        <v>214.28571428571428</v>
      </c>
      <c r="S55" s="16">
        <f>Demand_CWRS!J$4/28</f>
        <v>207.14285714285714</v>
      </c>
      <c r="T55" s="16">
        <f>Demand_CWRS!K$4/28</f>
        <v>221.42857142857142</v>
      </c>
      <c r="U55" s="16">
        <f t="shared" si="3"/>
        <v>-9475.1735226362125</v>
      </c>
      <c r="V55" s="16">
        <f t="shared" si="4"/>
        <v>-16019.725641025636</v>
      </c>
      <c r="W55" s="16">
        <f t="shared" si="5"/>
        <v>0</v>
      </c>
      <c r="X55" s="16">
        <f t="shared" si="6"/>
        <v>-3798.701282051285</v>
      </c>
      <c r="Y55" s="16">
        <f t="shared" si="7"/>
        <v>-10671.334695512825</v>
      </c>
      <c r="Z55" s="16">
        <f t="shared" si="8"/>
        <v>-9285.0000000000073</v>
      </c>
      <c r="AA55" s="16">
        <f t="shared" si="9"/>
        <v>-15519.725641025636</v>
      </c>
      <c r="AB55" s="16">
        <f t="shared" si="10"/>
        <v>-8700.0000000000055</v>
      </c>
      <c r="AC55" s="16">
        <f t="shared" si="11"/>
        <v>-8749.9999999999945</v>
      </c>
      <c r="AD55" s="16">
        <f t="shared" si="12"/>
        <v>-9349.9999999999964</v>
      </c>
      <c r="AE55" s="14">
        <f>IF([1]Sheet2!AJ54=999999,"NA",[1]Sheet2!AJ54)</f>
        <v>75</v>
      </c>
      <c r="AF55" s="14">
        <f>IF([1]Sheet2!AK54=999999,"NA",[1]Sheet2!AK54)</f>
        <v>6</v>
      </c>
      <c r="AG55" s="14" t="str">
        <f>IF([1]Sheet2!AL54=999999,"NA",[1]Sheet2!AL54)</f>
        <v>NA</v>
      </c>
      <c r="AH55" s="14">
        <f>IF([1]Sheet2!AM54=999999,"NA",[1]Sheet2!AM54)</f>
        <v>313</v>
      </c>
      <c r="AI55" s="14">
        <f>IF([1]Sheet2!AN54=999999,"NA",[1]Sheet2!AN54)</f>
        <v>313</v>
      </c>
      <c r="AJ55" s="14">
        <f>IF([1]Sheet2!AO54=999999,"NA",[1]Sheet2!AO54)</f>
        <v>313</v>
      </c>
      <c r="AK55" s="14">
        <f>IF([1]Sheet2!AP54=999999,"NA",[1]Sheet2!AP54)</f>
        <v>58</v>
      </c>
      <c r="AL55" s="14">
        <f>IF([1]Sheet2!AQ54=999999,"NA",[1]Sheet2!AQ54)</f>
        <v>189</v>
      </c>
      <c r="AM55" s="14">
        <f>IF([1]Sheet2!AR54=999999,"NA",[1]Sheet2!AR54)</f>
        <v>313</v>
      </c>
      <c r="AN55" s="14">
        <f>IF([1]Sheet2!AS54=999999,"NA",[1]Sheet2!AS54)</f>
        <v>245</v>
      </c>
      <c r="AO55" s="14">
        <f>[1]Sheet2!P54</f>
        <v>0</v>
      </c>
      <c r="AP55" s="14">
        <f>[1]Sheet2!Q54</f>
        <v>0</v>
      </c>
      <c r="AQ55" s="14">
        <f>[1]Sheet2!R54</f>
        <v>0</v>
      </c>
      <c r="AR55" s="14">
        <f>[1]Sheet2!S54</f>
        <v>0</v>
      </c>
      <c r="AS55" s="14">
        <f>[1]Sheet2!T54</f>
        <v>0</v>
      </c>
      <c r="AT55" s="14">
        <f>[1]Sheet2!U54</f>
        <v>0</v>
      </c>
      <c r="AU55" s="14">
        <f>[1]Sheet2!V54</f>
        <v>0</v>
      </c>
      <c r="AV55" s="14">
        <f>[1]Sheet2!W54</f>
        <v>0</v>
      </c>
      <c r="AW55" s="14">
        <f>[1]Sheet2!X54</f>
        <v>0</v>
      </c>
      <c r="AX55" s="14">
        <f>[1]Sheet2!Y54</f>
        <v>0</v>
      </c>
      <c r="AY55" s="16">
        <f>Demand_LP!B$4/28</f>
        <v>811.09813487293957</v>
      </c>
      <c r="AZ55" s="16">
        <f>Demand_LP!C$4/28</f>
        <v>502.83223443223443</v>
      </c>
      <c r="BA55" s="16">
        <f>Demand_LP!D$4/28</f>
        <v>282.53663003663002</v>
      </c>
      <c r="BB55" s="16">
        <f>Demand_LP!E$4/28</f>
        <v>759.73919413919407</v>
      </c>
      <c r="BC55" s="16">
        <f>Demand_LP!F$4/28</f>
        <v>495.28213999542123</v>
      </c>
      <c r="BD55" s="16">
        <f>Demand_LP!G$4/28</f>
        <v>821.42857142857144</v>
      </c>
      <c r="BE55" s="16">
        <f>Demand_LP!H$4/28</f>
        <v>535.71428571428567</v>
      </c>
      <c r="BF55" s="16">
        <f>Demand_LP!I$4/28</f>
        <v>496.42857142857144</v>
      </c>
      <c r="BG55" s="16">
        <f>Demand_LP!J$4/28</f>
        <v>482.14285714285717</v>
      </c>
      <c r="BH55" s="16">
        <f>Demand_LP!K$4/28</f>
        <v>471.42857142857144</v>
      </c>
      <c r="BI55" s="16" t="e">
        <f t="shared" si="13"/>
        <v>#VALUE!</v>
      </c>
      <c r="BJ55" s="16">
        <f t="shared" si="14"/>
        <v>-30122.594871794845</v>
      </c>
      <c r="BK55" s="16">
        <f t="shared" si="15"/>
        <v>-11100.769230769232</v>
      </c>
      <c r="BL55" s="16">
        <f t="shared" si="16"/>
        <v>-34547.247435897436</v>
      </c>
      <c r="BM55" s="16">
        <f t="shared" si="17"/>
        <v>-22351.324058493603</v>
      </c>
      <c r="BN55" s="16">
        <f t="shared" si="18"/>
        <v>-31250.000000000015</v>
      </c>
      <c r="BO55" s="16">
        <f t="shared" si="19"/>
        <v>-32250.000000000018</v>
      </c>
      <c r="BP55" s="16">
        <f t="shared" si="20"/>
        <v>-22425.000000000011</v>
      </c>
      <c r="BQ55" s="16">
        <f t="shared" si="21"/>
        <v>-19125.000000000004</v>
      </c>
      <c r="BR55" s="16">
        <f t="shared" si="22"/>
        <v>-20400</v>
      </c>
      <c r="BS55" s="14">
        <f>IF([1]Sheet2!CA54=999999,"NA",[1]Sheet2!CA54)</f>
        <v>196079.00000000015</v>
      </c>
      <c r="BT55" s="14">
        <f>IF([1]Sheet2!CB54=999999,"NA",[1]Sheet2!CB54)</f>
        <v>235</v>
      </c>
      <c r="BU55" s="14">
        <f>IF([1]Sheet2!CC54=999999,"NA",[1]Sheet2!CC54)</f>
        <v>313</v>
      </c>
      <c r="BV55" s="14">
        <f>IF([1]Sheet2!CD54=999999,"NA",[1]Sheet2!CD54)</f>
        <v>313</v>
      </c>
      <c r="BW55" s="14">
        <f>IF([1]Sheet2!CE54=999999,"NA",[1]Sheet2!CE54)</f>
        <v>275</v>
      </c>
      <c r="BX55" s="14">
        <f>IF([1]Sheet2!CF54=999999,"NA",[1]Sheet2!CF54)</f>
        <v>313</v>
      </c>
      <c r="BY55" s="14">
        <f>IF([1]Sheet2!CG54=999999,"NA",[1]Sheet2!CG54)</f>
        <v>207</v>
      </c>
      <c r="BZ55" s="14">
        <f>IF([1]Sheet2!CH54=999999,"NA",[1]Sheet2!CH54)</f>
        <v>313</v>
      </c>
      <c r="CA55" s="14">
        <f>IF([1]Sheet2!CI54=999999,"NA",[1]Sheet2!CI54)</f>
        <v>313</v>
      </c>
      <c r="CB55" s="14">
        <f>IF([1]Sheet2!CJ54=999999,"NA",[1]Sheet2!CJ54)</f>
        <v>313</v>
      </c>
      <c r="CC55" s="14">
        <f>[1]Sheet2!BG54</f>
        <v>0</v>
      </c>
      <c r="CD55" s="14">
        <f>[1]Sheet2!BH54</f>
        <v>0</v>
      </c>
      <c r="CE55" s="14">
        <f>[1]Sheet2!BI54</f>
        <v>0</v>
      </c>
      <c r="CF55" s="14">
        <f>[1]Sheet2!BJ54</f>
        <v>0</v>
      </c>
      <c r="CG55" s="14">
        <f>[1]Sheet2!BK54</f>
        <v>0</v>
      </c>
      <c r="CH55" s="14">
        <f>[1]Sheet2!BL54</f>
        <v>0</v>
      </c>
      <c r="CI55" s="14">
        <f>[1]Sheet2!BM54</f>
        <v>0</v>
      </c>
      <c r="CJ55" s="14">
        <f>[1]Sheet2!BN54</f>
        <v>0</v>
      </c>
      <c r="CK55" s="14">
        <f>[1]Sheet2!BO54</f>
        <v>0</v>
      </c>
      <c r="CL55" s="14">
        <f>[1]Sheet2!BP54</f>
        <v>0</v>
      </c>
      <c r="CM55" s="16">
        <f>Demand_SW!B$4/28</f>
        <v>94.69780219780219</v>
      </c>
      <c r="CN55" s="16">
        <f>Demand_SW!C$4/28</f>
        <v>0</v>
      </c>
      <c r="CO55" s="16">
        <f>Demand_SW!D$4/28</f>
        <v>0</v>
      </c>
      <c r="CP55" s="16">
        <f>Demand_SW!E$4/28</f>
        <v>0</v>
      </c>
      <c r="CQ55" s="16">
        <f>Demand_SW!F$4/28</f>
        <v>0</v>
      </c>
      <c r="CR55" s="16">
        <f>Demand_SW!G$4/28</f>
        <v>85.714285714285708</v>
      </c>
      <c r="CS55" s="16">
        <f>Demand_SW!H$4/28</f>
        <v>0</v>
      </c>
      <c r="CT55" s="16">
        <f>Demand_SW!I$4/28</f>
        <v>0</v>
      </c>
      <c r="CU55" s="16">
        <f>Demand_SW!J$4/28</f>
        <v>0</v>
      </c>
      <c r="CV55" s="16">
        <f>Demand_SW!K$4/28</f>
        <v>0</v>
      </c>
      <c r="CW55" s="16">
        <f t="shared" si="23"/>
        <v>44684.423076923034</v>
      </c>
      <c r="CX55" s="16">
        <f t="shared" si="24"/>
        <v>500</v>
      </c>
      <c r="CY55" s="16">
        <f t="shared" si="25"/>
        <v>0</v>
      </c>
      <c r="CZ55" s="16">
        <f t="shared" si="26"/>
        <v>0</v>
      </c>
      <c r="DA55" s="16">
        <f t="shared" si="27"/>
        <v>0</v>
      </c>
      <c r="DB55" s="16">
        <f t="shared" si="28"/>
        <v>-4899.9999999999955</v>
      </c>
      <c r="DC55" s="16">
        <f t="shared" si="29"/>
        <v>500</v>
      </c>
      <c r="DD55" s="16">
        <f t="shared" si="30"/>
        <v>0</v>
      </c>
      <c r="DE55" s="16">
        <f t="shared" si="31"/>
        <v>0</v>
      </c>
      <c r="DF55" s="16">
        <f t="shared" si="32"/>
        <v>0</v>
      </c>
      <c r="DG55" s="14">
        <f>IF([1]Sheet2!DR54=999999,"NA",[1]Sheet2!DR54)</f>
        <v>73103</v>
      </c>
      <c r="DH55" s="14">
        <f>IF([1]Sheet2!DS54=999999,"NA",[1]Sheet2!DS54)</f>
        <v>313</v>
      </c>
      <c r="DI55" s="14">
        <f>IF([1]Sheet2!DT54=999999,"NA",[1]Sheet2!DT54)</f>
        <v>313</v>
      </c>
      <c r="DJ55" s="14" t="str">
        <f>IF([1]Sheet2!DU54=999999,"NA",[1]Sheet2!DU54)</f>
        <v>NA</v>
      </c>
      <c r="DK55" s="14" t="str">
        <f>IF([1]Sheet2!DV54=999999,"NA",[1]Sheet2!DV54)</f>
        <v>NA</v>
      </c>
      <c r="DL55" s="14" t="str">
        <f>IF([1]Sheet2!DW54=999999,"NA",[1]Sheet2!DW54)</f>
        <v>NA</v>
      </c>
      <c r="DM55" s="14">
        <f>IF([1]Sheet2!DX54=999999,"NA",[1]Sheet2!DX54)</f>
        <v>313</v>
      </c>
      <c r="DN55" s="14">
        <f>IF([1]Sheet2!DY54=999999,"NA",[1]Sheet2!DY54)</f>
        <v>313</v>
      </c>
      <c r="DO55" s="14" t="str">
        <f>IF([1]Sheet2!DZ54=999999,"NA",[1]Sheet2!DZ54)</f>
        <v>NA</v>
      </c>
      <c r="DP55" s="14" t="str">
        <f>IF([1]Sheet2!EA54=999999,"NA",[1]Sheet2!EA54)</f>
        <v>NA</v>
      </c>
      <c r="DQ55" s="14">
        <f>[1]Sheet2!CX54</f>
        <v>0</v>
      </c>
      <c r="DR55" s="14">
        <f>[1]Sheet2!CY54</f>
        <v>0</v>
      </c>
      <c r="DS55" s="14">
        <f>[1]Sheet2!CZ54</f>
        <v>0</v>
      </c>
      <c r="DT55" s="14">
        <f>[1]Sheet2!DA54</f>
        <v>0</v>
      </c>
      <c r="DU55" s="14">
        <f>[1]Sheet2!DB54</f>
        <v>0</v>
      </c>
      <c r="DV55" s="14">
        <f>[1]Sheet2!DC54</f>
        <v>0</v>
      </c>
      <c r="DW55" s="14">
        <f>[1]Sheet2!DD54</f>
        <v>0</v>
      </c>
      <c r="DX55" s="14">
        <f>[1]Sheet2!DE54</f>
        <v>0</v>
      </c>
      <c r="DY55" s="14">
        <f>[1]Sheet2!DF54</f>
        <v>0</v>
      </c>
      <c r="DZ55" s="14">
        <f>[1]Sheet2!DG54</f>
        <v>0</v>
      </c>
    </row>
    <row r="56" spans="1:130" x14ac:dyDescent="0.25">
      <c r="A56" s="15">
        <v>43518</v>
      </c>
      <c r="B56" s="1"/>
      <c r="C56" s="1"/>
      <c r="D56" s="1"/>
      <c r="E56" s="14">
        <f>[1]Sheet2!N55</f>
        <v>0</v>
      </c>
      <c r="F56" s="14">
        <f>[1]Sheet2!BE55</f>
        <v>0</v>
      </c>
      <c r="G56" s="14">
        <f>[1]Sheet2!CV55</f>
        <v>180.41208791208791</v>
      </c>
      <c r="H56" s="1"/>
      <c r="I56" s="1"/>
      <c r="J56" s="1"/>
      <c r="K56" s="16">
        <f>Demand_CWRS!B$4/28</f>
        <v>131.68146963713369</v>
      </c>
      <c r="L56" s="16">
        <f>Demand_CWRS!C$4/28</f>
        <v>501.27216117216119</v>
      </c>
      <c r="M56" s="16">
        <f>Demand_CWRS!D$4/28</f>
        <v>0</v>
      </c>
      <c r="N56" s="16">
        <f>Demand_CWRS!E$4/28</f>
        <v>130.17472527472526</v>
      </c>
      <c r="O56" s="16">
        <f>Demand_CWRS!F$4/28</f>
        <v>262.94741300366297</v>
      </c>
      <c r="P56" s="16">
        <f>Demand_CWRS!G$4/28</f>
        <v>127.85714285714286</v>
      </c>
      <c r="Q56" s="16">
        <f>Demand_CWRS!H$4/28</f>
        <v>501.27216117216119</v>
      </c>
      <c r="R56" s="16">
        <f>Demand_CWRS!I$4/28</f>
        <v>214.28571428571428</v>
      </c>
      <c r="S56" s="16">
        <f>Demand_CWRS!J$4/28</f>
        <v>207.14285714285714</v>
      </c>
      <c r="T56" s="16">
        <f>Demand_CWRS!K$4/28</f>
        <v>221.42857142857142</v>
      </c>
      <c r="U56" s="16">
        <f t="shared" si="3"/>
        <v>-9606.8549922733455</v>
      </c>
      <c r="V56" s="16">
        <f t="shared" si="4"/>
        <v>-16520.997802197799</v>
      </c>
      <c r="W56" s="16">
        <f t="shared" si="5"/>
        <v>0</v>
      </c>
      <c r="X56" s="16">
        <f t="shared" si="6"/>
        <v>-3928.8760073260105</v>
      </c>
      <c r="Y56" s="16">
        <f t="shared" si="7"/>
        <v>-10934.282108516489</v>
      </c>
      <c r="Z56" s="16">
        <f t="shared" si="8"/>
        <v>-9412.8571428571504</v>
      </c>
      <c r="AA56" s="16">
        <f t="shared" si="9"/>
        <v>-16020.997802197797</v>
      </c>
      <c r="AB56" s="16">
        <f t="shared" si="10"/>
        <v>-8914.2857142857192</v>
      </c>
      <c r="AC56" s="16">
        <f t="shared" si="11"/>
        <v>-8957.1428571428514</v>
      </c>
      <c r="AD56" s="16">
        <f t="shared" si="12"/>
        <v>-9571.428571428567</v>
      </c>
      <c r="AE56" s="14">
        <f>IF([1]Sheet2!AJ55=999999,"NA",[1]Sheet2!AJ55)</f>
        <v>74</v>
      </c>
      <c r="AF56" s="14">
        <f>IF([1]Sheet2!AK55=999999,"NA",[1]Sheet2!AK55)</f>
        <v>5</v>
      </c>
      <c r="AG56" s="14" t="str">
        <f>IF([1]Sheet2!AL55=999999,"NA",[1]Sheet2!AL55)</f>
        <v>NA</v>
      </c>
      <c r="AH56" s="14">
        <f>IF([1]Sheet2!AM55=999999,"NA",[1]Sheet2!AM55)</f>
        <v>312</v>
      </c>
      <c r="AI56" s="14">
        <f>IF([1]Sheet2!AN55=999999,"NA",[1]Sheet2!AN55)</f>
        <v>312</v>
      </c>
      <c r="AJ56" s="14">
        <f>IF([1]Sheet2!AO55=999999,"NA",[1]Sheet2!AO55)</f>
        <v>312</v>
      </c>
      <c r="AK56" s="14">
        <f>IF([1]Sheet2!AP55=999999,"NA",[1]Sheet2!AP55)</f>
        <v>57</v>
      </c>
      <c r="AL56" s="14">
        <f>IF([1]Sheet2!AQ55=999999,"NA",[1]Sheet2!AQ55)</f>
        <v>188</v>
      </c>
      <c r="AM56" s="14">
        <f>IF([1]Sheet2!AR55=999999,"NA",[1]Sheet2!AR55)</f>
        <v>312</v>
      </c>
      <c r="AN56" s="14">
        <f>IF([1]Sheet2!AS55=999999,"NA",[1]Sheet2!AS55)</f>
        <v>244</v>
      </c>
      <c r="AO56" s="14">
        <f>[1]Sheet2!P55</f>
        <v>0</v>
      </c>
      <c r="AP56" s="14">
        <f>[1]Sheet2!Q55</f>
        <v>0</v>
      </c>
      <c r="AQ56" s="14">
        <f>[1]Sheet2!R55</f>
        <v>0</v>
      </c>
      <c r="AR56" s="14">
        <f>[1]Sheet2!S55</f>
        <v>0</v>
      </c>
      <c r="AS56" s="14">
        <f>[1]Sheet2!T55</f>
        <v>0</v>
      </c>
      <c r="AT56" s="14">
        <f>[1]Sheet2!U55</f>
        <v>0</v>
      </c>
      <c r="AU56" s="14">
        <f>[1]Sheet2!V55</f>
        <v>0</v>
      </c>
      <c r="AV56" s="14">
        <f>[1]Sheet2!W55</f>
        <v>0</v>
      </c>
      <c r="AW56" s="14">
        <f>[1]Sheet2!X55</f>
        <v>0</v>
      </c>
      <c r="AX56" s="14">
        <f>[1]Sheet2!Y55</f>
        <v>0</v>
      </c>
      <c r="AY56" s="16">
        <f>Demand_LP!B$4/28</f>
        <v>811.09813487293957</v>
      </c>
      <c r="AZ56" s="16">
        <f>Demand_LP!C$4/28</f>
        <v>502.83223443223443</v>
      </c>
      <c r="BA56" s="16">
        <f>Demand_LP!D$4/28</f>
        <v>282.53663003663002</v>
      </c>
      <c r="BB56" s="16">
        <f>Demand_LP!E$4/28</f>
        <v>759.73919413919407</v>
      </c>
      <c r="BC56" s="16">
        <f>Demand_LP!F$4/28</f>
        <v>495.28213999542123</v>
      </c>
      <c r="BD56" s="16">
        <f>Demand_LP!G$4/28</f>
        <v>821.42857142857144</v>
      </c>
      <c r="BE56" s="16">
        <f>Demand_LP!H$4/28</f>
        <v>535.71428571428567</v>
      </c>
      <c r="BF56" s="16">
        <f>Demand_LP!I$4/28</f>
        <v>496.42857142857144</v>
      </c>
      <c r="BG56" s="16">
        <f>Demand_LP!J$4/28</f>
        <v>482.14285714285717</v>
      </c>
      <c r="BH56" s="16">
        <f>Demand_LP!K$4/28</f>
        <v>471.42857142857144</v>
      </c>
      <c r="BI56" s="16" t="e">
        <f t="shared" si="13"/>
        <v>#VALUE!</v>
      </c>
      <c r="BJ56" s="16">
        <f t="shared" si="14"/>
        <v>-30625.427106227078</v>
      </c>
      <c r="BK56" s="16">
        <f t="shared" si="15"/>
        <v>-11383.305860805862</v>
      </c>
      <c r="BL56" s="16">
        <f t="shared" si="16"/>
        <v>-35306.986630036627</v>
      </c>
      <c r="BM56" s="16">
        <f t="shared" si="17"/>
        <v>-22846.606198489026</v>
      </c>
      <c r="BN56" s="16">
        <f t="shared" si="18"/>
        <v>-32071.428571428587</v>
      </c>
      <c r="BO56" s="16">
        <f t="shared" si="19"/>
        <v>-32785.714285714304</v>
      </c>
      <c r="BP56" s="16">
        <f t="shared" si="20"/>
        <v>-22921.428571428583</v>
      </c>
      <c r="BQ56" s="16">
        <f t="shared" si="21"/>
        <v>-19607.142857142862</v>
      </c>
      <c r="BR56" s="16">
        <f t="shared" si="22"/>
        <v>-20871.428571428572</v>
      </c>
      <c r="BS56" s="14">
        <f>IF([1]Sheet2!CA55=999999,"NA",[1]Sheet2!CA55)</f>
        <v>195607.57142857157</v>
      </c>
      <c r="BT56" s="14">
        <f>IF([1]Sheet2!CB55=999999,"NA",[1]Sheet2!CB55)</f>
        <v>234</v>
      </c>
      <c r="BU56" s="14">
        <f>IF([1]Sheet2!CC55=999999,"NA",[1]Sheet2!CC55)</f>
        <v>312</v>
      </c>
      <c r="BV56" s="14">
        <f>IF([1]Sheet2!CD55=999999,"NA",[1]Sheet2!CD55)</f>
        <v>312</v>
      </c>
      <c r="BW56" s="14">
        <f>IF([1]Sheet2!CE55=999999,"NA",[1]Sheet2!CE55)</f>
        <v>274</v>
      </c>
      <c r="BX56" s="14">
        <f>IF([1]Sheet2!CF55=999999,"NA",[1]Sheet2!CF55)</f>
        <v>312</v>
      </c>
      <c r="BY56" s="14">
        <f>IF([1]Sheet2!CG55=999999,"NA",[1]Sheet2!CG55)</f>
        <v>206</v>
      </c>
      <c r="BZ56" s="14">
        <f>IF([1]Sheet2!CH55=999999,"NA",[1]Sheet2!CH55)</f>
        <v>312</v>
      </c>
      <c r="CA56" s="14">
        <f>IF([1]Sheet2!CI55=999999,"NA",[1]Sheet2!CI55)</f>
        <v>312</v>
      </c>
      <c r="CB56" s="14">
        <f>IF([1]Sheet2!CJ55=999999,"NA",[1]Sheet2!CJ55)</f>
        <v>312</v>
      </c>
      <c r="CC56" s="14">
        <f>[1]Sheet2!BG55</f>
        <v>0</v>
      </c>
      <c r="CD56" s="14">
        <f>[1]Sheet2!BH55</f>
        <v>0</v>
      </c>
      <c r="CE56" s="14">
        <f>[1]Sheet2!BI55</f>
        <v>0</v>
      </c>
      <c r="CF56" s="14">
        <f>[1]Sheet2!BJ55</f>
        <v>0</v>
      </c>
      <c r="CG56" s="14">
        <f>[1]Sheet2!BK55</f>
        <v>0</v>
      </c>
      <c r="CH56" s="14">
        <f>[1]Sheet2!BL55</f>
        <v>0</v>
      </c>
      <c r="CI56" s="14">
        <f>[1]Sheet2!BM55</f>
        <v>0</v>
      </c>
      <c r="CJ56" s="14">
        <f>[1]Sheet2!BN55</f>
        <v>0</v>
      </c>
      <c r="CK56" s="14">
        <f>[1]Sheet2!BO55</f>
        <v>0</v>
      </c>
      <c r="CL56" s="14">
        <f>[1]Sheet2!BP55</f>
        <v>0</v>
      </c>
      <c r="CM56" s="16">
        <f>Demand_SW!B$4/28</f>
        <v>94.69780219780219</v>
      </c>
      <c r="CN56" s="16">
        <f>Demand_SW!C$4/28</f>
        <v>0</v>
      </c>
      <c r="CO56" s="16">
        <f>Demand_SW!D$4/28</f>
        <v>0</v>
      </c>
      <c r="CP56" s="16">
        <f>Demand_SW!E$4/28</f>
        <v>0</v>
      </c>
      <c r="CQ56" s="16">
        <f>Demand_SW!F$4/28</f>
        <v>0</v>
      </c>
      <c r="CR56" s="16">
        <f>Demand_SW!G$4/28</f>
        <v>85.714285714285708</v>
      </c>
      <c r="CS56" s="16">
        <f>Demand_SW!H$4/28</f>
        <v>0</v>
      </c>
      <c r="CT56" s="16">
        <f>Demand_SW!I$4/28</f>
        <v>0</v>
      </c>
      <c r="CU56" s="16">
        <f>Demand_SW!J$4/28</f>
        <v>0</v>
      </c>
      <c r="CV56" s="16">
        <f>Demand_SW!K$4/28</f>
        <v>0</v>
      </c>
      <c r="CW56" s="16">
        <f t="shared" si="23"/>
        <v>44589.725274725235</v>
      </c>
      <c r="CX56" s="16">
        <f t="shared" si="24"/>
        <v>500</v>
      </c>
      <c r="CY56" s="16">
        <f t="shared" si="25"/>
        <v>0</v>
      </c>
      <c r="CZ56" s="16">
        <f t="shared" si="26"/>
        <v>0</v>
      </c>
      <c r="DA56" s="16">
        <f t="shared" si="27"/>
        <v>0</v>
      </c>
      <c r="DB56" s="16">
        <f t="shared" si="28"/>
        <v>-4985.7142857142808</v>
      </c>
      <c r="DC56" s="16">
        <f t="shared" si="29"/>
        <v>500</v>
      </c>
      <c r="DD56" s="16">
        <f t="shared" si="30"/>
        <v>0</v>
      </c>
      <c r="DE56" s="16">
        <f t="shared" si="31"/>
        <v>0</v>
      </c>
      <c r="DF56" s="16">
        <f t="shared" si="32"/>
        <v>0</v>
      </c>
      <c r="DG56" s="14">
        <f>IF([1]Sheet2!DR55=999999,"NA",[1]Sheet2!DR55)</f>
        <v>73103</v>
      </c>
      <c r="DH56" s="14">
        <f>IF([1]Sheet2!DS55=999999,"NA",[1]Sheet2!DS55)</f>
        <v>312</v>
      </c>
      <c r="DI56" s="14">
        <f>IF([1]Sheet2!DT55=999999,"NA",[1]Sheet2!DT55)</f>
        <v>312</v>
      </c>
      <c r="DJ56" s="14" t="str">
        <f>IF([1]Sheet2!DU55=999999,"NA",[1]Sheet2!DU55)</f>
        <v>NA</v>
      </c>
      <c r="DK56" s="14" t="str">
        <f>IF([1]Sheet2!DV55=999999,"NA",[1]Sheet2!DV55)</f>
        <v>NA</v>
      </c>
      <c r="DL56" s="14" t="str">
        <f>IF([1]Sheet2!DW55=999999,"NA",[1]Sheet2!DW55)</f>
        <v>NA</v>
      </c>
      <c r="DM56" s="14">
        <f>IF([1]Sheet2!DX55=999999,"NA",[1]Sheet2!DX55)</f>
        <v>312</v>
      </c>
      <c r="DN56" s="14">
        <f>IF([1]Sheet2!DY55=999999,"NA",[1]Sheet2!DY55)</f>
        <v>312</v>
      </c>
      <c r="DO56" s="14" t="str">
        <f>IF([1]Sheet2!DZ55=999999,"NA",[1]Sheet2!DZ55)</f>
        <v>NA</v>
      </c>
      <c r="DP56" s="14" t="str">
        <f>IF([1]Sheet2!EA55=999999,"NA",[1]Sheet2!EA55)</f>
        <v>NA</v>
      </c>
      <c r="DQ56" s="14">
        <f>[1]Sheet2!CX55</f>
        <v>0</v>
      </c>
      <c r="DR56" s="14">
        <f>[1]Sheet2!CY55</f>
        <v>0</v>
      </c>
      <c r="DS56" s="14">
        <f>[1]Sheet2!CZ55</f>
        <v>0</v>
      </c>
      <c r="DT56" s="14">
        <f>[1]Sheet2!DA55</f>
        <v>0</v>
      </c>
      <c r="DU56" s="14">
        <f>[1]Sheet2!DB55</f>
        <v>0</v>
      </c>
      <c r="DV56" s="14">
        <f>[1]Sheet2!DC55</f>
        <v>0</v>
      </c>
      <c r="DW56" s="14">
        <f>[1]Sheet2!DD55</f>
        <v>0</v>
      </c>
      <c r="DX56" s="14">
        <f>[1]Sheet2!DE55</f>
        <v>0</v>
      </c>
      <c r="DY56" s="14">
        <f>[1]Sheet2!DF55</f>
        <v>0</v>
      </c>
      <c r="DZ56" s="14">
        <f>[1]Sheet2!DG55</f>
        <v>0</v>
      </c>
    </row>
    <row r="57" spans="1:130" x14ac:dyDescent="0.25">
      <c r="A57" s="15">
        <v>43519</v>
      </c>
      <c r="B57" s="1"/>
      <c r="C57" s="1"/>
      <c r="D57" s="1"/>
      <c r="E57" s="14">
        <f>[1]Sheet2!N56</f>
        <v>0</v>
      </c>
      <c r="F57" s="14">
        <f>[1]Sheet2!BE56</f>
        <v>0</v>
      </c>
      <c r="G57" s="14">
        <f>[1]Sheet2!CV56</f>
        <v>180.41208791208791</v>
      </c>
      <c r="H57" s="1"/>
      <c r="I57" s="1"/>
      <c r="J57" s="1"/>
      <c r="K57" s="16">
        <f>Demand_CWRS!B$4/28</f>
        <v>131.68146963713369</v>
      </c>
      <c r="L57" s="16">
        <f>Demand_CWRS!C$4/28</f>
        <v>501.27216117216119</v>
      </c>
      <c r="M57" s="16">
        <f>Demand_CWRS!D$4/28</f>
        <v>0</v>
      </c>
      <c r="N57" s="16">
        <f>Demand_CWRS!E$4/28</f>
        <v>130.17472527472526</v>
      </c>
      <c r="O57" s="16">
        <f>Demand_CWRS!F$4/28</f>
        <v>262.94741300366297</v>
      </c>
      <c r="P57" s="16">
        <f>Demand_CWRS!G$4/28</f>
        <v>127.85714285714286</v>
      </c>
      <c r="Q57" s="16">
        <f>Demand_CWRS!H$4/28</f>
        <v>501.27216117216119</v>
      </c>
      <c r="R57" s="16">
        <f>Demand_CWRS!I$4/28</f>
        <v>214.28571428571428</v>
      </c>
      <c r="S57" s="16">
        <f>Demand_CWRS!J$4/28</f>
        <v>207.14285714285714</v>
      </c>
      <c r="T57" s="16">
        <f>Demand_CWRS!K$4/28</f>
        <v>221.42857142857142</v>
      </c>
      <c r="U57" s="16">
        <f t="shared" si="3"/>
        <v>-9738.5364619104785</v>
      </c>
      <c r="V57" s="16">
        <f t="shared" si="4"/>
        <v>-17022.269963369959</v>
      </c>
      <c r="W57" s="16">
        <f t="shared" si="5"/>
        <v>0</v>
      </c>
      <c r="X57" s="16">
        <f t="shared" si="6"/>
        <v>-4059.050732600736</v>
      </c>
      <c r="Y57" s="16">
        <f t="shared" si="7"/>
        <v>-11197.229521520152</v>
      </c>
      <c r="Z57" s="16">
        <f t="shared" si="8"/>
        <v>-9540.7142857142935</v>
      </c>
      <c r="AA57" s="16">
        <f t="shared" si="9"/>
        <v>-16522.269963369959</v>
      </c>
      <c r="AB57" s="16">
        <f t="shared" si="10"/>
        <v>-9128.571428571433</v>
      </c>
      <c r="AC57" s="16">
        <f t="shared" si="11"/>
        <v>-9164.2857142857083</v>
      </c>
      <c r="AD57" s="16">
        <f t="shared" si="12"/>
        <v>-9792.8571428571377</v>
      </c>
      <c r="AE57" s="14">
        <f>IF([1]Sheet2!AJ56=999999,"NA",[1]Sheet2!AJ56)</f>
        <v>73</v>
      </c>
      <c r="AF57" s="14">
        <f>IF([1]Sheet2!AK56=999999,"NA",[1]Sheet2!AK56)</f>
        <v>4</v>
      </c>
      <c r="AG57" s="14" t="str">
        <f>IF([1]Sheet2!AL56=999999,"NA",[1]Sheet2!AL56)</f>
        <v>NA</v>
      </c>
      <c r="AH57" s="14">
        <f>IF([1]Sheet2!AM56=999999,"NA",[1]Sheet2!AM56)</f>
        <v>311</v>
      </c>
      <c r="AI57" s="14">
        <f>IF([1]Sheet2!AN56=999999,"NA",[1]Sheet2!AN56)</f>
        <v>311</v>
      </c>
      <c r="AJ57" s="14">
        <f>IF([1]Sheet2!AO56=999999,"NA",[1]Sheet2!AO56)</f>
        <v>311</v>
      </c>
      <c r="AK57" s="14">
        <f>IF([1]Sheet2!AP56=999999,"NA",[1]Sheet2!AP56)</f>
        <v>56</v>
      </c>
      <c r="AL57" s="14">
        <f>IF([1]Sheet2!AQ56=999999,"NA",[1]Sheet2!AQ56)</f>
        <v>187</v>
      </c>
      <c r="AM57" s="14">
        <f>IF([1]Sheet2!AR56=999999,"NA",[1]Sheet2!AR56)</f>
        <v>311</v>
      </c>
      <c r="AN57" s="14">
        <f>IF([1]Sheet2!AS56=999999,"NA",[1]Sheet2!AS56)</f>
        <v>243</v>
      </c>
      <c r="AO57" s="14">
        <f>[1]Sheet2!P56</f>
        <v>0</v>
      </c>
      <c r="AP57" s="14">
        <f>[1]Sheet2!Q56</f>
        <v>0</v>
      </c>
      <c r="AQ57" s="14">
        <f>[1]Sheet2!R56</f>
        <v>0</v>
      </c>
      <c r="AR57" s="14">
        <f>[1]Sheet2!S56</f>
        <v>0</v>
      </c>
      <c r="AS57" s="14">
        <f>[1]Sheet2!T56</f>
        <v>0</v>
      </c>
      <c r="AT57" s="14">
        <f>[1]Sheet2!U56</f>
        <v>0</v>
      </c>
      <c r="AU57" s="14">
        <f>[1]Sheet2!V56</f>
        <v>0</v>
      </c>
      <c r="AV57" s="14">
        <f>[1]Sheet2!W56</f>
        <v>0</v>
      </c>
      <c r="AW57" s="14">
        <f>[1]Sheet2!X56</f>
        <v>0</v>
      </c>
      <c r="AX57" s="14">
        <f>[1]Sheet2!Y56</f>
        <v>0</v>
      </c>
      <c r="AY57" s="16">
        <f>Demand_LP!B$4/28</f>
        <v>811.09813487293957</v>
      </c>
      <c r="AZ57" s="16">
        <f>Demand_LP!C$4/28</f>
        <v>502.83223443223443</v>
      </c>
      <c r="BA57" s="16">
        <f>Demand_LP!D$4/28</f>
        <v>282.53663003663002</v>
      </c>
      <c r="BB57" s="16">
        <f>Demand_LP!E$4/28</f>
        <v>759.73919413919407</v>
      </c>
      <c r="BC57" s="16">
        <f>Demand_LP!F$4/28</f>
        <v>495.28213999542123</v>
      </c>
      <c r="BD57" s="16">
        <f>Demand_LP!G$4/28</f>
        <v>821.42857142857144</v>
      </c>
      <c r="BE57" s="16">
        <f>Demand_LP!H$4/28</f>
        <v>535.71428571428567</v>
      </c>
      <c r="BF57" s="16">
        <f>Demand_LP!I$4/28</f>
        <v>496.42857142857144</v>
      </c>
      <c r="BG57" s="16">
        <f>Demand_LP!J$4/28</f>
        <v>482.14285714285717</v>
      </c>
      <c r="BH57" s="16">
        <f>Demand_LP!K$4/28</f>
        <v>471.42857142857144</v>
      </c>
      <c r="BI57" s="16" t="e">
        <f t="shared" si="13"/>
        <v>#VALUE!</v>
      </c>
      <c r="BJ57" s="16">
        <f t="shared" si="14"/>
        <v>-31128.259340659311</v>
      </c>
      <c r="BK57" s="16">
        <f t="shared" si="15"/>
        <v>-11665.842490842491</v>
      </c>
      <c r="BL57" s="16">
        <f t="shared" si="16"/>
        <v>-36066.725824175817</v>
      </c>
      <c r="BM57" s="16">
        <f t="shared" si="17"/>
        <v>-23341.888338484448</v>
      </c>
      <c r="BN57" s="16">
        <f t="shared" si="18"/>
        <v>-32892.857142857159</v>
      </c>
      <c r="BO57" s="16">
        <f t="shared" si="19"/>
        <v>-33321.428571428587</v>
      </c>
      <c r="BP57" s="16">
        <f t="shared" si="20"/>
        <v>-23417.857142857156</v>
      </c>
      <c r="BQ57" s="16">
        <f t="shared" si="21"/>
        <v>-20089.285714285721</v>
      </c>
      <c r="BR57" s="16">
        <f t="shared" si="22"/>
        <v>-21342.857142857145</v>
      </c>
      <c r="BS57" s="14">
        <f>IF([1]Sheet2!CA56=999999,"NA",[1]Sheet2!CA56)</f>
        <v>195136.14285714299</v>
      </c>
      <c r="BT57" s="14">
        <f>IF([1]Sheet2!CB56=999999,"NA",[1]Sheet2!CB56)</f>
        <v>233</v>
      </c>
      <c r="BU57" s="14">
        <f>IF([1]Sheet2!CC56=999999,"NA",[1]Sheet2!CC56)</f>
        <v>311</v>
      </c>
      <c r="BV57" s="14">
        <f>IF([1]Sheet2!CD56=999999,"NA",[1]Sheet2!CD56)</f>
        <v>311</v>
      </c>
      <c r="BW57" s="14">
        <f>IF([1]Sheet2!CE56=999999,"NA",[1]Sheet2!CE56)</f>
        <v>273</v>
      </c>
      <c r="BX57" s="14">
        <f>IF([1]Sheet2!CF56=999999,"NA",[1]Sheet2!CF56)</f>
        <v>311</v>
      </c>
      <c r="BY57" s="14">
        <f>IF([1]Sheet2!CG56=999999,"NA",[1]Sheet2!CG56)</f>
        <v>205</v>
      </c>
      <c r="BZ57" s="14">
        <f>IF([1]Sheet2!CH56=999999,"NA",[1]Sheet2!CH56)</f>
        <v>311</v>
      </c>
      <c r="CA57" s="14">
        <f>IF([1]Sheet2!CI56=999999,"NA",[1]Sheet2!CI56)</f>
        <v>311</v>
      </c>
      <c r="CB57" s="14">
        <f>IF([1]Sheet2!CJ56=999999,"NA",[1]Sheet2!CJ56)</f>
        <v>311</v>
      </c>
      <c r="CC57" s="14">
        <f>[1]Sheet2!BG56</f>
        <v>0</v>
      </c>
      <c r="CD57" s="14">
        <f>[1]Sheet2!BH56</f>
        <v>0</v>
      </c>
      <c r="CE57" s="14">
        <f>[1]Sheet2!BI56</f>
        <v>0</v>
      </c>
      <c r="CF57" s="14">
        <f>[1]Sheet2!BJ56</f>
        <v>0</v>
      </c>
      <c r="CG57" s="14">
        <f>[1]Sheet2!BK56</f>
        <v>0</v>
      </c>
      <c r="CH57" s="14">
        <f>[1]Sheet2!BL56</f>
        <v>0</v>
      </c>
      <c r="CI57" s="14">
        <f>[1]Sheet2!BM56</f>
        <v>0</v>
      </c>
      <c r="CJ57" s="14">
        <f>[1]Sheet2!BN56</f>
        <v>0</v>
      </c>
      <c r="CK57" s="14">
        <f>[1]Sheet2!BO56</f>
        <v>0</v>
      </c>
      <c r="CL57" s="14">
        <f>[1]Sheet2!BP56</f>
        <v>0</v>
      </c>
      <c r="CM57" s="16">
        <f>Demand_SW!B$4/28</f>
        <v>94.69780219780219</v>
      </c>
      <c r="CN57" s="16">
        <f>Demand_SW!C$4/28</f>
        <v>0</v>
      </c>
      <c r="CO57" s="16">
        <f>Demand_SW!D$4/28</f>
        <v>0</v>
      </c>
      <c r="CP57" s="16">
        <f>Demand_SW!E$4/28</f>
        <v>0</v>
      </c>
      <c r="CQ57" s="16">
        <f>Demand_SW!F$4/28</f>
        <v>0</v>
      </c>
      <c r="CR57" s="16">
        <f>Demand_SW!G$4/28</f>
        <v>85.714285714285708</v>
      </c>
      <c r="CS57" s="16">
        <f>Demand_SW!H$4/28</f>
        <v>0</v>
      </c>
      <c r="CT57" s="16">
        <f>Demand_SW!I$4/28</f>
        <v>0</v>
      </c>
      <c r="CU57" s="16">
        <f>Demand_SW!J$4/28</f>
        <v>0</v>
      </c>
      <c r="CV57" s="16">
        <f>Demand_SW!K$4/28</f>
        <v>0</v>
      </c>
      <c r="CW57" s="16">
        <f t="shared" si="23"/>
        <v>44495.027472527436</v>
      </c>
      <c r="CX57" s="16">
        <f t="shared" si="24"/>
        <v>500</v>
      </c>
      <c r="CY57" s="16">
        <f t="shared" si="25"/>
        <v>0</v>
      </c>
      <c r="CZ57" s="16">
        <f t="shared" si="26"/>
        <v>0</v>
      </c>
      <c r="DA57" s="16">
        <f t="shared" si="27"/>
        <v>0</v>
      </c>
      <c r="DB57" s="16">
        <f t="shared" si="28"/>
        <v>-5071.4285714285661</v>
      </c>
      <c r="DC57" s="16">
        <f t="shared" si="29"/>
        <v>500</v>
      </c>
      <c r="DD57" s="16">
        <f t="shared" si="30"/>
        <v>0</v>
      </c>
      <c r="DE57" s="16">
        <f t="shared" si="31"/>
        <v>0</v>
      </c>
      <c r="DF57" s="16">
        <f t="shared" si="32"/>
        <v>0</v>
      </c>
      <c r="DG57" s="14">
        <f>IF([1]Sheet2!DR56=999999,"NA",[1]Sheet2!DR56)</f>
        <v>73103</v>
      </c>
      <c r="DH57" s="14">
        <f>IF([1]Sheet2!DS56=999999,"NA",[1]Sheet2!DS56)</f>
        <v>311</v>
      </c>
      <c r="DI57" s="14">
        <f>IF([1]Sheet2!DT56=999999,"NA",[1]Sheet2!DT56)</f>
        <v>311</v>
      </c>
      <c r="DJ57" s="14" t="str">
        <f>IF([1]Sheet2!DU56=999999,"NA",[1]Sheet2!DU56)</f>
        <v>NA</v>
      </c>
      <c r="DK57" s="14" t="str">
        <f>IF([1]Sheet2!DV56=999999,"NA",[1]Sheet2!DV56)</f>
        <v>NA</v>
      </c>
      <c r="DL57" s="14" t="str">
        <f>IF([1]Sheet2!DW56=999999,"NA",[1]Sheet2!DW56)</f>
        <v>NA</v>
      </c>
      <c r="DM57" s="14">
        <f>IF([1]Sheet2!DX56=999999,"NA",[1]Sheet2!DX56)</f>
        <v>311</v>
      </c>
      <c r="DN57" s="14">
        <f>IF([1]Sheet2!DY56=999999,"NA",[1]Sheet2!DY56)</f>
        <v>311</v>
      </c>
      <c r="DO57" s="14" t="str">
        <f>IF([1]Sheet2!DZ56=999999,"NA",[1]Sheet2!DZ56)</f>
        <v>NA</v>
      </c>
      <c r="DP57" s="14" t="str">
        <f>IF([1]Sheet2!EA56=999999,"NA",[1]Sheet2!EA56)</f>
        <v>NA</v>
      </c>
      <c r="DQ57" s="14">
        <f>[1]Sheet2!CX56</f>
        <v>0</v>
      </c>
      <c r="DR57" s="14">
        <f>[1]Sheet2!CY56</f>
        <v>0</v>
      </c>
      <c r="DS57" s="14">
        <f>[1]Sheet2!CZ56</f>
        <v>0</v>
      </c>
      <c r="DT57" s="14">
        <f>[1]Sheet2!DA56</f>
        <v>0</v>
      </c>
      <c r="DU57" s="14">
        <f>[1]Sheet2!DB56</f>
        <v>0</v>
      </c>
      <c r="DV57" s="14">
        <f>[1]Sheet2!DC56</f>
        <v>0</v>
      </c>
      <c r="DW57" s="14">
        <f>[1]Sheet2!DD56</f>
        <v>0</v>
      </c>
      <c r="DX57" s="14">
        <f>[1]Sheet2!DE56</f>
        <v>0</v>
      </c>
      <c r="DY57" s="14">
        <f>[1]Sheet2!DF56</f>
        <v>0</v>
      </c>
      <c r="DZ57" s="14">
        <f>[1]Sheet2!DG56</f>
        <v>0</v>
      </c>
    </row>
    <row r="58" spans="1:130" x14ac:dyDescent="0.25">
      <c r="A58" s="15">
        <v>43520</v>
      </c>
      <c r="B58" s="1"/>
      <c r="C58" s="1"/>
      <c r="D58" s="1"/>
      <c r="E58" s="14">
        <f>[1]Sheet2!N57</f>
        <v>0</v>
      </c>
      <c r="F58" s="14">
        <f>[1]Sheet2!BE57</f>
        <v>0</v>
      </c>
      <c r="G58" s="14">
        <f>[1]Sheet2!CV57</f>
        <v>180.41208791208791</v>
      </c>
      <c r="H58" s="1"/>
      <c r="I58" s="1"/>
      <c r="J58" s="1"/>
      <c r="K58" s="16">
        <f>Demand_CWRS!B$4/28</f>
        <v>131.68146963713369</v>
      </c>
      <c r="L58" s="16">
        <f>Demand_CWRS!C$4/28</f>
        <v>501.27216117216119</v>
      </c>
      <c r="M58" s="16">
        <f>Demand_CWRS!D$4/28</f>
        <v>0</v>
      </c>
      <c r="N58" s="16">
        <f>Demand_CWRS!E$4/28</f>
        <v>130.17472527472526</v>
      </c>
      <c r="O58" s="16">
        <f>Demand_CWRS!F$4/28</f>
        <v>262.94741300366297</v>
      </c>
      <c r="P58" s="16">
        <f>Demand_CWRS!G$4/28</f>
        <v>127.85714285714286</v>
      </c>
      <c r="Q58" s="16">
        <f>Demand_CWRS!H$4/28</f>
        <v>501.27216117216119</v>
      </c>
      <c r="R58" s="16">
        <f>Demand_CWRS!I$4/28</f>
        <v>214.28571428571428</v>
      </c>
      <c r="S58" s="16">
        <f>Demand_CWRS!J$4/28</f>
        <v>207.14285714285714</v>
      </c>
      <c r="T58" s="16">
        <f>Demand_CWRS!K$4/28</f>
        <v>221.42857142857142</v>
      </c>
      <c r="U58" s="16">
        <f t="shared" si="3"/>
        <v>-9870.2179315476114</v>
      </c>
      <c r="V58" s="16">
        <f t="shared" si="4"/>
        <v>-17523.54212454212</v>
      </c>
      <c r="W58" s="16">
        <f t="shared" si="5"/>
        <v>0</v>
      </c>
      <c r="X58" s="16">
        <f t="shared" si="6"/>
        <v>-4189.225457875461</v>
      </c>
      <c r="Y58" s="16">
        <f t="shared" si="7"/>
        <v>-11460.176934523815</v>
      </c>
      <c r="Z58" s="16">
        <f t="shared" si="8"/>
        <v>-9668.5714285714366</v>
      </c>
      <c r="AA58" s="16">
        <f t="shared" si="9"/>
        <v>-17023.54212454212</v>
      </c>
      <c r="AB58" s="16">
        <f t="shared" si="10"/>
        <v>-9342.8571428571468</v>
      </c>
      <c r="AC58" s="16">
        <f t="shared" si="11"/>
        <v>-9371.4285714285652</v>
      </c>
      <c r="AD58" s="16">
        <f t="shared" si="12"/>
        <v>-10014.285714285708</v>
      </c>
      <c r="AE58" s="14">
        <f>IF([1]Sheet2!AJ57=999999,"NA",[1]Sheet2!AJ57)</f>
        <v>72</v>
      </c>
      <c r="AF58" s="14">
        <f>IF([1]Sheet2!AK57=999999,"NA",[1]Sheet2!AK57)</f>
        <v>3</v>
      </c>
      <c r="AG58" s="14" t="str">
        <f>IF([1]Sheet2!AL57=999999,"NA",[1]Sheet2!AL57)</f>
        <v>NA</v>
      </c>
      <c r="AH58" s="14">
        <f>IF([1]Sheet2!AM57=999999,"NA",[1]Sheet2!AM57)</f>
        <v>310</v>
      </c>
      <c r="AI58" s="14">
        <f>IF([1]Sheet2!AN57=999999,"NA",[1]Sheet2!AN57)</f>
        <v>310</v>
      </c>
      <c r="AJ58" s="14">
        <f>IF([1]Sheet2!AO57=999999,"NA",[1]Sheet2!AO57)</f>
        <v>310</v>
      </c>
      <c r="AK58" s="14">
        <f>IF([1]Sheet2!AP57=999999,"NA",[1]Sheet2!AP57)</f>
        <v>55</v>
      </c>
      <c r="AL58" s="14">
        <f>IF([1]Sheet2!AQ57=999999,"NA",[1]Sheet2!AQ57)</f>
        <v>186</v>
      </c>
      <c r="AM58" s="14">
        <f>IF([1]Sheet2!AR57=999999,"NA",[1]Sheet2!AR57)</f>
        <v>310</v>
      </c>
      <c r="AN58" s="14">
        <f>IF([1]Sheet2!AS57=999999,"NA",[1]Sheet2!AS57)</f>
        <v>242</v>
      </c>
      <c r="AO58" s="14">
        <f>[1]Sheet2!P57</f>
        <v>0</v>
      </c>
      <c r="AP58" s="14">
        <f>[1]Sheet2!Q57</f>
        <v>0</v>
      </c>
      <c r="AQ58" s="14">
        <f>[1]Sheet2!R57</f>
        <v>0</v>
      </c>
      <c r="AR58" s="14">
        <f>[1]Sheet2!S57</f>
        <v>0</v>
      </c>
      <c r="AS58" s="14">
        <f>[1]Sheet2!T57</f>
        <v>0</v>
      </c>
      <c r="AT58" s="14">
        <f>[1]Sheet2!U57</f>
        <v>0</v>
      </c>
      <c r="AU58" s="14">
        <f>[1]Sheet2!V57</f>
        <v>0</v>
      </c>
      <c r="AV58" s="14">
        <f>[1]Sheet2!W57</f>
        <v>0</v>
      </c>
      <c r="AW58" s="14">
        <f>[1]Sheet2!X57</f>
        <v>0</v>
      </c>
      <c r="AX58" s="14">
        <f>[1]Sheet2!Y57</f>
        <v>0</v>
      </c>
      <c r="AY58" s="16">
        <f>Demand_LP!B$4/28</f>
        <v>811.09813487293957</v>
      </c>
      <c r="AZ58" s="16">
        <f>Demand_LP!C$4/28</f>
        <v>502.83223443223443</v>
      </c>
      <c r="BA58" s="16">
        <f>Demand_LP!D$4/28</f>
        <v>282.53663003663002</v>
      </c>
      <c r="BB58" s="16">
        <f>Demand_LP!E$4/28</f>
        <v>759.73919413919407</v>
      </c>
      <c r="BC58" s="16">
        <f>Demand_LP!F$4/28</f>
        <v>495.28213999542123</v>
      </c>
      <c r="BD58" s="16">
        <f>Demand_LP!G$4/28</f>
        <v>821.42857142857144</v>
      </c>
      <c r="BE58" s="16">
        <f>Demand_LP!H$4/28</f>
        <v>535.71428571428567</v>
      </c>
      <c r="BF58" s="16">
        <f>Demand_LP!I$4/28</f>
        <v>496.42857142857144</v>
      </c>
      <c r="BG58" s="16">
        <f>Demand_LP!J$4/28</f>
        <v>482.14285714285717</v>
      </c>
      <c r="BH58" s="16">
        <f>Demand_LP!K$4/28</f>
        <v>471.42857142857144</v>
      </c>
      <c r="BI58" s="16" t="e">
        <f t="shared" si="13"/>
        <v>#VALUE!</v>
      </c>
      <c r="BJ58" s="16">
        <f t="shared" si="14"/>
        <v>-31631.091575091545</v>
      </c>
      <c r="BK58" s="16">
        <f t="shared" si="15"/>
        <v>-11948.379120879121</v>
      </c>
      <c r="BL58" s="16">
        <f t="shared" si="16"/>
        <v>-36826.465018315008</v>
      </c>
      <c r="BM58" s="16">
        <f t="shared" si="17"/>
        <v>-23837.170478479871</v>
      </c>
      <c r="BN58" s="16">
        <f t="shared" si="18"/>
        <v>-33714.285714285732</v>
      </c>
      <c r="BO58" s="16">
        <f t="shared" si="19"/>
        <v>-33857.14285714287</v>
      </c>
      <c r="BP58" s="16">
        <f t="shared" si="20"/>
        <v>-23914.285714285728</v>
      </c>
      <c r="BQ58" s="16">
        <f t="shared" si="21"/>
        <v>-20571.42857142858</v>
      </c>
      <c r="BR58" s="16">
        <f t="shared" si="22"/>
        <v>-21814.285714285717</v>
      </c>
      <c r="BS58" s="14">
        <f>IF([1]Sheet2!CA57=999999,"NA",[1]Sheet2!CA57)</f>
        <v>194664.71428571441</v>
      </c>
      <c r="BT58" s="14">
        <f>IF([1]Sheet2!CB57=999999,"NA",[1]Sheet2!CB57)</f>
        <v>232</v>
      </c>
      <c r="BU58" s="14">
        <f>IF([1]Sheet2!CC57=999999,"NA",[1]Sheet2!CC57)</f>
        <v>310</v>
      </c>
      <c r="BV58" s="14">
        <f>IF([1]Sheet2!CD57=999999,"NA",[1]Sheet2!CD57)</f>
        <v>310</v>
      </c>
      <c r="BW58" s="14">
        <f>IF([1]Sheet2!CE57=999999,"NA",[1]Sheet2!CE57)</f>
        <v>272</v>
      </c>
      <c r="BX58" s="14">
        <f>IF([1]Sheet2!CF57=999999,"NA",[1]Sheet2!CF57)</f>
        <v>310</v>
      </c>
      <c r="BY58" s="14">
        <f>IF([1]Sheet2!CG57=999999,"NA",[1]Sheet2!CG57)</f>
        <v>204</v>
      </c>
      <c r="BZ58" s="14">
        <f>IF([1]Sheet2!CH57=999999,"NA",[1]Sheet2!CH57)</f>
        <v>310</v>
      </c>
      <c r="CA58" s="14">
        <f>IF([1]Sheet2!CI57=999999,"NA",[1]Sheet2!CI57)</f>
        <v>310</v>
      </c>
      <c r="CB58" s="14">
        <f>IF([1]Sheet2!CJ57=999999,"NA",[1]Sheet2!CJ57)</f>
        <v>310</v>
      </c>
      <c r="CC58" s="14">
        <f>[1]Sheet2!BG57</f>
        <v>0</v>
      </c>
      <c r="CD58" s="14">
        <f>[1]Sheet2!BH57</f>
        <v>0</v>
      </c>
      <c r="CE58" s="14">
        <f>[1]Sheet2!BI57</f>
        <v>0</v>
      </c>
      <c r="CF58" s="14">
        <f>[1]Sheet2!BJ57</f>
        <v>0</v>
      </c>
      <c r="CG58" s="14">
        <f>[1]Sheet2!BK57</f>
        <v>0</v>
      </c>
      <c r="CH58" s="14">
        <f>[1]Sheet2!BL57</f>
        <v>0</v>
      </c>
      <c r="CI58" s="14">
        <f>[1]Sheet2!BM57</f>
        <v>0</v>
      </c>
      <c r="CJ58" s="14">
        <f>[1]Sheet2!BN57</f>
        <v>0</v>
      </c>
      <c r="CK58" s="14">
        <f>[1]Sheet2!BO57</f>
        <v>0</v>
      </c>
      <c r="CL58" s="14">
        <f>[1]Sheet2!BP57</f>
        <v>0</v>
      </c>
      <c r="CM58" s="16">
        <f>Demand_SW!B$4/28</f>
        <v>94.69780219780219</v>
      </c>
      <c r="CN58" s="16">
        <f>Demand_SW!C$4/28</f>
        <v>0</v>
      </c>
      <c r="CO58" s="16">
        <f>Demand_SW!D$4/28</f>
        <v>0</v>
      </c>
      <c r="CP58" s="16">
        <f>Demand_SW!E$4/28</f>
        <v>0</v>
      </c>
      <c r="CQ58" s="16">
        <f>Demand_SW!F$4/28</f>
        <v>0</v>
      </c>
      <c r="CR58" s="16">
        <f>Demand_SW!G$4/28</f>
        <v>85.714285714285708</v>
      </c>
      <c r="CS58" s="16">
        <f>Demand_SW!H$4/28</f>
        <v>0</v>
      </c>
      <c r="CT58" s="16">
        <f>Demand_SW!I$4/28</f>
        <v>0</v>
      </c>
      <c r="CU58" s="16">
        <f>Demand_SW!J$4/28</f>
        <v>0</v>
      </c>
      <c r="CV58" s="16">
        <f>Demand_SW!K$4/28</f>
        <v>0</v>
      </c>
      <c r="CW58" s="16">
        <f t="shared" si="23"/>
        <v>44400.329670329636</v>
      </c>
      <c r="CX58" s="16">
        <f t="shared" si="24"/>
        <v>500</v>
      </c>
      <c r="CY58" s="16">
        <f t="shared" si="25"/>
        <v>0</v>
      </c>
      <c r="CZ58" s="16">
        <f t="shared" si="26"/>
        <v>0</v>
      </c>
      <c r="DA58" s="16">
        <f t="shared" si="27"/>
        <v>0</v>
      </c>
      <c r="DB58" s="16">
        <f t="shared" si="28"/>
        <v>-5157.1428571428514</v>
      </c>
      <c r="DC58" s="16">
        <f t="shared" si="29"/>
        <v>500</v>
      </c>
      <c r="DD58" s="16">
        <f t="shared" si="30"/>
        <v>0</v>
      </c>
      <c r="DE58" s="16">
        <f t="shared" si="31"/>
        <v>0</v>
      </c>
      <c r="DF58" s="16">
        <f t="shared" si="32"/>
        <v>0</v>
      </c>
      <c r="DG58" s="14">
        <f>IF([1]Sheet2!DR57=999999,"NA",[1]Sheet2!DR57)</f>
        <v>73103</v>
      </c>
      <c r="DH58" s="14">
        <f>IF([1]Sheet2!DS57=999999,"NA",[1]Sheet2!DS57)</f>
        <v>310</v>
      </c>
      <c r="DI58" s="14">
        <f>IF([1]Sheet2!DT57=999999,"NA",[1]Sheet2!DT57)</f>
        <v>310</v>
      </c>
      <c r="DJ58" s="14" t="str">
        <f>IF([1]Sheet2!DU57=999999,"NA",[1]Sheet2!DU57)</f>
        <v>NA</v>
      </c>
      <c r="DK58" s="14" t="str">
        <f>IF([1]Sheet2!DV57=999999,"NA",[1]Sheet2!DV57)</f>
        <v>NA</v>
      </c>
      <c r="DL58" s="14" t="str">
        <f>IF([1]Sheet2!DW57=999999,"NA",[1]Sheet2!DW57)</f>
        <v>NA</v>
      </c>
      <c r="DM58" s="14">
        <f>IF([1]Sheet2!DX57=999999,"NA",[1]Sheet2!DX57)</f>
        <v>310</v>
      </c>
      <c r="DN58" s="14">
        <f>IF([1]Sheet2!DY57=999999,"NA",[1]Sheet2!DY57)</f>
        <v>310</v>
      </c>
      <c r="DO58" s="14" t="str">
        <f>IF([1]Sheet2!DZ57=999999,"NA",[1]Sheet2!DZ57)</f>
        <v>NA</v>
      </c>
      <c r="DP58" s="14" t="str">
        <f>IF([1]Sheet2!EA57=999999,"NA",[1]Sheet2!EA57)</f>
        <v>NA</v>
      </c>
      <c r="DQ58" s="14">
        <f>[1]Sheet2!CX57</f>
        <v>0</v>
      </c>
      <c r="DR58" s="14">
        <f>[1]Sheet2!CY57</f>
        <v>0</v>
      </c>
      <c r="DS58" s="14">
        <f>[1]Sheet2!CZ57</f>
        <v>0</v>
      </c>
      <c r="DT58" s="14">
        <f>[1]Sheet2!DA57</f>
        <v>0</v>
      </c>
      <c r="DU58" s="14">
        <f>[1]Sheet2!DB57</f>
        <v>0</v>
      </c>
      <c r="DV58" s="14">
        <f>[1]Sheet2!DC57</f>
        <v>0</v>
      </c>
      <c r="DW58" s="14">
        <f>[1]Sheet2!DD57</f>
        <v>0</v>
      </c>
      <c r="DX58" s="14">
        <f>[1]Sheet2!DE57</f>
        <v>0</v>
      </c>
      <c r="DY58" s="14">
        <f>[1]Sheet2!DF57</f>
        <v>0</v>
      </c>
      <c r="DZ58" s="14">
        <f>[1]Sheet2!DG57</f>
        <v>0</v>
      </c>
    </row>
    <row r="59" spans="1:130" x14ac:dyDescent="0.25">
      <c r="A59" s="15">
        <v>43521</v>
      </c>
      <c r="B59" s="1"/>
      <c r="C59" s="1"/>
      <c r="D59" s="1"/>
      <c r="E59" s="14">
        <f>[1]Sheet2!N58</f>
        <v>0</v>
      </c>
      <c r="F59" s="14">
        <f>[1]Sheet2!BE58</f>
        <v>0</v>
      </c>
      <c r="G59" s="14">
        <f>[1]Sheet2!CV58</f>
        <v>180.41208791208791</v>
      </c>
      <c r="H59" s="1"/>
      <c r="I59" s="1"/>
      <c r="J59" s="1"/>
      <c r="K59" s="16">
        <f>Demand_CWRS!B$4/28</f>
        <v>131.68146963713369</v>
      </c>
      <c r="L59" s="16">
        <f>Demand_CWRS!C$4/28</f>
        <v>501.27216117216119</v>
      </c>
      <c r="M59" s="16">
        <f>Demand_CWRS!D$4/28</f>
        <v>0</v>
      </c>
      <c r="N59" s="16">
        <f>Demand_CWRS!E$4/28</f>
        <v>130.17472527472526</v>
      </c>
      <c r="O59" s="16">
        <f>Demand_CWRS!F$4/28</f>
        <v>262.94741300366297</v>
      </c>
      <c r="P59" s="16">
        <f>Demand_CWRS!G$4/28</f>
        <v>127.85714285714286</v>
      </c>
      <c r="Q59" s="16">
        <f>Demand_CWRS!H$4/28</f>
        <v>501.27216117216119</v>
      </c>
      <c r="R59" s="16">
        <f>Demand_CWRS!I$4/28</f>
        <v>214.28571428571428</v>
      </c>
      <c r="S59" s="16">
        <f>Demand_CWRS!J$4/28</f>
        <v>207.14285714285714</v>
      </c>
      <c r="T59" s="16">
        <f>Demand_CWRS!K$4/28</f>
        <v>221.42857142857142</v>
      </c>
      <c r="U59" s="16">
        <f t="shared" si="3"/>
        <v>-10001.899401184744</v>
      </c>
      <c r="V59" s="16">
        <f t="shared" si="4"/>
        <v>-18024.814285714281</v>
      </c>
      <c r="W59" s="16">
        <f t="shared" si="5"/>
        <v>0</v>
      </c>
      <c r="X59" s="16">
        <f t="shared" si="6"/>
        <v>-4319.4001831501864</v>
      </c>
      <c r="Y59" s="16">
        <f t="shared" si="7"/>
        <v>-11723.124347527479</v>
      </c>
      <c r="Z59" s="16">
        <f t="shared" si="8"/>
        <v>-9796.4285714285797</v>
      </c>
      <c r="AA59" s="16">
        <f t="shared" si="9"/>
        <v>-17524.814285714281</v>
      </c>
      <c r="AB59" s="16">
        <f t="shared" si="10"/>
        <v>-9557.1428571428605</v>
      </c>
      <c r="AC59" s="16">
        <f t="shared" si="11"/>
        <v>-9578.5714285714221</v>
      </c>
      <c r="AD59" s="16">
        <f t="shared" si="12"/>
        <v>-10235.714285714279</v>
      </c>
      <c r="AE59" s="14">
        <f>IF([1]Sheet2!AJ58=999999,"NA",[1]Sheet2!AJ58)</f>
        <v>71</v>
      </c>
      <c r="AF59" s="14">
        <f>IF([1]Sheet2!AK58=999999,"NA",[1]Sheet2!AK58)</f>
        <v>2</v>
      </c>
      <c r="AG59" s="14" t="str">
        <f>IF([1]Sheet2!AL58=999999,"NA",[1]Sheet2!AL58)</f>
        <v>NA</v>
      </c>
      <c r="AH59" s="14">
        <f>IF([1]Sheet2!AM58=999999,"NA",[1]Sheet2!AM58)</f>
        <v>309</v>
      </c>
      <c r="AI59" s="14">
        <f>IF([1]Sheet2!AN58=999999,"NA",[1]Sheet2!AN58)</f>
        <v>309</v>
      </c>
      <c r="AJ59" s="14">
        <f>IF([1]Sheet2!AO58=999999,"NA",[1]Sheet2!AO58)</f>
        <v>309</v>
      </c>
      <c r="AK59" s="14">
        <f>IF([1]Sheet2!AP58=999999,"NA",[1]Sheet2!AP58)</f>
        <v>54</v>
      </c>
      <c r="AL59" s="14">
        <f>IF([1]Sheet2!AQ58=999999,"NA",[1]Sheet2!AQ58)</f>
        <v>185</v>
      </c>
      <c r="AM59" s="14">
        <f>IF([1]Sheet2!AR58=999999,"NA",[1]Sheet2!AR58)</f>
        <v>309</v>
      </c>
      <c r="AN59" s="14">
        <f>IF([1]Sheet2!AS58=999999,"NA",[1]Sheet2!AS58)</f>
        <v>241</v>
      </c>
      <c r="AO59" s="14">
        <f>[1]Sheet2!P58</f>
        <v>0</v>
      </c>
      <c r="AP59" s="14">
        <f>[1]Sheet2!Q58</f>
        <v>0</v>
      </c>
      <c r="AQ59" s="14">
        <f>[1]Sheet2!R58</f>
        <v>0</v>
      </c>
      <c r="AR59" s="14">
        <f>[1]Sheet2!S58</f>
        <v>0</v>
      </c>
      <c r="AS59" s="14">
        <f>[1]Sheet2!T58</f>
        <v>0</v>
      </c>
      <c r="AT59" s="14">
        <f>[1]Sheet2!U58</f>
        <v>0</v>
      </c>
      <c r="AU59" s="14">
        <f>[1]Sheet2!V58</f>
        <v>0</v>
      </c>
      <c r="AV59" s="14">
        <f>[1]Sheet2!W58</f>
        <v>0</v>
      </c>
      <c r="AW59" s="14">
        <f>[1]Sheet2!X58</f>
        <v>0</v>
      </c>
      <c r="AX59" s="14">
        <f>[1]Sheet2!Y58</f>
        <v>0</v>
      </c>
      <c r="AY59" s="16">
        <f>Demand_LP!B$4/28</f>
        <v>811.09813487293957</v>
      </c>
      <c r="AZ59" s="16">
        <f>Demand_LP!C$4/28</f>
        <v>502.83223443223443</v>
      </c>
      <c r="BA59" s="16">
        <f>Demand_LP!D$4/28</f>
        <v>282.53663003663002</v>
      </c>
      <c r="BB59" s="16">
        <f>Demand_LP!E$4/28</f>
        <v>759.73919413919407</v>
      </c>
      <c r="BC59" s="16">
        <f>Demand_LP!F$4/28</f>
        <v>495.28213999542123</v>
      </c>
      <c r="BD59" s="16">
        <f>Demand_LP!G$4/28</f>
        <v>821.42857142857144</v>
      </c>
      <c r="BE59" s="16">
        <f>Demand_LP!H$4/28</f>
        <v>535.71428571428567</v>
      </c>
      <c r="BF59" s="16">
        <f>Demand_LP!I$4/28</f>
        <v>496.42857142857144</v>
      </c>
      <c r="BG59" s="16">
        <f>Demand_LP!J$4/28</f>
        <v>482.14285714285717</v>
      </c>
      <c r="BH59" s="16">
        <f>Demand_LP!K$4/28</f>
        <v>471.42857142857144</v>
      </c>
      <c r="BI59" s="16" t="e">
        <f t="shared" si="13"/>
        <v>#VALUE!</v>
      </c>
      <c r="BJ59" s="16">
        <f t="shared" si="14"/>
        <v>-32133.923809523778</v>
      </c>
      <c r="BK59" s="16">
        <f t="shared" si="15"/>
        <v>-12230.91575091575</v>
      </c>
      <c r="BL59" s="16">
        <f t="shared" si="16"/>
        <v>-37586.204212454199</v>
      </c>
      <c r="BM59" s="16">
        <f t="shared" si="17"/>
        <v>-24332.452618475294</v>
      </c>
      <c r="BN59" s="16">
        <f t="shared" si="18"/>
        <v>-34535.714285714304</v>
      </c>
      <c r="BO59" s="16">
        <f t="shared" si="19"/>
        <v>-34392.857142857152</v>
      </c>
      <c r="BP59" s="16">
        <f t="shared" si="20"/>
        <v>-24410.714285714301</v>
      </c>
      <c r="BQ59" s="16">
        <f t="shared" si="21"/>
        <v>-21053.571428571438</v>
      </c>
      <c r="BR59" s="16">
        <f t="shared" si="22"/>
        <v>-22285.71428571429</v>
      </c>
      <c r="BS59" s="14">
        <f>IF([1]Sheet2!CA58=999999,"NA",[1]Sheet2!CA58)</f>
        <v>194193.28571428583</v>
      </c>
      <c r="BT59" s="14">
        <f>IF([1]Sheet2!CB58=999999,"NA",[1]Sheet2!CB58)</f>
        <v>231</v>
      </c>
      <c r="BU59" s="14">
        <f>IF([1]Sheet2!CC58=999999,"NA",[1]Sheet2!CC58)</f>
        <v>309</v>
      </c>
      <c r="BV59" s="14">
        <f>IF([1]Sheet2!CD58=999999,"NA",[1]Sheet2!CD58)</f>
        <v>309</v>
      </c>
      <c r="BW59" s="14">
        <f>IF([1]Sheet2!CE58=999999,"NA",[1]Sheet2!CE58)</f>
        <v>271</v>
      </c>
      <c r="BX59" s="14">
        <f>IF([1]Sheet2!CF58=999999,"NA",[1]Sheet2!CF58)</f>
        <v>309</v>
      </c>
      <c r="BY59" s="14">
        <f>IF([1]Sheet2!CG58=999999,"NA",[1]Sheet2!CG58)</f>
        <v>203</v>
      </c>
      <c r="BZ59" s="14">
        <f>IF([1]Sheet2!CH58=999999,"NA",[1]Sheet2!CH58)</f>
        <v>309</v>
      </c>
      <c r="CA59" s="14">
        <f>IF([1]Sheet2!CI58=999999,"NA",[1]Sheet2!CI58)</f>
        <v>309</v>
      </c>
      <c r="CB59" s="14">
        <f>IF([1]Sheet2!CJ58=999999,"NA",[1]Sheet2!CJ58)</f>
        <v>309</v>
      </c>
      <c r="CC59" s="14">
        <f>[1]Sheet2!BG58</f>
        <v>0</v>
      </c>
      <c r="CD59" s="14">
        <f>[1]Sheet2!BH58</f>
        <v>0</v>
      </c>
      <c r="CE59" s="14">
        <f>[1]Sheet2!BI58</f>
        <v>0</v>
      </c>
      <c r="CF59" s="14">
        <f>[1]Sheet2!BJ58</f>
        <v>0</v>
      </c>
      <c r="CG59" s="14">
        <f>[1]Sheet2!BK58</f>
        <v>0</v>
      </c>
      <c r="CH59" s="14">
        <f>[1]Sheet2!BL58</f>
        <v>0</v>
      </c>
      <c r="CI59" s="14">
        <f>[1]Sheet2!BM58</f>
        <v>0</v>
      </c>
      <c r="CJ59" s="14">
        <f>[1]Sheet2!BN58</f>
        <v>0</v>
      </c>
      <c r="CK59" s="14">
        <f>[1]Sheet2!BO58</f>
        <v>0</v>
      </c>
      <c r="CL59" s="14">
        <f>[1]Sheet2!BP58</f>
        <v>0</v>
      </c>
      <c r="CM59" s="16">
        <f>Demand_SW!B$4/28</f>
        <v>94.69780219780219</v>
      </c>
      <c r="CN59" s="16">
        <f>Demand_SW!C$4/28</f>
        <v>0</v>
      </c>
      <c r="CO59" s="16">
        <f>Demand_SW!D$4/28</f>
        <v>0</v>
      </c>
      <c r="CP59" s="16">
        <f>Demand_SW!E$4/28</f>
        <v>0</v>
      </c>
      <c r="CQ59" s="16">
        <f>Demand_SW!F$4/28</f>
        <v>0</v>
      </c>
      <c r="CR59" s="16">
        <f>Demand_SW!G$4/28</f>
        <v>85.714285714285708</v>
      </c>
      <c r="CS59" s="16">
        <f>Demand_SW!H$4/28</f>
        <v>0</v>
      </c>
      <c r="CT59" s="16">
        <f>Demand_SW!I$4/28</f>
        <v>0</v>
      </c>
      <c r="CU59" s="16">
        <f>Demand_SW!J$4/28</f>
        <v>0</v>
      </c>
      <c r="CV59" s="16">
        <f>Demand_SW!K$4/28</f>
        <v>0</v>
      </c>
      <c r="CW59" s="16">
        <f t="shared" si="23"/>
        <v>44305.631868131837</v>
      </c>
      <c r="CX59" s="16">
        <f t="shared" si="24"/>
        <v>500</v>
      </c>
      <c r="CY59" s="16">
        <f t="shared" si="25"/>
        <v>0</v>
      </c>
      <c r="CZ59" s="16">
        <f t="shared" si="26"/>
        <v>0</v>
      </c>
      <c r="DA59" s="16">
        <f t="shared" si="27"/>
        <v>0</v>
      </c>
      <c r="DB59" s="16">
        <f t="shared" si="28"/>
        <v>-5242.8571428571368</v>
      </c>
      <c r="DC59" s="16">
        <f t="shared" si="29"/>
        <v>500</v>
      </c>
      <c r="DD59" s="16">
        <f t="shared" si="30"/>
        <v>0</v>
      </c>
      <c r="DE59" s="16">
        <f t="shared" si="31"/>
        <v>0</v>
      </c>
      <c r="DF59" s="16">
        <f t="shared" si="32"/>
        <v>0</v>
      </c>
      <c r="DG59" s="14">
        <f>IF([1]Sheet2!DR58=999999,"NA",[1]Sheet2!DR58)</f>
        <v>73103</v>
      </c>
      <c r="DH59" s="14">
        <f>IF([1]Sheet2!DS58=999999,"NA",[1]Sheet2!DS58)</f>
        <v>309</v>
      </c>
      <c r="DI59" s="14">
        <f>IF([1]Sheet2!DT58=999999,"NA",[1]Sheet2!DT58)</f>
        <v>309</v>
      </c>
      <c r="DJ59" s="14" t="str">
        <f>IF([1]Sheet2!DU58=999999,"NA",[1]Sheet2!DU58)</f>
        <v>NA</v>
      </c>
      <c r="DK59" s="14" t="str">
        <f>IF([1]Sheet2!DV58=999999,"NA",[1]Sheet2!DV58)</f>
        <v>NA</v>
      </c>
      <c r="DL59" s="14" t="str">
        <f>IF([1]Sheet2!DW58=999999,"NA",[1]Sheet2!DW58)</f>
        <v>NA</v>
      </c>
      <c r="DM59" s="14">
        <f>IF([1]Sheet2!DX58=999999,"NA",[1]Sheet2!DX58)</f>
        <v>309</v>
      </c>
      <c r="DN59" s="14">
        <f>IF([1]Sheet2!DY58=999999,"NA",[1]Sheet2!DY58)</f>
        <v>309</v>
      </c>
      <c r="DO59" s="14" t="str">
        <f>IF([1]Sheet2!DZ58=999999,"NA",[1]Sheet2!DZ58)</f>
        <v>NA</v>
      </c>
      <c r="DP59" s="14" t="str">
        <f>IF([1]Sheet2!EA58=999999,"NA",[1]Sheet2!EA58)</f>
        <v>NA</v>
      </c>
      <c r="DQ59" s="14">
        <f>[1]Sheet2!CX58</f>
        <v>0</v>
      </c>
      <c r="DR59" s="14">
        <f>[1]Sheet2!CY58</f>
        <v>0</v>
      </c>
      <c r="DS59" s="14">
        <f>[1]Sheet2!CZ58</f>
        <v>0</v>
      </c>
      <c r="DT59" s="14">
        <f>[1]Sheet2!DA58</f>
        <v>0</v>
      </c>
      <c r="DU59" s="14">
        <f>[1]Sheet2!DB58</f>
        <v>0</v>
      </c>
      <c r="DV59" s="14">
        <f>[1]Sheet2!DC58</f>
        <v>0</v>
      </c>
      <c r="DW59" s="14">
        <f>[1]Sheet2!DD58</f>
        <v>0</v>
      </c>
      <c r="DX59" s="14">
        <f>[1]Sheet2!DE58</f>
        <v>0</v>
      </c>
      <c r="DY59" s="14">
        <f>[1]Sheet2!DF58</f>
        <v>0</v>
      </c>
      <c r="DZ59" s="14">
        <f>[1]Sheet2!DG58</f>
        <v>0</v>
      </c>
    </row>
    <row r="60" spans="1:130" x14ac:dyDescent="0.25">
      <c r="A60" s="15">
        <v>43522</v>
      </c>
      <c r="B60" s="1"/>
      <c r="C60" s="1"/>
      <c r="D60" s="1"/>
      <c r="E60" s="14">
        <f>[1]Sheet2!N59</f>
        <v>0</v>
      </c>
      <c r="F60" s="14">
        <f>[1]Sheet2!BE59</f>
        <v>0</v>
      </c>
      <c r="G60" s="14">
        <f>[1]Sheet2!CV59</f>
        <v>180.41208791208791</v>
      </c>
      <c r="H60" s="1"/>
      <c r="I60" s="1"/>
      <c r="J60" s="1"/>
      <c r="K60" s="16">
        <f>Demand_CWRS!B$4/28</f>
        <v>131.68146963713369</v>
      </c>
      <c r="L60" s="16">
        <f>Demand_CWRS!C$4/28</f>
        <v>501.27216117216119</v>
      </c>
      <c r="M60" s="16">
        <f>Demand_CWRS!D$4/28</f>
        <v>0</v>
      </c>
      <c r="N60" s="16">
        <f>Demand_CWRS!E$4/28</f>
        <v>130.17472527472526</v>
      </c>
      <c r="O60" s="16">
        <f>Demand_CWRS!F$4/28</f>
        <v>262.94741300366297</v>
      </c>
      <c r="P60" s="16">
        <f>Demand_CWRS!G$4/28</f>
        <v>127.85714285714286</v>
      </c>
      <c r="Q60" s="16">
        <f>Demand_CWRS!H$4/28</f>
        <v>501.27216117216119</v>
      </c>
      <c r="R60" s="16">
        <f>Demand_CWRS!I$4/28</f>
        <v>214.28571428571428</v>
      </c>
      <c r="S60" s="16">
        <f>Demand_CWRS!J$4/28</f>
        <v>207.14285714285714</v>
      </c>
      <c r="T60" s="16">
        <f>Demand_CWRS!K$4/28</f>
        <v>221.42857142857142</v>
      </c>
      <c r="U60" s="16">
        <f t="shared" si="3"/>
        <v>-10133.580870821877</v>
      </c>
      <c r="V60" s="16">
        <f t="shared" si="4"/>
        <v>-18526.086446886442</v>
      </c>
      <c r="W60" s="16">
        <f t="shared" si="5"/>
        <v>0</v>
      </c>
      <c r="X60" s="16">
        <f t="shared" si="6"/>
        <v>-4449.5749084249119</v>
      </c>
      <c r="Y60" s="16">
        <f t="shared" si="7"/>
        <v>-11986.071760531142</v>
      </c>
      <c r="Z60" s="16">
        <f t="shared" si="8"/>
        <v>-9924.2857142857229</v>
      </c>
      <c r="AA60" s="16">
        <f t="shared" si="9"/>
        <v>-18026.086446886442</v>
      </c>
      <c r="AB60" s="16">
        <f t="shared" si="10"/>
        <v>-9771.4285714285743</v>
      </c>
      <c r="AC60" s="16">
        <f t="shared" si="11"/>
        <v>-9785.714285714279</v>
      </c>
      <c r="AD60" s="16">
        <f t="shared" si="12"/>
        <v>-10457.14285714285</v>
      </c>
      <c r="AE60" s="14">
        <f>IF([1]Sheet2!AJ59=999999,"NA",[1]Sheet2!AJ59)</f>
        <v>70</v>
      </c>
      <c r="AF60" s="14">
        <f>IF([1]Sheet2!AK59=999999,"NA",[1]Sheet2!AK59)</f>
        <v>1</v>
      </c>
      <c r="AG60" s="14" t="str">
        <f>IF([1]Sheet2!AL59=999999,"NA",[1]Sheet2!AL59)</f>
        <v>NA</v>
      </c>
      <c r="AH60" s="14">
        <f>IF([1]Sheet2!AM59=999999,"NA",[1]Sheet2!AM59)</f>
        <v>308</v>
      </c>
      <c r="AI60" s="14">
        <f>IF([1]Sheet2!AN59=999999,"NA",[1]Sheet2!AN59)</f>
        <v>308</v>
      </c>
      <c r="AJ60" s="14">
        <f>IF([1]Sheet2!AO59=999999,"NA",[1]Sheet2!AO59)</f>
        <v>308</v>
      </c>
      <c r="AK60" s="14">
        <f>IF([1]Sheet2!AP59=999999,"NA",[1]Sheet2!AP59)</f>
        <v>53</v>
      </c>
      <c r="AL60" s="14">
        <f>IF([1]Sheet2!AQ59=999999,"NA",[1]Sheet2!AQ59)</f>
        <v>184</v>
      </c>
      <c r="AM60" s="14">
        <f>IF([1]Sheet2!AR59=999999,"NA",[1]Sheet2!AR59)</f>
        <v>308</v>
      </c>
      <c r="AN60" s="14">
        <f>IF([1]Sheet2!AS59=999999,"NA",[1]Sheet2!AS59)</f>
        <v>240</v>
      </c>
      <c r="AO60" s="14">
        <f>[1]Sheet2!P59</f>
        <v>0</v>
      </c>
      <c r="AP60" s="14">
        <f>[1]Sheet2!Q59</f>
        <v>0</v>
      </c>
      <c r="AQ60" s="14">
        <f>[1]Sheet2!R59</f>
        <v>0</v>
      </c>
      <c r="AR60" s="14">
        <f>[1]Sheet2!S59</f>
        <v>0</v>
      </c>
      <c r="AS60" s="14">
        <f>[1]Sheet2!T59</f>
        <v>0</v>
      </c>
      <c r="AT60" s="14">
        <f>[1]Sheet2!U59</f>
        <v>0</v>
      </c>
      <c r="AU60" s="14">
        <f>[1]Sheet2!V59</f>
        <v>0</v>
      </c>
      <c r="AV60" s="14">
        <f>[1]Sheet2!W59</f>
        <v>0</v>
      </c>
      <c r="AW60" s="14">
        <f>[1]Sheet2!X59</f>
        <v>0</v>
      </c>
      <c r="AX60" s="14">
        <f>[1]Sheet2!Y59</f>
        <v>0</v>
      </c>
      <c r="AY60" s="16">
        <f>Demand_LP!B$4/28</f>
        <v>811.09813487293957</v>
      </c>
      <c r="AZ60" s="16">
        <f>Demand_LP!C$4/28</f>
        <v>502.83223443223443</v>
      </c>
      <c r="BA60" s="16">
        <f>Demand_LP!D$4/28</f>
        <v>282.53663003663002</v>
      </c>
      <c r="BB60" s="16">
        <f>Demand_LP!E$4/28</f>
        <v>759.73919413919407</v>
      </c>
      <c r="BC60" s="16">
        <f>Demand_LP!F$4/28</f>
        <v>495.28213999542123</v>
      </c>
      <c r="BD60" s="16">
        <f>Demand_LP!G$4/28</f>
        <v>821.42857142857144</v>
      </c>
      <c r="BE60" s="16">
        <f>Demand_LP!H$4/28</f>
        <v>535.71428571428567</v>
      </c>
      <c r="BF60" s="16">
        <f>Demand_LP!I$4/28</f>
        <v>496.42857142857144</v>
      </c>
      <c r="BG60" s="16">
        <f>Demand_LP!J$4/28</f>
        <v>482.14285714285717</v>
      </c>
      <c r="BH60" s="16">
        <f>Demand_LP!K$4/28</f>
        <v>471.42857142857144</v>
      </c>
      <c r="BI60" s="16" t="e">
        <f t="shared" si="13"/>
        <v>#VALUE!</v>
      </c>
      <c r="BJ60" s="16">
        <f t="shared" si="14"/>
        <v>-32636.756043956011</v>
      </c>
      <c r="BK60" s="16">
        <f t="shared" si="15"/>
        <v>-12513.45238095238</v>
      </c>
      <c r="BL60" s="16">
        <f t="shared" si="16"/>
        <v>-38345.943406593389</v>
      </c>
      <c r="BM60" s="16">
        <f t="shared" si="17"/>
        <v>-24827.734758470717</v>
      </c>
      <c r="BN60" s="16">
        <f t="shared" si="18"/>
        <v>-35357.142857142877</v>
      </c>
      <c r="BO60" s="16">
        <f t="shared" si="19"/>
        <v>-34928.571428571435</v>
      </c>
      <c r="BP60" s="16">
        <f t="shared" si="20"/>
        <v>-24907.142857142873</v>
      </c>
      <c r="BQ60" s="16">
        <f t="shared" si="21"/>
        <v>-21535.714285714297</v>
      </c>
      <c r="BR60" s="16">
        <f t="shared" si="22"/>
        <v>-22757.142857142862</v>
      </c>
      <c r="BS60" s="14">
        <f>IF([1]Sheet2!CA59=999999,"NA",[1]Sheet2!CA59)</f>
        <v>193721.85714285725</v>
      </c>
      <c r="BT60" s="14">
        <f>IF([1]Sheet2!CB59=999999,"NA",[1]Sheet2!CB59)</f>
        <v>230</v>
      </c>
      <c r="BU60" s="14">
        <f>IF([1]Sheet2!CC59=999999,"NA",[1]Sheet2!CC59)</f>
        <v>308</v>
      </c>
      <c r="BV60" s="14">
        <f>IF([1]Sheet2!CD59=999999,"NA",[1]Sheet2!CD59)</f>
        <v>308</v>
      </c>
      <c r="BW60" s="14">
        <f>IF([1]Sheet2!CE59=999999,"NA",[1]Sheet2!CE59)</f>
        <v>270</v>
      </c>
      <c r="BX60" s="14">
        <f>IF([1]Sheet2!CF59=999999,"NA",[1]Sheet2!CF59)</f>
        <v>308</v>
      </c>
      <c r="BY60" s="14">
        <f>IF([1]Sheet2!CG59=999999,"NA",[1]Sheet2!CG59)</f>
        <v>202</v>
      </c>
      <c r="BZ60" s="14">
        <f>IF([1]Sheet2!CH59=999999,"NA",[1]Sheet2!CH59)</f>
        <v>308</v>
      </c>
      <c r="CA60" s="14">
        <f>IF([1]Sheet2!CI59=999999,"NA",[1]Sheet2!CI59)</f>
        <v>308</v>
      </c>
      <c r="CB60" s="14">
        <f>IF([1]Sheet2!CJ59=999999,"NA",[1]Sheet2!CJ59)</f>
        <v>308</v>
      </c>
      <c r="CC60" s="14">
        <f>[1]Sheet2!BG59</f>
        <v>0</v>
      </c>
      <c r="CD60" s="14">
        <f>[1]Sheet2!BH59</f>
        <v>0</v>
      </c>
      <c r="CE60" s="14">
        <f>[1]Sheet2!BI59</f>
        <v>0</v>
      </c>
      <c r="CF60" s="14">
        <f>[1]Sheet2!BJ59</f>
        <v>0</v>
      </c>
      <c r="CG60" s="14">
        <f>[1]Sheet2!BK59</f>
        <v>0</v>
      </c>
      <c r="CH60" s="14">
        <f>[1]Sheet2!BL59</f>
        <v>0</v>
      </c>
      <c r="CI60" s="14">
        <f>[1]Sheet2!BM59</f>
        <v>0</v>
      </c>
      <c r="CJ60" s="14">
        <f>[1]Sheet2!BN59</f>
        <v>0</v>
      </c>
      <c r="CK60" s="14">
        <f>[1]Sheet2!BO59</f>
        <v>0</v>
      </c>
      <c r="CL60" s="14">
        <f>[1]Sheet2!BP59</f>
        <v>0</v>
      </c>
      <c r="CM60" s="16">
        <f>Demand_SW!B$4/28</f>
        <v>94.69780219780219</v>
      </c>
      <c r="CN60" s="16">
        <f>Demand_SW!C$4/28</f>
        <v>0</v>
      </c>
      <c r="CO60" s="16">
        <f>Demand_SW!D$4/28</f>
        <v>0</v>
      </c>
      <c r="CP60" s="16">
        <f>Demand_SW!E$4/28</f>
        <v>0</v>
      </c>
      <c r="CQ60" s="16">
        <f>Demand_SW!F$4/28</f>
        <v>0</v>
      </c>
      <c r="CR60" s="16">
        <f>Demand_SW!G$4/28</f>
        <v>85.714285714285708</v>
      </c>
      <c r="CS60" s="16">
        <f>Demand_SW!H$4/28</f>
        <v>0</v>
      </c>
      <c r="CT60" s="16">
        <f>Demand_SW!I$4/28</f>
        <v>0</v>
      </c>
      <c r="CU60" s="16">
        <f>Demand_SW!J$4/28</f>
        <v>0</v>
      </c>
      <c r="CV60" s="16">
        <f>Demand_SW!K$4/28</f>
        <v>0</v>
      </c>
      <c r="CW60" s="16">
        <f t="shared" si="23"/>
        <v>44210.934065934038</v>
      </c>
      <c r="CX60" s="16">
        <f t="shared" si="24"/>
        <v>500</v>
      </c>
      <c r="CY60" s="16">
        <f t="shared" si="25"/>
        <v>0</v>
      </c>
      <c r="CZ60" s="16">
        <f t="shared" si="26"/>
        <v>0</v>
      </c>
      <c r="DA60" s="16">
        <f t="shared" si="27"/>
        <v>0</v>
      </c>
      <c r="DB60" s="16">
        <f t="shared" si="28"/>
        <v>-5328.5714285714221</v>
      </c>
      <c r="DC60" s="16">
        <f t="shared" si="29"/>
        <v>500</v>
      </c>
      <c r="DD60" s="16">
        <f t="shared" si="30"/>
        <v>0</v>
      </c>
      <c r="DE60" s="16">
        <f t="shared" si="31"/>
        <v>0</v>
      </c>
      <c r="DF60" s="16">
        <f t="shared" si="32"/>
        <v>0</v>
      </c>
      <c r="DG60" s="14">
        <f>IF([1]Sheet2!DR59=999999,"NA",[1]Sheet2!DR59)</f>
        <v>73103</v>
      </c>
      <c r="DH60" s="14">
        <f>IF([1]Sheet2!DS59=999999,"NA",[1]Sheet2!DS59)</f>
        <v>308</v>
      </c>
      <c r="DI60" s="14">
        <f>IF([1]Sheet2!DT59=999999,"NA",[1]Sheet2!DT59)</f>
        <v>308</v>
      </c>
      <c r="DJ60" s="14" t="str">
        <f>IF([1]Sheet2!DU59=999999,"NA",[1]Sheet2!DU59)</f>
        <v>NA</v>
      </c>
      <c r="DK60" s="14" t="str">
        <f>IF([1]Sheet2!DV59=999999,"NA",[1]Sheet2!DV59)</f>
        <v>NA</v>
      </c>
      <c r="DL60" s="14" t="str">
        <f>IF([1]Sheet2!DW59=999999,"NA",[1]Sheet2!DW59)</f>
        <v>NA</v>
      </c>
      <c r="DM60" s="14">
        <f>IF([1]Sheet2!DX59=999999,"NA",[1]Sheet2!DX59)</f>
        <v>308</v>
      </c>
      <c r="DN60" s="14">
        <f>IF([1]Sheet2!DY59=999999,"NA",[1]Sheet2!DY59)</f>
        <v>308</v>
      </c>
      <c r="DO60" s="14" t="str">
        <f>IF([1]Sheet2!DZ59=999999,"NA",[1]Sheet2!DZ59)</f>
        <v>NA</v>
      </c>
      <c r="DP60" s="14" t="str">
        <f>IF([1]Sheet2!EA59=999999,"NA",[1]Sheet2!EA59)</f>
        <v>NA</v>
      </c>
      <c r="DQ60" s="14">
        <f>[1]Sheet2!CX59</f>
        <v>0</v>
      </c>
      <c r="DR60" s="14">
        <f>[1]Sheet2!CY59</f>
        <v>0</v>
      </c>
      <c r="DS60" s="14">
        <f>[1]Sheet2!CZ59</f>
        <v>0</v>
      </c>
      <c r="DT60" s="14">
        <f>[1]Sheet2!DA59</f>
        <v>0</v>
      </c>
      <c r="DU60" s="14">
        <f>[1]Sheet2!DB59</f>
        <v>0</v>
      </c>
      <c r="DV60" s="14">
        <f>[1]Sheet2!DC59</f>
        <v>0</v>
      </c>
      <c r="DW60" s="14">
        <f>[1]Sheet2!DD59</f>
        <v>0</v>
      </c>
      <c r="DX60" s="14">
        <f>[1]Sheet2!DE59</f>
        <v>0</v>
      </c>
      <c r="DY60" s="14">
        <f>[1]Sheet2!DF59</f>
        <v>0</v>
      </c>
      <c r="DZ60" s="14">
        <f>[1]Sheet2!DG59</f>
        <v>0</v>
      </c>
    </row>
    <row r="61" spans="1:130" x14ac:dyDescent="0.25">
      <c r="A61" s="15">
        <v>43523</v>
      </c>
      <c r="B61" s="1"/>
      <c r="C61" s="1"/>
      <c r="D61" s="1"/>
      <c r="E61" s="14">
        <f>[1]Sheet2!N60</f>
        <v>0</v>
      </c>
      <c r="F61" s="14">
        <f>[1]Sheet2!BE60</f>
        <v>0</v>
      </c>
      <c r="G61" s="14">
        <f>[1]Sheet2!CV60</f>
        <v>180.41208791208791</v>
      </c>
      <c r="H61" s="1"/>
      <c r="I61" s="1"/>
      <c r="J61" s="1"/>
      <c r="K61" s="16">
        <f>Demand_CWRS!B$4/28</f>
        <v>131.68146963713369</v>
      </c>
      <c r="L61" s="16">
        <f>Demand_CWRS!C$4/28</f>
        <v>501.27216117216119</v>
      </c>
      <c r="M61" s="16">
        <f>Demand_CWRS!D$4/28</f>
        <v>0</v>
      </c>
      <c r="N61" s="16">
        <f>Demand_CWRS!E$4/28</f>
        <v>130.17472527472526</v>
      </c>
      <c r="O61" s="16">
        <f>Demand_CWRS!F$4/28</f>
        <v>262.94741300366297</v>
      </c>
      <c r="P61" s="16">
        <f>Demand_CWRS!G$4/28</f>
        <v>127.85714285714286</v>
      </c>
      <c r="Q61" s="16">
        <f>Demand_CWRS!H$4/28</f>
        <v>501.27216117216119</v>
      </c>
      <c r="R61" s="16">
        <f>Demand_CWRS!I$4/28</f>
        <v>214.28571428571428</v>
      </c>
      <c r="S61" s="16">
        <f>Demand_CWRS!J$4/28</f>
        <v>207.14285714285714</v>
      </c>
      <c r="T61" s="16">
        <f>Demand_CWRS!K$4/28</f>
        <v>221.42857142857142</v>
      </c>
      <c r="U61" s="16">
        <f t="shared" si="3"/>
        <v>-10265.26234045901</v>
      </c>
      <c r="V61" s="16">
        <f t="shared" si="4"/>
        <v>-19027.358608058603</v>
      </c>
      <c r="W61" s="16">
        <f t="shared" si="5"/>
        <v>0</v>
      </c>
      <c r="X61" s="16">
        <f t="shared" si="6"/>
        <v>-4579.7496336996373</v>
      </c>
      <c r="Y61" s="16">
        <f t="shared" si="7"/>
        <v>-12249.019173534805</v>
      </c>
      <c r="Z61" s="16">
        <f t="shared" si="8"/>
        <v>-10052.142857142866</v>
      </c>
      <c r="AA61" s="16">
        <f t="shared" si="9"/>
        <v>-18527.358608058603</v>
      </c>
      <c r="AB61" s="16">
        <f t="shared" si="10"/>
        <v>-9985.7142857142881</v>
      </c>
      <c r="AC61" s="16">
        <f t="shared" si="11"/>
        <v>-9992.8571428571358</v>
      </c>
      <c r="AD61" s="16">
        <f t="shared" si="12"/>
        <v>-10678.57142857142</v>
      </c>
      <c r="AE61" s="14">
        <f>IF([1]Sheet2!AJ60=999999,"NA",[1]Sheet2!AJ60)</f>
        <v>69</v>
      </c>
      <c r="AF61" s="14">
        <f>IF([1]Sheet2!AK60=999999,"NA",[1]Sheet2!AK60)</f>
        <v>0</v>
      </c>
      <c r="AG61" s="14" t="str">
        <f>IF([1]Sheet2!AL60=999999,"NA",[1]Sheet2!AL60)</f>
        <v>NA</v>
      </c>
      <c r="AH61" s="14">
        <f>IF([1]Sheet2!AM60=999999,"NA",[1]Sheet2!AM60)</f>
        <v>307</v>
      </c>
      <c r="AI61" s="14">
        <f>IF([1]Sheet2!AN60=999999,"NA",[1]Sheet2!AN60)</f>
        <v>307</v>
      </c>
      <c r="AJ61" s="14">
        <f>IF([1]Sheet2!AO60=999999,"NA",[1]Sheet2!AO60)</f>
        <v>307</v>
      </c>
      <c r="AK61" s="14">
        <f>IF([1]Sheet2!AP60=999999,"NA",[1]Sheet2!AP60)</f>
        <v>52</v>
      </c>
      <c r="AL61" s="14">
        <f>IF([1]Sheet2!AQ60=999999,"NA",[1]Sheet2!AQ60)</f>
        <v>183</v>
      </c>
      <c r="AM61" s="14">
        <f>IF([1]Sheet2!AR60=999999,"NA",[1]Sheet2!AR60)</f>
        <v>307</v>
      </c>
      <c r="AN61" s="14">
        <f>IF([1]Sheet2!AS60=999999,"NA",[1]Sheet2!AS60)</f>
        <v>239</v>
      </c>
      <c r="AO61" s="14">
        <f>[1]Sheet2!P60</f>
        <v>0</v>
      </c>
      <c r="AP61" s="14">
        <f>[1]Sheet2!Q60</f>
        <v>0</v>
      </c>
      <c r="AQ61" s="14">
        <f>[1]Sheet2!R60</f>
        <v>0</v>
      </c>
      <c r="AR61" s="14">
        <f>[1]Sheet2!S60</f>
        <v>0</v>
      </c>
      <c r="AS61" s="14">
        <f>[1]Sheet2!T60</f>
        <v>0</v>
      </c>
      <c r="AT61" s="14">
        <f>[1]Sheet2!U60</f>
        <v>0</v>
      </c>
      <c r="AU61" s="14">
        <f>[1]Sheet2!V60</f>
        <v>0</v>
      </c>
      <c r="AV61" s="14">
        <f>[1]Sheet2!W60</f>
        <v>0</v>
      </c>
      <c r="AW61" s="14">
        <f>[1]Sheet2!X60</f>
        <v>0</v>
      </c>
      <c r="AX61" s="14">
        <f>[1]Sheet2!Y60</f>
        <v>0</v>
      </c>
      <c r="AY61" s="16">
        <f>Demand_LP!B$4/28</f>
        <v>811.09813487293957</v>
      </c>
      <c r="AZ61" s="16">
        <f>Demand_LP!C$4/28</f>
        <v>502.83223443223443</v>
      </c>
      <c r="BA61" s="16">
        <f>Demand_LP!D$4/28</f>
        <v>282.53663003663002</v>
      </c>
      <c r="BB61" s="16">
        <f>Demand_LP!E$4/28</f>
        <v>759.73919413919407</v>
      </c>
      <c r="BC61" s="16">
        <f>Demand_LP!F$4/28</f>
        <v>495.28213999542123</v>
      </c>
      <c r="BD61" s="16">
        <f>Demand_LP!G$4/28</f>
        <v>821.42857142857144</v>
      </c>
      <c r="BE61" s="16">
        <f>Demand_LP!H$4/28</f>
        <v>535.71428571428567</v>
      </c>
      <c r="BF61" s="16">
        <f>Demand_LP!I$4/28</f>
        <v>496.42857142857144</v>
      </c>
      <c r="BG61" s="16">
        <f>Demand_LP!J$4/28</f>
        <v>482.14285714285717</v>
      </c>
      <c r="BH61" s="16">
        <f>Demand_LP!K$4/28</f>
        <v>471.42857142857144</v>
      </c>
      <c r="BI61" s="16" t="e">
        <f t="shared" si="13"/>
        <v>#VALUE!</v>
      </c>
      <c r="BJ61" s="16">
        <f t="shared" si="14"/>
        <v>-33139.588278388248</v>
      </c>
      <c r="BK61" s="16">
        <f t="shared" si="15"/>
        <v>-12795.989010989009</v>
      </c>
      <c r="BL61" s="16">
        <f t="shared" si="16"/>
        <v>-39105.68260073258</v>
      </c>
      <c r="BM61" s="16">
        <f t="shared" si="17"/>
        <v>-25323.01689846614</v>
      </c>
      <c r="BN61" s="16">
        <f t="shared" si="18"/>
        <v>-36178.571428571449</v>
      </c>
      <c r="BO61" s="16">
        <f t="shared" si="19"/>
        <v>-35464.285714285717</v>
      </c>
      <c r="BP61" s="16">
        <f t="shared" si="20"/>
        <v>-25403.571428571446</v>
      </c>
      <c r="BQ61" s="16">
        <f t="shared" si="21"/>
        <v>-22017.857142857156</v>
      </c>
      <c r="BR61" s="16">
        <f t="shared" si="22"/>
        <v>-23228.571428571435</v>
      </c>
      <c r="BS61" s="14">
        <f>IF([1]Sheet2!CA60=999999,"NA",[1]Sheet2!CA60)</f>
        <v>193250.42857142867</v>
      </c>
      <c r="BT61" s="14">
        <f>IF([1]Sheet2!CB60=999999,"NA",[1]Sheet2!CB60)</f>
        <v>229</v>
      </c>
      <c r="BU61" s="14">
        <f>IF([1]Sheet2!CC60=999999,"NA",[1]Sheet2!CC60)</f>
        <v>307</v>
      </c>
      <c r="BV61" s="14">
        <f>IF([1]Sheet2!CD60=999999,"NA",[1]Sheet2!CD60)</f>
        <v>307</v>
      </c>
      <c r="BW61" s="14">
        <f>IF([1]Sheet2!CE60=999999,"NA",[1]Sheet2!CE60)</f>
        <v>269</v>
      </c>
      <c r="BX61" s="14">
        <f>IF([1]Sheet2!CF60=999999,"NA",[1]Sheet2!CF60)</f>
        <v>307</v>
      </c>
      <c r="BY61" s="14">
        <f>IF([1]Sheet2!CG60=999999,"NA",[1]Sheet2!CG60)</f>
        <v>201</v>
      </c>
      <c r="BZ61" s="14">
        <f>IF([1]Sheet2!CH60=999999,"NA",[1]Sheet2!CH60)</f>
        <v>307</v>
      </c>
      <c r="CA61" s="14">
        <f>IF([1]Sheet2!CI60=999999,"NA",[1]Sheet2!CI60)</f>
        <v>307</v>
      </c>
      <c r="CB61" s="14">
        <f>IF([1]Sheet2!CJ60=999999,"NA",[1]Sheet2!CJ60)</f>
        <v>307</v>
      </c>
      <c r="CC61" s="14">
        <f>[1]Sheet2!BG60</f>
        <v>0</v>
      </c>
      <c r="CD61" s="14">
        <f>[1]Sheet2!BH60</f>
        <v>0</v>
      </c>
      <c r="CE61" s="14">
        <f>[1]Sheet2!BI60</f>
        <v>0</v>
      </c>
      <c r="CF61" s="14">
        <f>[1]Sheet2!BJ60</f>
        <v>0</v>
      </c>
      <c r="CG61" s="14">
        <f>[1]Sheet2!BK60</f>
        <v>0</v>
      </c>
      <c r="CH61" s="14">
        <f>[1]Sheet2!BL60</f>
        <v>0</v>
      </c>
      <c r="CI61" s="14">
        <f>[1]Sheet2!BM60</f>
        <v>0</v>
      </c>
      <c r="CJ61" s="14">
        <f>[1]Sheet2!BN60</f>
        <v>0</v>
      </c>
      <c r="CK61" s="14">
        <f>[1]Sheet2!BO60</f>
        <v>0</v>
      </c>
      <c r="CL61" s="14">
        <f>[1]Sheet2!BP60</f>
        <v>0</v>
      </c>
      <c r="CM61" s="16">
        <f>Demand_SW!B$4/28</f>
        <v>94.69780219780219</v>
      </c>
      <c r="CN61" s="16">
        <f>Demand_SW!C$4/28</f>
        <v>0</v>
      </c>
      <c r="CO61" s="16">
        <f>Demand_SW!D$4/28</f>
        <v>0</v>
      </c>
      <c r="CP61" s="16">
        <f>Demand_SW!E$4/28</f>
        <v>0</v>
      </c>
      <c r="CQ61" s="16">
        <f>Demand_SW!F$4/28</f>
        <v>0</v>
      </c>
      <c r="CR61" s="16">
        <f>Demand_SW!G$4/28</f>
        <v>85.714285714285708</v>
      </c>
      <c r="CS61" s="16">
        <f>Demand_SW!H$4/28</f>
        <v>0</v>
      </c>
      <c r="CT61" s="16">
        <f>Demand_SW!I$4/28</f>
        <v>0</v>
      </c>
      <c r="CU61" s="16">
        <f>Demand_SW!J$4/28</f>
        <v>0</v>
      </c>
      <c r="CV61" s="16">
        <f>Demand_SW!K$4/28</f>
        <v>0</v>
      </c>
      <c r="CW61" s="16">
        <f t="shared" si="23"/>
        <v>44116.236263736238</v>
      </c>
      <c r="CX61" s="16">
        <f t="shared" si="24"/>
        <v>500</v>
      </c>
      <c r="CY61" s="16">
        <f t="shared" si="25"/>
        <v>0</v>
      </c>
      <c r="CZ61" s="16">
        <f t="shared" si="26"/>
        <v>0</v>
      </c>
      <c r="DA61" s="16">
        <f t="shared" si="27"/>
        <v>0</v>
      </c>
      <c r="DB61" s="16">
        <f t="shared" si="28"/>
        <v>-5414.2857142857074</v>
      </c>
      <c r="DC61" s="16">
        <f t="shared" si="29"/>
        <v>500</v>
      </c>
      <c r="DD61" s="16">
        <f t="shared" si="30"/>
        <v>0</v>
      </c>
      <c r="DE61" s="16">
        <f t="shared" si="31"/>
        <v>0</v>
      </c>
      <c r="DF61" s="16">
        <f t="shared" si="32"/>
        <v>0</v>
      </c>
      <c r="DG61" s="14">
        <f>IF([1]Sheet2!DR60=999999,"NA",[1]Sheet2!DR60)</f>
        <v>73103</v>
      </c>
      <c r="DH61" s="14">
        <f>IF([1]Sheet2!DS60=999999,"NA",[1]Sheet2!DS60)</f>
        <v>307</v>
      </c>
      <c r="DI61" s="14">
        <f>IF([1]Sheet2!DT60=999999,"NA",[1]Sheet2!DT60)</f>
        <v>307</v>
      </c>
      <c r="DJ61" s="14" t="str">
        <f>IF([1]Sheet2!DU60=999999,"NA",[1]Sheet2!DU60)</f>
        <v>NA</v>
      </c>
      <c r="DK61" s="14" t="str">
        <f>IF([1]Sheet2!DV60=999999,"NA",[1]Sheet2!DV60)</f>
        <v>NA</v>
      </c>
      <c r="DL61" s="14" t="str">
        <f>IF([1]Sheet2!DW60=999999,"NA",[1]Sheet2!DW60)</f>
        <v>NA</v>
      </c>
      <c r="DM61" s="14">
        <f>IF([1]Sheet2!DX60=999999,"NA",[1]Sheet2!DX60)</f>
        <v>307</v>
      </c>
      <c r="DN61" s="14">
        <f>IF([1]Sheet2!DY60=999999,"NA",[1]Sheet2!DY60)</f>
        <v>307</v>
      </c>
      <c r="DO61" s="14" t="str">
        <f>IF([1]Sheet2!DZ60=999999,"NA",[1]Sheet2!DZ60)</f>
        <v>NA</v>
      </c>
      <c r="DP61" s="14" t="str">
        <f>IF([1]Sheet2!EA60=999999,"NA",[1]Sheet2!EA60)</f>
        <v>NA</v>
      </c>
      <c r="DQ61" s="14">
        <f>[1]Sheet2!CX60</f>
        <v>0</v>
      </c>
      <c r="DR61" s="14">
        <f>[1]Sheet2!CY60</f>
        <v>0</v>
      </c>
      <c r="DS61" s="14">
        <f>[1]Sheet2!CZ60</f>
        <v>0</v>
      </c>
      <c r="DT61" s="14">
        <f>[1]Sheet2!DA60</f>
        <v>0</v>
      </c>
      <c r="DU61" s="14">
        <f>[1]Sheet2!DB60</f>
        <v>0</v>
      </c>
      <c r="DV61" s="14">
        <f>[1]Sheet2!DC60</f>
        <v>0</v>
      </c>
      <c r="DW61" s="14">
        <f>[1]Sheet2!DD60</f>
        <v>0</v>
      </c>
      <c r="DX61" s="14">
        <f>[1]Sheet2!DE60</f>
        <v>0</v>
      </c>
      <c r="DY61" s="14">
        <f>[1]Sheet2!DF60</f>
        <v>0</v>
      </c>
      <c r="DZ61" s="14">
        <f>[1]Sheet2!DG60</f>
        <v>0</v>
      </c>
    </row>
    <row r="62" spans="1:130" x14ac:dyDescent="0.25">
      <c r="A62" s="15">
        <v>43524</v>
      </c>
      <c r="B62" s="1"/>
      <c r="C62" s="1"/>
      <c r="D62" s="1"/>
      <c r="E62" s="14">
        <f>[1]Sheet2!N61</f>
        <v>0</v>
      </c>
      <c r="F62" s="14">
        <f>[1]Sheet2!BE61</f>
        <v>0</v>
      </c>
      <c r="G62" s="14">
        <f>[1]Sheet2!CV61</f>
        <v>180.41208791208791</v>
      </c>
      <c r="H62" s="1"/>
      <c r="I62" s="1"/>
      <c r="J62" s="1"/>
      <c r="K62" s="16">
        <f>Demand_CWRS!B$4/28</f>
        <v>131.68146963713369</v>
      </c>
      <c r="L62" s="16">
        <f>Demand_CWRS!C$4/28</f>
        <v>501.27216117216119</v>
      </c>
      <c r="M62" s="16">
        <f>Demand_CWRS!D$4/28</f>
        <v>0</v>
      </c>
      <c r="N62" s="16">
        <f>Demand_CWRS!E$4/28</f>
        <v>130.17472527472526</v>
      </c>
      <c r="O62" s="16">
        <f>Demand_CWRS!F$4/28</f>
        <v>262.94741300366297</v>
      </c>
      <c r="P62" s="16">
        <f>Demand_CWRS!G$4/28</f>
        <v>127.85714285714286</v>
      </c>
      <c r="Q62" s="16">
        <f>Demand_CWRS!H$4/28</f>
        <v>501.27216117216119</v>
      </c>
      <c r="R62" s="16">
        <f>Demand_CWRS!I$4/28</f>
        <v>214.28571428571428</v>
      </c>
      <c r="S62" s="16">
        <f>Demand_CWRS!J$4/28</f>
        <v>207.14285714285714</v>
      </c>
      <c r="T62" s="16">
        <f>Demand_CWRS!K$4/28</f>
        <v>221.42857142857142</v>
      </c>
      <c r="U62" s="16">
        <f t="shared" si="3"/>
        <v>-10396.943810096143</v>
      </c>
      <c r="V62" s="16">
        <f t="shared" si="4"/>
        <v>-19528.630769230764</v>
      </c>
      <c r="W62" s="16">
        <f t="shared" si="5"/>
        <v>0</v>
      </c>
      <c r="X62" s="16">
        <f t="shared" si="6"/>
        <v>-4709.9243589743628</v>
      </c>
      <c r="Y62" s="16">
        <f t="shared" si="7"/>
        <v>-12511.966586538469</v>
      </c>
      <c r="Z62" s="16">
        <f t="shared" si="8"/>
        <v>-10180.000000000009</v>
      </c>
      <c r="AA62" s="16">
        <f t="shared" si="9"/>
        <v>-19028.630769230764</v>
      </c>
      <c r="AB62" s="16">
        <f t="shared" si="10"/>
        <v>-10200.000000000002</v>
      </c>
      <c r="AC62" s="16">
        <f t="shared" si="11"/>
        <v>-10199.999999999993</v>
      </c>
      <c r="AD62" s="16">
        <f t="shared" si="12"/>
        <v>-10899.999999999991</v>
      </c>
      <c r="AE62" s="14">
        <f>IF([1]Sheet2!AJ61=999999,"NA",[1]Sheet2!AJ61)</f>
        <v>68</v>
      </c>
      <c r="AF62" s="14">
        <f>IF([1]Sheet2!AK61=999999,"NA",[1]Sheet2!AK61)</f>
        <v>0</v>
      </c>
      <c r="AG62" s="14" t="str">
        <f>IF([1]Sheet2!AL61=999999,"NA",[1]Sheet2!AL61)</f>
        <v>NA</v>
      </c>
      <c r="AH62" s="14">
        <f>IF([1]Sheet2!AM61=999999,"NA",[1]Sheet2!AM61)</f>
        <v>306</v>
      </c>
      <c r="AI62" s="14">
        <f>IF([1]Sheet2!AN61=999999,"NA",[1]Sheet2!AN61)</f>
        <v>306</v>
      </c>
      <c r="AJ62" s="14">
        <f>IF([1]Sheet2!AO61=999999,"NA",[1]Sheet2!AO61)</f>
        <v>306</v>
      </c>
      <c r="AK62" s="14">
        <f>IF([1]Sheet2!AP61=999999,"NA",[1]Sheet2!AP61)</f>
        <v>51</v>
      </c>
      <c r="AL62" s="14">
        <f>IF([1]Sheet2!AQ61=999999,"NA",[1]Sheet2!AQ61)</f>
        <v>182</v>
      </c>
      <c r="AM62" s="14">
        <f>IF([1]Sheet2!AR61=999999,"NA",[1]Sheet2!AR61)</f>
        <v>306</v>
      </c>
      <c r="AN62" s="14">
        <f>IF([1]Sheet2!AS61=999999,"NA",[1]Sheet2!AS61)</f>
        <v>238</v>
      </c>
      <c r="AO62" s="14">
        <f>[1]Sheet2!P61</f>
        <v>0</v>
      </c>
      <c r="AP62" s="14">
        <f>[1]Sheet2!Q61</f>
        <v>0</v>
      </c>
      <c r="AQ62" s="14">
        <f>[1]Sheet2!R61</f>
        <v>0</v>
      </c>
      <c r="AR62" s="14">
        <f>[1]Sheet2!S61</f>
        <v>0</v>
      </c>
      <c r="AS62" s="14">
        <f>[1]Sheet2!T61</f>
        <v>0</v>
      </c>
      <c r="AT62" s="14">
        <f>[1]Sheet2!U61</f>
        <v>0</v>
      </c>
      <c r="AU62" s="14">
        <f>[1]Sheet2!V61</f>
        <v>0</v>
      </c>
      <c r="AV62" s="14">
        <f>[1]Sheet2!W61</f>
        <v>0</v>
      </c>
      <c r="AW62" s="14">
        <f>[1]Sheet2!X61</f>
        <v>0</v>
      </c>
      <c r="AX62" s="14">
        <f>[1]Sheet2!Y61</f>
        <v>0</v>
      </c>
      <c r="AY62" s="16">
        <f>Demand_LP!B$4/28</f>
        <v>811.09813487293957</v>
      </c>
      <c r="AZ62" s="16">
        <f>Demand_LP!C$4/28</f>
        <v>502.83223443223443</v>
      </c>
      <c r="BA62" s="16">
        <f>Demand_LP!D$4/28</f>
        <v>282.53663003663002</v>
      </c>
      <c r="BB62" s="16">
        <f>Demand_LP!E$4/28</f>
        <v>759.73919413919407</v>
      </c>
      <c r="BC62" s="16">
        <f>Demand_LP!F$4/28</f>
        <v>495.28213999542123</v>
      </c>
      <c r="BD62" s="16">
        <f>Demand_LP!G$4/28</f>
        <v>821.42857142857144</v>
      </c>
      <c r="BE62" s="16">
        <f>Demand_LP!H$4/28</f>
        <v>535.71428571428567</v>
      </c>
      <c r="BF62" s="16">
        <f>Demand_LP!I$4/28</f>
        <v>496.42857142857144</v>
      </c>
      <c r="BG62" s="16">
        <f>Demand_LP!J$4/28</f>
        <v>482.14285714285717</v>
      </c>
      <c r="BH62" s="16">
        <f>Demand_LP!K$4/28</f>
        <v>471.42857142857144</v>
      </c>
      <c r="BI62" s="16" t="e">
        <f t="shared" si="13"/>
        <v>#VALUE!</v>
      </c>
      <c r="BJ62" s="16">
        <f t="shared" si="14"/>
        <v>-33642.420512820485</v>
      </c>
      <c r="BK62" s="16">
        <f t="shared" si="15"/>
        <v>-13078.525641025639</v>
      </c>
      <c r="BL62" s="16">
        <f t="shared" si="16"/>
        <v>-39865.421794871771</v>
      </c>
      <c r="BM62" s="16">
        <f t="shared" si="17"/>
        <v>-25818.299038461562</v>
      </c>
      <c r="BN62" s="16">
        <f t="shared" si="18"/>
        <v>-37000.000000000022</v>
      </c>
      <c r="BO62" s="16">
        <f t="shared" si="19"/>
        <v>-36000</v>
      </c>
      <c r="BP62" s="16">
        <f t="shared" si="20"/>
        <v>-25900.000000000018</v>
      </c>
      <c r="BQ62" s="16">
        <f t="shared" si="21"/>
        <v>-22500.000000000015</v>
      </c>
      <c r="BR62" s="16">
        <f t="shared" si="22"/>
        <v>-23700.000000000007</v>
      </c>
      <c r="BS62" s="14">
        <f>IF([1]Sheet2!CA61=999999,"NA",[1]Sheet2!CA61)</f>
        <v>192779.00000000009</v>
      </c>
      <c r="BT62" s="14">
        <f>IF([1]Sheet2!CB61=999999,"NA",[1]Sheet2!CB61)</f>
        <v>228</v>
      </c>
      <c r="BU62" s="14">
        <f>IF([1]Sheet2!CC61=999999,"NA",[1]Sheet2!CC61)</f>
        <v>306</v>
      </c>
      <c r="BV62" s="14">
        <f>IF([1]Sheet2!CD61=999999,"NA",[1]Sheet2!CD61)</f>
        <v>306</v>
      </c>
      <c r="BW62" s="14">
        <f>IF([1]Sheet2!CE61=999999,"NA",[1]Sheet2!CE61)</f>
        <v>268</v>
      </c>
      <c r="BX62" s="14">
        <f>IF([1]Sheet2!CF61=999999,"NA",[1]Sheet2!CF61)</f>
        <v>306</v>
      </c>
      <c r="BY62" s="14">
        <f>IF([1]Sheet2!CG61=999999,"NA",[1]Sheet2!CG61)</f>
        <v>200</v>
      </c>
      <c r="BZ62" s="14">
        <f>IF([1]Sheet2!CH61=999999,"NA",[1]Sheet2!CH61)</f>
        <v>306</v>
      </c>
      <c r="CA62" s="14">
        <f>IF([1]Sheet2!CI61=999999,"NA",[1]Sheet2!CI61)</f>
        <v>306</v>
      </c>
      <c r="CB62" s="14">
        <f>IF([1]Sheet2!CJ61=999999,"NA",[1]Sheet2!CJ61)</f>
        <v>306</v>
      </c>
      <c r="CC62" s="14">
        <f>[1]Sheet2!BG61</f>
        <v>0</v>
      </c>
      <c r="CD62" s="14">
        <f>[1]Sheet2!BH61</f>
        <v>0</v>
      </c>
      <c r="CE62" s="14">
        <f>[1]Sheet2!BI61</f>
        <v>0</v>
      </c>
      <c r="CF62" s="14">
        <f>[1]Sheet2!BJ61</f>
        <v>0</v>
      </c>
      <c r="CG62" s="14">
        <f>[1]Sheet2!BK61</f>
        <v>0</v>
      </c>
      <c r="CH62" s="14">
        <f>[1]Sheet2!BL61</f>
        <v>0</v>
      </c>
      <c r="CI62" s="14">
        <f>[1]Sheet2!BM61</f>
        <v>0</v>
      </c>
      <c r="CJ62" s="14">
        <f>[1]Sheet2!BN61</f>
        <v>0</v>
      </c>
      <c r="CK62" s="14">
        <f>[1]Sheet2!BO61</f>
        <v>0</v>
      </c>
      <c r="CL62" s="14">
        <f>[1]Sheet2!BP61</f>
        <v>0</v>
      </c>
      <c r="CM62" s="16">
        <f>Demand_SW!B$4/28</f>
        <v>94.69780219780219</v>
      </c>
      <c r="CN62" s="16">
        <f>Demand_SW!C$4/28</f>
        <v>0</v>
      </c>
      <c r="CO62" s="16">
        <f>Demand_SW!D$4/28</f>
        <v>0</v>
      </c>
      <c r="CP62" s="16">
        <f>Demand_SW!E$4/28</f>
        <v>0</v>
      </c>
      <c r="CQ62" s="16">
        <f>Demand_SW!F$4/28</f>
        <v>0</v>
      </c>
      <c r="CR62" s="16">
        <f>Demand_SW!G$4/28</f>
        <v>85.714285714285708</v>
      </c>
      <c r="CS62" s="16">
        <f>Demand_SW!H$4/28</f>
        <v>0</v>
      </c>
      <c r="CT62" s="16">
        <f>Demand_SW!I$4/28</f>
        <v>0</v>
      </c>
      <c r="CU62" s="16">
        <f>Demand_SW!J$4/28</f>
        <v>0</v>
      </c>
      <c r="CV62" s="16">
        <f>Demand_SW!K$4/28</f>
        <v>0</v>
      </c>
      <c r="CW62" s="16">
        <f t="shared" si="23"/>
        <v>44021.538461538439</v>
      </c>
      <c r="CX62" s="16">
        <f t="shared" si="24"/>
        <v>500</v>
      </c>
      <c r="CY62" s="16">
        <f t="shared" si="25"/>
        <v>0</v>
      </c>
      <c r="CZ62" s="16">
        <f t="shared" si="26"/>
        <v>0</v>
      </c>
      <c r="DA62" s="16">
        <f t="shared" si="27"/>
        <v>0</v>
      </c>
      <c r="DB62" s="16">
        <f t="shared" si="28"/>
        <v>-5499.9999999999927</v>
      </c>
      <c r="DC62" s="16">
        <f t="shared" si="29"/>
        <v>500</v>
      </c>
      <c r="DD62" s="16">
        <f t="shared" si="30"/>
        <v>0</v>
      </c>
      <c r="DE62" s="16">
        <f t="shared" si="31"/>
        <v>0</v>
      </c>
      <c r="DF62" s="16">
        <f t="shared" si="32"/>
        <v>0</v>
      </c>
      <c r="DG62" s="14">
        <f>IF([1]Sheet2!DR61=999999,"NA",[1]Sheet2!DR61)</f>
        <v>73103</v>
      </c>
      <c r="DH62" s="14">
        <f>IF([1]Sheet2!DS61=999999,"NA",[1]Sheet2!DS61)</f>
        <v>306</v>
      </c>
      <c r="DI62" s="14">
        <f>IF([1]Sheet2!DT61=999999,"NA",[1]Sheet2!DT61)</f>
        <v>306</v>
      </c>
      <c r="DJ62" s="14" t="str">
        <f>IF([1]Sheet2!DU61=999999,"NA",[1]Sheet2!DU61)</f>
        <v>NA</v>
      </c>
      <c r="DK62" s="14" t="str">
        <f>IF([1]Sheet2!DV61=999999,"NA",[1]Sheet2!DV61)</f>
        <v>NA</v>
      </c>
      <c r="DL62" s="14" t="str">
        <f>IF([1]Sheet2!DW61=999999,"NA",[1]Sheet2!DW61)</f>
        <v>NA</v>
      </c>
      <c r="DM62" s="14">
        <f>IF([1]Sheet2!DX61=999999,"NA",[1]Sheet2!DX61)</f>
        <v>306</v>
      </c>
      <c r="DN62" s="14">
        <f>IF([1]Sheet2!DY61=999999,"NA",[1]Sheet2!DY61)</f>
        <v>306</v>
      </c>
      <c r="DO62" s="14" t="str">
        <f>IF([1]Sheet2!DZ61=999999,"NA",[1]Sheet2!DZ61)</f>
        <v>NA</v>
      </c>
      <c r="DP62" s="14" t="str">
        <f>IF([1]Sheet2!EA61=999999,"NA",[1]Sheet2!EA61)</f>
        <v>NA</v>
      </c>
      <c r="DQ62" s="14">
        <f>[1]Sheet2!CX61</f>
        <v>0</v>
      </c>
      <c r="DR62" s="14">
        <f>[1]Sheet2!CY61</f>
        <v>0</v>
      </c>
      <c r="DS62" s="14">
        <f>[1]Sheet2!CZ61</f>
        <v>0</v>
      </c>
      <c r="DT62" s="14">
        <f>[1]Sheet2!DA61</f>
        <v>0</v>
      </c>
      <c r="DU62" s="14">
        <f>[1]Sheet2!DB61</f>
        <v>0</v>
      </c>
      <c r="DV62" s="14">
        <f>[1]Sheet2!DC61</f>
        <v>0</v>
      </c>
      <c r="DW62" s="14">
        <f>[1]Sheet2!DD61</f>
        <v>0</v>
      </c>
      <c r="DX62" s="14">
        <f>[1]Sheet2!DE61</f>
        <v>0</v>
      </c>
      <c r="DY62" s="14">
        <f>[1]Sheet2!DF61</f>
        <v>0</v>
      </c>
      <c r="DZ62" s="14">
        <f>[1]Sheet2!DG61</f>
        <v>0</v>
      </c>
    </row>
    <row r="63" spans="1:130" x14ac:dyDescent="0.25">
      <c r="A63" s="15">
        <v>43525</v>
      </c>
      <c r="B63" s="1"/>
      <c r="C63" s="1"/>
      <c r="D63" s="1"/>
      <c r="E63" s="14">
        <f>[1]Sheet2!N62</f>
        <v>0</v>
      </c>
      <c r="F63" s="14">
        <f>[1]Sheet2!BE62</f>
        <v>0</v>
      </c>
      <c r="G63" s="14">
        <f>[1]Sheet2!CV62</f>
        <v>336.72456575682378</v>
      </c>
      <c r="H63" s="1"/>
      <c r="I63" s="1"/>
      <c r="J63" s="1"/>
      <c r="K63" s="16">
        <f>Demand_CWRS!B$5/31</f>
        <v>131.679370700757</v>
      </c>
      <c r="L63" s="16">
        <f>Demand_CWRS!C$5/31</f>
        <v>537.20942928039699</v>
      </c>
      <c r="M63" s="16">
        <f>Demand_CWRS!D$5/31</f>
        <v>0</v>
      </c>
      <c r="N63" s="16">
        <f>Demand_CWRS!E$5/31</f>
        <v>121.5961418056559</v>
      </c>
      <c r="O63" s="16">
        <f>Demand_CWRS!F$5/31</f>
        <v>245.08227837631262</v>
      </c>
      <c r="P63" s="16">
        <f>Demand_CWRS!G$5/31</f>
        <v>131.679370700757</v>
      </c>
      <c r="Q63" s="16">
        <f>Demand_CWRS!H$5/31</f>
        <v>537.20942928039699</v>
      </c>
      <c r="R63" s="16">
        <f>Demand_CWRS!I$5/31</f>
        <v>245.08227837631262</v>
      </c>
      <c r="S63" s="16">
        <f>Demand_CWRS!J$5/31</f>
        <v>245.08227837631262</v>
      </c>
      <c r="T63" s="16">
        <f>Demand_CWRS!K$5/31</f>
        <v>245.08227837631262</v>
      </c>
      <c r="U63" s="16">
        <f t="shared" si="3"/>
        <v>-10528.6231807969</v>
      </c>
      <c r="V63" s="16">
        <f t="shared" si="4"/>
        <v>-20065.84019851116</v>
      </c>
      <c r="W63" s="16">
        <f t="shared" si="5"/>
        <v>0</v>
      </c>
      <c r="X63" s="16">
        <f t="shared" si="6"/>
        <v>-4831.5205007800187</v>
      </c>
      <c r="Y63" s="16">
        <f t="shared" si="7"/>
        <v>-12757.048864914781</v>
      </c>
      <c r="Z63" s="16">
        <f t="shared" si="8"/>
        <v>-10311.679370700766</v>
      </c>
      <c r="AA63" s="16">
        <f t="shared" si="9"/>
        <v>-19565.84019851116</v>
      </c>
      <c r="AB63" s="16">
        <f t="shared" si="10"/>
        <v>-10445.082278376314</v>
      </c>
      <c r="AC63" s="16">
        <f t="shared" si="11"/>
        <v>-10445.082278376305</v>
      </c>
      <c r="AD63" s="16">
        <f t="shared" si="12"/>
        <v>-11145.082278376303</v>
      </c>
      <c r="AE63" s="14">
        <f>IF([1]Sheet2!AJ62=999999,"NA",[1]Sheet2!AJ62)</f>
        <v>67</v>
      </c>
      <c r="AF63" s="14">
        <f>IF([1]Sheet2!AK62=999999,"NA",[1]Sheet2!AK62)</f>
        <v>0</v>
      </c>
      <c r="AG63" s="14" t="str">
        <f>IF([1]Sheet2!AL62=999999,"NA",[1]Sheet2!AL62)</f>
        <v>NA</v>
      </c>
      <c r="AH63" s="14">
        <f>IF([1]Sheet2!AM62=999999,"NA",[1]Sheet2!AM62)</f>
        <v>305</v>
      </c>
      <c r="AI63" s="14">
        <f>IF([1]Sheet2!AN62=999999,"NA",[1]Sheet2!AN62)</f>
        <v>305</v>
      </c>
      <c r="AJ63" s="14">
        <f>IF([1]Sheet2!AO62=999999,"NA",[1]Sheet2!AO62)</f>
        <v>305</v>
      </c>
      <c r="AK63" s="14">
        <f>IF([1]Sheet2!AP62=999999,"NA",[1]Sheet2!AP62)</f>
        <v>50</v>
      </c>
      <c r="AL63" s="14">
        <f>IF([1]Sheet2!AQ62=999999,"NA",[1]Sheet2!AQ62)</f>
        <v>181</v>
      </c>
      <c r="AM63" s="14">
        <f>IF([1]Sheet2!AR62=999999,"NA",[1]Sheet2!AR62)</f>
        <v>305</v>
      </c>
      <c r="AN63" s="14">
        <f>IF([1]Sheet2!AS62=999999,"NA",[1]Sheet2!AS62)</f>
        <v>237</v>
      </c>
      <c r="AO63" s="14">
        <f>[1]Sheet2!P62</f>
        <v>0</v>
      </c>
      <c r="AP63" s="14">
        <f>[1]Sheet2!Q62</f>
        <v>0</v>
      </c>
      <c r="AQ63" s="14">
        <f>[1]Sheet2!R62</f>
        <v>0</v>
      </c>
      <c r="AR63" s="14">
        <f>[1]Sheet2!S62</f>
        <v>0</v>
      </c>
      <c r="AS63" s="14">
        <f>[1]Sheet2!T62</f>
        <v>0</v>
      </c>
      <c r="AT63" s="14">
        <f>[1]Sheet2!U62</f>
        <v>0</v>
      </c>
      <c r="AU63" s="14">
        <f>[1]Sheet2!V62</f>
        <v>0</v>
      </c>
      <c r="AV63" s="14">
        <f>[1]Sheet2!W62</f>
        <v>0</v>
      </c>
      <c r="AW63" s="14">
        <f>[1]Sheet2!X62</f>
        <v>0</v>
      </c>
      <c r="AX63" s="14">
        <f>[1]Sheet2!Y62</f>
        <v>0</v>
      </c>
      <c r="AY63" s="16">
        <f>Demand_LP!B$5/31</f>
        <v>754.78140345091151</v>
      </c>
      <c r="AZ63" s="16">
        <f>Demand_LP!C$5/31</f>
        <v>547.55235732009919</v>
      </c>
      <c r="BA63" s="16">
        <f>Demand_LP!D$5/31</f>
        <v>312.75612076095945</v>
      </c>
      <c r="BB63" s="16">
        <f>Demand_LP!E$5/31</f>
        <v>772.29437499345636</v>
      </c>
      <c r="BC63" s="16">
        <f>Demand_LP!F$5/31</f>
        <v>471.74248526347748</v>
      </c>
      <c r="BD63" s="16">
        <f>Demand_LP!G$5/31</f>
        <v>754.78140345091151</v>
      </c>
      <c r="BE63" s="16">
        <f>Demand_LP!H$5/31</f>
        <v>547.55235732009919</v>
      </c>
      <c r="BF63" s="16">
        <f>Demand_LP!I$5/31</f>
        <v>451.61290322580646</v>
      </c>
      <c r="BG63" s="16">
        <f>Demand_LP!J$5/31</f>
        <v>451.61290322580646</v>
      </c>
      <c r="BH63" s="16">
        <f>Demand_LP!K$5/31</f>
        <v>451.61290322580646</v>
      </c>
      <c r="BI63" s="16" t="e">
        <f t="shared" si="13"/>
        <v>#VALUE!</v>
      </c>
      <c r="BJ63" s="16">
        <f t="shared" si="14"/>
        <v>-34189.972870140584</v>
      </c>
      <c r="BK63" s="16">
        <f t="shared" si="15"/>
        <v>-13391.281761786599</v>
      </c>
      <c r="BL63" s="16">
        <f t="shared" si="16"/>
        <v>-40637.716169865227</v>
      </c>
      <c r="BM63" s="16">
        <f t="shared" si="17"/>
        <v>-26290.041523725038</v>
      </c>
      <c r="BN63" s="16">
        <f t="shared" si="18"/>
        <v>-37754.781403450936</v>
      </c>
      <c r="BO63" s="16">
        <f t="shared" si="19"/>
        <v>-36547.552357320099</v>
      </c>
      <c r="BP63" s="16">
        <f t="shared" si="20"/>
        <v>-26351.612903225825</v>
      </c>
      <c r="BQ63" s="16">
        <f t="shared" si="21"/>
        <v>-22951.612903225821</v>
      </c>
      <c r="BR63" s="16">
        <f t="shared" si="22"/>
        <v>-24151.612903225814</v>
      </c>
      <c r="BS63" s="14">
        <f>IF([1]Sheet2!CA62=999999,"NA",[1]Sheet2!CA62)</f>
        <v>192327.38709677427</v>
      </c>
      <c r="BT63" s="14">
        <f>IF([1]Sheet2!CB62=999999,"NA",[1]Sheet2!CB62)</f>
        <v>227</v>
      </c>
      <c r="BU63" s="14">
        <f>IF([1]Sheet2!CC62=999999,"NA",[1]Sheet2!CC62)</f>
        <v>305</v>
      </c>
      <c r="BV63" s="14">
        <f>IF([1]Sheet2!CD62=999999,"NA",[1]Sheet2!CD62)</f>
        <v>305</v>
      </c>
      <c r="BW63" s="14">
        <f>IF([1]Sheet2!CE62=999999,"NA",[1]Sheet2!CE62)</f>
        <v>267</v>
      </c>
      <c r="BX63" s="14">
        <f>IF([1]Sheet2!CF62=999999,"NA",[1]Sheet2!CF62)</f>
        <v>305</v>
      </c>
      <c r="BY63" s="14">
        <f>IF([1]Sheet2!CG62=999999,"NA",[1]Sheet2!CG62)</f>
        <v>199</v>
      </c>
      <c r="BZ63" s="14">
        <f>IF([1]Sheet2!CH62=999999,"NA",[1]Sheet2!CH62)</f>
        <v>305</v>
      </c>
      <c r="CA63" s="14">
        <f>IF([1]Sheet2!CI62=999999,"NA",[1]Sheet2!CI62)</f>
        <v>305</v>
      </c>
      <c r="CB63" s="14">
        <f>IF([1]Sheet2!CJ62=999999,"NA",[1]Sheet2!CJ62)</f>
        <v>305</v>
      </c>
      <c r="CC63" s="14">
        <f>[1]Sheet2!BG62</f>
        <v>0</v>
      </c>
      <c r="CD63" s="14">
        <f>[1]Sheet2!BH62</f>
        <v>0</v>
      </c>
      <c r="CE63" s="14">
        <f>[1]Sheet2!BI62</f>
        <v>0</v>
      </c>
      <c r="CF63" s="14">
        <f>[1]Sheet2!BJ62</f>
        <v>0</v>
      </c>
      <c r="CG63" s="14">
        <f>[1]Sheet2!BK62</f>
        <v>0</v>
      </c>
      <c r="CH63" s="14">
        <f>[1]Sheet2!BL62</f>
        <v>0</v>
      </c>
      <c r="CI63" s="14">
        <f>[1]Sheet2!BM62</f>
        <v>0</v>
      </c>
      <c r="CJ63" s="14">
        <f>[1]Sheet2!BN62</f>
        <v>0</v>
      </c>
      <c r="CK63" s="14">
        <f>[1]Sheet2!BO62</f>
        <v>0</v>
      </c>
      <c r="CL63" s="14">
        <f>[1]Sheet2!BP62</f>
        <v>0</v>
      </c>
      <c r="CM63" s="16">
        <f>Demand_SW!B$5/31</f>
        <v>138.46153846153845</v>
      </c>
      <c r="CN63" s="16">
        <f>Demand_SW!C$5/31</f>
        <v>29.776674937965261</v>
      </c>
      <c r="CO63" s="16">
        <f>Demand_SW!D$5/31</f>
        <v>0</v>
      </c>
      <c r="CP63" s="16">
        <f>Demand_SW!E$5/31</f>
        <v>0</v>
      </c>
      <c r="CQ63" s="16">
        <f>Demand_SW!F$5/31</f>
        <v>0</v>
      </c>
      <c r="CR63" s="16">
        <f>Demand_SW!G$5/31</f>
        <v>138.70967741935485</v>
      </c>
      <c r="CS63" s="16">
        <f>Demand_SW!H$5/31</f>
        <v>29.776674937965261</v>
      </c>
      <c r="CT63" s="16">
        <f>Demand_SW!I$5/31</f>
        <v>0</v>
      </c>
      <c r="CU63" s="16">
        <f>Demand_SW!J$5/31</f>
        <v>0</v>
      </c>
      <c r="CV63" s="16">
        <f>Demand_SW!K$5/31</f>
        <v>0</v>
      </c>
      <c r="CW63" s="16">
        <f t="shared" si="23"/>
        <v>43883.0769230769</v>
      </c>
      <c r="CX63" s="16">
        <f t="shared" si="24"/>
        <v>470.22332506203475</v>
      </c>
      <c r="CY63" s="16">
        <f t="shared" si="25"/>
        <v>0</v>
      </c>
      <c r="CZ63" s="16">
        <f t="shared" si="26"/>
        <v>0</v>
      </c>
      <c r="DA63" s="16">
        <f t="shared" si="27"/>
        <v>0</v>
      </c>
      <c r="DB63" s="16">
        <f t="shared" si="28"/>
        <v>-5638.7096774193478</v>
      </c>
      <c r="DC63" s="16">
        <f t="shared" si="29"/>
        <v>470.22332506203475</v>
      </c>
      <c r="DD63" s="16">
        <f t="shared" si="30"/>
        <v>0</v>
      </c>
      <c r="DE63" s="16">
        <f t="shared" si="31"/>
        <v>0</v>
      </c>
      <c r="DF63" s="16">
        <f t="shared" si="32"/>
        <v>0</v>
      </c>
      <c r="DG63" s="14">
        <f>IF([1]Sheet2!DR62=999999,"NA",[1]Sheet2!DR62)</f>
        <v>73103</v>
      </c>
      <c r="DH63" s="14">
        <f>IF([1]Sheet2!DS62=999999,"NA",[1]Sheet2!DS62)</f>
        <v>305</v>
      </c>
      <c r="DI63" s="14">
        <f>IF([1]Sheet2!DT62=999999,"NA",[1]Sheet2!DT62)</f>
        <v>305</v>
      </c>
      <c r="DJ63" s="14" t="str">
        <f>IF([1]Sheet2!DU62=999999,"NA",[1]Sheet2!DU62)</f>
        <v>NA</v>
      </c>
      <c r="DK63" s="14" t="str">
        <f>IF([1]Sheet2!DV62=999999,"NA",[1]Sheet2!DV62)</f>
        <v>NA</v>
      </c>
      <c r="DL63" s="14" t="str">
        <f>IF([1]Sheet2!DW62=999999,"NA",[1]Sheet2!DW62)</f>
        <v>NA</v>
      </c>
      <c r="DM63" s="14">
        <f>IF([1]Sheet2!DX62=999999,"NA",[1]Sheet2!DX62)</f>
        <v>305</v>
      </c>
      <c r="DN63" s="14">
        <f>IF([1]Sheet2!DY62=999999,"NA",[1]Sheet2!DY62)</f>
        <v>305</v>
      </c>
      <c r="DO63" s="14" t="str">
        <f>IF([1]Sheet2!DZ62=999999,"NA",[1]Sheet2!DZ62)</f>
        <v>NA</v>
      </c>
      <c r="DP63" s="14" t="str">
        <f>IF([1]Sheet2!EA62=999999,"NA",[1]Sheet2!EA62)</f>
        <v>NA</v>
      </c>
      <c r="DQ63" s="14">
        <f>[1]Sheet2!CX62</f>
        <v>0</v>
      </c>
      <c r="DR63" s="14">
        <f>[1]Sheet2!CY62</f>
        <v>0</v>
      </c>
      <c r="DS63" s="14">
        <f>[1]Sheet2!CZ62</f>
        <v>0</v>
      </c>
      <c r="DT63" s="14">
        <f>[1]Sheet2!DA62</f>
        <v>0</v>
      </c>
      <c r="DU63" s="14">
        <f>[1]Sheet2!DB62</f>
        <v>0</v>
      </c>
      <c r="DV63" s="14">
        <f>[1]Sheet2!DC62</f>
        <v>0</v>
      </c>
      <c r="DW63" s="14">
        <f>[1]Sheet2!DD62</f>
        <v>0</v>
      </c>
      <c r="DX63" s="14">
        <f>[1]Sheet2!DE62</f>
        <v>0</v>
      </c>
      <c r="DY63" s="14">
        <f>[1]Sheet2!DF62</f>
        <v>0</v>
      </c>
      <c r="DZ63" s="14">
        <f>[1]Sheet2!DG62</f>
        <v>0</v>
      </c>
    </row>
    <row r="64" spans="1:130" x14ac:dyDescent="0.25">
      <c r="A64" s="15">
        <v>43526</v>
      </c>
      <c r="B64" s="1"/>
      <c r="C64" s="1"/>
      <c r="D64" s="1"/>
      <c r="E64" s="14">
        <f>[1]Sheet2!N63</f>
        <v>0</v>
      </c>
      <c r="F64" s="14">
        <f>[1]Sheet2!BE63</f>
        <v>0</v>
      </c>
      <c r="G64" s="14">
        <f>[1]Sheet2!CV63</f>
        <v>336.72456575682378</v>
      </c>
      <c r="H64" s="1"/>
      <c r="I64" s="1"/>
      <c r="J64" s="1"/>
      <c r="K64" s="16">
        <f>Demand_CWRS!B$5/31</f>
        <v>131.679370700757</v>
      </c>
      <c r="L64" s="16">
        <f>Demand_CWRS!C$5/31</f>
        <v>537.20942928039699</v>
      </c>
      <c r="M64" s="16">
        <f>Demand_CWRS!D$5/31</f>
        <v>0</v>
      </c>
      <c r="N64" s="16">
        <f>Demand_CWRS!E$5/31</f>
        <v>121.5961418056559</v>
      </c>
      <c r="O64" s="16">
        <f>Demand_CWRS!F$5/31</f>
        <v>245.08227837631262</v>
      </c>
      <c r="P64" s="16">
        <f>Demand_CWRS!G$5/31</f>
        <v>131.679370700757</v>
      </c>
      <c r="Q64" s="16">
        <f>Demand_CWRS!H$5/31</f>
        <v>537.20942928039699</v>
      </c>
      <c r="R64" s="16">
        <f>Demand_CWRS!I$5/31</f>
        <v>245.08227837631262</v>
      </c>
      <c r="S64" s="16">
        <f>Demand_CWRS!J$5/31</f>
        <v>245.08227837631262</v>
      </c>
      <c r="T64" s="16">
        <f>Demand_CWRS!K$5/31</f>
        <v>245.08227837631262</v>
      </c>
      <c r="U64" s="16">
        <f t="shared" si="3"/>
        <v>-10660.302551497656</v>
      </c>
      <c r="V64" s="16">
        <f t="shared" si="4"/>
        <v>-20603.049627791555</v>
      </c>
      <c r="W64" s="16">
        <f t="shared" si="5"/>
        <v>0</v>
      </c>
      <c r="X64" s="16">
        <f t="shared" si="6"/>
        <v>-4953.1166425856745</v>
      </c>
      <c r="Y64" s="16">
        <f t="shared" si="7"/>
        <v>-13002.131143291093</v>
      </c>
      <c r="Z64" s="16">
        <f t="shared" si="8"/>
        <v>-10443.358741401522</v>
      </c>
      <c r="AA64" s="16">
        <f t="shared" si="9"/>
        <v>-20103.049627791555</v>
      </c>
      <c r="AB64" s="16">
        <f t="shared" si="10"/>
        <v>-10690.164556752627</v>
      </c>
      <c r="AC64" s="16">
        <f t="shared" si="11"/>
        <v>-10690.164556752618</v>
      </c>
      <c r="AD64" s="16">
        <f t="shared" si="12"/>
        <v>-11390.164556752616</v>
      </c>
      <c r="AE64" s="14">
        <f>IF([1]Sheet2!AJ63=999999,"NA",[1]Sheet2!AJ63)</f>
        <v>66</v>
      </c>
      <c r="AF64" s="14">
        <f>IF([1]Sheet2!AK63=999999,"NA",[1]Sheet2!AK63)</f>
        <v>0</v>
      </c>
      <c r="AG64" s="14" t="str">
        <f>IF([1]Sheet2!AL63=999999,"NA",[1]Sheet2!AL63)</f>
        <v>NA</v>
      </c>
      <c r="AH64" s="14">
        <f>IF([1]Sheet2!AM63=999999,"NA",[1]Sheet2!AM63)</f>
        <v>304</v>
      </c>
      <c r="AI64" s="14">
        <f>IF([1]Sheet2!AN63=999999,"NA",[1]Sheet2!AN63)</f>
        <v>304</v>
      </c>
      <c r="AJ64" s="14">
        <f>IF([1]Sheet2!AO63=999999,"NA",[1]Sheet2!AO63)</f>
        <v>304</v>
      </c>
      <c r="AK64" s="14">
        <f>IF([1]Sheet2!AP63=999999,"NA",[1]Sheet2!AP63)</f>
        <v>49</v>
      </c>
      <c r="AL64" s="14">
        <f>IF([1]Sheet2!AQ63=999999,"NA",[1]Sheet2!AQ63)</f>
        <v>180</v>
      </c>
      <c r="AM64" s="14">
        <f>IF([1]Sheet2!AR63=999999,"NA",[1]Sheet2!AR63)</f>
        <v>304</v>
      </c>
      <c r="AN64" s="14">
        <f>IF([1]Sheet2!AS63=999999,"NA",[1]Sheet2!AS63)</f>
        <v>236</v>
      </c>
      <c r="AO64" s="14">
        <f>[1]Sheet2!P63</f>
        <v>0</v>
      </c>
      <c r="AP64" s="14">
        <f>[1]Sheet2!Q63</f>
        <v>0</v>
      </c>
      <c r="AQ64" s="14">
        <f>[1]Sheet2!R63</f>
        <v>0</v>
      </c>
      <c r="AR64" s="14">
        <f>[1]Sheet2!S63</f>
        <v>0</v>
      </c>
      <c r="AS64" s="14">
        <f>[1]Sheet2!T63</f>
        <v>0</v>
      </c>
      <c r="AT64" s="14">
        <f>[1]Sheet2!U63</f>
        <v>0</v>
      </c>
      <c r="AU64" s="14">
        <f>[1]Sheet2!V63</f>
        <v>0</v>
      </c>
      <c r="AV64" s="14">
        <f>[1]Sheet2!W63</f>
        <v>0</v>
      </c>
      <c r="AW64" s="14">
        <f>[1]Sheet2!X63</f>
        <v>0</v>
      </c>
      <c r="AX64" s="14">
        <f>[1]Sheet2!Y63</f>
        <v>0</v>
      </c>
      <c r="AY64" s="16">
        <f>Demand_LP!B$5/31</f>
        <v>754.78140345091151</v>
      </c>
      <c r="AZ64" s="16">
        <f>Demand_LP!C$5/31</f>
        <v>547.55235732009919</v>
      </c>
      <c r="BA64" s="16">
        <f>Demand_LP!D$5/31</f>
        <v>312.75612076095945</v>
      </c>
      <c r="BB64" s="16">
        <f>Demand_LP!E$5/31</f>
        <v>772.29437499345636</v>
      </c>
      <c r="BC64" s="16">
        <f>Demand_LP!F$5/31</f>
        <v>471.74248526347748</v>
      </c>
      <c r="BD64" s="16">
        <f>Demand_LP!G$5/31</f>
        <v>754.78140345091151</v>
      </c>
      <c r="BE64" s="16">
        <f>Demand_LP!H$5/31</f>
        <v>547.55235732009919</v>
      </c>
      <c r="BF64" s="16">
        <f>Demand_LP!I$5/31</f>
        <v>451.61290322580646</v>
      </c>
      <c r="BG64" s="16">
        <f>Demand_LP!J$5/31</f>
        <v>451.61290322580646</v>
      </c>
      <c r="BH64" s="16">
        <f>Demand_LP!K$5/31</f>
        <v>451.61290322580646</v>
      </c>
      <c r="BI64" s="16" t="e">
        <f t="shared" si="13"/>
        <v>#VALUE!</v>
      </c>
      <c r="BJ64" s="16">
        <f t="shared" si="14"/>
        <v>-34737.525227460683</v>
      </c>
      <c r="BK64" s="16">
        <f t="shared" si="15"/>
        <v>-13704.037882547558</v>
      </c>
      <c r="BL64" s="16">
        <f t="shared" si="16"/>
        <v>-41410.010544858684</v>
      </c>
      <c r="BM64" s="16">
        <f t="shared" si="17"/>
        <v>-26761.784008988514</v>
      </c>
      <c r="BN64" s="16">
        <f t="shared" si="18"/>
        <v>-38509.562806901849</v>
      </c>
      <c r="BO64" s="16">
        <f t="shared" si="19"/>
        <v>-37095.104714640198</v>
      </c>
      <c r="BP64" s="16">
        <f t="shared" si="20"/>
        <v>-26803.225806451632</v>
      </c>
      <c r="BQ64" s="16">
        <f t="shared" si="21"/>
        <v>-23403.225806451628</v>
      </c>
      <c r="BR64" s="16">
        <f t="shared" si="22"/>
        <v>-24603.225806451621</v>
      </c>
      <c r="BS64" s="14">
        <f>IF([1]Sheet2!CA63=999999,"NA",[1]Sheet2!CA63)</f>
        <v>191875.77419354845</v>
      </c>
      <c r="BT64" s="14">
        <f>IF([1]Sheet2!CB63=999999,"NA",[1]Sheet2!CB63)</f>
        <v>226</v>
      </c>
      <c r="BU64" s="14">
        <f>IF([1]Sheet2!CC63=999999,"NA",[1]Sheet2!CC63)</f>
        <v>304</v>
      </c>
      <c r="BV64" s="14">
        <f>IF([1]Sheet2!CD63=999999,"NA",[1]Sheet2!CD63)</f>
        <v>304</v>
      </c>
      <c r="BW64" s="14">
        <f>IF([1]Sheet2!CE63=999999,"NA",[1]Sheet2!CE63)</f>
        <v>266</v>
      </c>
      <c r="BX64" s="14">
        <f>IF([1]Sheet2!CF63=999999,"NA",[1]Sheet2!CF63)</f>
        <v>304</v>
      </c>
      <c r="BY64" s="14">
        <f>IF([1]Sheet2!CG63=999999,"NA",[1]Sheet2!CG63)</f>
        <v>198</v>
      </c>
      <c r="BZ64" s="14">
        <f>IF([1]Sheet2!CH63=999999,"NA",[1]Sheet2!CH63)</f>
        <v>304</v>
      </c>
      <c r="CA64" s="14">
        <f>IF([1]Sheet2!CI63=999999,"NA",[1]Sheet2!CI63)</f>
        <v>304</v>
      </c>
      <c r="CB64" s="14">
        <f>IF([1]Sheet2!CJ63=999999,"NA",[1]Sheet2!CJ63)</f>
        <v>304</v>
      </c>
      <c r="CC64" s="14">
        <f>[1]Sheet2!BG63</f>
        <v>0</v>
      </c>
      <c r="CD64" s="14">
        <f>[1]Sheet2!BH63</f>
        <v>0</v>
      </c>
      <c r="CE64" s="14">
        <f>[1]Sheet2!BI63</f>
        <v>0</v>
      </c>
      <c r="CF64" s="14">
        <f>[1]Sheet2!BJ63</f>
        <v>0</v>
      </c>
      <c r="CG64" s="14">
        <f>[1]Sheet2!BK63</f>
        <v>0</v>
      </c>
      <c r="CH64" s="14">
        <f>[1]Sheet2!BL63</f>
        <v>0</v>
      </c>
      <c r="CI64" s="14">
        <f>[1]Sheet2!BM63</f>
        <v>0</v>
      </c>
      <c r="CJ64" s="14">
        <f>[1]Sheet2!BN63</f>
        <v>0</v>
      </c>
      <c r="CK64" s="14">
        <f>[1]Sheet2!BO63</f>
        <v>0</v>
      </c>
      <c r="CL64" s="14">
        <f>[1]Sheet2!BP63</f>
        <v>0</v>
      </c>
      <c r="CM64" s="16">
        <f>Demand_SW!B$5/31</f>
        <v>138.46153846153845</v>
      </c>
      <c r="CN64" s="16">
        <f>Demand_SW!C$5/31</f>
        <v>29.776674937965261</v>
      </c>
      <c r="CO64" s="16">
        <f>Demand_SW!D$5/31</f>
        <v>0</v>
      </c>
      <c r="CP64" s="16">
        <f>Demand_SW!E$5/31</f>
        <v>0</v>
      </c>
      <c r="CQ64" s="16">
        <f>Demand_SW!F$5/31</f>
        <v>0</v>
      </c>
      <c r="CR64" s="16">
        <f>Demand_SW!G$5/31</f>
        <v>138.70967741935485</v>
      </c>
      <c r="CS64" s="16">
        <f>Demand_SW!H$5/31</f>
        <v>29.776674937965261</v>
      </c>
      <c r="CT64" s="16">
        <f>Demand_SW!I$5/31</f>
        <v>0</v>
      </c>
      <c r="CU64" s="16">
        <f>Demand_SW!J$5/31</f>
        <v>0</v>
      </c>
      <c r="CV64" s="16">
        <f>Demand_SW!K$5/31</f>
        <v>0</v>
      </c>
      <c r="CW64" s="16">
        <f t="shared" si="23"/>
        <v>43744.615384615361</v>
      </c>
      <c r="CX64" s="16">
        <f t="shared" si="24"/>
        <v>440.44665012406949</v>
      </c>
      <c r="CY64" s="16">
        <f t="shared" si="25"/>
        <v>0</v>
      </c>
      <c r="CZ64" s="16">
        <f t="shared" si="26"/>
        <v>0</v>
      </c>
      <c r="DA64" s="16">
        <f t="shared" si="27"/>
        <v>0</v>
      </c>
      <c r="DB64" s="16">
        <f t="shared" si="28"/>
        <v>-5777.4193548387029</v>
      </c>
      <c r="DC64" s="16">
        <f t="shared" si="29"/>
        <v>440.44665012406949</v>
      </c>
      <c r="DD64" s="16">
        <f t="shared" si="30"/>
        <v>0</v>
      </c>
      <c r="DE64" s="16">
        <f t="shared" si="31"/>
        <v>0</v>
      </c>
      <c r="DF64" s="16">
        <f t="shared" si="32"/>
        <v>0</v>
      </c>
      <c r="DG64" s="14">
        <f>IF([1]Sheet2!DR63=999999,"NA",[1]Sheet2!DR63)</f>
        <v>73103</v>
      </c>
      <c r="DH64" s="14">
        <f>IF([1]Sheet2!DS63=999999,"NA",[1]Sheet2!DS63)</f>
        <v>304</v>
      </c>
      <c r="DI64" s="14">
        <f>IF([1]Sheet2!DT63=999999,"NA",[1]Sheet2!DT63)</f>
        <v>304</v>
      </c>
      <c r="DJ64" s="14" t="str">
        <f>IF([1]Sheet2!DU63=999999,"NA",[1]Sheet2!DU63)</f>
        <v>NA</v>
      </c>
      <c r="DK64" s="14" t="str">
        <f>IF([1]Sheet2!DV63=999999,"NA",[1]Sheet2!DV63)</f>
        <v>NA</v>
      </c>
      <c r="DL64" s="14" t="str">
        <f>IF([1]Sheet2!DW63=999999,"NA",[1]Sheet2!DW63)</f>
        <v>NA</v>
      </c>
      <c r="DM64" s="14">
        <f>IF([1]Sheet2!DX63=999999,"NA",[1]Sheet2!DX63)</f>
        <v>304</v>
      </c>
      <c r="DN64" s="14">
        <f>IF([1]Sheet2!DY63=999999,"NA",[1]Sheet2!DY63)</f>
        <v>304</v>
      </c>
      <c r="DO64" s="14" t="str">
        <f>IF([1]Sheet2!DZ63=999999,"NA",[1]Sheet2!DZ63)</f>
        <v>NA</v>
      </c>
      <c r="DP64" s="14" t="str">
        <f>IF([1]Sheet2!EA63=999999,"NA",[1]Sheet2!EA63)</f>
        <v>NA</v>
      </c>
      <c r="DQ64" s="14">
        <f>[1]Sheet2!CX63</f>
        <v>0</v>
      </c>
      <c r="DR64" s="14">
        <f>[1]Sheet2!CY63</f>
        <v>0</v>
      </c>
      <c r="DS64" s="14">
        <f>[1]Sheet2!CZ63</f>
        <v>0</v>
      </c>
      <c r="DT64" s="14">
        <f>[1]Sheet2!DA63</f>
        <v>0</v>
      </c>
      <c r="DU64" s="14">
        <f>[1]Sheet2!DB63</f>
        <v>0</v>
      </c>
      <c r="DV64" s="14">
        <f>[1]Sheet2!DC63</f>
        <v>0</v>
      </c>
      <c r="DW64" s="14">
        <f>[1]Sheet2!DD63</f>
        <v>0</v>
      </c>
      <c r="DX64" s="14">
        <f>[1]Sheet2!DE63</f>
        <v>0</v>
      </c>
      <c r="DY64" s="14">
        <f>[1]Sheet2!DF63</f>
        <v>0</v>
      </c>
      <c r="DZ64" s="14">
        <f>[1]Sheet2!DG63</f>
        <v>0</v>
      </c>
    </row>
    <row r="65" spans="1:130" x14ac:dyDescent="0.25">
      <c r="A65" s="15">
        <v>43527</v>
      </c>
      <c r="B65" s="1"/>
      <c r="C65" s="1"/>
      <c r="D65" s="1"/>
      <c r="E65" s="14">
        <f>[1]Sheet2!N64</f>
        <v>0</v>
      </c>
      <c r="F65" s="14">
        <f>[1]Sheet2!BE64</f>
        <v>0</v>
      </c>
      <c r="G65" s="14">
        <f>[1]Sheet2!CV64</f>
        <v>336.72456575682378</v>
      </c>
      <c r="H65" s="1"/>
      <c r="I65" s="1"/>
      <c r="J65" s="1"/>
      <c r="K65" s="16">
        <f>Demand_CWRS!B$5/31</f>
        <v>131.679370700757</v>
      </c>
      <c r="L65" s="16">
        <f>Demand_CWRS!C$5/31</f>
        <v>537.20942928039699</v>
      </c>
      <c r="M65" s="16">
        <f>Demand_CWRS!D$5/31</f>
        <v>0</v>
      </c>
      <c r="N65" s="16">
        <f>Demand_CWRS!E$5/31</f>
        <v>121.5961418056559</v>
      </c>
      <c r="O65" s="16">
        <f>Demand_CWRS!F$5/31</f>
        <v>245.08227837631262</v>
      </c>
      <c r="P65" s="16">
        <f>Demand_CWRS!G$5/31</f>
        <v>131.679370700757</v>
      </c>
      <c r="Q65" s="16">
        <f>Demand_CWRS!H$5/31</f>
        <v>537.20942928039699</v>
      </c>
      <c r="R65" s="16">
        <f>Demand_CWRS!I$5/31</f>
        <v>245.08227837631262</v>
      </c>
      <c r="S65" s="16">
        <f>Demand_CWRS!J$5/31</f>
        <v>245.08227837631262</v>
      </c>
      <c r="T65" s="16">
        <f>Demand_CWRS!K$5/31</f>
        <v>245.08227837631262</v>
      </c>
      <c r="U65" s="16">
        <f t="shared" si="3"/>
        <v>-10791.981922198413</v>
      </c>
      <c r="V65" s="16">
        <f t="shared" si="4"/>
        <v>-21140.259057071951</v>
      </c>
      <c r="W65" s="16">
        <f t="shared" si="5"/>
        <v>0</v>
      </c>
      <c r="X65" s="16">
        <f t="shared" si="6"/>
        <v>-5074.7127843913304</v>
      </c>
      <c r="Y65" s="16">
        <f t="shared" si="7"/>
        <v>-13247.213421667406</v>
      </c>
      <c r="Z65" s="16">
        <f t="shared" si="8"/>
        <v>-10575.038112102278</v>
      </c>
      <c r="AA65" s="16">
        <f t="shared" si="9"/>
        <v>-20640.259057071951</v>
      </c>
      <c r="AB65" s="16">
        <f t="shared" si="10"/>
        <v>-10935.246835128939</v>
      </c>
      <c r="AC65" s="16">
        <f t="shared" si="11"/>
        <v>-10935.24683512893</v>
      </c>
      <c r="AD65" s="16">
        <f t="shared" si="12"/>
        <v>-11635.246835128928</v>
      </c>
      <c r="AE65" s="14">
        <f>IF([1]Sheet2!AJ64=999999,"NA",[1]Sheet2!AJ64)</f>
        <v>65</v>
      </c>
      <c r="AF65" s="14">
        <f>IF([1]Sheet2!AK64=999999,"NA",[1]Sheet2!AK64)</f>
        <v>0</v>
      </c>
      <c r="AG65" s="14" t="str">
        <f>IF([1]Sheet2!AL64=999999,"NA",[1]Sheet2!AL64)</f>
        <v>NA</v>
      </c>
      <c r="AH65" s="14">
        <f>IF([1]Sheet2!AM64=999999,"NA",[1]Sheet2!AM64)</f>
        <v>303</v>
      </c>
      <c r="AI65" s="14">
        <f>IF([1]Sheet2!AN64=999999,"NA",[1]Sheet2!AN64)</f>
        <v>303</v>
      </c>
      <c r="AJ65" s="14">
        <f>IF([1]Sheet2!AO64=999999,"NA",[1]Sheet2!AO64)</f>
        <v>303</v>
      </c>
      <c r="AK65" s="14">
        <f>IF([1]Sheet2!AP64=999999,"NA",[1]Sheet2!AP64)</f>
        <v>48</v>
      </c>
      <c r="AL65" s="14">
        <f>IF([1]Sheet2!AQ64=999999,"NA",[1]Sheet2!AQ64)</f>
        <v>179</v>
      </c>
      <c r="AM65" s="14">
        <f>IF([1]Sheet2!AR64=999999,"NA",[1]Sheet2!AR64)</f>
        <v>303</v>
      </c>
      <c r="AN65" s="14">
        <f>IF([1]Sheet2!AS64=999999,"NA",[1]Sheet2!AS64)</f>
        <v>235</v>
      </c>
      <c r="AO65" s="14">
        <f>[1]Sheet2!P64</f>
        <v>0</v>
      </c>
      <c r="AP65" s="14">
        <f>[1]Sheet2!Q64</f>
        <v>0</v>
      </c>
      <c r="AQ65" s="14">
        <f>[1]Sheet2!R64</f>
        <v>0</v>
      </c>
      <c r="AR65" s="14">
        <f>[1]Sheet2!S64</f>
        <v>0</v>
      </c>
      <c r="AS65" s="14">
        <f>[1]Sheet2!T64</f>
        <v>0</v>
      </c>
      <c r="AT65" s="14">
        <f>[1]Sheet2!U64</f>
        <v>0</v>
      </c>
      <c r="AU65" s="14">
        <f>[1]Sheet2!V64</f>
        <v>0</v>
      </c>
      <c r="AV65" s="14">
        <f>[1]Sheet2!W64</f>
        <v>0</v>
      </c>
      <c r="AW65" s="14">
        <f>[1]Sheet2!X64</f>
        <v>0</v>
      </c>
      <c r="AX65" s="14">
        <f>[1]Sheet2!Y64</f>
        <v>0</v>
      </c>
      <c r="AY65" s="16">
        <f>Demand_LP!B$5/31</f>
        <v>754.78140345091151</v>
      </c>
      <c r="AZ65" s="16">
        <f>Demand_LP!C$5/31</f>
        <v>547.55235732009919</v>
      </c>
      <c r="BA65" s="16">
        <f>Demand_LP!D$5/31</f>
        <v>312.75612076095945</v>
      </c>
      <c r="BB65" s="16">
        <f>Demand_LP!E$5/31</f>
        <v>772.29437499345636</v>
      </c>
      <c r="BC65" s="16">
        <f>Demand_LP!F$5/31</f>
        <v>471.74248526347748</v>
      </c>
      <c r="BD65" s="16">
        <f>Demand_LP!G$5/31</f>
        <v>754.78140345091151</v>
      </c>
      <c r="BE65" s="16">
        <f>Demand_LP!H$5/31</f>
        <v>547.55235732009919</v>
      </c>
      <c r="BF65" s="16">
        <f>Demand_LP!I$5/31</f>
        <v>451.61290322580646</v>
      </c>
      <c r="BG65" s="16">
        <f>Demand_LP!J$5/31</f>
        <v>451.61290322580646</v>
      </c>
      <c r="BH65" s="16">
        <f>Demand_LP!K$5/31</f>
        <v>451.61290322580646</v>
      </c>
      <c r="BI65" s="16" t="e">
        <f t="shared" si="13"/>
        <v>#VALUE!</v>
      </c>
      <c r="BJ65" s="16">
        <f t="shared" si="14"/>
        <v>-35285.077584780782</v>
      </c>
      <c r="BK65" s="16">
        <f t="shared" si="15"/>
        <v>-14016.794003308518</v>
      </c>
      <c r="BL65" s="16">
        <f t="shared" si="16"/>
        <v>-42182.30491985214</v>
      </c>
      <c r="BM65" s="16">
        <f t="shared" si="17"/>
        <v>-27233.52649425199</v>
      </c>
      <c r="BN65" s="16">
        <f t="shared" si="18"/>
        <v>-39264.344210352763</v>
      </c>
      <c r="BO65" s="16">
        <f t="shared" si="19"/>
        <v>-37642.657071960297</v>
      </c>
      <c r="BP65" s="16">
        <f t="shared" si="20"/>
        <v>-27254.838709677439</v>
      </c>
      <c r="BQ65" s="16">
        <f t="shared" si="21"/>
        <v>-23854.838709677435</v>
      </c>
      <c r="BR65" s="16">
        <f t="shared" si="22"/>
        <v>-25054.838709677428</v>
      </c>
      <c r="BS65" s="14">
        <f>IF([1]Sheet2!CA64=999999,"NA",[1]Sheet2!CA64)</f>
        <v>191424.16129032263</v>
      </c>
      <c r="BT65" s="14">
        <f>IF([1]Sheet2!CB64=999999,"NA",[1]Sheet2!CB64)</f>
        <v>225</v>
      </c>
      <c r="BU65" s="14">
        <f>IF([1]Sheet2!CC64=999999,"NA",[1]Sheet2!CC64)</f>
        <v>303</v>
      </c>
      <c r="BV65" s="14">
        <f>IF([1]Sheet2!CD64=999999,"NA",[1]Sheet2!CD64)</f>
        <v>303</v>
      </c>
      <c r="BW65" s="14">
        <f>IF([1]Sheet2!CE64=999999,"NA",[1]Sheet2!CE64)</f>
        <v>265</v>
      </c>
      <c r="BX65" s="14">
        <f>IF([1]Sheet2!CF64=999999,"NA",[1]Sheet2!CF64)</f>
        <v>303</v>
      </c>
      <c r="BY65" s="14">
        <f>IF([1]Sheet2!CG64=999999,"NA",[1]Sheet2!CG64)</f>
        <v>197</v>
      </c>
      <c r="BZ65" s="14">
        <f>IF([1]Sheet2!CH64=999999,"NA",[1]Sheet2!CH64)</f>
        <v>303</v>
      </c>
      <c r="CA65" s="14">
        <f>IF([1]Sheet2!CI64=999999,"NA",[1]Sheet2!CI64)</f>
        <v>303</v>
      </c>
      <c r="CB65" s="14">
        <f>IF([1]Sheet2!CJ64=999999,"NA",[1]Sheet2!CJ64)</f>
        <v>303</v>
      </c>
      <c r="CC65" s="14">
        <f>[1]Sheet2!BG64</f>
        <v>0</v>
      </c>
      <c r="CD65" s="14">
        <f>[1]Sheet2!BH64</f>
        <v>0</v>
      </c>
      <c r="CE65" s="14">
        <f>[1]Sheet2!BI64</f>
        <v>0</v>
      </c>
      <c r="CF65" s="14">
        <f>[1]Sheet2!BJ64</f>
        <v>0</v>
      </c>
      <c r="CG65" s="14">
        <f>[1]Sheet2!BK64</f>
        <v>0</v>
      </c>
      <c r="CH65" s="14">
        <f>[1]Sheet2!BL64</f>
        <v>0</v>
      </c>
      <c r="CI65" s="14">
        <f>[1]Sheet2!BM64</f>
        <v>0</v>
      </c>
      <c r="CJ65" s="14">
        <f>[1]Sheet2!BN64</f>
        <v>0</v>
      </c>
      <c r="CK65" s="14">
        <f>[1]Sheet2!BO64</f>
        <v>0</v>
      </c>
      <c r="CL65" s="14">
        <f>[1]Sheet2!BP64</f>
        <v>0</v>
      </c>
      <c r="CM65" s="16">
        <f>Demand_SW!B$5/31</f>
        <v>138.46153846153845</v>
      </c>
      <c r="CN65" s="16">
        <f>Demand_SW!C$5/31</f>
        <v>29.776674937965261</v>
      </c>
      <c r="CO65" s="16">
        <f>Demand_SW!D$5/31</f>
        <v>0</v>
      </c>
      <c r="CP65" s="16">
        <f>Demand_SW!E$5/31</f>
        <v>0</v>
      </c>
      <c r="CQ65" s="16">
        <f>Demand_SW!F$5/31</f>
        <v>0</v>
      </c>
      <c r="CR65" s="16">
        <f>Demand_SW!G$5/31</f>
        <v>138.70967741935485</v>
      </c>
      <c r="CS65" s="16">
        <f>Demand_SW!H$5/31</f>
        <v>29.776674937965261</v>
      </c>
      <c r="CT65" s="16">
        <f>Demand_SW!I$5/31</f>
        <v>0</v>
      </c>
      <c r="CU65" s="16">
        <f>Demand_SW!J$5/31</f>
        <v>0</v>
      </c>
      <c r="CV65" s="16">
        <f>Demand_SW!K$5/31</f>
        <v>0</v>
      </c>
      <c r="CW65" s="16">
        <f t="shared" si="23"/>
        <v>43606.153846153822</v>
      </c>
      <c r="CX65" s="16">
        <f t="shared" si="24"/>
        <v>410.66997518610424</v>
      </c>
      <c r="CY65" s="16">
        <f t="shared" si="25"/>
        <v>0</v>
      </c>
      <c r="CZ65" s="16">
        <f t="shared" si="26"/>
        <v>0</v>
      </c>
      <c r="DA65" s="16">
        <f t="shared" si="27"/>
        <v>0</v>
      </c>
      <c r="DB65" s="16">
        <f t="shared" si="28"/>
        <v>-5916.129032258058</v>
      </c>
      <c r="DC65" s="16">
        <f t="shared" si="29"/>
        <v>410.66997518610424</v>
      </c>
      <c r="DD65" s="16">
        <f t="shared" si="30"/>
        <v>0</v>
      </c>
      <c r="DE65" s="16">
        <f t="shared" si="31"/>
        <v>0</v>
      </c>
      <c r="DF65" s="16">
        <f t="shared" si="32"/>
        <v>0</v>
      </c>
      <c r="DG65" s="14">
        <f>IF([1]Sheet2!DR64=999999,"NA",[1]Sheet2!DR64)</f>
        <v>73103</v>
      </c>
      <c r="DH65" s="14">
        <f>IF([1]Sheet2!DS64=999999,"NA",[1]Sheet2!DS64)</f>
        <v>303</v>
      </c>
      <c r="DI65" s="14">
        <f>IF([1]Sheet2!DT64=999999,"NA",[1]Sheet2!DT64)</f>
        <v>303</v>
      </c>
      <c r="DJ65" s="14" t="str">
        <f>IF([1]Sheet2!DU64=999999,"NA",[1]Sheet2!DU64)</f>
        <v>NA</v>
      </c>
      <c r="DK65" s="14" t="str">
        <f>IF([1]Sheet2!DV64=999999,"NA",[1]Sheet2!DV64)</f>
        <v>NA</v>
      </c>
      <c r="DL65" s="14" t="str">
        <f>IF([1]Sheet2!DW64=999999,"NA",[1]Sheet2!DW64)</f>
        <v>NA</v>
      </c>
      <c r="DM65" s="14">
        <f>IF([1]Sheet2!DX64=999999,"NA",[1]Sheet2!DX64)</f>
        <v>303</v>
      </c>
      <c r="DN65" s="14">
        <f>IF([1]Sheet2!DY64=999999,"NA",[1]Sheet2!DY64)</f>
        <v>303</v>
      </c>
      <c r="DO65" s="14" t="str">
        <f>IF([1]Sheet2!DZ64=999999,"NA",[1]Sheet2!DZ64)</f>
        <v>NA</v>
      </c>
      <c r="DP65" s="14" t="str">
        <f>IF([1]Sheet2!EA64=999999,"NA",[1]Sheet2!EA64)</f>
        <v>NA</v>
      </c>
      <c r="DQ65" s="14">
        <f>[1]Sheet2!CX64</f>
        <v>0</v>
      </c>
      <c r="DR65" s="14">
        <f>[1]Sheet2!CY64</f>
        <v>0</v>
      </c>
      <c r="DS65" s="14">
        <f>[1]Sheet2!CZ64</f>
        <v>0</v>
      </c>
      <c r="DT65" s="14">
        <f>[1]Sheet2!DA64</f>
        <v>0</v>
      </c>
      <c r="DU65" s="14">
        <f>[1]Sheet2!DB64</f>
        <v>0</v>
      </c>
      <c r="DV65" s="14">
        <f>[1]Sheet2!DC64</f>
        <v>0</v>
      </c>
      <c r="DW65" s="14">
        <f>[1]Sheet2!DD64</f>
        <v>0</v>
      </c>
      <c r="DX65" s="14">
        <f>[1]Sheet2!DE64</f>
        <v>0</v>
      </c>
      <c r="DY65" s="14">
        <f>[1]Sheet2!DF64</f>
        <v>0</v>
      </c>
      <c r="DZ65" s="14">
        <f>[1]Sheet2!DG64</f>
        <v>0</v>
      </c>
    </row>
    <row r="66" spans="1:130" x14ac:dyDescent="0.25">
      <c r="A66" s="15">
        <v>43528</v>
      </c>
      <c r="B66" s="1"/>
      <c r="C66" s="1"/>
      <c r="D66" s="1"/>
      <c r="E66" s="14">
        <f>[1]Sheet2!N65</f>
        <v>0</v>
      </c>
      <c r="F66" s="14">
        <f>[1]Sheet2!BE65</f>
        <v>0</v>
      </c>
      <c r="G66" s="14">
        <f>[1]Sheet2!CV65</f>
        <v>336.72456575682378</v>
      </c>
      <c r="H66" s="1"/>
      <c r="I66" s="1"/>
      <c r="J66" s="1"/>
      <c r="K66" s="16">
        <f>Demand_CWRS!B$5/31</f>
        <v>131.679370700757</v>
      </c>
      <c r="L66" s="16">
        <f>Demand_CWRS!C$5/31</f>
        <v>537.20942928039699</v>
      </c>
      <c r="M66" s="16">
        <f>Demand_CWRS!D$5/31</f>
        <v>0</v>
      </c>
      <c r="N66" s="16">
        <f>Demand_CWRS!E$5/31</f>
        <v>121.5961418056559</v>
      </c>
      <c r="O66" s="16">
        <f>Demand_CWRS!F$5/31</f>
        <v>245.08227837631262</v>
      </c>
      <c r="P66" s="16">
        <f>Demand_CWRS!G$5/31</f>
        <v>131.679370700757</v>
      </c>
      <c r="Q66" s="16">
        <f>Demand_CWRS!H$5/31</f>
        <v>537.20942928039699</v>
      </c>
      <c r="R66" s="16">
        <f>Demand_CWRS!I$5/31</f>
        <v>245.08227837631262</v>
      </c>
      <c r="S66" s="16">
        <f>Demand_CWRS!J$5/31</f>
        <v>245.08227837631262</v>
      </c>
      <c r="T66" s="16">
        <f>Demand_CWRS!K$5/31</f>
        <v>245.08227837631262</v>
      </c>
      <c r="U66" s="16">
        <f t="shared" si="3"/>
        <v>-10923.661292899169</v>
      </c>
      <c r="V66" s="16">
        <f t="shared" si="4"/>
        <v>-21677.468486352347</v>
      </c>
      <c r="W66" s="16">
        <f t="shared" si="5"/>
        <v>0</v>
      </c>
      <c r="X66" s="16">
        <f t="shared" si="6"/>
        <v>-5196.3089261969862</v>
      </c>
      <c r="Y66" s="16">
        <f t="shared" si="7"/>
        <v>-13492.295700043718</v>
      </c>
      <c r="Z66" s="16">
        <f t="shared" si="8"/>
        <v>-10706.717482803035</v>
      </c>
      <c r="AA66" s="16">
        <f t="shared" si="9"/>
        <v>-21177.468486352347</v>
      </c>
      <c r="AB66" s="16">
        <f t="shared" si="10"/>
        <v>-11180.329113505251</v>
      </c>
      <c r="AC66" s="16">
        <f t="shared" si="11"/>
        <v>-11180.329113505242</v>
      </c>
      <c r="AD66" s="16">
        <f t="shared" si="12"/>
        <v>-11880.32911350524</v>
      </c>
      <c r="AE66" s="14">
        <f>IF([1]Sheet2!AJ65=999999,"NA",[1]Sheet2!AJ65)</f>
        <v>64</v>
      </c>
      <c r="AF66" s="14">
        <f>IF([1]Sheet2!AK65=999999,"NA",[1]Sheet2!AK65)</f>
        <v>0</v>
      </c>
      <c r="AG66" s="14" t="str">
        <f>IF([1]Sheet2!AL65=999999,"NA",[1]Sheet2!AL65)</f>
        <v>NA</v>
      </c>
      <c r="AH66" s="14">
        <f>IF([1]Sheet2!AM65=999999,"NA",[1]Sheet2!AM65)</f>
        <v>302</v>
      </c>
      <c r="AI66" s="14">
        <f>IF([1]Sheet2!AN65=999999,"NA",[1]Sheet2!AN65)</f>
        <v>302</v>
      </c>
      <c r="AJ66" s="14">
        <f>IF([1]Sheet2!AO65=999999,"NA",[1]Sheet2!AO65)</f>
        <v>302</v>
      </c>
      <c r="AK66" s="14">
        <f>IF([1]Sheet2!AP65=999999,"NA",[1]Sheet2!AP65)</f>
        <v>47</v>
      </c>
      <c r="AL66" s="14">
        <f>IF([1]Sheet2!AQ65=999999,"NA",[1]Sheet2!AQ65)</f>
        <v>178</v>
      </c>
      <c r="AM66" s="14">
        <f>IF([1]Sheet2!AR65=999999,"NA",[1]Sheet2!AR65)</f>
        <v>302</v>
      </c>
      <c r="AN66" s="14">
        <f>IF([1]Sheet2!AS65=999999,"NA",[1]Sheet2!AS65)</f>
        <v>234</v>
      </c>
      <c r="AO66" s="14">
        <f>[1]Sheet2!P65</f>
        <v>0</v>
      </c>
      <c r="AP66" s="14">
        <f>[1]Sheet2!Q65</f>
        <v>0</v>
      </c>
      <c r="AQ66" s="14">
        <f>[1]Sheet2!R65</f>
        <v>0</v>
      </c>
      <c r="AR66" s="14">
        <f>[1]Sheet2!S65</f>
        <v>0</v>
      </c>
      <c r="AS66" s="14">
        <f>[1]Sheet2!T65</f>
        <v>0</v>
      </c>
      <c r="AT66" s="14">
        <f>[1]Sheet2!U65</f>
        <v>0</v>
      </c>
      <c r="AU66" s="14">
        <f>[1]Sheet2!V65</f>
        <v>0</v>
      </c>
      <c r="AV66" s="14">
        <f>[1]Sheet2!W65</f>
        <v>0</v>
      </c>
      <c r="AW66" s="14">
        <f>[1]Sheet2!X65</f>
        <v>0</v>
      </c>
      <c r="AX66" s="14">
        <f>[1]Sheet2!Y65</f>
        <v>0</v>
      </c>
      <c r="AY66" s="16">
        <f>Demand_LP!B$5/31</f>
        <v>754.78140345091151</v>
      </c>
      <c r="AZ66" s="16">
        <f>Demand_LP!C$5/31</f>
        <v>547.55235732009919</v>
      </c>
      <c r="BA66" s="16">
        <f>Demand_LP!D$5/31</f>
        <v>312.75612076095945</v>
      </c>
      <c r="BB66" s="16">
        <f>Demand_LP!E$5/31</f>
        <v>772.29437499345636</v>
      </c>
      <c r="BC66" s="16">
        <f>Demand_LP!F$5/31</f>
        <v>471.74248526347748</v>
      </c>
      <c r="BD66" s="16">
        <f>Demand_LP!G$5/31</f>
        <v>754.78140345091151</v>
      </c>
      <c r="BE66" s="16">
        <f>Demand_LP!H$5/31</f>
        <v>547.55235732009919</v>
      </c>
      <c r="BF66" s="16">
        <f>Demand_LP!I$5/31</f>
        <v>451.61290322580646</v>
      </c>
      <c r="BG66" s="16">
        <f>Demand_LP!J$5/31</f>
        <v>451.61290322580646</v>
      </c>
      <c r="BH66" s="16">
        <f>Demand_LP!K$5/31</f>
        <v>451.61290322580646</v>
      </c>
      <c r="BI66" s="16" t="e">
        <f t="shared" si="13"/>
        <v>#VALUE!</v>
      </c>
      <c r="BJ66" s="16">
        <f t="shared" si="14"/>
        <v>-35832.629942100881</v>
      </c>
      <c r="BK66" s="16">
        <f t="shared" si="15"/>
        <v>-14329.550124069478</v>
      </c>
      <c r="BL66" s="16">
        <f t="shared" si="16"/>
        <v>-42954.599294845597</v>
      </c>
      <c r="BM66" s="16">
        <f t="shared" si="17"/>
        <v>-27705.268979515466</v>
      </c>
      <c r="BN66" s="16">
        <f t="shared" si="18"/>
        <v>-40019.125613803677</v>
      </c>
      <c r="BO66" s="16">
        <f t="shared" si="19"/>
        <v>-38190.209429280396</v>
      </c>
      <c r="BP66" s="16">
        <f t="shared" si="20"/>
        <v>-27706.451612903245</v>
      </c>
      <c r="BQ66" s="16">
        <f t="shared" si="21"/>
        <v>-24306.451612903242</v>
      </c>
      <c r="BR66" s="16">
        <f t="shared" si="22"/>
        <v>-25506.451612903234</v>
      </c>
      <c r="BS66" s="14">
        <f>IF([1]Sheet2!CA65=999999,"NA",[1]Sheet2!CA65)</f>
        <v>190972.54838709682</v>
      </c>
      <c r="BT66" s="14">
        <f>IF([1]Sheet2!CB65=999999,"NA",[1]Sheet2!CB65)</f>
        <v>224</v>
      </c>
      <c r="BU66" s="14">
        <f>IF([1]Sheet2!CC65=999999,"NA",[1]Sheet2!CC65)</f>
        <v>302</v>
      </c>
      <c r="BV66" s="14">
        <f>IF([1]Sheet2!CD65=999999,"NA",[1]Sheet2!CD65)</f>
        <v>302</v>
      </c>
      <c r="BW66" s="14">
        <f>IF([1]Sheet2!CE65=999999,"NA",[1]Sheet2!CE65)</f>
        <v>264</v>
      </c>
      <c r="BX66" s="14">
        <f>IF([1]Sheet2!CF65=999999,"NA",[1]Sheet2!CF65)</f>
        <v>302</v>
      </c>
      <c r="BY66" s="14">
        <f>IF([1]Sheet2!CG65=999999,"NA",[1]Sheet2!CG65)</f>
        <v>196</v>
      </c>
      <c r="BZ66" s="14">
        <f>IF([1]Sheet2!CH65=999999,"NA",[1]Sheet2!CH65)</f>
        <v>302</v>
      </c>
      <c r="CA66" s="14">
        <f>IF([1]Sheet2!CI65=999999,"NA",[1]Sheet2!CI65)</f>
        <v>302</v>
      </c>
      <c r="CB66" s="14">
        <f>IF([1]Sheet2!CJ65=999999,"NA",[1]Sheet2!CJ65)</f>
        <v>302</v>
      </c>
      <c r="CC66" s="14">
        <f>[1]Sheet2!BG65</f>
        <v>0</v>
      </c>
      <c r="CD66" s="14">
        <f>[1]Sheet2!BH65</f>
        <v>0</v>
      </c>
      <c r="CE66" s="14">
        <f>[1]Sheet2!BI65</f>
        <v>0</v>
      </c>
      <c r="CF66" s="14">
        <f>[1]Sheet2!BJ65</f>
        <v>0</v>
      </c>
      <c r="CG66" s="14">
        <f>[1]Sheet2!BK65</f>
        <v>0</v>
      </c>
      <c r="CH66" s="14">
        <f>[1]Sheet2!BL65</f>
        <v>0</v>
      </c>
      <c r="CI66" s="14">
        <f>[1]Sheet2!BM65</f>
        <v>0</v>
      </c>
      <c r="CJ66" s="14">
        <f>[1]Sheet2!BN65</f>
        <v>0</v>
      </c>
      <c r="CK66" s="14">
        <f>[1]Sheet2!BO65</f>
        <v>0</v>
      </c>
      <c r="CL66" s="14">
        <f>[1]Sheet2!BP65</f>
        <v>0</v>
      </c>
      <c r="CM66" s="16">
        <f>Demand_SW!B$5/31</f>
        <v>138.46153846153845</v>
      </c>
      <c r="CN66" s="16">
        <f>Demand_SW!C$5/31</f>
        <v>29.776674937965261</v>
      </c>
      <c r="CO66" s="16">
        <f>Demand_SW!D$5/31</f>
        <v>0</v>
      </c>
      <c r="CP66" s="16">
        <f>Demand_SW!E$5/31</f>
        <v>0</v>
      </c>
      <c r="CQ66" s="16">
        <f>Demand_SW!F$5/31</f>
        <v>0</v>
      </c>
      <c r="CR66" s="16">
        <f>Demand_SW!G$5/31</f>
        <v>138.70967741935485</v>
      </c>
      <c r="CS66" s="16">
        <f>Demand_SW!H$5/31</f>
        <v>29.776674937965261</v>
      </c>
      <c r="CT66" s="16">
        <f>Demand_SW!I$5/31</f>
        <v>0</v>
      </c>
      <c r="CU66" s="16">
        <f>Demand_SW!J$5/31</f>
        <v>0</v>
      </c>
      <c r="CV66" s="16">
        <f>Demand_SW!K$5/31</f>
        <v>0</v>
      </c>
      <c r="CW66" s="16">
        <f t="shared" si="23"/>
        <v>43467.692307692283</v>
      </c>
      <c r="CX66" s="16">
        <f t="shared" si="24"/>
        <v>380.89330024813898</v>
      </c>
      <c r="CY66" s="16">
        <f t="shared" si="25"/>
        <v>0</v>
      </c>
      <c r="CZ66" s="16">
        <f t="shared" si="26"/>
        <v>0</v>
      </c>
      <c r="DA66" s="16">
        <f t="shared" si="27"/>
        <v>0</v>
      </c>
      <c r="DB66" s="16">
        <f t="shared" si="28"/>
        <v>-6054.8387096774131</v>
      </c>
      <c r="DC66" s="16">
        <f t="shared" si="29"/>
        <v>380.89330024813898</v>
      </c>
      <c r="DD66" s="16">
        <f t="shared" si="30"/>
        <v>0</v>
      </c>
      <c r="DE66" s="16">
        <f t="shared" si="31"/>
        <v>0</v>
      </c>
      <c r="DF66" s="16">
        <f t="shared" si="32"/>
        <v>0</v>
      </c>
      <c r="DG66" s="14">
        <f>IF([1]Sheet2!DR65=999999,"NA",[1]Sheet2!DR65)</f>
        <v>73103</v>
      </c>
      <c r="DH66" s="14">
        <f>IF([1]Sheet2!DS65=999999,"NA",[1]Sheet2!DS65)</f>
        <v>302</v>
      </c>
      <c r="DI66" s="14">
        <f>IF([1]Sheet2!DT65=999999,"NA",[1]Sheet2!DT65)</f>
        <v>302</v>
      </c>
      <c r="DJ66" s="14" t="str">
        <f>IF([1]Sheet2!DU65=999999,"NA",[1]Sheet2!DU65)</f>
        <v>NA</v>
      </c>
      <c r="DK66" s="14" t="str">
        <f>IF([1]Sheet2!DV65=999999,"NA",[1]Sheet2!DV65)</f>
        <v>NA</v>
      </c>
      <c r="DL66" s="14" t="str">
        <f>IF([1]Sheet2!DW65=999999,"NA",[1]Sheet2!DW65)</f>
        <v>NA</v>
      </c>
      <c r="DM66" s="14">
        <f>IF([1]Sheet2!DX65=999999,"NA",[1]Sheet2!DX65)</f>
        <v>302</v>
      </c>
      <c r="DN66" s="14">
        <f>IF([1]Sheet2!DY65=999999,"NA",[1]Sheet2!DY65)</f>
        <v>302</v>
      </c>
      <c r="DO66" s="14" t="str">
        <f>IF([1]Sheet2!DZ65=999999,"NA",[1]Sheet2!DZ65)</f>
        <v>NA</v>
      </c>
      <c r="DP66" s="14" t="str">
        <f>IF([1]Sheet2!EA65=999999,"NA",[1]Sheet2!EA65)</f>
        <v>NA</v>
      </c>
      <c r="DQ66" s="14">
        <f>[1]Sheet2!CX65</f>
        <v>0</v>
      </c>
      <c r="DR66" s="14">
        <f>[1]Sheet2!CY65</f>
        <v>0</v>
      </c>
      <c r="DS66" s="14">
        <f>[1]Sheet2!CZ65</f>
        <v>0</v>
      </c>
      <c r="DT66" s="14">
        <f>[1]Sheet2!DA65</f>
        <v>0</v>
      </c>
      <c r="DU66" s="14">
        <f>[1]Sheet2!DB65</f>
        <v>0</v>
      </c>
      <c r="DV66" s="14">
        <f>[1]Sheet2!DC65</f>
        <v>0</v>
      </c>
      <c r="DW66" s="14">
        <f>[1]Sheet2!DD65</f>
        <v>0</v>
      </c>
      <c r="DX66" s="14">
        <f>[1]Sheet2!DE65</f>
        <v>0</v>
      </c>
      <c r="DY66" s="14">
        <f>[1]Sheet2!DF65</f>
        <v>0</v>
      </c>
      <c r="DZ66" s="14">
        <f>[1]Sheet2!DG65</f>
        <v>0</v>
      </c>
    </row>
    <row r="67" spans="1:130" x14ac:dyDescent="0.25">
      <c r="A67" s="15">
        <v>43529</v>
      </c>
      <c r="B67" s="1"/>
      <c r="C67" s="1"/>
      <c r="D67" s="1"/>
      <c r="E67" s="14">
        <f>[1]Sheet2!N66</f>
        <v>0</v>
      </c>
      <c r="F67" s="14">
        <f>[1]Sheet2!BE66</f>
        <v>0</v>
      </c>
      <c r="G67" s="14">
        <f>[1]Sheet2!CV66</f>
        <v>336.72456575682378</v>
      </c>
      <c r="H67" s="1"/>
      <c r="I67" s="1"/>
      <c r="J67" s="1"/>
      <c r="K67" s="16">
        <f>Demand_CWRS!B$5/31</f>
        <v>131.679370700757</v>
      </c>
      <c r="L67" s="16">
        <f>Demand_CWRS!C$5/31</f>
        <v>537.20942928039699</v>
      </c>
      <c r="M67" s="16">
        <f>Demand_CWRS!D$5/31</f>
        <v>0</v>
      </c>
      <c r="N67" s="16">
        <f>Demand_CWRS!E$5/31</f>
        <v>121.5961418056559</v>
      </c>
      <c r="O67" s="16">
        <f>Demand_CWRS!F$5/31</f>
        <v>245.08227837631262</v>
      </c>
      <c r="P67" s="16">
        <f>Demand_CWRS!G$5/31</f>
        <v>131.679370700757</v>
      </c>
      <c r="Q67" s="16">
        <f>Demand_CWRS!H$5/31</f>
        <v>537.20942928039699</v>
      </c>
      <c r="R67" s="16">
        <f>Demand_CWRS!I$5/31</f>
        <v>245.08227837631262</v>
      </c>
      <c r="S67" s="16">
        <f>Demand_CWRS!J$5/31</f>
        <v>245.08227837631262</v>
      </c>
      <c r="T67" s="16">
        <f>Demand_CWRS!K$5/31</f>
        <v>245.08227837631262</v>
      </c>
      <c r="U67" s="16">
        <f t="shared" si="3"/>
        <v>-11055.340663599925</v>
      </c>
      <c r="V67" s="16">
        <f t="shared" si="4"/>
        <v>-22214.677915632743</v>
      </c>
      <c r="W67" s="16">
        <f t="shared" si="5"/>
        <v>0</v>
      </c>
      <c r="X67" s="16">
        <f t="shared" si="6"/>
        <v>-5317.9050680026421</v>
      </c>
      <c r="Y67" s="16">
        <f t="shared" si="7"/>
        <v>-13737.377978420031</v>
      </c>
      <c r="Z67" s="16">
        <f t="shared" si="8"/>
        <v>-10838.396853503791</v>
      </c>
      <c r="AA67" s="16">
        <f t="shared" si="9"/>
        <v>-21714.677915632743</v>
      </c>
      <c r="AB67" s="16">
        <f t="shared" si="10"/>
        <v>-11425.411391881564</v>
      </c>
      <c r="AC67" s="16">
        <f t="shared" si="11"/>
        <v>-11425.411391881555</v>
      </c>
      <c r="AD67" s="16">
        <f t="shared" si="12"/>
        <v>-12125.411391881553</v>
      </c>
      <c r="AE67" s="14">
        <f>IF([1]Sheet2!AJ66=999999,"NA",[1]Sheet2!AJ66)</f>
        <v>63</v>
      </c>
      <c r="AF67" s="14">
        <f>IF([1]Sheet2!AK66=999999,"NA",[1]Sheet2!AK66)</f>
        <v>0</v>
      </c>
      <c r="AG67" s="14" t="str">
        <f>IF([1]Sheet2!AL66=999999,"NA",[1]Sheet2!AL66)</f>
        <v>NA</v>
      </c>
      <c r="AH67" s="14">
        <f>IF([1]Sheet2!AM66=999999,"NA",[1]Sheet2!AM66)</f>
        <v>301</v>
      </c>
      <c r="AI67" s="14">
        <f>IF([1]Sheet2!AN66=999999,"NA",[1]Sheet2!AN66)</f>
        <v>301</v>
      </c>
      <c r="AJ67" s="14">
        <f>IF([1]Sheet2!AO66=999999,"NA",[1]Sheet2!AO66)</f>
        <v>301</v>
      </c>
      <c r="AK67" s="14">
        <f>IF([1]Sheet2!AP66=999999,"NA",[1]Sheet2!AP66)</f>
        <v>46</v>
      </c>
      <c r="AL67" s="14">
        <f>IF([1]Sheet2!AQ66=999999,"NA",[1]Sheet2!AQ66)</f>
        <v>177</v>
      </c>
      <c r="AM67" s="14">
        <f>IF([1]Sheet2!AR66=999999,"NA",[1]Sheet2!AR66)</f>
        <v>301</v>
      </c>
      <c r="AN67" s="14">
        <f>IF([1]Sheet2!AS66=999999,"NA",[1]Sheet2!AS66)</f>
        <v>233</v>
      </c>
      <c r="AO67" s="14">
        <f>[1]Sheet2!P66</f>
        <v>0</v>
      </c>
      <c r="AP67" s="14">
        <f>[1]Sheet2!Q66</f>
        <v>0</v>
      </c>
      <c r="AQ67" s="14">
        <f>[1]Sheet2!R66</f>
        <v>0</v>
      </c>
      <c r="AR67" s="14">
        <f>[1]Sheet2!S66</f>
        <v>0</v>
      </c>
      <c r="AS67" s="14">
        <f>[1]Sheet2!T66</f>
        <v>0</v>
      </c>
      <c r="AT67" s="14">
        <f>[1]Sheet2!U66</f>
        <v>0</v>
      </c>
      <c r="AU67" s="14">
        <f>[1]Sheet2!V66</f>
        <v>0</v>
      </c>
      <c r="AV67" s="14">
        <f>[1]Sheet2!W66</f>
        <v>0</v>
      </c>
      <c r="AW67" s="14">
        <f>[1]Sheet2!X66</f>
        <v>0</v>
      </c>
      <c r="AX67" s="14">
        <f>[1]Sheet2!Y66</f>
        <v>0</v>
      </c>
      <c r="AY67" s="16">
        <f>Demand_LP!B$5/31</f>
        <v>754.78140345091151</v>
      </c>
      <c r="AZ67" s="16">
        <f>Demand_LP!C$5/31</f>
        <v>547.55235732009919</v>
      </c>
      <c r="BA67" s="16">
        <f>Demand_LP!D$5/31</f>
        <v>312.75612076095945</v>
      </c>
      <c r="BB67" s="16">
        <f>Demand_LP!E$5/31</f>
        <v>772.29437499345636</v>
      </c>
      <c r="BC67" s="16">
        <f>Demand_LP!F$5/31</f>
        <v>471.74248526347748</v>
      </c>
      <c r="BD67" s="16">
        <f>Demand_LP!G$5/31</f>
        <v>754.78140345091151</v>
      </c>
      <c r="BE67" s="16">
        <f>Demand_LP!H$5/31</f>
        <v>547.55235732009919</v>
      </c>
      <c r="BF67" s="16">
        <f>Demand_LP!I$5/31</f>
        <v>451.61290322580646</v>
      </c>
      <c r="BG67" s="16">
        <f>Demand_LP!J$5/31</f>
        <v>451.61290322580646</v>
      </c>
      <c r="BH67" s="16">
        <f>Demand_LP!K$5/31</f>
        <v>451.61290322580646</v>
      </c>
      <c r="BI67" s="16" t="e">
        <f t="shared" si="13"/>
        <v>#VALUE!</v>
      </c>
      <c r="BJ67" s="16">
        <f t="shared" si="14"/>
        <v>-36380.18229942098</v>
      </c>
      <c r="BK67" s="16">
        <f t="shared" si="15"/>
        <v>-14642.306244830437</v>
      </c>
      <c r="BL67" s="16">
        <f t="shared" si="16"/>
        <v>-43726.893669839053</v>
      </c>
      <c r="BM67" s="16">
        <f t="shared" si="17"/>
        <v>-28177.011464778941</v>
      </c>
      <c r="BN67" s="16">
        <f t="shared" si="18"/>
        <v>-40773.907017254591</v>
      </c>
      <c r="BO67" s="16">
        <f t="shared" si="19"/>
        <v>-38737.761786600495</v>
      </c>
      <c r="BP67" s="16">
        <f t="shared" si="20"/>
        <v>-28158.064516129052</v>
      </c>
      <c r="BQ67" s="16">
        <f t="shared" si="21"/>
        <v>-24758.064516129049</v>
      </c>
      <c r="BR67" s="16">
        <f t="shared" si="22"/>
        <v>-25958.064516129041</v>
      </c>
      <c r="BS67" s="14">
        <f>IF([1]Sheet2!CA66=999999,"NA",[1]Sheet2!CA66)</f>
        <v>190520.935483871</v>
      </c>
      <c r="BT67" s="14">
        <f>IF([1]Sheet2!CB66=999999,"NA",[1]Sheet2!CB66)</f>
        <v>223</v>
      </c>
      <c r="BU67" s="14">
        <f>IF([1]Sheet2!CC66=999999,"NA",[1]Sheet2!CC66)</f>
        <v>301</v>
      </c>
      <c r="BV67" s="14">
        <f>IF([1]Sheet2!CD66=999999,"NA",[1]Sheet2!CD66)</f>
        <v>301</v>
      </c>
      <c r="BW67" s="14">
        <f>IF([1]Sheet2!CE66=999999,"NA",[1]Sheet2!CE66)</f>
        <v>263</v>
      </c>
      <c r="BX67" s="14">
        <f>IF([1]Sheet2!CF66=999999,"NA",[1]Sheet2!CF66)</f>
        <v>301</v>
      </c>
      <c r="BY67" s="14">
        <f>IF([1]Sheet2!CG66=999999,"NA",[1]Sheet2!CG66)</f>
        <v>195</v>
      </c>
      <c r="BZ67" s="14">
        <f>IF([1]Sheet2!CH66=999999,"NA",[1]Sheet2!CH66)</f>
        <v>301</v>
      </c>
      <c r="CA67" s="14">
        <f>IF([1]Sheet2!CI66=999999,"NA",[1]Sheet2!CI66)</f>
        <v>301</v>
      </c>
      <c r="CB67" s="14">
        <f>IF([1]Sheet2!CJ66=999999,"NA",[1]Sheet2!CJ66)</f>
        <v>301</v>
      </c>
      <c r="CC67" s="14">
        <f>[1]Sheet2!BG66</f>
        <v>0</v>
      </c>
      <c r="CD67" s="14">
        <f>[1]Sheet2!BH66</f>
        <v>0</v>
      </c>
      <c r="CE67" s="14">
        <f>[1]Sheet2!BI66</f>
        <v>0</v>
      </c>
      <c r="CF67" s="14">
        <f>[1]Sheet2!BJ66</f>
        <v>0</v>
      </c>
      <c r="CG67" s="14">
        <f>[1]Sheet2!BK66</f>
        <v>0</v>
      </c>
      <c r="CH67" s="14">
        <f>[1]Sheet2!BL66</f>
        <v>0</v>
      </c>
      <c r="CI67" s="14">
        <f>[1]Sheet2!BM66</f>
        <v>0</v>
      </c>
      <c r="CJ67" s="14">
        <f>[1]Sheet2!BN66</f>
        <v>0</v>
      </c>
      <c r="CK67" s="14">
        <f>[1]Sheet2!BO66</f>
        <v>0</v>
      </c>
      <c r="CL67" s="14">
        <f>[1]Sheet2!BP66</f>
        <v>0</v>
      </c>
      <c r="CM67" s="16">
        <f>Demand_SW!B$5/31</f>
        <v>138.46153846153845</v>
      </c>
      <c r="CN67" s="16">
        <f>Demand_SW!C$5/31</f>
        <v>29.776674937965261</v>
      </c>
      <c r="CO67" s="16">
        <f>Demand_SW!D$5/31</f>
        <v>0</v>
      </c>
      <c r="CP67" s="16">
        <f>Demand_SW!E$5/31</f>
        <v>0</v>
      </c>
      <c r="CQ67" s="16">
        <f>Demand_SW!F$5/31</f>
        <v>0</v>
      </c>
      <c r="CR67" s="16">
        <f>Demand_SW!G$5/31</f>
        <v>138.70967741935485</v>
      </c>
      <c r="CS67" s="16">
        <f>Demand_SW!H$5/31</f>
        <v>29.776674937965261</v>
      </c>
      <c r="CT67" s="16">
        <f>Demand_SW!I$5/31</f>
        <v>0</v>
      </c>
      <c r="CU67" s="16">
        <f>Demand_SW!J$5/31</f>
        <v>0</v>
      </c>
      <c r="CV67" s="16">
        <f>Demand_SW!K$5/31</f>
        <v>0</v>
      </c>
      <c r="CW67" s="16">
        <f t="shared" si="23"/>
        <v>43329.230769230744</v>
      </c>
      <c r="CX67" s="16">
        <f t="shared" si="24"/>
        <v>351.11662531017373</v>
      </c>
      <c r="CY67" s="16">
        <f t="shared" si="25"/>
        <v>0</v>
      </c>
      <c r="CZ67" s="16">
        <f t="shared" si="26"/>
        <v>0</v>
      </c>
      <c r="DA67" s="16">
        <f t="shared" si="27"/>
        <v>0</v>
      </c>
      <c r="DB67" s="16">
        <f t="shared" si="28"/>
        <v>-6193.5483870967682</v>
      </c>
      <c r="DC67" s="16">
        <f t="shared" si="29"/>
        <v>351.11662531017373</v>
      </c>
      <c r="DD67" s="16">
        <f t="shared" si="30"/>
        <v>0</v>
      </c>
      <c r="DE67" s="16">
        <f t="shared" si="31"/>
        <v>0</v>
      </c>
      <c r="DF67" s="16">
        <f t="shared" si="32"/>
        <v>0</v>
      </c>
      <c r="DG67" s="14">
        <f>IF([1]Sheet2!DR66=999999,"NA",[1]Sheet2!DR66)</f>
        <v>73103</v>
      </c>
      <c r="DH67" s="14">
        <f>IF([1]Sheet2!DS66=999999,"NA",[1]Sheet2!DS66)</f>
        <v>301</v>
      </c>
      <c r="DI67" s="14">
        <f>IF([1]Sheet2!DT66=999999,"NA",[1]Sheet2!DT66)</f>
        <v>301</v>
      </c>
      <c r="DJ67" s="14" t="str">
        <f>IF([1]Sheet2!DU66=999999,"NA",[1]Sheet2!DU66)</f>
        <v>NA</v>
      </c>
      <c r="DK67" s="14" t="str">
        <f>IF([1]Sheet2!DV66=999999,"NA",[1]Sheet2!DV66)</f>
        <v>NA</v>
      </c>
      <c r="DL67" s="14" t="str">
        <f>IF([1]Sheet2!DW66=999999,"NA",[1]Sheet2!DW66)</f>
        <v>NA</v>
      </c>
      <c r="DM67" s="14">
        <f>IF([1]Sheet2!DX66=999999,"NA",[1]Sheet2!DX66)</f>
        <v>301</v>
      </c>
      <c r="DN67" s="14">
        <f>IF([1]Sheet2!DY66=999999,"NA",[1]Sheet2!DY66)</f>
        <v>301</v>
      </c>
      <c r="DO67" s="14" t="str">
        <f>IF([1]Sheet2!DZ66=999999,"NA",[1]Sheet2!DZ66)</f>
        <v>NA</v>
      </c>
      <c r="DP67" s="14" t="str">
        <f>IF([1]Sheet2!EA66=999999,"NA",[1]Sheet2!EA66)</f>
        <v>NA</v>
      </c>
      <c r="DQ67" s="14">
        <f>[1]Sheet2!CX66</f>
        <v>0</v>
      </c>
      <c r="DR67" s="14">
        <f>[1]Sheet2!CY66</f>
        <v>0</v>
      </c>
      <c r="DS67" s="14">
        <f>[1]Sheet2!CZ66</f>
        <v>0</v>
      </c>
      <c r="DT67" s="14">
        <f>[1]Sheet2!DA66</f>
        <v>0</v>
      </c>
      <c r="DU67" s="14">
        <f>[1]Sheet2!DB66</f>
        <v>0</v>
      </c>
      <c r="DV67" s="14">
        <f>[1]Sheet2!DC66</f>
        <v>0</v>
      </c>
      <c r="DW67" s="14">
        <f>[1]Sheet2!DD66</f>
        <v>0</v>
      </c>
      <c r="DX67" s="14">
        <f>[1]Sheet2!DE66</f>
        <v>0</v>
      </c>
      <c r="DY67" s="14">
        <f>[1]Sheet2!DF66</f>
        <v>0</v>
      </c>
      <c r="DZ67" s="14">
        <f>[1]Sheet2!DG66</f>
        <v>0</v>
      </c>
    </row>
    <row r="68" spans="1:130" x14ac:dyDescent="0.25">
      <c r="A68" s="15">
        <v>43530</v>
      </c>
      <c r="B68" s="1"/>
      <c r="C68" s="1"/>
      <c r="D68" s="1"/>
      <c r="E68" s="14">
        <f>[1]Sheet2!N67</f>
        <v>0</v>
      </c>
      <c r="F68" s="14">
        <f>[1]Sheet2!BE67</f>
        <v>0</v>
      </c>
      <c r="G68" s="14">
        <f>[1]Sheet2!CV67</f>
        <v>336.72456575682378</v>
      </c>
      <c r="H68" s="1"/>
      <c r="I68" s="1"/>
      <c r="J68" s="1"/>
      <c r="K68" s="16">
        <f>Demand_CWRS!B$5/31</f>
        <v>131.679370700757</v>
      </c>
      <c r="L68" s="16">
        <f>Demand_CWRS!C$5/31</f>
        <v>537.20942928039699</v>
      </c>
      <c r="M68" s="16">
        <f>Demand_CWRS!D$5/31</f>
        <v>0</v>
      </c>
      <c r="N68" s="16">
        <f>Demand_CWRS!E$5/31</f>
        <v>121.5961418056559</v>
      </c>
      <c r="O68" s="16">
        <f>Demand_CWRS!F$5/31</f>
        <v>245.08227837631262</v>
      </c>
      <c r="P68" s="16">
        <f>Demand_CWRS!G$5/31</f>
        <v>131.679370700757</v>
      </c>
      <c r="Q68" s="16">
        <f>Demand_CWRS!H$5/31</f>
        <v>537.20942928039699</v>
      </c>
      <c r="R68" s="16">
        <f>Demand_CWRS!I$5/31</f>
        <v>245.08227837631262</v>
      </c>
      <c r="S68" s="16">
        <f>Demand_CWRS!J$5/31</f>
        <v>245.08227837631262</v>
      </c>
      <c r="T68" s="16">
        <f>Demand_CWRS!K$5/31</f>
        <v>245.08227837631262</v>
      </c>
      <c r="U68" s="16">
        <f t="shared" si="3"/>
        <v>-11187.020034300682</v>
      </c>
      <c r="V68" s="16">
        <f t="shared" si="4"/>
        <v>-22751.887344913139</v>
      </c>
      <c r="W68" s="16">
        <f t="shared" si="5"/>
        <v>0</v>
      </c>
      <c r="X68" s="16">
        <f t="shared" si="6"/>
        <v>-5439.501209808298</v>
      </c>
      <c r="Y68" s="16">
        <f t="shared" si="7"/>
        <v>-13982.460256796343</v>
      </c>
      <c r="Z68" s="16">
        <f t="shared" si="8"/>
        <v>-10970.076224204548</v>
      </c>
      <c r="AA68" s="16">
        <f t="shared" si="9"/>
        <v>-22251.887344913139</v>
      </c>
      <c r="AB68" s="16">
        <f t="shared" si="10"/>
        <v>-11670.493670257876</v>
      </c>
      <c r="AC68" s="16">
        <f t="shared" si="11"/>
        <v>-11670.493670257867</v>
      </c>
      <c r="AD68" s="16">
        <f t="shared" si="12"/>
        <v>-12370.493670257865</v>
      </c>
      <c r="AE68" s="14">
        <f>IF([1]Sheet2!AJ67=999999,"NA",[1]Sheet2!AJ67)</f>
        <v>62</v>
      </c>
      <c r="AF68" s="14">
        <f>IF([1]Sheet2!AK67=999999,"NA",[1]Sheet2!AK67)</f>
        <v>0</v>
      </c>
      <c r="AG68" s="14" t="str">
        <f>IF([1]Sheet2!AL67=999999,"NA",[1]Sheet2!AL67)</f>
        <v>NA</v>
      </c>
      <c r="AH68" s="14">
        <f>IF([1]Sheet2!AM67=999999,"NA",[1]Sheet2!AM67)</f>
        <v>300</v>
      </c>
      <c r="AI68" s="14">
        <f>IF([1]Sheet2!AN67=999999,"NA",[1]Sheet2!AN67)</f>
        <v>300</v>
      </c>
      <c r="AJ68" s="14">
        <f>IF([1]Sheet2!AO67=999999,"NA",[1]Sheet2!AO67)</f>
        <v>300</v>
      </c>
      <c r="AK68" s="14">
        <f>IF([1]Sheet2!AP67=999999,"NA",[1]Sheet2!AP67)</f>
        <v>45</v>
      </c>
      <c r="AL68" s="14">
        <f>IF([1]Sheet2!AQ67=999999,"NA",[1]Sheet2!AQ67)</f>
        <v>176</v>
      </c>
      <c r="AM68" s="14">
        <f>IF([1]Sheet2!AR67=999999,"NA",[1]Sheet2!AR67)</f>
        <v>300</v>
      </c>
      <c r="AN68" s="14">
        <f>IF([1]Sheet2!AS67=999999,"NA",[1]Sheet2!AS67)</f>
        <v>232</v>
      </c>
      <c r="AO68" s="14">
        <f>[1]Sheet2!P67</f>
        <v>0</v>
      </c>
      <c r="AP68" s="14">
        <f>[1]Sheet2!Q67</f>
        <v>0</v>
      </c>
      <c r="AQ68" s="14">
        <f>[1]Sheet2!R67</f>
        <v>0</v>
      </c>
      <c r="AR68" s="14">
        <f>[1]Sheet2!S67</f>
        <v>0</v>
      </c>
      <c r="AS68" s="14">
        <f>[1]Sheet2!T67</f>
        <v>0</v>
      </c>
      <c r="AT68" s="14">
        <f>[1]Sheet2!U67</f>
        <v>0</v>
      </c>
      <c r="AU68" s="14">
        <f>[1]Sheet2!V67</f>
        <v>0</v>
      </c>
      <c r="AV68" s="14">
        <f>[1]Sheet2!W67</f>
        <v>0</v>
      </c>
      <c r="AW68" s="14">
        <f>[1]Sheet2!X67</f>
        <v>0</v>
      </c>
      <c r="AX68" s="14">
        <f>[1]Sheet2!Y67</f>
        <v>0</v>
      </c>
      <c r="AY68" s="16">
        <f>Demand_LP!B$5/31</f>
        <v>754.78140345091151</v>
      </c>
      <c r="AZ68" s="16">
        <f>Demand_LP!C$5/31</f>
        <v>547.55235732009919</v>
      </c>
      <c r="BA68" s="16">
        <f>Demand_LP!D$5/31</f>
        <v>312.75612076095945</v>
      </c>
      <c r="BB68" s="16">
        <f>Demand_LP!E$5/31</f>
        <v>772.29437499345636</v>
      </c>
      <c r="BC68" s="16">
        <f>Demand_LP!F$5/31</f>
        <v>471.74248526347748</v>
      </c>
      <c r="BD68" s="16">
        <f>Demand_LP!G$5/31</f>
        <v>754.78140345091151</v>
      </c>
      <c r="BE68" s="16">
        <f>Demand_LP!H$5/31</f>
        <v>547.55235732009919</v>
      </c>
      <c r="BF68" s="16">
        <f>Demand_LP!I$5/31</f>
        <v>451.61290322580646</v>
      </c>
      <c r="BG68" s="16">
        <f>Demand_LP!J$5/31</f>
        <v>451.61290322580646</v>
      </c>
      <c r="BH68" s="16">
        <f>Demand_LP!K$5/31</f>
        <v>451.61290322580646</v>
      </c>
      <c r="BI68" s="16" t="e">
        <f t="shared" si="13"/>
        <v>#VALUE!</v>
      </c>
      <c r="BJ68" s="16">
        <f t="shared" si="14"/>
        <v>-36927.734656741079</v>
      </c>
      <c r="BK68" s="16">
        <f t="shared" si="15"/>
        <v>-14955.062365591397</v>
      </c>
      <c r="BL68" s="16">
        <f t="shared" si="16"/>
        <v>-44499.18804483251</v>
      </c>
      <c r="BM68" s="16">
        <f t="shared" si="17"/>
        <v>-28648.753950042417</v>
      </c>
      <c r="BN68" s="16">
        <f t="shared" si="18"/>
        <v>-41528.688420705505</v>
      </c>
      <c r="BO68" s="16">
        <f t="shared" si="19"/>
        <v>-39285.314143920594</v>
      </c>
      <c r="BP68" s="16">
        <f t="shared" si="20"/>
        <v>-28609.677419354859</v>
      </c>
      <c r="BQ68" s="16">
        <f t="shared" si="21"/>
        <v>-25209.677419354855</v>
      </c>
      <c r="BR68" s="16">
        <f t="shared" si="22"/>
        <v>-26409.677419354848</v>
      </c>
      <c r="BS68" s="14">
        <f>IF([1]Sheet2!CA67=999999,"NA",[1]Sheet2!CA67)</f>
        <v>190069.32258064518</v>
      </c>
      <c r="BT68" s="14">
        <f>IF([1]Sheet2!CB67=999999,"NA",[1]Sheet2!CB67)</f>
        <v>222</v>
      </c>
      <c r="BU68" s="14">
        <f>IF([1]Sheet2!CC67=999999,"NA",[1]Sheet2!CC67)</f>
        <v>300</v>
      </c>
      <c r="BV68" s="14">
        <f>IF([1]Sheet2!CD67=999999,"NA",[1]Sheet2!CD67)</f>
        <v>300</v>
      </c>
      <c r="BW68" s="14">
        <f>IF([1]Sheet2!CE67=999999,"NA",[1]Sheet2!CE67)</f>
        <v>262</v>
      </c>
      <c r="BX68" s="14">
        <f>IF([1]Sheet2!CF67=999999,"NA",[1]Sheet2!CF67)</f>
        <v>300</v>
      </c>
      <c r="BY68" s="14">
        <f>IF([1]Sheet2!CG67=999999,"NA",[1]Sheet2!CG67)</f>
        <v>194</v>
      </c>
      <c r="BZ68" s="14">
        <f>IF([1]Sheet2!CH67=999999,"NA",[1]Sheet2!CH67)</f>
        <v>300</v>
      </c>
      <c r="CA68" s="14">
        <f>IF([1]Sheet2!CI67=999999,"NA",[1]Sheet2!CI67)</f>
        <v>300</v>
      </c>
      <c r="CB68" s="14">
        <f>IF([1]Sheet2!CJ67=999999,"NA",[1]Sheet2!CJ67)</f>
        <v>300</v>
      </c>
      <c r="CC68" s="14">
        <f>[1]Sheet2!BG67</f>
        <v>0</v>
      </c>
      <c r="CD68" s="14">
        <f>[1]Sheet2!BH67</f>
        <v>0</v>
      </c>
      <c r="CE68" s="14">
        <f>[1]Sheet2!BI67</f>
        <v>0</v>
      </c>
      <c r="CF68" s="14">
        <f>[1]Sheet2!BJ67</f>
        <v>0</v>
      </c>
      <c r="CG68" s="14">
        <f>[1]Sheet2!BK67</f>
        <v>0</v>
      </c>
      <c r="CH68" s="14">
        <f>[1]Sheet2!BL67</f>
        <v>0</v>
      </c>
      <c r="CI68" s="14">
        <f>[1]Sheet2!BM67</f>
        <v>0</v>
      </c>
      <c r="CJ68" s="14">
        <f>[1]Sheet2!BN67</f>
        <v>0</v>
      </c>
      <c r="CK68" s="14">
        <f>[1]Sheet2!BO67</f>
        <v>0</v>
      </c>
      <c r="CL68" s="14">
        <f>[1]Sheet2!BP67</f>
        <v>0</v>
      </c>
      <c r="CM68" s="16">
        <f>Demand_SW!B$5/31</f>
        <v>138.46153846153845</v>
      </c>
      <c r="CN68" s="16">
        <f>Demand_SW!C$5/31</f>
        <v>29.776674937965261</v>
      </c>
      <c r="CO68" s="16">
        <f>Demand_SW!D$5/31</f>
        <v>0</v>
      </c>
      <c r="CP68" s="16">
        <f>Demand_SW!E$5/31</f>
        <v>0</v>
      </c>
      <c r="CQ68" s="16">
        <f>Demand_SW!F$5/31</f>
        <v>0</v>
      </c>
      <c r="CR68" s="16">
        <f>Demand_SW!G$5/31</f>
        <v>138.70967741935485</v>
      </c>
      <c r="CS68" s="16">
        <f>Demand_SW!H$5/31</f>
        <v>29.776674937965261</v>
      </c>
      <c r="CT68" s="16">
        <f>Demand_SW!I$5/31</f>
        <v>0</v>
      </c>
      <c r="CU68" s="16">
        <f>Demand_SW!J$5/31</f>
        <v>0</v>
      </c>
      <c r="CV68" s="16">
        <f>Demand_SW!K$5/31</f>
        <v>0</v>
      </c>
      <c r="CW68" s="16">
        <f t="shared" si="23"/>
        <v>43190.769230769205</v>
      </c>
      <c r="CX68" s="16">
        <f t="shared" si="24"/>
        <v>321.33995037220848</v>
      </c>
      <c r="CY68" s="16">
        <f t="shared" si="25"/>
        <v>0</v>
      </c>
      <c r="CZ68" s="16">
        <f t="shared" si="26"/>
        <v>0</v>
      </c>
      <c r="DA68" s="16">
        <f t="shared" si="27"/>
        <v>0</v>
      </c>
      <c r="DB68" s="16">
        <f t="shared" si="28"/>
        <v>-6332.2580645161233</v>
      </c>
      <c r="DC68" s="16">
        <f t="shared" si="29"/>
        <v>321.33995037220848</v>
      </c>
      <c r="DD68" s="16">
        <f t="shared" si="30"/>
        <v>0</v>
      </c>
      <c r="DE68" s="16">
        <f t="shared" si="31"/>
        <v>0</v>
      </c>
      <c r="DF68" s="16">
        <f t="shared" si="32"/>
        <v>0</v>
      </c>
      <c r="DG68" s="14">
        <f>IF([1]Sheet2!DR67=999999,"NA",[1]Sheet2!DR67)</f>
        <v>73103</v>
      </c>
      <c r="DH68" s="14">
        <f>IF([1]Sheet2!DS67=999999,"NA",[1]Sheet2!DS67)</f>
        <v>300</v>
      </c>
      <c r="DI68" s="14">
        <f>IF([1]Sheet2!DT67=999999,"NA",[1]Sheet2!DT67)</f>
        <v>300</v>
      </c>
      <c r="DJ68" s="14" t="str">
        <f>IF([1]Sheet2!DU67=999999,"NA",[1]Sheet2!DU67)</f>
        <v>NA</v>
      </c>
      <c r="DK68" s="14" t="str">
        <f>IF([1]Sheet2!DV67=999999,"NA",[1]Sheet2!DV67)</f>
        <v>NA</v>
      </c>
      <c r="DL68" s="14" t="str">
        <f>IF([1]Sheet2!DW67=999999,"NA",[1]Sheet2!DW67)</f>
        <v>NA</v>
      </c>
      <c r="DM68" s="14">
        <f>IF([1]Sheet2!DX67=999999,"NA",[1]Sheet2!DX67)</f>
        <v>300</v>
      </c>
      <c r="DN68" s="14">
        <f>IF([1]Sheet2!DY67=999999,"NA",[1]Sheet2!DY67)</f>
        <v>300</v>
      </c>
      <c r="DO68" s="14" t="str">
        <f>IF([1]Sheet2!DZ67=999999,"NA",[1]Sheet2!DZ67)</f>
        <v>NA</v>
      </c>
      <c r="DP68" s="14" t="str">
        <f>IF([1]Sheet2!EA67=999999,"NA",[1]Sheet2!EA67)</f>
        <v>NA</v>
      </c>
      <c r="DQ68" s="14">
        <f>[1]Sheet2!CX67</f>
        <v>0</v>
      </c>
      <c r="DR68" s="14">
        <f>[1]Sheet2!CY67</f>
        <v>0</v>
      </c>
      <c r="DS68" s="14">
        <f>[1]Sheet2!CZ67</f>
        <v>0</v>
      </c>
      <c r="DT68" s="14">
        <f>[1]Sheet2!DA67</f>
        <v>0</v>
      </c>
      <c r="DU68" s="14">
        <f>[1]Sheet2!DB67</f>
        <v>0</v>
      </c>
      <c r="DV68" s="14">
        <f>[1]Sheet2!DC67</f>
        <v>0</v>
      </c>
      <c r="DW68" s="14">
        <f>[1]Sheet2!DD67</f>
        <v>0</v>
      </c>
      <c r="DX68" s="14">
        <f>[1]Sheet2!DE67</f>
        <v>0</v>
      </c>
      <c r="DY68" s="14">
        <f>[1]Sheet2!DF67</f>
        <v>0</v>
      </c>
      <c r="DZ68" s="14">
        <f>[1]Sheet2!DG67</f>
        <v>0</v>
      </c>
    </row>
    <row r="69" spans="1:130" x14ac:dyDescent="0.25">
      <c r="A69" s="15">
        <v>43531</v>
      </c>
      <c r="B69" s="1"/>
      <c r="C69" s="1"/>
      <c r="D69" s="1"/>
      <c r="E69" s="14">
        <f>[1]Sheet2!N68</f>
        <v>0</v>
      </c>
      <c r="F69" s="14">
        <f>[1]Sheet2!BE68</f>
        <v>0</v>
      </c>
      <c r="G69" s="14">
        <f>[1]Sheet2!CV68</f>
        <v>336.72456575682378</v>
      </c>
      <c r="H69" s="1"/>
      <c r="I69" s="1"/>
      <c r="J69" s="1"/>
      <c r="K69" s="16">
        <f>Demand_CWRS!B$5/31</f>
        <v>131.679370700757</v>
      </c>
      <c r="L69" s="16">
        <f>Demand_CWRS!C$5/31</f>
        <v>537.20942928039699</v>
      </c>
      <c r="M69" s="16">
        <f>Demand_CWRS!D$5/31</f>
        <v>0</v>
      </c>
      <c r="N69" s="16">
        <f>Demand_CWRS!E$5/31</f>
        <v>121.5961418056559</v>
      </c>
      <c r="O69" s="16">
        <f>Demand_CWRS!F$5/31</f>
        <v>245.08227837631262</v>
      </c>
      <c r="P69" s="16">
        <f>Demand_CWRS!G$5/31</f>
        <v>131.679370700757</v>
      </c>
      <c r="Q69" s="16">
        <f>Demand_CWRS!H$5/31</f>
        <v>537.20942928039699</v>
      </c>
      <c r="R69" s="16">
        <f>Demand_CWRS!I$5/31</f>
        <v>245.08227837631262</v>
      </c>
      <c r="S69" s="16">
        <f>Demand_CWRS!J$5/31</f>
        <v>245.08227837631262</v>
      </c>
      <c r="T69" s="16">
        <f>Demand_CWRS!K$5/31</f>
        <v>245.08227837631262</v>
      </c>
      <c r="U69" s="16">
        <f t="shared" ref="U69:U132" si="33">U68-K69+AO69</f>
        <v>-11318.699405001438</v>
      </c>
      <c r="V69" s="16">
        <f t="shared" ref="V69:V132" si="34">V68-L69+AP69</f>
        <v>-23289.096774193535</v>
      </c>
      <c r="W69" s="16">
        <f t="shared" ref="W69:W132" si="35">W68-M69+AQ69</f>
        <v>0</v>
      </c>
      <c r="X69" s="16">
        <f t="shared" ref="X69:X132" si="36">X68-N69+AR69</f>
        <v>-5561.0973516139538</v>
      </c>
      <c r="Y69" s="16">
        <f t="shared" ref="Y69:Y132" si="37">Y68-O69+AS69</f>
        <v>-14227.542535172655</v>
      </c>
      <c r="Z69" s="16">
        <f t="shared" ref="Z69:Z132" si="38">Z68-P69+AT69</f>
        <v>-11101.755594905304</v>
      </c>
      <c r="AA69" s="16">
        <f t="shared" ref="AA69:AA132" si="39">AA68-Q69+AU69</f>
        <v>-22789.096774193535</v>
      </c>
      <c r="AB69" s="16">
        <f t="shared" ref="AB69:AB132" si="40">AB68-R69+AV69</f>
        <v>-11915.575948634189</v>
      </c>
      <c r="AC69" s="16">
        <f t="shared" ref="AC69:AC132" si="41">AC68-S69+AW69</f>
        <v>-11915.575948634179</v>
      </c>
      <c r="AD69" s="16">
        <f t="shared" ref="AD69:AD132" si="42">AD68-T69+AX69</f>
        <v>-12615.575948634178</v>
      </c>
      <c r="AE69" s="14">
        <f>IF([1]Sheet2!AJ68=999999,"NA",[1]Sheet2!AJ68)</f>
        <v>61</v>
      </c>
      <c r="AF69" s="14">
        <f>IF([1]Sheet2!AK68=999999,"NA",[1]Sheet2!AK68)</f>
        <v>0</v>
      </c>
      <c r="AG69" s="14" t="str">
        <f>IF([1]Sheet2!AL68=999999,"NA",[1]Sheet2!AL68)</f>
        <v>NA</v>
      </c>
      <c r="AH69" s="14">
        <f>IF([1]Sheet2!AM68=999999,"NA",[1]Sheet2!AM68)</f>
        <v>299</v>
      </c>
      <c r="AI69" s="14">
        <f>IF([1]Sheet2!AN68=999999,"NA",[1]Sheet2!AN68)</f>
        <v>299</v>
      </c>
      <c r="AJ69" s="14">
        <f>IF([1]Sheet2!AO68=999999,"NA",[1]Sheet2!AO68)</f>
        <v>299</v>
      </c>
      <c r="AK69" s="14">
        <f>IF([1]Sheet2!AP68=999999,"NA",[1]Sheet2!AP68)</f>
        <v>44</v>
      </c>
      <c r="AL69" s="14">
        <f>IF([1]Sheet2!AQ68=999999,"NA",[1]Sheet2!AQ68)</f>
        <v>175</v>
      </c>
      <c r="AM69" s="14">
        <f>IF([1]Sheet2!AR68=999999,"NA",[1]Sheet2!AR68)</f>
        <v>299</v>
      </c>
      <c r="AN69" s="14">
        <f>IF([1]Sheet2!AS68=999999,"NA",[1]Sheet2!AS68)</f>
        <v>231</v>
      </c>
      <c r="AO69" s="14">
        <f>[1]Sheet2!P68</f>
        <v>0</v>
      </c>
      <c r="AP69" s="14">
        <f>[1]Sheet2!Q68</f>
        <v>0</v>
      </c>
      <c r="AQ69" s="14">
        <f>[1]Sheet2!R68</f>
        <v>0</v>
      </c>
      <c r="AR69" s="14">
        <f>[1]Sheet2!S68</f>
        <v>0</v>
      </c>
      <c r="AS69" s="14">
        <f>[1]Sheet2!T68</f>
        <v>0</v>
      </c>
      <c r="AT69" s="14">
        <f>[1]Sheet2!U68</f>
        <v>0</v>
      </c>
      <c r="AU69" s="14">
        <f>[1]Sheet2!V68</f>
        <v>0</v>
      </c>
      <c r="AV69" s="14">
        <f>[1]Sheet2!W68</f>
        <v>0</v>
      </c>
      <c r="AW69" s="14">
        <f>[1]Sheet2!X68</f>
        <v>0</v>
      </c>
      <c r="AX69" s="14">
        <f>[1]Sheet2!Y68</f>
        <v>0</v>
      </c>
      <c r="AY69" s="16">
        <f>Demand_LP!B$5/31</f>
        <v>754.78140345091151</v>
      </c>
      <c r="AZ69" s="16">
        <f>Demand_LP!C$5/31</f>
        <v>547.55235732009919</v>
      </c>
      <c r="BA69" s="16">
        <f>Demand_LP!D$5/31</f>
        <v>312.75612076095945</v>
      </c>
      <c r="BB69" s="16">
        <f>Demand_LP!E$5/31</f>
        <v>772.29437499345636</v>
      </c>
      <c r="BC69" s="16">
        <f>Demand_LP!F$5/31</f>
        <v>471.74248526347748</v>
      </c>
      <c r="BD69" s="16">
        <f>Demand_LP!G$5/31</f>
        <v>754.78140345091151</v>
      </c>
      <c r="BE69" s="16">
        <f>Demand_LP!H$5/31</f>
        <v>547.55235732009919</v>
      </c>
      <c r="BF69" s="16">
        <f>Demand_LP!I$5/31</f>
        <v>451.61290322580646</v>
      </c>
      <c r="BG69" s="16">
        <f>Demand_LP!J$5/31</f>
        <v>451.61290322580646</v>
      </c>
      <c r="BH69" s="16">
        <f>Demand_LP!K$5/31</f>
        <v>451.61290322580646</v>
      </c>
      <c r="BI69" s="16" t="e">
        <f t="shared" ref="BI69:BI132" si="43">BI68-AY69+CC69</f>
        <v>#VALUE!</v>
      </c>
      <c r="BJ69" s="16">
        <f t="shared" ref="BJ69:BJ132" si="44">BJ68-AZ69+CD69</f>
        <v>-37475.287014061178</v>
      </c>
      <c r="BK69" s="16">
        <f t="shared" ref="BK69:BK132" si="45">BK68-BA69+CE69</f>
        <v>-15267.818486352357</v>
      </c>
      <c r="BL69" s="16">
        <f t="shared" ref="BL69:BL132" si="46">BL68-BB69+CF69</f>
        <v>-45271.482419825967</v>
      </c>
      <c r="BM69" s="16">
        <f t="shared" ref="BM69:BM132" si="47">BM68-BC69+CG69</f>
        <v>-29120.496435305893</v>
      </c>
      <c r="BN69" s="16">
        <f t="shared" ref="BN69:BN132" si="48">BN68-BD69+CH69</f>
        <v>-42283.469824156418</v>
      </c>
      <c r="BO69" s="16">
        <f t="shared" ref="BO69:BO132" si="49">BO68-BE69+CI69</f>
        <v>-39832.866501240693</v>
      </c>
      <c r="BP69" s="16">
        <f t="shared" ref="BP69:BP132" si="50">BP68-BF69+CJ69</f>
        <v>-29061.290322580666</v>
      </c>
      <c r="BQ69" s="16">
        <f t="shared" ref="BQ69:BQ132" si="51">BQ68-BG69+CK69</f>
        <v>-25661.290322580662</v>
      </c>
      <c r="BR69" s="16">
        <f t="shared" ref="BR69:BR132" si="52">BR68-BH69+CL69</f>
        <v>-26861.290322580655</v>
      </c>
      <c r="BS69" s="14">
        <f>IF([1]Sheet2!CA68=999999,"NA",[1]Sheet2!CA68)</f>
        <v>189617.70967741936</v>
      </c>
      <c r="BT69" s="14">
        <f>IF([1]Sheet2!CB68=999999,"NA",[1]Sheet2!CB68)</f>
        <v>221</v>
      </c>
      <c r="BU69" s="14">
        <f>IF([1]Sheet2!CC68=999999,"NA",[1]Sheet2!CC68)</f>
        <v>299</v>
      </c>
      <c r="BV69" s="14">
        <f>IF([1]Sheet2!CD68=999999,"NA",[1]Sheet2!CD68)</f>
        <v>299</v>
      </c>
      <c r="BW69" s="14">
        <f>IF([1]Sheet2!CE68=999999,"NA",[1]Sheet2!CE68)</f>
        <v>261</v>
      </c>
      <c r="BX69" s="14">
        <f>IF([1]Sheet2!CF68=999999,"NA",[1]Sheet2!CF68)</f>
        <v>299</v>
      </c>
      <c r="BY69" s="14">
        <f>IF([1]Sheet2!CG68=999999,"NA",[1]Sheet2!CG68)</f>
        <v>193</v>
      </c>
      <c r="BZ69" s="14">
        <f>IF([1]Sheet2!CH68=999999,"NA",[1]Sheet2!CH68)</f>
        <v>299</v>
      </c>
      <c r="CA69" s="14">
        <f>IF([1]Sheet2!CI68=999999,"NA",[1]Sheet2!CI68)</f>
        <v>299</v>
      </c>
      <c r="CB69" s="14">
        <f>IF([1]Sheet2!CJ68=999999,"NA",[1]Sheet2!CJ68)</f>
        <v>299</v>
      </c>
      <c r="CC69" s="14">
        <f>[1]Sheet2!BG68</f>
        <v>0</v>
      </c>
      <c r="CD69" s="14">
        <f>[1]Sheet2!BH68</f>
        <v>0</v>
      </c>
      <c r="CE69" s="14">
        <f>[1]Sheet2!BI68</f>
        <v>0</v>
      </c>
      <c r="CF69" s="14">
        <f>[1]Sheet2!BJ68</f>
        <v>0</v>
      </c>
      <c r="CG69" s="14">
        <f>[1]Sheet2!BK68</f>
        <v>0</v>
      </c>
      <c r="CH69" s="14">
        <f>[1]Sheet2!BL68</f>
        <v>0</v>
      </c>
      <c r="CI69" s="14">
        <f>[1]Sheet2!BM68</f>
        <v>0</v>
      </c>
      <c r="CJ69" s="14">
        <f>[1]Sheet2!BN68</f>
        <v>0</v>
      </c>
      <c r="CK69" s="14">
        <f>[1]Sheet2!BO68</f>
        <v>0</v>
      </c>
      <c r="CL69" s="14">
        <f>[1]Sheet2!BP68</f>
        <v>0</v>
      </c>
      <c r="CM69" s="16">
        <f>Demand_SW!B$5/31</f>
        <v>138.46153846153845</v>
      </c>
      <c r="CN69" s="16">
        <f>Demand_SW!C$5/31</f>
        <v>29.776674937965261</v>
      </c>
      <c r="CO69" s="16">
        <f>Demand_SW!D$5/31</f>
        <v>0</v>
      </c>
      <c r="CP69" s="16">
        <f>Demand_SW!E$5/31</f>
        <v>0</v>
      </c>
      <c r="CQ69" s="16">
        <f>Demand_SW!F$5/31</f>
        <v>0</v>
      </c>
      <c r="CR69" s="16">
        <f>Demand_SW!G$5/31</f>
        <v>138.70967741935485</v>
      </c>
      <c r="CS69" s="16">
        <f>Demand_SW!H$5/31</f>
        <v>29.776674937965261</v>
      </c>
      <c r="CT69" s="16">
        <f>Demand_SW!I$5/31</f>
        <v>0</v>
      </c>
      <c r="CU69" s="16">
        <f>Demand_SW!J$5/31</f>
        <v>0</v>
      </c>
      <c r="CV69" s="16">
        <f>Demand_SW!K$5/31</f>
        <v>0</v>
      </c>
      <c r="CW69" s="16">
        <f t="shared" ref="CW69:CW132" si="53">CW68-CM69+DQ69</f>
        <v>43052.307692307666</v>
      </c>
      <c r="CX69" s="16">
        <f t="shared" ref="CX69:CX132" si="54">CX68-CN69+DR69</f>
        <v>291.56327543424322</v>
      </c>
      <c r="CY69" s="16">
        <f t="shared" ref="CY69:CY132" si="55">CY68-CO69+DS69</f>
        <v>0</v>
      </c>
      <c r="CZ69" s="16">
        <f t="shared" ref="CZ69:CZ132" si="56">CZ68-CP69+DT69</f>
        <v>0</v>
      </c>
      <c r="DA69" s="16">
        <f t="shared" ref="DA69:DA132" si="57">DA68-CQ69+DU69</f>
        <v>0</v>
      </c>
      <c r="DB69" s="16">
        <f t="shared" ref="DB69:DB132" si="58">DB68-CR69+DV69</f>
        <v>-6470.9677419354784</v>
      </c>
      <c r="DC69" s="16">
        <f t="shared" ref="DC69:DC132" si="59">DC68-CS69+DW69</f>
        <v>291.56327543424322</v>
      </c>
      <c r="DD69" s="16">
        <f t="shared" ref="DD69:DD132" si="60">DD68-CT69+DX69</f>
        <v>0</v>
      </c>
      <c r="DE69" s="16">
        <f t="shared" ref="DE69:DE132" si="61">DE68-CU69+DY69</f>
        <v>0</v>
      </c>
      <c r="DF69" s="16">
        <f t="shared" ref="DF69:DF132" si="62">DF68-CV69+DZ69</f>
        <v>0</v>
      </c>
      <c r="DG69" s="14">
        <f>IF([1]Sheet2!DR68=999999,"NA",[1]Sheet2!DR68)</f>
        <v>73103</v>
      </c>
      <c r="DH69" s="14">
        <f>IF([1]Sheet2!DS68=999999,"NA",[1]Sheet2!DS68)</f>
        <v>299</v>
      </c>
      <c r="DI69" s="14">
        <f>IF([1]Sheet2!DT68=999999,"NA",[1]Sheet2!DT68)</f>
        <v>299</v>
      </c>
      <c r="DJ69" s="14" t="str">
        <f>IF([1]Sheet2!DU68=999999,"NA",[1]Sheet2!DU68)</f>
        <v>NA</v>
      </c>
      <c r="DK69" s="14" t="str">
        <f>IF([1]Sheet2!DV68=999999,"NA",[1]Sheet2!DV68)</f>
        <v>NA</v>
      </c>
      <c r="DL69" s="14" t="str">
        <f>IF([1]Sheet2!DW68=999999,"NA",[1]Sheet2!DW68)</f>
        <v>NA</v>
      </c>
      <c r="DM69" s="14">
        <f>IF([1]Sheet2!DX68=999999,"NA",[1]Sheet2!DX68)</f>
        <v>299</v>
      </c>
      <c r="DN69" s="14">
        <f>IF([1]Sheet2!DY68=999999,"NA",[1]Sheet2!DY68)</f>
        <v>299</v>
      </c>
      <c r="DO69" s="14" t="str">
        <f>IF([1]Sheet2!DZ68=999999,"NA",[1]Sheet2!DZ68)</f>
        <v>NA</v>
      </c>
      <c r="DP69" s="14" t="str">
        <f>IF([1]Sheet2!EA68=999999,"NA",[1]Sheet2!EA68)</f>
        <v>NA</v>
      </c>
      <c r="DQ69" s="14">
        <f>[1]Sheet2!CX68</f>
        <v>0</v>
      </c>
      <c r="DR69" s="14">
        <f>[1]Sheet2!CY68</f>
        <v>0</v>
      </c>
      <c r="DS69" s="14">
        <f>[1]Sheet2!CZ68</f>
        <v>0</v>
      </c>
      <c r="DT69" s="14">
        <f>[1]Sheet2!DA68</f>
        <v>0</v>
      </c>
      <c r="DU69" s="14">
        <f>[1]Sheet2!DB68</f>
        <v>0</v>
      </c>
      <c r="DV69" s="14">
        <f>[1]Sheet2!DC68</f>
        <v>0</v>
      </c>
      <c r="DW69" s="14">
        <f>[1]Sheet2!DD68</f>
        <v>0</v>
      </c>
      <c r="DX69" s="14">
        <f>[1]Sheet2!DE68</f>
        <v>0</v>
      </c>
      <c r="DY69" s="14">
        <f>[1]Sheet2!DF68</f>
        <v>0</v>
      </c>
      <c r="DZ69" s="14">
        <f>[1]Sheet2!DG68</f>
        <v>0</v>
      </c>
    </row>
    <row r="70" spans="1:130" x14ac:dyDescent="0.25">
      <c r="A70" s="15">
        <v>43532</v>
      </c>
      <c r="B70" s="1"/>
      <c r="C70" s="1"/>
      <c r="D70" s="1"/>
      <c r="E70" s="14">
        <f>[1]Sheet2!N69</f>
        <v>0</v>
      </c>
      <c r="F70" s="14">
        <f>[1]Sheet2!BE69</f>
        <v>0</v>
      </c>
      <c r="G70" s="14">
        <f>[1]Sheet2!CV69</f>
        <v>336.72456575682378</v>
      </c>
      <c r="H70" s="1"/>
      <c r="I70" s="1"/>
      <c r="J70" s="1"/>
      <c r="K70" s="16">
        <f>Demand_CWRS!B$5/31</f>
        <v>131.679370700757</v>
      </c>
      <c r="L70" s="16">
        <f>Demand_CWRS!C$5/31</f>
        <v>537.20942928039699</v>
      </c>
      <c r="M70" s="16">
        <f>Demand_CWRS!D$5/31</f>
        <v>0</v>
      </c>
      <c r="N70" s="16">
        <f>Demand_CWRS!E$5/31</f>
        <v>121.5961418056559</v>
      </c>
      <c r="O70" s="16">
        <f>Demand_CWRS!F$5/31</f>
        <v>245.08227837631262</v>
      </c>
      <c r="P70" s="16">
        <f>Demand_CWRS!G$5/31</f>
        <v>131.679370700757</v>
      </c>
      <c r="Q70" s="16">
        <f>Demand_CWRS!H$5/31</f>
        <v>537.20942928039699</v>
      </c>
      <c r="R70" s="16">
        <f>Demand_CWRS!I$5/31</f>
        <v>245.08227837631262</v>
      </c>
      <c r="S70" s="16">
        <f>Demand_CWRS!J$5/31</f>
        <v>245.08227837631262</v>
      </c>
      <c r="T70" s="16">
        <f>Demand_CWRS!K$5/31</f>
        <v>245.08227837631262</v>
      </c>
      <c r="U70" s="16">
        <f t="shared" si="33"/>
        <v>-11450.378775702195</v>
      </c>
      <c r="V70" s="16">
        <f t="shared" si="34"/>
        <v>-23826.306203473931</v>
      </c>
      <c r="W70" s="16">
        <f t="shared" si="35"/>
        <v>0</v>
      </c>
      <c r="X70" s="16">
        <f t="shared" si="36"/>
        <v>-5682.6934934196097</v>
      </c>
      <c r="Y70" s="16">
        <f t="shared" si="37"/>
        <v>-14472.624813548968</v>
      </c>
      <c r="Z70" s="16">
        <f t="shared" si="38"/>
        <v>-11233.43496560606</v>
      </c>
      <c r="AA70" s="16">
        <f t="shared" si="39"/>
        <v>-23326.306203473931</v>
      </c>
      <c r="AB70" s="16">
        <f t="shared" si="40"/>
        <v>-12160.658227010501</v>
      </c>
      <c r="AC70" s="16">
        <f t="shared" si="41"/>
        <v>-12160.658227010492</v>
      </c>
      <c r="AD70" s="16">
        <f t="shared" si="42"/>
        <v>-12860.65822701049</v>
      </c>
      <c r="AE70" s="14">
        <f>IF([1]Sheet2!AJ69=999999,"NA",[1]Sheet2!AJ69)</f>
        <v>60</v>
      </c>
      <c r="AF70" s="14">
        <f>IF([1]Sheet2!AK69=999999,"NA",[1]Sheet2!AK69)</f>
        <v>0</v>
      </c>
      <c r="AG70" s="14" t="str">
        <f>IF([1]Sheet2!AL69=999999,"NA",[1]Sheet2!AL69)</f>
        <v>NA</v>
      </c>
      <c r="AH70" s="14">
        <f>IF([1]Sheet2!AM69=999999,"NA",[1]Sheet2!AM69)</f>
        <v>298</v>
      </c>
      <c r="AI70" s="14">
        <f>IF([1]Sheet2!AN69=999999,"NA",[1]Sheet2!AN69)</f>
        <v>298</v>
      </c>
      <c r="AJ70" s="14">
        <f>IF([1]Sheet2!AO69=999999,"NA",[1]Sheet2!AO69)</f>
        <v>298</v>
      </c>
      <c r="AK70" s="14">
        <f>IF([1]Sheet2!AP69=999999,"NA",[1]Sheet2!AP69)</f>
        <v>43</v>
      </c>
      <c r="AL70" s="14">
        <f>IF([1]Sheet2!AQ69=999999,"NA",[1]Sheet2!AQ69)</f>
        <v>174</v>
      </c>
      <c r="AM70" s="14">
        <f>IF([1]Sheet2!AR69=999999,"NA",[1]Sheet2!AR69)</f>
        <v>298</v>
      </c>
      <c r="AN70" s="14">
        <f>IF([1]Sheet2!AS69=999999,"NA",[1]Sheet2!AS69)</f>
        <v>230</v>
      </c>
      <c r="AO70" s="14">
        <f>[1]Sheet2!P69</f>
        <v>0</v>
      </c>
      <c r="AP70" s="14">
        <f>[1]Sheet2!Q69</f>
        <v>0</v>
      </c>
      <c r="AQ70" s="14">
        <f>[1]Sheet2!R69</f>
        <v>0</v>
      </c>
      <c r="AR70" s="14">
        <f>[1]Sheet2!S69</f>
        <v>0</v>
      </c>
      <c r="AS70" s="14">
        <f>[1]Sheet2!T69</f>
        <v>0</v>
      </c>
      <c r="AT70" s="14">
        <f>[1]Sheet2!U69</f>
        <v>0</v>
      </c>
      <c r="AU70" s="14">
        <f>[1]Sheet2!V69</f>
        <v>0</v>
      </c>
      <c r="AV70" s="14">
        <f>[1]Sheet2!W69</f>
        <v>0</v>
      </c>
      <c r="AW70" s="14">
        <f>[1]Sheet2!X69</f>
        <v>0</v>
      </c>
      <c r="AX70" s="14">
        <f>[1]Sheet2!Y69</f>
        <v>0</v>
      </c>
      <c r="AY70" s="16">
        <f>Demand_LP!B$5/31</f>
        <v>754.78140345091151</v>
      </c>
      <c r="AZ70" s="16">
        <f>Demand_LP!C$5/31</f>
        <v>547.55235732009919</v>
      </c>
      <c r="BA70" s="16">
        <f>Demand_LP!D$5/31</f>
        <v>312.75612076095945</v>
      </c>
      <c r="BB70" s="16">
        <f>Demand_LP!E$5/31</f>
        <v>772.29437499345636</v>
      </c>
      <c r="BC70" s="16">
        <f>Demand_LP!F$5/31</f>
        <v>471.74248526347748</v>
      </c>
      <c r="BD70" s="16">
        <f>Demand_LP!G$5/31</f>
        <v>754.78140345091151</v>
      </c>
      <c r="BE70" s="16">
        <f>Demand_LP!H$5/31</f>
        <v>547.55235732009919</v>
      </c>
      <c r="BF70" s="16">
        <f>Demand_LP!I$5/31</f>
        <v>451.61290322580646</v>
      </c>
      <c r="BG70" s="16">
        <f>Demand_LP!J$5/31</f>
        <v>451.61290322580646</v>
      </c>
      <c r="BH70" s="16">
        <f>Demand_LP!K$5/31</f>
        <v>451.61290322580646</v>
      </c>
      <c r="BI70" s="16" t="e">
        <f t="shared" si="43"/>
        <v>#VALUE!</v>
      </c>
      <c r="BJ70" s="16">
        <f t="shared" si="44"/>
        <v>-38022.839371381277</v>
      </c>
      <c r="BK70" s="16">
        <f t="shared" si="45"/>
        <v>-15580.574607113316</v>
      </c>
      <c r="BL70" s="16">
        <f t="shared" si="46"/>
        <v>-46043.776794819423</v>
      </c>
      <c r="BM70" s="16">
        <f t="shared" si="47"/>
        <v>-29592.238920569369</v>
      </c>
      <c r="BN70" s="16">
        <f t="shared" si="48"/>
        <v>-43038.251227607332</v>
      </c>
      <c r="BO70" s="16">
        <f t="shared" si="49"/>
        <v>-40380.418858560792</v>
      </c>
      <c r="BP70" s="16">
        <f t="shared" si="50"/>
        <v>-29512.903225806473</v>
      </c>
      <c r="BQ70" s="16">
        <f t="shared" si="51"/>
        <v>-26112.903225806469</v>
      </c>
      <c r="BR70" s="16">
        <f t="shared" si="52"/>
        <v>-27312.903225806462</v>
      </c>
      <c r="BS70" s="14">
        <f>IF([1]Sheet2!CA69=999999,"NA",[1]Sheet2!CA69)</f>
        <v>189166.09677419355</v>
      </c>
      <c r="BT70" s="14">
        <f>IF([1]Sheet2!CB69=999999,"NA",[1]Sheet2!CB69)</f>
        <v>220</v>
      </c>
      <c r="BU70" s="14">
        <f>IF([1]Sheet2!CC69=999999,"NA",[1]Sheet2!CC69)</f>
        <v>298</v>
      </c>
      <c r="BV70" s="14">
        <f>IF([1]Sheet2!CD69=999999,"NA",[1]Sheet2!CD69)</f>
        <v>298</v>
      </c>
      <c r="BW70" s="14">
        <f>IF([1]Sheet2!CE69=999999,"NA",[1]Sheet2!CE69)</f>
        <v>260</v>
      </c>
      <c r="BX70" s="14">
        <f>IF([1]Sheet2!CF69=999999,"NA",[1]Sheet2!CF69)</f>
        <v>298</v>
      </c>
      <c r="BY70" s="14">
        <f>IF([1]Sheet2!CG69=999999,"NA",[1]Sheet2!CG69)</f>
        <v>192</v>
      </c>
      <c r="BZ70" s="14">
        <f>IF([1]Sheet2!CH69=999999,"NA",[1]Sheet2!CH69)</f>
        <v>298</v>
      </c>
      <c r="CA70" s="14">
        <f>IF([1]Sheet2!CI69=999999,"NA",[1]Sheet2!CI69)</f>
        <v>298</v>
      </c>
      <c r="CB70" s="14">
        <f>IF([1]Sheet2!CJ69=999999,"NA",[1]Sheet2!CJ69)</f>
        <v>298</v>
      </c>
      <c r="CC70" s="14">
        <f>[1]Sheet2!BG69</f>
        <v>0</v>
      </c>
      <c r="CD70" s="14">
        <f>[1]Sheet2!BH69</f>
        <v>0</v>
      </c>
      <c r="CE70" s="14">
        <f>[1]Sheet2!BI69</f>
        <v>0</v>
      </c>
      <c r="CF70" s="14">
        <f>[1]Sheet2!BJ69</f>
        <v>0</v>
      </c>
      <c r="CG70" s="14">
        <f>[1]Sheet2!BK69</f>
        <v>0</v>
      </c>
      <c r="CH70" s="14">
        <f>[1]Sheet2!BL69</f>
        <v>0</v>
      </c>
      <c r="CI70" s="14">
        <f>[1]Sheet2!BM69</f>
        <v>0</v>
      </c>
      <c r="CJ70" s="14">
        <f>[1]Sheet2!BN69</f>
        <v>0</v>
      </c>
      <c r="CK70" s="14">
        <f>[1]Sheet2!BO69</f>
        <v>0</v>
      </c>
      <c r="CL70" s="14">
        <f>[1]Sheet2!BP69</f>
        <v>0</v>
      </c>
      <c r="CM70" s="16">
        <f>Demand_SW!B$5/31</f>
        <v>138.46153846153845</v>
      </c>
      <c r="CN70" s="16">
        <f>Demand_SW!C$5/31</f>
        <v>29.776674937965261</v>
      </c>
      <c r="CO70" s="16">
        <f>Demand_SW!D$5/31</f>
        <v>0</v>
      </c>
      <c r="CP70" s="16">
        <f>Demand_SW!E$5/31</f>
        <v>0</v>
      </c>
      <c r="CQ70" s="16">
        <f>Demand_SW!F$5/31</f>
        <v>0</v>
      </c>
      <c r="CR70" s="16">
        <f>Demand_SW!G$5/31</f>
        <v>138.70967741935485</v>
      </c>
      <c r="CS70" s="16">
        <f>Demand_SW!H$5/31</f>
        <v>29.776674937965261</v>
      </c>
      <c r="CT70" s="16">
        <f>Demand_SW!I$5/31</f>
        <v>0</v>
      </c>
      <c r="CU70" s="16">
        <f>Demand_SW!J$5/31</f>
        <v>0</v>
      </c>
      <c r="CV70" s="16">
        <f>Demand_SW!K$5/31</f>
        <v>0</v>
      </c>
      <c r="CW70" s="16">
        <f t="shared" si="53"/>
        <v>42913.846153846127</v>
      </c>
      <c r="CX70" s="16">
        <f t="shared" si="54"/>
        <v>261.78660049627797</v>
      </c>
      <c r="CY70" s="16">
        <f t="shared" si="55"/>
        <v>0</v>
      </c>
      <c r="CZ70" s="16">
        <f t="shared" si="56"/>
        <v>0</v>
      </c>
      <c r="DA70" s="16">
        <f t="shared" si="57"/>
        <v>0</v>
      </c>
      <c r="DB70" s="16">
        <f t="shared" si="58"/>
        <v>-6609.6774193548335</v>
      </c>
      <c r="DC70" s="16">
        <f t="shared" si="59"/>
        <v>261.78660049627797</v>
      </c>
      <c r="DD70" s="16">
        <f t="shared" si="60"/>
        <v>0</v>
      </c>
      <c r="DE70" s="16">
        <f t="shared" si="61"/>
        <v>0</v>
      </c>
      <c r="DF70" s="16">
        <f t="shared" si="62"/>
        <v>0</v>
      </c>
      <c r="DG70" s="14">
        <f>IF([1]Sheet2!DR69=999999,"NA",[1]Sheet2!DR69)</f>
        <v>73103</v>
      </c>
      <c r="DH70" s="14">
        <f>IF([1]Sheet2!DS69=999999,"NA",[1]Sheet2!DS69)</f>
        <v>298</v>
      </c>
      <c r="DI70" s="14">
        <f>IF([1]Sheet2!DT69=999999,"NA",[1]Sheet2!DT69)</f>
        <v>298</v>
      </c>
      <c r="DJ70" s="14" t="str">
        <f>IF([1]Sheet2!DU69=999999,"NA",[1]Sheet2!DU69)</f>
        <v>NA</v>
      </c>
      <c r="DK70" s="14" t="str">
        <f>IF([1]Sheet2!DV69=999999,"NA",[1]Sheet2!DV69)</f>
        <v>NA</v>
      </c>
      <c r="DL70" s="14" t="str">
        <f>IF([1]Sheet2!DW69=999999,"NA",[1]Sheet2!DW69)</f>
        <v>NA</v>
      </c>
      <c r="DM70" s="14">
        <f>IF([1]Sheet2!DX69=999999,"NA",[1]Sheet2!DX69)</f>
        <v>298</v>
      </c>
      <c r="DN70" s="14">
        <f>IF([1]Sheet2!DY69=999999,"NA",[1]Sheet2!DY69)</f>
        <v>298</v>
      </c>
      <c r="DO70" s="14" t="str">
        <f>IF([1]Sheet2!DZ69=999999,"NA",[1]Sheet2!DZ69)</f>
        <v>NA</v>
      </c>
      <c r="DP70" s="14" t="str">
        <f>IF([1]Sheet2!EA69=999999,"NA",[1]Sheet2!EA69)</f>
        <v>NA</v>
      </c>
      <c r="DQ70" s="14">
        <f>[1]Sheet2!CX69</f>
        <v>0</v>
      </c>
      <c r="DR70" s="14">
        <f>[1]Sheet2!CY69</f>
        <v>0</v>
      </c>
      <c r="DS70" s="14">
        <f>[1]Sheet2!CZ69</f>
        <v>0</v>
      </c>
      <c r="DT70" s="14">
        <f>[1]Sheet2!DA69</f>
        <v>0</v>
      </c>
      <c r="DU70" s="14">
        <f>[1]Sheet2!DB69</f>
        <v>0</v>
      </c>
      <c r="DV70" s="14">
        <f>[1]Sheet2!DC69</f>
        <v>0</v>
      </c>
      <c r="DW70" s="14">
        <f>[1]Sheet2!DD69</f>
        <v>0</v>
      </c>
      <c r="DX70" s="14">
        <f>[1]Sheet2!DE69</f>
        <v>0</v>
      </c>
      <c r="DY70" s="14">
        <f>[1]Sheet2!DF69</f>
        <v>0</v>
      </c>
      <c r="DZ70" s="14">
        <f>[1]Sheet2!DG69</f>
        <v>0</v>
      </c>
    </row>
    <row r="71" spans="1:130" x14ac:dyDescent="0.25">
      <c r="A71" s="15">
        <v>43533</v>
      </c>
      <c r="B71" s="1"/>
      <c r="C71" s="1"/>
      <c r="D71" s="1"/>
      <c r="E71" s="14">
        <f>[1]Sheet2!N70</f>
        <v>0</v>
      </c>
      <c r="F71" s="14">
        <f>[1]Sheet2!BE70</f>
        <v>0</v>
      </c>
      <c r="G71" s="14">
        <f>[1]Sheet2!CV70</f>
        <v>336.72456575682378</v>
      </c>
      <c r="H71" s="1"/>
      <c r="I71" s="1"/>
      <c r="J71" s="1"/>
      <c r="K71" s="16">
        <f>Demand_CWRS!B$5/31</f>
        <v>131.679370700757</v>
      </c>
      <c r="L71" s="16">
        <f>Demand_CWRS!C$5/31</f>
        <v>537.20942928039699</v>
      </c>
      <c r="M71" s="16">
        <f>Demand_CWRS!D$5/31</f>
        <v>0</v>
      </c>
      <c r="N71" s="16">
        <f>Demand_CWRS!E$5/31</f>
        <v>121.5961418056559</v>
      </c>
      <c r="O71" s="16">
        <f>Demand_CWRS!F$5/31</f>
        <v>245.08227837631262</v>
      </c>
      <c r="P71" s="16">
        <f>Demand_CWRS!G$5/31</f>
        <v>131.679370700757</v>
      </c>
      <c r="Q71" s="16">
        <f>Demand_CWRS!H$5/31</f>
        <v>537.20942928039699</v>
      </c>
      <c r="R71" s="16">
        <f>Demand_CWRS!I$5/31</f>
        <v>245.08227837631262</v>
      </c>
      <c r="S71" s="16">
        <f>Demand_CWRS!J$5/31</f>
        <v>245.08227837631262</v>
      </c>
      <c r="T71" s="16">
        <f>Demand_CWRS!K$5/31</f>
        <v>245.08227837631262</v>
      </c>
      <c r="U71" s="16">
        <f t="shared" si="33"/>
        <v>-11582.058146402951</v>
      </c>
      <c r="V71" s="16">
        <f t="shared" si="34"/>
        <v>-24363.515632754326</v>
      </c>
      <c r="W71" s="16">
        <f t="shared" si="35"/>
        <v>0</v>
      </c>
      <c r="X71" s="16">
        <f t="shared" si="36"/>
        <v>-5804.2896352252656</v>
      </c>
      <c r="Y71" s="16">
        <f t="shared" si="37"/>
        <v>-14717.70709192528</v>
      </c>
      <c r="Z71" s="16">
        <f t="shared" si="38"/>
        <v>-11365.114336306817</v>
      </c>
      <c r="AA71" s="16">
        <f t="shared" si="39"/>
        <v>-23863.515632754326</v>
      </c>
      <c r="AB71" s="16">
        <f t="shared" si="40"/>
        <v>-12405.740505386813</v>
      </c>
      <c r="AC71" s="16">
        <f t="shared" si="41"/>
        <v>-12405.740505386804</v>
      </c>
      <c r="AD71" s="16">
        <f t="shared" si="42"/>
        <v>-13105.740505386802</v>
      </c>
      <c r="AE71" s="14">
        <f>IF([1]Sheet2!AJ70=999999,"NA",[1]Sheet2!AJ70)</f>
        <v>59</v>
      </c>
      <c r="AF71" s="14">
        <f>IF([1]Sheet2!AK70=999999,"NA",[1]Sheet2!AK70)</f>
        <v>0</v>
      </c>
      <c r="AG71" s="14" t="str">
        <f>IF([1]Sheet2!AL70=999999,"NA",[1]Sheet2!AL70)</f>
        <v>NA</v>
      </c>
      <c r="AH71" s="14">
        <f>IF([1]Sheet2!AM70=999999,"NA",[1]Sheet2!AM70)</f>
        <v>297</v>
      </c>
      <c r="AI71" s="14">
        <f>IF([1]Sheet2!AN70=999999,"NA",[1]Sheet2!AN70)</f>
        <v>297</v>
      </c>
      <c r="AJ71" s="14">
        <f>IF([1]Sheet2!AO70=999999,"NA",[1]Sheet2!AO70)</f>
        <v>297</v>
      </c>
      <c r="AK71" s="14">
        <f>IF([1]Sheet2!AP70=999999,"NA",[1]Sheet2!AP70)</f>
        <v>42</v>
      </c>
      <c r="AL71" s="14">
        <f>IF([1]Sheet2!AQ70=999999,"NA",[1]Sheet2!AQ70)</f>
        <v>173</v>
      </c>
      <c r="AM71" s="14">
        <f>IF([1]Sheet2!AR70=999999,"NA",[1]Sheet2!AR70)</f>
        <v>297</v>
      </c>
      <c r="AN71" s="14">
        <f>IF([1]Sheet2!AS70=999999,"NA",[1]Sheet2!AS70)</f>
        <v>229</v>
      </c>
      <c r="AO71" s="14">
        <f>[1]Sheet2!P70</f>
        <v>0</v>
      </c>
      <c r="AP71" s="14">
        <f>[1]Sheet2!Q70</f>
        <v>0</v>
      </c>
      <c r="AQ71" s="14">
        <f>[1]Sheet2!R70</f>
        <v>0</v>
      </c>
      <c r="AR71" s="14">
        <f>[1]Sheet2!S70</f>
        <v>0</v>
      </c>
      <c r="AS71" s="14">
        <f>[1]Sheet2!T70</f>
        <v>0</v>
      </c>
      <c r="AT71" s="14">
        <f>[1]Sheet2!U70</f>
        <v>0</v>
      </c>
      <c r="AU71" s="14">
        <f>[1]Sheet2!V70</f>
        <v>0</v>
      </c>
      <c r="AV71" s="14">
        <f>[1]Sheet2!W70</f>
        <v>0</v>
      </c>
      <c r="AW71" s="14">
        <f>[1]Sheet2!X70</f>
        <v>0</v>
      </c>
      <c r="AX71" s="14">
        <f>[1]Sheet2!Y70</f>
        <v>0</v>
      </c>
      <c r="AY71" s="16">
        <f>Demand_LP!B$5/31</f>
        <v>754.78140345091151</v>
      </c>
      <c r="AZ71" s="16">
        <f>Demand_LP!C$5/31</f>
        <v>547.55235732009919</v>
      </c>
      <c r="BA71" s="16">
        <f>Demand_LP!D$5/31</f>
        <v>312.75612076095945</v>
      </c>
      <c r="BB71" s="16">
        <f>Demand_LP!E$5/31</f>
        <v>772.29437499345636</v>
      </c>
      <c r="BC71" s="16">
        <f>Demand_LP!F$5/31</f>
        <v>471.74248526347748</v>
      </c>
      <c r="BD71" s="16">
        <f>Demand_LP!G$5/31</f>
        <v>754.78140345091151</v>
      </c>
      <c r="BE71" s="16">
        <f>Demand_LP!H$5/31</f>
        <v>547.55235732009919</v>
      </c>
      <c r="BF71" s="16">
        <f>Demand_LP!I$5/31</f>
        <v>451.61290322580646</v>
      </c>
      <c r="BG71" s="16">
        <f>Demand_LP!J$5/31</f>
        <v>451.61290322580646</v>
      </c>
      <c r="BH71" s="16">
        <f>Demand_LP!K$5/31</f>
        <v>451.61290322580646</v>
      </c>
      <c r="BI71" s="16" t="e">
        <f t="shared" si="43"/>
        <v>#VALUE!</v>
      </c>
      <c r="BJ71" s="16">
        <f t="shared" si="44"/>
        <v>-38570.391728701376</v>
      </c>
      <c r="BK71" s="16">
        <f t="shared" si="45"/>
        <v>-15893.330727874276</v>
      </c>
      <c r="BL71" s="16">
        <f t="shared" si="46"/>
        <v>-46816.07116981288</v>
      </c>
      <c r="BM71" s="16">
        <f t="shared" si="47"/>
        <v>-30063.981405832845</v>
      </c>
      <c r="BN71" s="16">
        <f t="shared" si="48"/>
        <v>-43793.032631058246</v>
      </c>
      <c r="BO71" s="16">
        <f t="shared" si="49"/>
        <v>-40927.971215880891</v>
      </c>
      <c r="BP71" s="16">
        <f t="shared" si="50"/>
        <v>-29964.516129032279</v>
      </c>
      <c r="BQ71" s="16">
        <f t="shared" si="51"/>
        <v>-26564.516129032276</v>
      </c>
      <c r="BR71" s="16">
        <f t="shared" si="52"/>
        <v>-27764.516129032269</v>
      </c>
      <c r="BS71" s="14">
        <f>IF([1]Sheet2!CA70=999999,"NA",[1]Sheet2!CA70)</f>
        <v>188714.48387096773</v>
      </c>
      <c r="BT71" s="14">
        <f>IF([1]Sheet2!CB70=999999,"NA",[1]Sheet2!CB70)</f>
        <v>219</v>
      </c>
      <c r="BU71" s="14">
        <f>IF([1]Sheet2!CC70=999999,"NA",[1]Sheet2!CC70)</f>
        <v>297</v>
      </c>
      <c r="BV71" s="14">
        <f>IF([1]Sheet2!CD70=999999,"NA",[1]Sheet2!CD70)</f>
        <v>297</v>
      </c>
      <c r="BW71" s="14">
        <f>IF([1]Sheet2!CE70=999999,"NA",[1]Sheet2!CE70)</f>
        <v>259</v>
      </c>
      <c r="BX71" s="14">
        <f>IF([1]Sheet2!CF70=999999,"NA",[1]Sheet2!CF70)</f>
        <v>297</v>
      </c>
      <c r="BY71" s="14">
        <f>IF([1]Sheet2!CG70=999999,"NA",[1]Sheet2!CG70)</f>
        <v>191</v>
      </c>
      <c r="BZ71" s="14">
        <f>IF([1]Sheet2!CH70=999999,"NA",[1]Sheet2!CH70)</f>
        <v>297</v>
      </c>
      <c r="CA71" s="14">
        <f>IF([1]Sheet2!CI70=999999,"NA",[1]Sheet2!CI70)</f>
        <v>297</v>
      </c>
      <c r="CB71" s="14">
        <f>IF([1]Sheet2!CJ70=999999,"NA",[1]Sheet2!CJ70)</f>
        <v>297</v>
      </c>
      <c r="CC71" s="14">
        <f>[1]Sheet2!BG70</f>
        <v>0</v>
      </c>
      <c r="CD71" s="14">
        <f>[1]Sheet2!BH70</f>
        <v>0</v>
      </c>
      <c r="CE71" s="14">
        <f>[1]Sheet2!BI70</f>
        <v>0</v>
      </c>
      <c r="CF71" s="14">
        <f>[1]Sheet2!BJ70</f>
        <v>0</v>
      </c>
      <c r="CG71" s="14">
        <f>[1]Sheet2!BK70</f>
        <v>0</v>
      </c>
      <c r="CH71" s="14">
        <f>[1]Sheet2!BL70</f>
        <v>0</v>
      </c>
      <c r="CI71" s="14">
        <f>[1]Sheet2!BM70</f>
        <v>0</v>
      </c>
      <c r="CJ71" s="14">
        <f>[1]Sheet2!BN70</f>
        <v>0</v>
      </c>
      <c r="CK71" s="14">
        <f>[1]Sheet2!BO70</f>
        <v>0</v>
      </c>
      <c r="CL71" s="14">
        <f>[1]Sheet2!BP70</f>
        <v>0</v>
      </c>
      <c r="CM71" s="16">
        <f>Demand_SW!B$5/31</f>
        <v>138.46153846153845</v>
      </c>
      <c r="CN71" s="16">
        <f>Demand_SW!C$5/31</f>
        <v>29.776674937965261</v>
      </c>
      <c r="CO71" s="16">
        <f>Demand_SW!D$5/31</f>
        <v>0</v>
      </c>
      <c r="CP71" s="16">
        <f>Demand_SW!E$5/31</f>
        <v>0</v>
      </c>
      <c r="CQ71" s="16">
        <f>Demand_SW!F$5/31</f>
        <v>0</v>
      </c>
      <c r="CR71" s="16">
        <f>Demand_SW!G$5/31</f>
        <v>138.70967741935485</v>
      </c>
      <c r="CS71" s="16">
        <f>Demand_SW!H$5/31</f>
        <v>29.776674937965261</v>
      </c>
      <c r="CT71" s="16">
        <f>Demand_SW!I$5/31</f>
        <v>0</v>
      </c>
      <c r="CU71" s="16">
        <f>Demand_SW!J$5/31</f>
        <v>0</v>
      </c>
      <c r="CV71" s="16">
        <f>Demand_SW!K$5/31</f>
        <v>0</v>
      </c>
      <c r="CW71" s="16">
        <f t="shared" si="53"/>
        <v>42775.384615384588</v>
      </c>
      <c r="CX71" s="16">
        <f t="shared" si="54"/>
        <v>232.00992555831272</v>
      </c>
      <c r="CY71" s="16">
        <f t="shared" si="55"/>
        <v>0</v>
      </c>
      <c r="CZ71" s="16">
        <f t="shared" si="56"/>
        <v>0</v>
      </c>
      <c r="DA71" s="16">
        <f t="shared" si="57"/>
        <v>0</v>
      </c>
      <c r="DB71" s="16">
        <f t="shared" si="58"/>
        <v>-6748.3870967741886</v>
      </c>
      <c r="DC71" s="16">
        <f t="shared" si="59"/>
        <v>232.00992555831272</v>
      </c>
      <c r="DD71" s="16">
        <f t="shared" si="60"/>
        <v>0</v>
      </c>
      <c r="DE71" s="16">
        <f t="shared" si="61"/>
        <v>0</v>
      </c>
      <c r="DF71" s="16">
        <f t="shared" si="62"/>
        <v>0</v>
      </c>
      <c r="DG71" s="14">
        <f>IF([1]Sheet2!DR70=999999,"NA",[1]Sheet2!DR70)</f>
        <v>73103</v>
      </c>
      <c r="DH71" s="14">
        <f>IF([1]Sheet2!DS70=999999,"NA",[1]Sheet2!DS70)</f>
        <v>297</v>
      </c>
      <c r="DI71" s="14">
        <f>IF([1]Sheet2!DT70=999999,"NA",[1]Sheet2!DT70)</f>
        <v>297</v>
      </c>
      <c r="DJ71" s="14" t="str">
        <f>IF([1]Sheet2!DU70=999999,"NA",[1]Sheet2!DU70)</f>
        <v>NA</v>
      </c>
      <c r="DK71" s="14" t="str">
        <f>IF([1]Sheet2!DV70=999999,"NA",[1]Sheet2!DV70)</f>
        <v>NA</v>
      </c>
      <c r="DL71" s="14" t="str">
        <f>IF([1]Sheet2!DW70=999999,"NA",[1]Sheet2!DW70)</f>
        <v>NA</v>
      </c>
      <c r="DM71" s="14">
        <f>IF([1]Sheet2!DX70=999999,"NA",[1]Sheet2!DX70)</f>
        <v>297</v>
      </c>
      <c r="DN71" s="14">
        <f>IF([1]Sheet2!DY70=999999,"NA",[1]Sheet2!DY70)</f>
        <v>297</v>
      </c>
      <c r="DO71" s="14" t="str">
        <f>IF([1]Sheet2!DZ70=999999,"NA",[1]Sheet2!DZ70)</f>
        <v>NA</v>
      </c>
      <c r="DP71" s="14" t="str">
        <f>IF([1]Sheet2!EA70=999999,"NA",[1]Sheet2!EA70)</f>
        <v>NA</v>
      </c>
      <c r="DQ71" s="14">
        <f>[1]Sheet2!CX70</f>
        <v>0</v>
      </c>
      <c r="DR71" s="14">
        <f>[1]Sheet2!CY70</f>
        <v>0</v>
      </c>
      <c r="DS71" s="14">
        <f>[1]Sheet2!CZ70</f>
        <v>0</v>
      </c>
      <c r="DT71" s="14">
        <f>[1]Sheet2!DA70</f>
        <v>0</v>
      </c>
      <c r="DU71" s="14">
        <f>[1]Sheet2!DB70</f>
        <v>0</v>
      </c>
      <c r="DV71" s="14">
        <f>[1]Sheet2!DC70</f>
        <v>0</v>
      </c>
      <c r="DW71" s="14">
        <f>[1]Sheet2!DD70</f>
        <v>0</v>
      </c>
      <c r="DX71" s="14">
        <f>[1]Sheet2!DE70</f>
        <v>0</v>
      </c>
      <c r="DY71" s="14">
        <f>[1]Sheet2!DF70</f>
        <v>0</v>
      </c>
      <c r="DZ71" s="14">
        <f>[1]Sheet2!DG70</f>
        <v>0</v>
      </c>
    </row>
    <row r="72" spans="1:130" x14ac:dyDescent="0.25">
      <c r="A72" s="15">
        <v>43534</v>
      </c>
      <c r="B72" s="1"/>
      <c r="C72" s="1"/>
      <c r="D72" s="1"/>
      <c r="E72" s="14">
        <f>[1]Sheet2!N71</f>
        <v>0</v>
      </c>
      <c r="F72" s="14">
        <f>[1]Sheet2!BE71</f>
        <v>0</v>
      </c>
      <c r="G72" s="14">
        <f>[1]Sheet2!CV71</f>
        <v>336.72456575682378</v>
      </c>
      <c r="H72" s="1"/>
      <c r="I72" s="1"/>
      <c r="J72" s="1"/>
      <c r="K72" s="16">
        <f>Demand_CWRS!B$5/31</f>
        <v>131.679370700757</v>
      </c>
      <c r="L72" s="16">
        <f>Demand_CWRS!C$5/31</f>
        <v>537.20942928039699</v>
      </c>
      <c r="M72" s="16">
        <f>Demand_CWRS!D$5/31</f>
        <v>0</v>
      </c>
      <c r="N72" s="16">
        <f>Demand_CWRS!E$5/31</f>
        <v>121.5961418056559</v>
      </c>
      <c r="O72" s="16">
        <f>Demand_CWRS!F$5/31</f>
        <v>245.08227837631262</v>
      </c>
      <c r="P72" s="16">
        <f>Demand_CWRS!G$5/31</f>
        <v>131.679370700757</v>
      </c>
      <c r="Q72" s="16">
        <f>Demand_CWRS!H$5/31</f>
        <v>537.20942928039699</v>
      </c>
      <c r="R72" s="16">
        <f>Demand_CWRS!I$5/31</f>
        <v>245.08227837631262</v>
      </c>
      <c r="S72" s="16">
        <f>Demand_CWRS!J$5/31</f>
        <v>245.08227837631262</v>
      </c>
      <c r="T72" s="16">
        <f>Demand_CWRS!K$5/31</f>
        <v>245.08227837631262</v>
      </c>
      <c r="U72" s="16">
        <f t="shared" si="33"/>
        <v>-11713.737517103707</v>
      </c>
      <c r="V72" s="16">
        <f t="shared" si="34"/>
        <v>-24900.725062034722</v>
      </c>
      <c r="W72" s="16">
        <f t="shared" si="35"/>
        <v>0</v>
      </c>
      <c r="X72" s="16">
        <f t="shared" si="36"/>
        <v>-5925.8857770309214</v>
      </c>
      <c r="Y72" s="16">
        <f t="shared" si="37"/>
        <v>-14962.789370301592</v>
      </c>
      <c r="Z72" s="16">
        <f t="shared" si="38"/>
        <v>-11496.793707007573</v>
      </c>
      <c r="AA72" s="16">
        <f t="shared" si="39"/>
        <v>-24400.725062034722</v>
      </c>
      <c r="AB72" s="16">
        <f t="shared" si="40"/>
        <v>-12650.822783763126</v>
      </c>
      <c r="AC72" s="16">
        <f t="shared" si="41"/>
        <v>-12650.822783763117</v>
      </c>
      <c r="AD72" s="16">
        <f t="shared" si="42"/>
        <v>-13350.822783763115</v>
      </c>
      <c r="AE72" s="14">
        <f>IF([1]Sheet2!AJ71=999999,"NA",[1]Sheet2!AJ71)</f>
        <v>58</v>
      </c>
      <c r="AF72" s="14">
        <f>IF([1]Sheet2!AK71=999999,"NA",[1]Sheet2!AK71)</f>
        <v>0</v>
      </c>
      <c r="AG72" s="14" t="str">
        <f>IF([1]Sheet2!AL71=999999,"NA",[1]Sheet2!AL71)</f>
        <v>NA</v>
      </c>
      <c r="AH72" s="14">
        <f>IF([1]Sheet2!AM71=999999,"NA",[1]Sheet2!AM71)</f>
        <v>296</v>
      </c>
      <c r="AI72" s="14">
        <f>IF([1]Sheet2!AN71=999999,"NA",[1]Sheet2!AN71)</f>
        <v>296</v>
      </c>
      <c r="AJ72" s="14">
        <f>IF([1]Sheet2!AO71=999999,"NA",[1]Sheet2!AO71)</f>
        <v>296</v>
      </c>
      <c r="AK72" s="14">
        <f>IF([1]Sheet2!AP71=999999,"NA",[1]Sheet2!AP71)</f>
        <v>41</v>
      </c>
      <c r="AL72" s="14">
        <f>IF([1]Sheet2!AQ71=999999,"NA",[1]Sheet2!AQ71)</f>
        <v>172</v>
      </c>
      <c r="AM72" s="14">
        <f>IF([1]Sheet2!AR71=999999,"NA",[1]Sheet2!AR71)</f>
        <v>296</v>
      </c>
      <c r="AN72" s="14">
        <f>IF([1]Sheet2!AS71=999999,"NA",[1]Sheet2!AS71)</f>
        <v>228</v>
      </c>
      <c r="AO72" s="14">
        <f>[1]Sheet2!P71</f>
        <v>0</v>
      </c>
      <c r="AP72" s="14">
        <f>[1]Sheet2!Q71</f>
        <v>0</v>
      </c>
      <c r="AQ72" s="14">
        <f>[1]Sheet2!R71</f>
        <v>0</v>
      </c>
      <c r="AR72" s="14">
        <f>[1]Sheet2!S71</f>
        <v>0</v>
      </c>
      <c r="AS72" s="14">
        <f>[1]Sheet2!T71</f>
        <v>0</v>
      </c>
      <c r="AT72" s="14">
        <f>[1]Sheet2!U71</f>
        <v>0</v>
      </c>
      <c r="AU72" s="14">
        <f>[1]Sheet2!V71</f>
        <v>0</v>
      </c>
      <c r="AV72" s="14">
        <f>[1]Sheet2!W71</f>
        <v>0</v>
      </c>
      <c r="AW72" s="14">
        <f>[1]Sheet2!X71</f>
        <v>0</v>
      </c>
      <c r="AX72" s="14">
        <f>[1]Sheet2!Y71</f>
        <v>0</v>
      </c>
      <c r="AY72" s="16">
        <f>Demand_LP!B$5/31</f>
        <v>754.78140345091151</v>
      </c>
      <c r="AZ72" s="16">
        <f>Demand_LP!C$5/31</f>
        <v>547.55235732009919</v>
      </c>
      <c r="BA72" s="16">
        <f>Demand_LP!D$5/31</f>
        <v>312.75612076095945</v>
      </c>
      <c r="BB72" s="16">
        <f>Demand_LP!E$5/31</f>
        <v>772.29437499345636</v>
      </c>
      <c r="BC72" s="16">
        <f>Demand_LP!F$5/31</f>
        <v>471.74248526347748</v>
      </c>
      <c r="BD72" s="16">
        <f>Demand_LP!G$5/31</f>
        <v>754.78140345091151</v>
      </c>
      <c r="BE72" s="16">
        <f>Demand_LP!H$5/31</f>
        <v>547.55235732009919</v>
      </c>
      <c r="BF72" s="16">
        <f>Demand_LP!I$5/31</f>
        <v>451.61290322580646</v>
      </c>
      <c r="BG72" s="16">
        <f>Demand_LP!J$5/31</f>
        <v>451.61290322580646</v>
      </c>
      <c r="BH72" s="16">
        <f>Demand_LP!K$5/31</f>
        <v>451.61290322580646</v>
      </c>
      <c r="BI72" s="16" t="e">
        <f t="shared" si="43"/>
        <v>#VALUE!</v>
      </c>
      <c r="BJ72" s="16">
        <f t="shared" si="44"/>
        <v>-39117.944086021475</v>
      </c>
      <c r="BK72" s="16">
        <f t="shared" si="45"/>
        <v>-16206.086848635236</v>
      </c>
      <c r="BL72" s="16">
        <f t="shared" si="46"/>
        <v>-47588.365544806336</v>
      </c>
      <c r="BM72" s="16">
        <f t="shared" si="47"/>
        <v>-30535.723891096321</v>
      </c>
      <c r="BN72" s="16">
        <f t="shared" si="48"/>
        <v>-44547.81403450916</v>
      </c>
      <c r="BO72" s="16">
        <f t="shared" si="49"/>
        <v>-41475.52357320099</v>
      </c>
      <c r="BP72" s="16">
        <f t="shared" si="50"/>
        <v>-30416.129032258086</v>
      </c>
      <c r="BQ72" s="16">
        <f t="shared" si="51"/>
        <v>-27016.129032258083</v>
      </c>
      <c r="BR72" s="16">
        <f t="shared" si="52"/>
        <v>-28216.129032258075</v>
      </c>
      <c r="BS72" s="14">
        <f>IF([1]Sheet2!CA71=999999,"NA",[1]Sheet2!CA71)</f>
        <v>188262.87096774191</v>
      </c>
      <c r="BT72" s="14">
        <f>IF([1]Sheet2!CB71=999999,"NA",[1]Sheet2!CB71)</f>
        <v>218</v>
      </c>
      <c r="BU72" s="14">
        <f>IF([1]Sheet2!CC71=999999,"NA",[1]Sheet2!CC71)</f>
        <v>296</v>
      </c>
      <c r="BV72" s="14">
        <f>IF([1]Sheet2!CD71=999999,"NA",[1]Sheet2!CD71)</f>
        <v>296</v>
      </c>
      <c r="BW72" s="14">
        <f>IF([1]Sheet2!CE71=999999,"NA",[1]Sheet2!CE71)</f>
        <v>258</v>
      </c>
      <c r="BX72" s="14">
        <f>IF([1]Sheet2!CF71=999999,"NA",[1]Sheet2!CF71)</f>
        <v>296</v>
      </c>
      <c r="BY72" s="14">
        <f>IF([1]Sheet2!CG71=999999,"NA",[1]Sheet2!CG71)</f>
        <v>190</v>
      </c>
      <c r="BZ72" s="14">
        <f>IF([1]Sheet2!CH71=999999,"NA",[1]Sheet2!CH71)</f>
        <v>296</v>
      </c>
      <c r="CA72" s="14">
        <f>IF([1]Sheet2!CI71=999999,"NA",[1]Sheet2!CI71)</f>
        <v>296</v>
      </c>
      <c r="CB72" s="14">
        <f>IF([1]Sheet2!CJ71=999999,"NA",[1]Sheet2!CJ71)</f>
        <v>296</v>
      </c>
      <c r="CC72" s="14">
        <f>[1]Sheet2!BG71</f>
        <v>0</v>
      </c>
      <c r="CD72" s="14">
        <f>[1]Sheet2!BH71</f>
        <v>0</v>
      </c>
      <c r="CE72" s="14">
        <f>[1]Sheet2!BI71</f>
        <v>0</v>
      </c>
      <c r="CF72" s="14">
        <f>[1]Sheet2!BJ71</f>
        <v>0</v>
      </c>
      <c r="CG72" s="14">
        <f>[1]Sheet2!BK71</f>
        <v>0</v>
      </c>
      <c r="CH72" s="14">
        <f>[1]Sheet2!BL71</f>
        <v>0</v>
      </c>
      <c r="CI72" s="14">
        <f>[1]Sheet2!BM71</f>
        <v>0</v>
      </c>
      <c r="CJ72" s="14">
        <f>[1]Sheet2!BN71</f>
        <v>0</v>
      </c>
      <c r="CK72" s="14">
        <f>[1]Sheet2!BO71</f>
        <v>0</v>
      </c>
      <c r="CL72" s="14">
        <f>[1]Sheet2!BP71</f>
        <v>0</v>
      </c>
      <c r="CM72" s="16">
        <f>Demand_SW!B$5/31</f>
        <v>138.46153846153845</v>
      </c>
      <c r="CN72" s="16">
        <f>Demand_SW!C$5/31</f>
        <v>29.776674937965261</v>
      </c>
      <c r="CO72" s="16">
        <f>Demand_SW!D$5/31</f>
        <v>0</v>
      </c>
      <c r="CP72" s="16">
        <f>Demand_SW!E$5/31</f>
        <v>0</v>
      </c>
      <c r="CQ72" s="16">
        <f>Demand_SW!F$5/31</f>
        <v>0</v>
      </c>
      <c r="CR72" s="16">
        <f>Demand_SW!G$5/31</f>
        <v>138.70967741935485</v>
      </c>
      <c r="CS72" s="16">
        <f>Demand_SW!H$5/31</f>
        <v>29.776674937965261</v>
      </c>
      <c r="CT72" s="16">
        <f>Demand_SW!I$5/31</f>
        <v>0</v>
      </c>
      <c r="CU72" s="16">
        <f>Demand_SW!J$5/31</f>
        <v>0</v>
      </c>
      <c r="CV72" s="16">
        <f>Demand_SW!K$5/31</f>
        <v>0</v>
      </c>
      <c r="CW72" s="16">
        <f t="shared" si="53"/>
        <v>42636.923076923049</v>
      </c>
      <c r="CX72" s="16">
        <f t="shared" si="54"/>
        <v>202.23325062034746</v>
      </c>
      <c r="CY72" s="16">
        <f t="shared" si="55"/>
        <v>0</v>
      </c>
      <c r="CZ72" s="16">
        <f t="shared" si="56"/>
        <v>0</v>
      </c>
      <c r="DA72" s="16">
        <f t="shared" si="57"/>
        <v>0</v>
      </c>
      <c r="DB72" s="16">
        <f t="shared" si="58"/>
        <v>-6887.0967741935438</v>
      </c>
      <c r="DC72" s="16">
        <f t="shared" si="59"/>
        <v>202.23325062034746</v>
      </c>
      <c r="DD72" s="16">
        <f t="shared" si="60"/>
        <v>0</v>
      </c>
      <c r="DE72" s="16">
        <f t="shared" si="61"/>
        <v>0</v>
      </c>
      <c r="DF72" s="16">
        <f t="shared" si="62"/>
        <v>0</v>
      </c>
      <c r="DG72" s="14">
        <f>IF([1]Sheet2!DR71=999999,"NA",[1]Sheet2!DR71)</f>
        <v>73103</v>
      </c>
      <c r="DH72" s="14">
        <f>IF([1]Sheet2!DS71=999999,"NA",[1]Sheet2!DS71)</f>
        <v>296</v>
      </c>
      <c r="DI72" s="14">
        <f>IF([1]Sheet2!DT71=999999,"NA",[1]Sheet2!DT71)</f>
        <v>296</v>
      </c>
      <c r="DJ72" s="14" t="str">
        <f>IF([1]Sheet2!DU71=999999,"NA",[1]Sheet2!DU71)</f>
        <v>NA</v>
      </c>
      <c r="DK72" s="14" t="str">
        <f>IF([1]Sheet2!DV71=999999,"NA",[1]Sheet2!DV71)</f>
        <v>NA</v>
      </c>
      <c r="DL72" s="14" t="str">
        <f>IF([1]Sheet2!DW71=999999,"NA",[1]Sheet2!DW71)</f>
        <v>NA</v>
      </c>
      <c r="DM72" s="14">
        <f>IF([1]Sheet2!DX71=999999,"NA",[1]Sheet2!DX71)</f>
        <v>296</v>
      </c>
      <c r="DN72" s="14">
        <f>IF([1]Sheet2!DY71=999999,"NA",[1]Sheet2!DY71)</f>
        <v>296</v>
      </c>
      <c r="DO72" s="14" t="str">
        <f>IF([1]Sheet2!DZ71=999999,"NA",[1]Sheet2!DZ71)</f>
        <v>NA</v>
      </c>
      <c r="DP72" s="14" t="str">
        <f>IF([1]Sheet2!EA71=999999,"NA",[1]Sheet2!EA71)</f>
        <v>NA</v>
      </c>
      <c r="DQ72" s="14">
        <f>[1]Sheet2!CX71</f>
        <v>0</v>
      </c>
      <c r="DR72" s="14">
        <f>[1]Sheet2!CY71</f>
        <v>0</v>
      </c>
      <c r="DS72" s="14">
        <f>[1]Sheet2!CZ71</f>
        <v>0</v>
      </c>
      <c r="DT72" s="14">
        <f>[1]Sheet2!DA71</f>
        <v>0</v>
      </c>
      <c r="DU72" s="14">
        <f>[1]Sheet2!DB71</f>
        <v>0</v>
      </c>
      <c r="DV72" s="14">
        <f>[1]Sheet2!DC71</f>
        <v>0</v>
      </c>
      <c r="DW72" s="14">
        <f>[1]Sheet2!DD71</f>
        <v>0</v>
      </c>
      <c r="DX72" s="14">
        <f>[1]Sheet2!DE71</f>
        <v>0</v>
      </c>
      <c r="DY72" s="14">
        <f>[1]Sheet2!DF71</f>
        <v>0</v>
      </c>
      <c r="DZ72" s="14">
        <f>[1]Sheet2!DG71</f>
        <v>0</v>
      </c>
    </row>
    <row r="73" spans="1:130" x14ac:dyDescent="0.25">
      <c r="A73" s="15">
        <v>43535</v>
      </c>
      <c r="B73" s="1"/>
      <c r="C73" s="1"/>
      <c r="D73" s="1"/>
      <c r="E73" s="14">
        <f>[1]Sheet2!N72</f>
        <v>0</v>
      </c>
      <c r="F73" s="14">
        <f>[1]Sheet2!BE72</f>
        <v>0</v>
      </c>
      <c r="G73" s="14">
        <f>[1]Sheet2!CV72</f>
        <v>336.72456575682378</v>
      </c>
      <c r="H73" s="1"/>
      <c r="I73" s="1"/>
      <c r="J73" s="1"/>
      <c r="K73" s="16">
        <f>Demand_CWRS!B$5/31</f>
        <v>131.679370700757</v>
      </c>
      <c r="L73" s="16">
        <f>Demand_CWRS!C$5/31</f>
        <v>537.20942928039699</v>
      </c>
      <c r="M73" s="16">
        <f>Demand_CWRS!D$5/31</f>
        <v>0</v>
      </c>
      <c r="N73" s="16">
        <f>Demand_CWRS!E$5/31</f>
        <v>121.5961418056559</v>
      </c>
      <c r="O73" s="16">
        <f>Demand_CWRS!F$5/31</f>
        <v>245.08227837631262</v>
      </c>
      <c r="P73" s="16">
        <f>Demand_CWRS!G$5/31</f>
        <v>131.679370700757</v>
      </c>
      <c r="Q73" s="16">
        <f>Demand_CWRS!H$5/31</f>
        <v>537.20942928039699</v>
      </c>
      <c r="R73" s="16">
        <f>Demand_CWRS!I$5/31</f>
        <v>245.08227837631262</v>
      </c>
      <c r="S73" s="16">
        <f>Demand_CWRS!J$5/31</f>
        <v>245.08227837631262</v>
      </c>
      <c r="T73" s="16">
        <f>Demand_CWRS!K$5/31</f>
        <v>245.08227837631262</v>
      </c>
      <c r="U73" s="16">
        <f t="shared" si="33"/>
        <v>-11845.416887804464</v>
      </c>
      <c r="V73" s="16">
        <f t="shared" si="34"/>
        <v>-25437.934491315118</v>
      </c>
      <c r="W73" s="16">
        <f t="shared" si="35"/>
        <v>0</v>
      </c>
      <c r="X73" s="16">
        <f t="shared" si="36"/>
        <v>-6047.4819188365773</v>
      </c>
      <c r="Y73" s="16">
        <f t="shared" si="37"/>
        <v>-15207.871648677905</v>
      </c>
      <c r="Z73" s="16">
        <f t="shared" si="38"/>
        <v>-11628.47307770833</v>
      </c>
      <c r="AA73" s="16">
        <f t="shared" si="39"/>
        <v>-24937.934491315118</v>
      </c>
      <c r="AB73" s="16">
        <f t="shared" si="40"/>
        <v>-12895.905062139438</v>
      </c>
      <c r="AC73" s="16">
        <f t="shared" si="41"/>
        <v>-12895.905062139429</v>
      </c>
      <c r="AD73" s="16">
        <f t="shared" si="42"/>
        <v>-13595.905062139427</v>
      </c>
      <c r="AE73" s="14">
        <f>IF([1]Sheet2!AJ72=999999,"NA",[1]Sheet2!AJ72)</f>
        <v>57</v>
      </c>
      <c r="AF73" s="14">
        <f>IF([1]Sheet2!AK72=999999,"NA",[1]Sheet2!AK72)</f>
        <v>0</v>
      </c>
      <c r="AG73" s="14" t="str">
        <f>IF([1]Sheet2!AL72=999999,"NA",[1]Sheet2!AL72)</f>
        <v>NA</v>
      </c>
      <c r="AH73" s="14">
        <f>IF([1]Sheet2!AM72=999999,"NA",[1]Sheet2!AM72)</f>
        <v>295</v>
      </c>
      <c r="AI73" s="14">
        <f>IF([1]Sheet2!AN72=999999,"NA",[1]Sheet2!AN72)</f>
        <v>295</v>
      </c>
      <c r="AJ73" s="14">
        <f>IF([1]Sheet2!AO72=999999,"NA",[1]Sheet2!AO72)</f>
        <v>295</v>
      </c>
      <c r="AK73" s="14">
        <f>IF([1]Sheet2!AP72=999999,"NA",[1]Sheet2!AP72)</f>
        <v>40</v>
      </c>
      <c r="AL73" s="14">
        <f>IF([1]Sheet2!AQ72=999999,"NA",[1]Sheet2!AQ72)</f>
        <v>171</v>
      </c>
      <c r="AM73" s="14">
        <f>IF([1]Sheet2!AR72=999999,"NA",[1]Sheet2!AR72)</f>
        <v>295</v>
      </c>
      <c r="AN73" s="14">
        <f>IF([1]Sheet2!AS72=999999,"NA",[1]Sheet2!AS72)</f>
        <v>227</v>
      </c>
      <c r="AO73" s="14">
        <f>[1]Sheet2!P72</f>
        <v>0</v>
      </c>
      <c r="AP73" s="14">
        <f>[1]Sheet2!Q72</f>
        <v>0</v>
      </c>
      <c r="AQ73" s="14">
        <f>[1]Sheet2!R72</f>
        <v>0</v>
      </c>
      <c r="AR73" s="14">
        <f>[1]Sheet2!S72</f>
        <v>0</v>
      </c>
      <c r="AS73" s="14">
        <f>[1]Sheet2!T72</f>
        <v>0</v>
      </c>
      <c r="AT73" s="14">
        <f>[1]Sheet2!U72</f>
        <v>0</v>
      </c>
      <c r="AU73" s="14">
        <f>[1]Sheet2!V72</f>
        <v>0</v>
      </c>
      <c r="AV73" s="14">
        <f>[1]Sheet2!W72</f>
        <v>0</v>
      </c>
      <c r="AW73" s="14">
        <f>[1]Sheet2!X72</f>
        <v>0</v>
      </c>
      <c r="AX73" s="14">
        <f>[1]Sheet2!Y72</f>
        <v>0</v>
      </c>
      <c r="AY73" s="16">
        <f>Demand_LP!B$5/31</f>
        <v>754.78140345091151</v>
      </c>
      <c r="AZ73" s="16">
        <f>Demand_LP!C$5/31</f>
        <v>547.55235732009919</v>
      </c>
      <c r="BA73" s="16">
        <f>Demand_LP!D$5/31</f>
        <v>312.75612076095945</v>
      </c>
      <c r="BB73" s="16">
        <f>Demand_LP!E$5/31</f>
        <v>772.29437499345636</v>
      </c>
      <c r="BC73" s="16">
        <f>Demand_LP!F$5/31</f>
        <v>471.74248526347748</v>
      </c>
      <c r="BD73" s="16">
        <f>Demand_LP!G$5/31</f>
        <v>754.78140345091151</v>
      </c>
      <c r="BE73" s="16">
        <f>Demand_LP!H$5/31</f>
        <v>547.55235732009919</v>
      </c>
      <c r="BF73" s="16">
        <f>Demand_LP!I$5/31</f>
        <v>451.61290322580646</v>
      </c>
      <c r="BG73" s="16">
        <f>Demand_LP!J$5/31</f>
        <v>451.61290322580646</v>
      </c>
      <c r="BH73" s="16">
        <f>Demand_LP!K$5/31</f>
        <v>451.61290322580646</v>
      </c>
      <c r="BI73" s="16" t="e">
        <f t="shared" si="43"/>
        <v>#VALUE!</v>
      </c>
      <c r="BJ73" s="16">
        <f t="shared" si="44"/>
        <v>-39665.496443341573</v>
      </c>
      <c r="BK73" s="16">
        <f t="shared" si="45"/>
        <v>-16518.842969396195</v>
      </c>
      <c r="BL73" s="16">
        <f t="shared" si="46"/>
        <v>-48360.659919799793</v>
      </c>
      <c r="BM73" s="16">
        <f t="shared" si="47"/>
        <v>-31007.466376359796</v>
      </c>
      <c r="BN73" s="16">
        <f t="shared" si="48"/>
        <v>-45302.595437960073</v>
      </c>
      <c r="BO73" s="16">
        <f t="shared" si="49"/>
        <v>-42023.075930521089</v>
      </c>
      <c r="BP73" s="16">
        <f t="shared" si="50"/>
        <v>-30867.741935483893</v>
      </c>
      <c r="BQ73" s="16">
        <f t="shared" si="51"/>
        <v>-27467.741935483889</v>
      </c>
      <c r="BR73" s="16">
        <f t="shared" si="52"/>
        <v>-28667.741935483882</v>
      </c>
      <c r="BS73" s="14">
        <f>IF([1]Sheet2!CA72=999999,"NA",[1]Sheet2!CA72)</f>
        <v>187811.25806451609</v>
      </c>
      <c r="BT73" s="14">
        <f>IF([1]Sheet2!CB72=999999,"NA",[1]Sheet2!CB72)</f>
        <v>217</v>
      </c>
      <c r="BU73" s="14">
        <f>IF([1]Sheet2!CC72=999999,"NA",[1]Sheet2!CC72)</f>
        <v>295</v>
      </c>
      <c r="BV73" s="14">
        <f>IF([1]Sheet2!CD72=999999,"NA",[1]Sheet2!CD72)</f>
        <v>295</v>
      </c>
      <c r="BW73" s="14">
        <f>IF([1]Sheet2!CE72=999999,"NA",[1]Sheet2!CE72)</f>
        <v>257</v>
      </c>
      <c r="BX73" s="14">
        <f>IF([1]Sheet2!CF72=999999,"NA",[1]Sheet2!CF72)</f>
        <v>295</v>
      </c>
      <c r="BY73" s="14">
        <f>IF([1]Sheet2!CG72=999999,"NA",[1]Sheet2!CG72)</f>
        <v>189</v>
      </c>
      <c r="BZ73" s="14">
        <f>IF([1]Sheet2!CH72=999999,"NA",[1]Sheet2!CH72)</f>
        <v>295</v>
      </c>
      <c r="CA73" s="14">
        <f>IF([1]Sheet2!CI72=999999,"NA",[1]Sheet2!CI72)</f>
        <v>295</v>
      </c>
      <c r="CB73" s="14">
        <f>IF([1]Sheet2!CJ72=999999,"NA",[1]Sheet2!CJ72)</f>
        <v>295</v>
      </c>
      <c r="CC73" s="14">
        <f>[1]Sheet2!BG72</f>
        <v>0</v>
      </c>
      <c r="CD73" s="14">
        <f>[1]Sheet2!BH72</f>
        <v>0</v>
      </c>
      <c r="CE73" s="14">
        <f>[1]Sheet2!BI72</f>
        <v>0</v>
      </c>
      <c r="CF73" s="14">
        <f>[1]Sheet2!BJ72</f>
        <v>0</v>
      </c>
      <c r="CG73" s="14">
        <f>[1]Sheet2!BK72</f>
        <v>0</v>
      </c>
      <c r="CH73" s="14">
        <f>[1]Sheet2!BL72</f>
        <v>0</v>
      </c>
      <c r="CI73" s="14">
        <f>[1]Sheet2!BM72</f>
        <v>0</v>
      </c>
      <c r="CJ73" s="14">
        <f>[1]Sheet2!BN72</f>
        <v>0</v>
      </c>
      <c r="CK73" s="14">
        <f>[1]Sheet2!BO72</f>
        <v>0</v>
      </c>
      <c r="CL73" s="14">
        <f>[1]Sheet2!BP72</f>
        <v>0</v>
      </c>
      <c r="CM73" s="16">
        <f>Demand_SW!B$5/31</f>
        <v>138.46153846153845</v>
      </c>
      <c r="CN73" s="16">
        <f>Demand_SW!C$5/31</f>
        <v>29.776674937965261</v>
      </c>
      <c r="CO73" s="16">
        <f>Demand_SW!D$5/31</f>
        <v>0</v>
      </c>
      <c r="CP73" s="16">
        <f>Demand_SW!E$5/31</f>
        <v>0</v>
      </c>
      <c r="CQ73" s="16">
        <f>Demand_SW!F$5/31</f>
        <v>0</v>
      </c>
      <c r="CR73" s="16">
        <f>Demand_SW!G$5/31</f>
        <v>138.70967741935485</v>
      </c>
      <c r="CS73" s="16">
        <f>Demand_SW!H$5/31</f>
        <v>29.776674937965261</v>
      </c>
      <c r="CT73" s="16">
        <f>Demand_SW!I$5/31</f>
        <v>0</v>
      </c>
      <c r="CU73" s="16">
        <f>Demand_SW!J$5/31</f>
        <v>0</v>
      </c>
      <c r="CV73" s="16">
        <f>Demand_SW!K$5/31</f>
        <v>0</v>
      </c>
      <c r="CW73" s="16">
        <f t="shared" si="53"/>
        <v>42498.46153846151</v>
      </c>
      <c r="CX73" s="16">
        <f t="shared" si="54"/>
        <v>172.45657568238221</v>
      </c>
      <c r="CY73" s="16">
        <f t="shared" si="55"/>
        <v>0</v>
      </c>
      <c r="CZ73" s="16">
        <f t="shared" si="56"/>
        <v>0</v>
      </c>
      <c r="DA73" s="16">
        <f t="shared" si="57"/>
        <v>0</v>
      </c>
      <c r="DB73" s="16">
        <f t="shared" si="58"/>
        <v>-7025.8064516128989</v>
      </c>
      <c r="DC73" s="16">
        <f t="shared" si="59"/>
        <v>172.45657568238221</v>
      </c>
      <c r="DD73" s="16">
        <f t="shared" si="60"/>
        <v>0</v>
      </c>
      <c r="DE73" s="16">
        <f t="shared" si="61"/>
        <v>0</v>
      </c>
      <c r="DF73" s="16">
        <f t="shared" si="62"/>
        <v>0</v>
      </c>
      <c r="DG73" s="14">
        <f>IF([1]Sheet2!DR72=999999,"NA",[1]Sheet2!DR72)</f>
        <v>73103</v>
      </c>
      <c r="DH73" s="14">
        <f>IF([1]Sheet2!DS72=999999,"NA",[1]Sheet2!DS72)</f>
        <v>295</v>
      </c>
      <c r="DI73" s="14">
        <f>IF([1]Sheet2!DT72=999999,"NA",[1]Sheet2!DT72)</f>
        <v>295</v>
      </c>
      <c r="DJ73" s="14" t="str">
        <f>IF([1]Sheet2!DU72=999999,"NA",[1]Sheet2!DU72)</f>
        <v>NA</v>
      </c>
      <c r="DK73" s="14" t="str">
        <f>IF([1]Sheet2!DV72=999999,"NA",[1]Sheet2!DV72)</f>
        <v>NA</v>
      </c>
      <c r="DL73" s="14" t="str">
        <f>IF([1]Sheet2!DW72=999999,"NA",[1]Sheet2!DW72)</f>
        <v>NA</v>
      </c>
      <c r="DM73" s="14">
        <f>IF([1]Sheet2!DX72=999999,"NA",[1]Sheet2!DX72)</f>
        <v>295</v>
      </c>
      <c r="DN73" s="14">
        <f>IF([1]Sheet2!DY72=999999,"NA",[1]Sheet2!DY72)</f>
        <v>295</v>
      </c>
      <c r="DO73" s="14" t="str">
        <f>IF([1]Sheet2!DZ72=999999,"NA",[1]Sheet2!DZ72)</f>
        <v>NA</v>
      </c>
      <c r="DP73" s="14" t="str">
        <f>IF([1]Sheet2!EA72=999999,"NA",[1]Sheet2!EA72)</f>
        <v>NA</v>
      </c>
      <c r="DQ73" s="14">
        <f>[1]Sheet2!CX72</f>
        <v>0</v>
      </c>
      <c r="DR73" s="14">
        <f>[1]Sheet2!CY72</f>
        <v>0</v>
      </c>
      <c r="DS73" s="14">
        <f>[1]Sheet2!CZ72</f>
        <v>0</v>
      </c>
      <c r="DT73" s="14">
        <f>[1]Sheet2!DA72</f>
        <v>0</v>
      </c>
      <c r="DU73" s="14">
        <f>[1]Sheet2!DB72</f>
        <v>0</v>
      </c>
      <c r="DV73" s="14">
        <f>[1]Sheet2!DC72</f>
        <v>0</v>
      </c>
      <c r="DW73" s="14">
        <f>[1]Sheet2!DD72</f>
        <v>0</v>
      </c>
      <c r="DX73" s="14">
        <f>[1]Sheet2!DE72</f>
        <v>0</v>
      </c>
      <c r="DY73" s="14">
        <f>[1]Sheet2!DF72</f>
        <v>0</v>
      </c>
      <c r="DZ73" s="14">
        <f>[1]Sheet2!DG72</f>
        <v>0</v>
      </c>
    </row>
    <row r="74" spans="1:130" x14ac:dyDescent="0.25">
      <c r="A74" s="15">
        <v>43536</v>
      </c>
      <c r="B74" s="1"/>
      <c r="C74" s="1"/>
      <c r="D74" s="1"/>
      <c r="E74" s="14">
        <f>[1]Sheet2!N73</f>
        <v>0</v>
      </c>
      <c r="F74" s="14">
        <f>[1]Sheet2!BE73</f>
        <v>0</v>
      </c>
      <c r="G74" s="14">
        <f>[1]Sheet2!CV73</f>
        <v>336.72456575682378</v>
      </c>
      <c r="H74" s="1"/>
      <c r="I74" s="1"/>
      <c r="J74" s="1"/>
      <c r="K74" s="16">
        <f>Demand_CWRS!B$5/31</f>
        <v>131.679370700757</v>
      </c>
      <c r="L74" s="16">
        <f>Demand_CWRS!C$5/31</f>
        <v>537.20942928039699</v>
      </c>
      <c r="M74" s="16">
        <f>Demand_CWRS!D$5/31</f>
        <v>0</v>
      </c>
      <c r="N74" s="16">
        <f>Demand_CWRS!E$5/31</f>
        <v>121.5961418056559</v>
      </c>
      <c r="O74" s="16">
        <f>Demand_CWRS!F$5/31</f>
        <v>245.08227837631262</v>
      </c>
      <c r="P74" s="16">
        <f>Demand_CWRS!G$5/31</f>
        <v>131.679370700757</v>
      </c>
      <c r="Q74" s="16">
        <f>Demand_CWRS!H$5/31</f>
        <v>537.20942928039699</v>
      </c>
      <c r="R74" s="16">
        <f>Demand_CWRS!I$5/31</f>
        <v>245.08227837631262</v>
      </c>
      <c r="S74" s="16">
        <f>Demand_CWRS!J$5/31</f>
        <v>245.08227837631262</v>
      </c>
      <c r="T74" s="16">
        <f>Demand_CWRS!K$5/31</f>
        <v>245.08227837631262</v>
      </c>
      <c r="U74" s="16">
        <f t="shared" si="33"/>
        <v>-11977.09625850522</v>
      </c>
      <c r="V74" s="16">
        <f t="shared" si="34"/>
        <v>-25975.143920595514</v>
      </c>
      <c r="W74" s="16">
        <f t="shared" si="35"/>
        <v>0</v>
      </c>
      <c r="X74" s="16">
        <f t="shared" si="36"/>
        <v>-6169.0780606422331</v>
      </c>
      <c r="Y74" s="16">
        <f t="shared" si="37"/>
        <v>-15452.953927054217</v>
      </c>
      <c r="Z74" s="16">
        <f t="shared" si="38"/>
        <v>-11760.152448409086</v>
      </c>
      <c r="AA74" s="16">
        <f t="shared" si="39"/>
        <v>-25475.143920595514</v>
      </c>
      <c r="AB74" s="16">
        <f t="shared" si="40"/>
        <v>-13140.98734051575</v>
      </c>
      <c r="AC74" s="16">
        <f t="shared" si="41"/>
        <v>-13140.987340515741</v>
      </c>
      <c r="AD74" s="16">
        <f t="shared" si="42"/>
        <v>-13840.98734051574</v>
      </c>
      <c r="AE74" s="14">
        <f>IF([1]Sheet2!AJ73=999999,"NA",[1]Sheet2!AJ73)</f>
        <v>56</v>
      </c>
      <c r="AF74" s="14">
        <f>IF([1]Sheet2!AK73=999999,"NA",[1]Sheet2!AK73)</f>
        <v>0</v>
      </c>
      <c r="AG74" s="14" t="str">
        <f>IF([1]Sheet2!AL73=999999,"NA",[1]Sheet2!AL73)</f>
        <v>NA</v>
      </c>
      <c r="AH74" s="14">
        <f>IF([1]Sheet2!AM73=999999,"NA",[1]Sheet2!AM73)</f>
        <v>294</v>
      </c>
      <c r="AI74" s="14">
        <f>IF([1]Sheet2!AN73=999999,"NA",[1]Sheet2!AN73)</f>
        <v>294</v>
      </c>
      <c r="AJ74" s="14">
        <f>IF([1]Sheet2!AO73=999999,"NA",[1]Sheet2!AO73)</f>
        <v>294</v>
      </c>
      <c r="AK74" s="14">
        <f>IF([1]Sheet2!AP73=999999,"NA",[1]Sheet2!AP73)</f>
        <v>39</v>
      </c>
      <c r="AL74" s="14">
        <f>IF([1]Sheet2!AQ73=999999,"NA",[1]Sheet2!AQ73)</f>
        <v>170</v>
      </c>
      <c r="AM74" s="14">
        <f>IF([1]Sheet2!AR73=999999,"NA",[1]Sheet2!AR73)</f>
        <v>294</v>
      </c>
      <c r="AN74" s="14">
        <f>IF([1]Sheet2!AS73=999999,"NA",[1]Sheet2!AS73)</f>
        <v>226</v>
      </c>
      <c r="AO74" s="14">
        <f>[1]Sheet2!P73</f>
        <v>0</v>
      </c>
      <c r="AP74" s="14">
        <f>[1]Sheet2!Q73</f>
        <v>0</v>
      </c>
      <c r="AQ74" s="14">
        <f>[1]Sheet2!R73</f>
        <v>0</v>
      </c>
      <c r="AR74" s="14">
        <f>[1]Sheet2!S73</f>
        <v>0</v>
      </c>
      <c r="AS74" s="14">
        <f>[1]Sheet2!T73</f>
        <v>0</v>
      </c>
      <c r="AT74" s="14">
        <f>[1]Sheet2!U73</f>
        <v>0</v>
      </c>
      <c r="AU74" s="14">
        <f>[1]Sheet2!V73</f>
        <v>0</v>
      </c>
      <c r="AV74" s="14">
        <f>[1]Sheet2!W73</f>
        <v>0</v>
      </c>
      <c r="AW74" s="14">
        <f>[1]Sheet2!X73</f>
        <v>0</v>
      </c>
      <c r="AX74" s="14">
        <f>[1]Sheet2!Y73</f>
        <v>0</v>
      </c>
      <c r="AY74" s="16">
        <f>Demand_LP!B$5/31</f>
        <v>754.78140345091151</v>
      </c>
      <c r="AZ74" s="16">
        <f>Demand_LP!C$5/31</f>
        <v>547.55235732009919</v>
      </c>
      <c r="BA74" s="16">
        <f>Demand_LP!D$5/31</f>
        <v>312.75612076095945</v>
      </c>
      <c r="BB74" s="16">
        <f>Demand_LP!E$5/31</f>
        <v>772.29437499345636</v>
      </c>
      <c r="BC74" s="16">
        <f>Demand_LP!F$5/31</f>
        <v>471.74248526347748</v>
      </c>
      <c r="BD74" s="16">
        <f>Demand_LP!G$5/31</f>
        <v>754.78140345091151</v>
      </c>
      <c r="BE74" s="16">
        <f>Demand_LP!H$5/31</f>
        <v>547.55235732009919</v>
      </c>
      <c r="BF74" s="16">
        <f>Demand_LP!I$5/31</f>
        <v>451.61290322580646</v>
      </c>
      <c r="BG74" s="16">
        <f>Demand_LP!J$5/31</f>
        <v>451.61290322580646</v>
      </c>
      <c r="BH74" s="16">
        <f>Demand_LP!K$5/31</f>
        <v>451.61290322580646</v>
      </c>
      <c r="BI74" s="16" t="e">
        <f t="shared" si="43"/>
        <v>#VALUE!</v>
      </c>
      <c r="BJ74" s="16">
        <f t="shared" si="44"/>
        <v>-40213.048800661672</v>
      </c>
      <c r="BK74" s="16">
        <f t="shared" si="45"/>
        <v>-16831.599090157153</v>
      </c>
      <c r="BL74" s="16">
        <f t="shared" si="46"/>
        <v>-49132.95429479325</v>
      </c>
      <c r="BM74" s="16">
        <f t="shared" si="47"/>
        <v>-31479.208861623272</v>
      </c>
      <c r="BN74" s="16">
        <f t="shared" si="48"/>
        <v>-46057.376841410987</v>
      </c>
      <c r="BO74" s="16">
        <f t="shared" si="49"/>
        <v>-42570.628287841188</v>
      </c>
      <c r="BP74" s="16">
        <f t="shared" si="50"/>
        <v>-31319.3548387097</v>
      </c>
      <c r="BQ74" s="16">
        <f t="shared" si="51"/>
        <v>-27919.354838709696</v>
      </c>
      <c r="BR74" s="16">
        <f t="shared" si="52"/>
        <v>-29119.354838709689</v>
      </c>
      <c r="BS74" s="14">
        <f>IF([1]Sheet2!CA73=999999,"NA",[1]Sheet2!CA73)</f>
        <v>187359.64516129027</v>
      </c>
      <c r="BT74" s="14">
        <f>IF([1]Sheet2!CB73=999999,"NA",[1]Sheet2!CB73)</f>
        <v>216</v>
      </c>
      <c r="BU74" s="14">
        <f>IF([1]Sheet2!CC73=999999,"NA",[1]Sheet2!CC73)</f>
        <v>294</v>
      </c>
      <c r="BV74" s="14">
        <f>IF([1]Sheet2!CD73=999999,"NA",[1]Sheet2!CD73)</f>
        <v>294</v>
      </c>
      <c r="BW74" s="14">
        <f>IF([1]Sheet2!CE73=999999,"NA",[1]Sheet2!CE73)</f>
        <v>256</v>
      </c>
      <c r="BX74" s="14">
        <f>IF([1]Sheet2!CF73=999999,"NA",[1]Sheet2!CF73)</f>
        <v>294</v>
      </c>
      <c r="BY74" s="14">
        <f>IF([1]Sheet2!CG73=999999,"NA",[1]Sheet2!CG73)</f>
        <v>188</v>
      </c>
      <c r="BZ74" s="14">
        <f>IF([1]Sheet2!CH73=999999,"NA",[1]Sheet2!CH73)</f>
        <v>294</v>
      </c>
      <c r="CA74" s="14">
        <f>IF([1]Sheet2!CI73=999999,"NA",[1]Sheet2!CI73)</f>
        <v>294</v>
      </c>
      <c r="CB74" s="14">
        <f>IF([1]Sheet2!CJ73=999999,"NA",[1]Sheet2!CJ73)</f>
        <v>294</v>
      </c>
      <c r="CC74" s="14">
        <f>[1]Sheet2!BG73</f>
        <v>0</v>
      </c>
      <c r="CD74" s="14">
        <f>[1]Sheet2!BH73</f>
        <v>0</v>
      </c>
      <c r="CE74" s="14">
        <f>[1]Sheet2!BI73</f>
        <v>0</v>
      </c>
      <c r="CF74" s="14">
        <f>[1]Sheet2!BJ73</f>
        <v>0</v>
      </c>
      <c r="CG74" s="14">
        <f>[1]Sheet2!BK73</f>
        <v>0</v>
      </c>
      <c r="CH74" s="14">
        <f>[1]Sheet2!BL73</f>
        <v>0</v>
      </c>
      <c r="CI74" s="14">
        <f>[1]Sheet2!BM73</f>
        <v>0</v>
      </c>
      <c r="CJ74" s="14">
        <f>[1]Sheet2!BN73</f>
        <v>0</v>
      </c>
      <c r="CK74" s="14">
        <f>[1]Sheet2!BO73</f>
        <v>0</v>
      </c>
      <c r="CL74" s="14">
        <f>[1]Sheet2!BP73</f>
        <v>0</v>
      </c>
      <c r="CM74" s="16">
        <f>Demand_SW!B$5/31</f>
        <v>138.46153846153845</v>
      </c>
      <c r="CN74" s="16">
        <f>Demand_SW!C$5/31</f>
        <v>29.776674937965261</v>
      </c>
      <c r="CO74" s="16">
        <f>Demand_SW!D$5/31</f>
        <v>0</v>
      </c>
      <c r="CP74" s="16">
        <f>Demand_SW!E$5/31</f>
        <v>0</v>
      </c>
      <c r="CQ74" s="16">
        <f>Demand_SW!F$5/31</f>
        <v>0</v>
      </c>
      <c r="CR74" s="16">
        <f>Demand_SW!G$5/31</f>
        <v>138.70967741935485</v>
      </c>
      <c r="CS74" s="16">
        <f>Demand_SW!H$5/31</f>
        <v>29.776674937965261</v>
      </c>
      <c r="CT74" s="16">
        <f>Demand_SW!I$5/31</f>
        <v>0</v>
      </c>
      <c r="CU74" s="16">
        <f>Demand_SW!J$5/31</f>
        <v>0</v>
      </c>
      <c r="CV74" s="16">
        <f>Demand_SW!K$5/31</f>
        <v>0</v>
      </c>
      <c r="CW74" s="16">
        <f t="shared" si="53"/>
        <v>42359.999999999971</v>
      </c>
      <c r="CX74" s="16">
        <f t="shared" si="54"/>
        <v>142.67990074441695</v>
      </c>
      <c r="CY74" s="16">
        <f t="shared" si="55"/>
        <v>0</v>
      </c>
      <c r="CZ74" s="16">
        <f t="shared" si="56"/>
        <v>0</v>
      </c>
      <c r="DA74" s="16">
        <f t="shared" si="57"/>
        <v>0</v>
      </c>
      <c r="DB74" s="16">
        <f t="shared" si="58"/>
        <v>-7164.516129032254</v>
      </c>
      <c r="DC74" s="16">
        <f t="shared" si="59"/>
        <v>142.67990074441695</v>
      </c>
      <c r="DD74" s="16">
        <f t="shared" si="60"/>
        <v>0</v>
      </c>
      <c r="DE74" s="16">
        <f t="shared" si="61"/>
        <v>0</v>
      </c>
      <c r="DF74" s="16">
        <f t="shared" si="62"/>
        <v>0</v>
      </c>
      <c r="DG74" s="14">
        <f>IF([1]Sheet2!DR73=999999,"NA",[1]Sheet2!DR73)</f>
        <v>73103</v>
      </c>
      <c r="DH74" s="14">
        <f>IF([1]Sheet2!DS73=999999,"NA",[1]Sheet2!DS73)</f>
        <v>294</v>
      </c>
      <c r="DI74" s="14">
        <f>IF([1]Sheet2!DT73=999999,"NA",[1]Sheet2!DT73)</f>
        <v>294</v>
      </c>
      <c r="DJ74" s="14" t="str">
        <f>IF([1]Sheet2!DU73=999999,"NA",[1]Sheet2!DU73)</f>
        <v>NA</v>
      </c>
      <c r="DK74" s="14" t="str">
        <f>IF([1]Sheet2!DV73=999999,"NA",[1]Sheet2!DV73)</f>
        <v>NA</v>
      </c>
      <c r="DL74" s="14" t="str">
        <f>IF([1]Sheet2!DW73=999999,"NA",[1]Sheet2!DW73)</f>
        <v>NA</v>
      </c>
      <c r="DM74" s="14">
        <f>IF([1]Sheet2!DX73=999999,"NA",[1]Sheet2!DX73)</f>
        <v>294</v>
      </c>
      <c r="DN74" s="14">
        <f>IF([1]Sheet2!DY73=999999,"NA",[1]Sheet2!DY73)</f>
        <v>294</v>
      </c>
      <c r="DO74" s="14" t="str">
        <f>IF([1]Sheet2!DZ73=999999,"NA",[1]Sheet2!DZ73)</f>
        <v>NA</v>
      </c>
      <c r="DP74" s="14" t="str">
        <f>IF([1]Sheet2!EA73=999999,"NA",[1]Sheet2!EA73)</f>
        <v>NA</v>
      </c>
      <c r="DQ74" s="14">
        <f>[1]Sheet2!CX73</f>
        <v>0</v>
      </c>
      <c r="DR74" s="14">
        <f>[1]Sheet2!CY73</f>
        <v>0</v>
      </c>
      <c r="DS74" s="14">
        <f>[1]Sheet2!CZ73</f>
        <v>0</v>
      </c>
      <c r="DT74" s="14">
        <f>[1]Sheet2!DA73</f>
        <v>0</v>
      </c>
      <c r="DU74" s="14">
        <f>[1]Sheet2!DB73</f>
        <v>0</v>
      </c>
      <c r="DV74" s="14">
        <f>[1]Sheet2!DC73</f>
        <v>0</v>
      </c>
      <c r="DW74" s="14">
        <f>[1]Sheet2!DD73</f>
        <v>0</v>
      </c>
      <c r="DX74" s="14">
        <f>[1]Sheet2!DE73</f>
        <v>0</v>
      </c>
      <c r="DY74" s="14">
        <f>[1]Sheet2!DF73</f>
        <v>0</v>
      </c>
      <c r="DZ74" s="14">
        <f>[1]Sheet2!DG73</f>
        <v>0</v>
      </c>
    </row>
    <row r="75" spans="1:130" x14ac:dyDescent="0.25">
      <c r="A75" s="15">
        <v>43537</v>
      </c>
      <c r="B75" s="1"/>
      <c r="C75" s="1"/>
      <c r="D75" s="1"/>
      <c r="E75" s="14">
        <f>[1]Sheet2!N74</f>
        <v>0</v>
      </c>
      <c r="F75" s="14">
        <f>[1]Sheet2!BE74</f>
        <v>0</v>
      </c>
      <c r="G75" s="14">
        <f>[1]Sheet2!CV74</f>
        <v>336.72456575682378</v>
      </c>
      <c r="H75" s="1"/>
      <c r="I75" s="1"/>
      <c r="J75" s="1"/>
      <c r="K75" s="16">
        <f>Demand_CWRS!B$5/31</f>
        <v>131.679370700757</v>
      </c>
      <c r="L75" s="16">
        <f>Demand_CWRS!C$5/31</f>
        <v>537.20942928039699</v>
      </c>
      <c r="M75" s="16">
        <f>Demand_CWRS!D$5/31</f>
        <v>0</v>
      </c>
      <c r="N75" s="16">
        <f>Demand_CWRS!E$5/31</f>
        <v>121.5961418056559</v>
      </c>
      <c r="O75" s="16">
        <f>Demand_CWRS!F$5/31</f>
        <v>245.08227837631262</v>
      </c>
      <c r="P75" s="16">
        <f>Demand_CWRS!G$5/31</f>
        <v>131.679370700757</v>
      </c>
      <c r="Q75" s="16">
        <f>Demand_CWRS!H$5/31</f>
        <v>537.20942928039699</v>
      </c>
      <c r="R75" s="16">
        <f>Demand_CWRS!I$5/31</f>
        <v>245.08227837631262</v>
      </c>
      <c r="S75" s="16">
        <f>Demand_CWRS!J$5/31</f>
        <v>245.08227837631262</v>
      </c>
      <c r="T75" s="16">
        <f>Demand_CWRS!K$5/31</f>
        <v>245.08227837631262</v>
      </c>
      <c r="U75" s="16">
        <f t="shared" si="33"/>
        <v>-12108.775629205977</v>
      </c>
      <c r="V75" s="16">
        <f t="shared" si="34"/>
        <v>-26512.35334987591</v>
      </c>
      <c r="W75" s="16">
        <f t="shared" si="35"/>
        <v>0</v>
      </c>
      <c r="X75" s="16">
        <f t="shared" si="36"/>
        <v>-6290.674202447889</v>
      </c>
      <c r="Y75" s="16">
        <f t="shared" si="37"/>
        <v>-15698.03620543053</v>
      </c>
      <c r="Z75" s="16">
        <f t="shared" si="38"/>
        <v>-11891.831819109842</v>
      </c>
      <c r="AA75" s="16">
        <f t="shared" si="39"/>
        <v>-26012.35334987591</v>
      </c>
      <c r="AB75" s="16">
        <f t="shared" si="40"/>
        <v>-13386.069618892063</v>
      </c>
      <c r="AC75" s="16">
        <f t="shared" si="41"/>
        <v>-13386.069618892054</v>
      </c>
      <c r="AD75" s="16">
        <f t="shared" si="42"/>
        <v>-14086.069618892052</v>
      </c>
      <c r="AE75" s="14">
        <f>IF([1]Sheet2!AJ74=999999,"NA",[1]Sheet2!AJ74)</f>
        <v>55</v>
      </c>
      <c r="AF75" s="14">
        <f>IF([1]Sheet2!AK74=999999,"NA",[1]Sheet2!AK74)</f>
        <v>0</v>
      </c>
      <c r="AG75" s="14" t="str">
        <f>IF([1]Sheet2!AL74=999999,"NA",[1]Sheet2!AL74)</f>
        <v>NA</v>
      </c>
      <c r="AH75" s="14">
        <f>IF([1]Sheet2!AM74=999999,"NA",[1]Sheet2!AM74)</f>
        <v>293</v>
      </c>
      <c r="AI75" s="14">
        <f>IF([1]Sheet2!AN74=999999,"NA",[1]Sheet2!AN74)</f>
        <v>293</v>
      </c>
      <c r="AJ75" s="14">
        <f>IF([1]Sheet2!AO74=999999,"NA",[1]Sheet2!AO74)</f>
        <v>293</v>
      </c>
      <c r="AK75" s="14">
        <f>IF([1]Sheet2!AP74=999999,"NA",[1]Sheet2!AP74)</f>
        <v>38</v>
      </c>
      <c r="AL75" s="14">
        <f>IF([1]Sheet2!AQ74=999999,"NA",[1]Sheet2!AQ74)</f>
        <v>169</v>
      </c>
      <c r="AM75" s="14">
        <f>IF([1]Sheet2!AR74=999999,"NA",[1]Sheet2!AR74)</f>
        <v>293</v>
      </c>
      <c r="AN75" s="14">
        <f>IF([1]Sheet2!AS74=999999,"NA",[1]Sheet2!AS74)</f>
        <v>225</v>
      </c>
      <c r="AO75" s="14">
        <f>[1]Sheet2!P74</f>
        <v>0</v>
      </c>
      <c r="AP75" s="14">
        <f>[1]Sheet2!Q74</f>
        <v>0</v>
      </c>
      <c r="AQ75" s="14">
        <f>[1]Sheet2!R74</f>
        <v>0</v>
      </c>
      <c r="AR75" s="14">
        <f>[1]Sheet2!S74</f>
        <v>0</v>
      </c>
      <c r="AS75" s="14">
        <f>[1]Sheet2!T74</f>
        <v>0</v>
      </c>
      <c r="AT75" s="14">
        <f>[1]Sheet2!U74</f>
        <v>0</v>
      </c>
      <c r="AU75" s="14">
        <f>[1]Sheet2!V74</f>
        <v>0</v>
      </c>
      <c r="AV75" s="14">
        <f>[1]Sheet2!W74</f>
        <v>0</v>
      </c>
      <c r="AW75" s="14">
        <f>[1]Sheet2!X74</f>
        <v>0</v>
      </c>
      <c r="AX75" s="14">
        <f>[1]Sheet2!Y74</f>
        <v>0</v>
      </c>
      <c r="AY75" s="16">
        <f>Demand_LP!B$5/31</f>
        <v>754.78140345091151</v>
      </c>
      <c r="AZ75" s="16">
        <f>Demand_LP!C$5/31</f>
        <v>547.55235732009919</v>
      </c>
      <c r="BA75" s="16">
        <f>Demand_LP!D$5/31</f>
        <v>312.75612076095945</v>
      </c>
      <c r="BB75" s="16">
        <f>Demand_LP!E$5/31</f>
        <v>772.29437499345636</v>
      </c>
      <c r="BC75" s="16">
        <f>Demand_LP!F$5/31</f>
        <v>471.74248526347748</v>
      </c>
      <c r="BD75" s="16">
        <f>Demand_LP!G$5/31</f>
        <v>754.78140345091151</v>
      </c>
      <c r="BE75" s="16">
        <f>Demand_LP!H$5/31</f>
        <v>547.55235732009919</v>
      </c>
      <c r="BF75" s="16">
        <f>Demand_LP!I$5/31</f>
        <v>451.61290322580646</v>
      </c>
      <c r="BG75" s="16">
        <f>Demand_LP!J$5/31</f>
        <v>451.61290322580646</v>
      </c>
      <c r="BH75" s="16">
        <f>Demand_LP!K$5/31</f>
        <v>451.61290322580646</v>
      </c>
      <c r="BI75" s="16" t="e">
        <f t="shared" si="43"/>
        <v>#VALUE!</v>
      </c>
      <c r="BJ75" s="16">
        <f t="shared" si="44"/>
        <v>-40760.601157981771</v>
      </c>
      <c r="BK75" s="16">
        <f t="shared" si="45"/>
        <v>-17144.355210918111</v>
      </c>
      <c r="BL75" s="16">
        <f t="shared" si="46"/>
        <v>-49905.248669786706</v>
      </c>
      <c r="BM75" s="16">
        <f t="shared" si="47"/>
        <v>-31950.951346886748</v>
      </c>
      <c r="BN75" s="16">
        <f t="shared" si="48"/>
        <v>-46812.158244861901</v>
      </c>
      <c r="BO75" s="16">
        <f t="shared" si="49"/>
        <v>-43118.180645161287</v>
      </c>
      <c r="BP75" s="16">
        <f t="shared" si="50"/>
        <v>-31770.967741935507</v>
      </c>
      <c r="BQ75" s="16">
        <f t="shared" si="51"/>
        <v>-28370.967741935503</v>
      </c>
      <c r="BR75" s="16">
        <f t="shared" si="52"/>
        <v>-29570.967741935496</v>
      </c>
      <c r="BS75" s="14">
        <f>IF([1]Sheet2!CA74=999999,"NA",[1]Sheet2!CA74)</f>
        <v>186908.03225806446</v>
      </c>
      <c r="BT75" s="14">
        <f>IF([1]Sheet2!CB74=999999,"NA",[1]Sheet2!CB74)</f>
        <v>215</v>
      </c>
      <c r="BU75" s="14">
        <f>IF([1]Sheet2!CC74=999999,"NA",[1]Sheet2!CC74)</f>
        <v>293</v>
      </c>
      <c r="BV75" s="14">
        <f>IF([1]Sheet2!CD74=999999,"NA",[1]Sheet2!CD74)</f>
        <v>293</v>
      </c>
      <c r="BW75" s="14">
        <f>IF([1]Sheet2!CE74=999999,"NA",[1]Sheet2!CE74)</f>
        <v>255</v>
      </c>
      <c r="BX75" s="14">
        <f>IF([1]Sheet2!CF74=999999,"NA",[1]Sheet2!CF74)</f>
        <v>293</v>
      </c>
      <c r="BY75" s="14">
        <f>IF([1]Sheet2!CG74=999999,"NA",[1]Sheet2!CG74)</f>
        <v>187</v>
      </c>
      <c r="BZ75" s="14">
        <f>IF([1]Sheet2!CH74=999999,"NA",[1]Sheet2!CH74)</f>
        <v>293</v>
      </c>
      <c r="CA75" s="14">
        <f>IF([1]Sheet2!CI74=999999,"NA",[1]Sheet2!CI74)</f>
        <v>293</v>
      </c>
      <c r="CB75" s="14">
        <f>IF([1]Sheet2!CJ74=999999,"NA",[1]Sheet2!CJ74)</f>
        <v>293</v>
      </c>
      <c r="CC75" s="14">
        <f>[1]Sheet2!BG74</f>
        <v>0</v>
      </c>
      <c r="CD75" s="14">
        <f>[1]Sheet2!BH74</f>
        <v>0</v>
      </c>
      <c r="CE75" s="14">
        <f>[1]Sheet2!BI74</f>
        <v>0</v>
      </c>
      <c r="CF75" s="14">
        <f>[1]Sheet2!BJ74</f>
        <v>0</v>
      </c>
      <c r="CG75" s="14">
        <f>[1]Sheet2!BK74</f>
        <v>0</v>
      </c>
      <c r="CH75" s="14">
        <f>[1]Sheet2!BL74</f>
        <v>0</v>
      </c>
      <c r="CI75" s="14">
        <f>[1]Sheet2!BM74</f>
        <v>0</v>
      </c>
      <c r="CJ75" s="14">
        <f>[1]Sheet2!BN74</f>
        <v>0</v>
      </c>
      <c r="CK75" s="14">
        <f>[1]Sheet2!BO74</f>
        <v>0</v>
      </c>
      <c r="CL75" s="14">
        <f>[1]Sheet2!BP74</f>
        <v>0</v>
      </c>
      <c r="CM75" s="16">
        <f>Demand_SW!B$5/31</f>
        <v>138.46153846153845</v>
      </c>
      <c r="CN75" s="16">
        <f>Demand_SW!C$5/31</f>
        <v>29.776674937965261</v>
      </c>
      <c r="CO75" s="16">
        <f>Demand_SW!D$5/31</f>
        <v>0</v>
      </c>
      <c r="CP75" s="16">
        <f>Demand_SW!E$5/31</f>
        <v>0</v>
      </c>
      <c r="CQ75" s="16">
        <f>Demand_SW!F$5/31</f>
        <v>0</v>
      </c>
      <c r="CR75" s="16">
        <f>Demand_SW!G$5/31</f>
        <v>138.70967741935485</v>
      </c>
      <c r="CS75" s="16">
        <f>Demand_SW!H$5/31</f>
        <v>29.776674937965261</v>
      </c>
      <c r="CT75" s="16">
        <f>Demand_SW!I$5/31</f>
        <v>0</v>
      </c>
      <c r="CU75" s="16">
        <f>Demand_SW!J$5/31</f>
        <v>0</v>
      </c>
      <c r="CV75" s="16">
        <f>Demand_SW!K$5/31</f>
        <v>0</v>
      </c>
      <c r="CW75" s="16">
        <f t="shared" si="53"/>
        <v>42221.538461538432</v>
      </c>
      <c r="CX75" s="16">
        <f t="shared" si="54"/>
        <v>112.9032258064517</v>
      </c>
      <c r="CY75" s="16">
        <f t="shared" si="55"/>
        <v>0</v>
      </c>
      <c r="CZ75" s="16">
        <f t="shared" si="56"/>
        <v>0</v>
      </c>
      <c r="DA75" s="16">
        <f t="shared" si="57"/>
        <v>0</v>
      </c>
      <c r="DB75" s="16">
        <f t="shared" si="58"/>
        <v>-7303.2258064516091</v>
      </c>
      <c r="DC75" s="16">
        <f t="shared" si="59"/>
        <v>112.9032258064517</v>
      </c>
      <c r="DD75" s="16">
        <f t="shared" si="60"/>
        <v>0</v>
      </c>
      <c r="DE75" s="16">
        <f t="shared" si="61"/>
        <v>0</v>
      </c>
      <c r="DF75" s="16">
        <f t="shared" si="62"/>
        <v>0</v>
      </c>
      <c r="DG75" s="14">
        <f>IF([1]Sheet2!DR74=999999,"NA",[1]Sheet2!DR74)</f>
        <v>73103</v>
      </c>
      <c r="DH75" s="14">
        <f>IF([1]Sheet2!DS74=999999,"NA",[1]Sheet2!DS74)</f>
        <v>293</v>
      </c>
      <c r="DI75" s="14">
        <f>IF([1]Sheet2!DT74=999999,"NA",[1]Sheet2!DT74)</f>
        <v>293</v>
      </c>
      <c r="DJ75" s="14" t="str">
        <f>IF([1]Sheet2!DU74=999999,"NA",[1]Sheet2!DU74)</f>
        <v>NA</v>
      </c>
      <c r="DK75" s="14" t="str">
        <f>IF([1]Sheet2!DV74=999999,"NA",[1]Sheet2!DV74)</f>
        <v>NA</v>
      </c>
      <c r="DL75" s="14" t="str">
        <f>IF([1]Sheet2!DW74=999999,"NA",[1]Sheet2!DW74)</f>
        <v>NA</v>
      </c>
      <c r="DM75" s="14">
        <f>IF([1]Sheet2!DX74=999999,"NA",[1]Sheet2!DX74)</f>
        <v>293</v>
      </c>
      <c r="DN75" s="14">
        <f>IF([1]Sheet2!DY74=999999,"NA",[1]Sheet2!DY74)</f>
        <v>293</v>
      </c>
      <c r="DO75" s="14" t="str">
        <f>IF([1]Sheet2!DZ74=999999,"NA",[1]Sheet2!DZ74)</f>
        <v>NA</v>
      </c>
      <c r="DP75" s="14" t="str">
        <f>IF([1]Sheet2!EA74=999999,"NA",[1]Sheet2!EA74)</f>
        <v>NA</v>
      </c>
      <c r="DQ75" s="14">
        <f>[1]Sheet2!CX74</f>
        <v>0</v>
      </c>
      <c r="DR75" s="14">
        <f>[1]Sheet2!CY74</f>
        <v>0</v>
      </c>
      <c r="DS75" s="14">
        <f>[1]Sheet2!CZ74</f>
        <v>0</v>
      </c>
      <c r="DT75" s="14">
        <f>[1]Sheet2!DA74</f>
        <v>0</v>
      </c>
      <c r="DU75" s="14">
        <f>[1]Sheet2!DB74</f>
        <v>0</v>
      </c>
      <c r="DV75" s="14">
        <f>[1]Sheet2!DC74</f>
        <v>0</v>
      </c>
      <c r="DW75" s="14">
        <f>[1]Sheet2!DD74</f>
        <v>0</v>
      </c>
      <c r="DX75" s="14">
        <f>[1]Sheet2!DE74</f>
        <v>0</v>
      </c>
      <c r="DY75" s="14">
        <f>[1]Sheet2!DF74</f>
        <v>0</v>
      </c>
      <c r="DZ75" s="14">
        <f>[1]Sheet2!DG74</f>
        <v>0</v>
      </c>
    </row>
    <row r="76" spans="1:130" x14ac:dyDescent="0.25">
      <c r="A76" s="15">
        <v>43538</v>
      </c>
      <c r="B76" s="1"/>
      <c r="C76" s="1"/>
      <c r="D76" s="1"/>
      <c r="E76" s="14">
        <f>[1]Sheet2!N75</f>
        <v>0</v>
      </c>
      <c r="F76" s="14">
        <f>[1]Sheet2!BE75</f>
        <v>0</v>
      </c>
      <c r="G76" s="14">
        <f>[1]Sheet2!CV75</f>
        <v>336.72456575682378</v>
      </c>
      <c r="H76" s="1"/>
      <c r="I76" s="1"/>
      <c r="J76" s="1"/>
      <c r="K76" s="16">
        <f>Demand_CWRS!B$5/31</f>
        <v>131.679370700757</v>
      </c>
      <c r="L76" s="16">
        <f>Demand_CWRS!C$5/31</f>
        <v>537.20942928039699</v>
      </c>
      <c r="M76" s="16">
        <f>Demand_CWRS!D$5/31</f>
        <v>0</v>
      </c>
      <c r="N76" s="16">
        <f>Demand_CWRS!E$5/31</f>
        <v>121.5961418056559</v>
      </c>
      <c r="O76" s="16">
        <f>Demand_CWRS!F$5/31</f>
        <v>245.08227837631262</v>
      </c>
      <c r="P76" s="16">
        <f>Demand_CWRS!G$5/31</f>
        <v>131.679370700757</v>
      </c>
      <c r="Q76" s="16">
        <f>Demand_CWRS!H$5/31</f>
        <v>537.20942928039699</v>
      </c>
      <c r="R76" s="16">
        <f>Demand_CWRS!I$5/31</f>
        <v>245.08227837631262</v>
      </c>
      <c r="S76" s="16">
        <f>Demand_CWRS!J$5/31</f>
        <v>245.08227837631262</v>
      </c>
      <c r="T76" s="16">
        <f>Demand_CWRS!K$5/31</f>
        <v>245.08227837631262</v>
      </c>
      <c r="U76" s="16">
        <f t="shared" si="33"/>
        <v>-12240.454999906733</v>
      </c>
      <c r="V76" s="16">
        <f t="shared" si="34"/>
        <v>-27049.562779156306</v>
      </c>
      <c r="W76" s="16">
        <f t="shared" si="35"/>
        <v>0</v>
      </c>
      <c r="X76" s="16">
        <f t="shared" si="36"/>
        <v>-6412.2703442535449</v>
      </c>
      <c r="Y76" s="16">
        <f t="shared" si="37"/>
        <v>-15943.118483806842</v>
      </c>
      <c r="Z76" s="16">
        <f t="shared" si="38"/>
        <v>-12023.511189810599</v>
      </c>
      <c r="AA76" s="16">
        <f t="shared" si="39"/>
        <v>-26549.562779156306</v>
      </c>
      <c r="AB76" s="16">
        <f t="shared" si="40"/>
        <v>-13631.151897268375</v>
      </c>
      <c r="AC76" s="16">
        <f t="shared" si="41"/>
        <v>-13631.151897268366</v>
      </c>
      <c r="AD76" s="16">
        <f t="shared" si="42"/>
        <v>-14331.151897268364</v>
      </c>
      <c r="AE76" s="14">
        <f>IF([1]Sheet2!AJ75=999999,"NA",[1]Sheet2!AJ75)</f>
        <v>54</v>
      </c>
      <c r="AF76" s="14">
        <f>IF([1]Sheet2!AK75=999999,"NA",[1]Sheet2!AK75)</f>
        <v>0</v>
      </c>
      <c r="AG76" s="14" t="str">
        <f>IF([1]Sheet2!AL75=999999,"NA",[1]Sheet2!AL75)</f>
        <v>NA</v>
      </c>
      <c r="AH76" s="14">
        <f>IF([1]Sheet2!AM75=999999,"NA",[1]Sheet2!AM75)</f>
        <v>292</v>
      </c>
      <c r="AI76" s="14">
        <f>IF([1]Sheet2!AN75=999999,"NA",[1]Sheet2!AN75)</f>
        <v>292</v>
      </c>
      <c r="AJ76" s="14">
        <f>IF([1]Sheet2!AO75=999999,"NA",[1]Sheet2!AO75)</f>
        <v>292</v>
      </c>
      <c r="AK76" s="14">
        <f>IF([1]Sheet2!AP75=999999,"NA",[1]Sheet2!AP75)</f>
        <v>37</v>
      </c>
      <c r="AL76" s="14">
        <f>IF([1]Sheet2!AQ75=999999,"NA",[1]Sheet2!AQ75)</f>
        <v>168</v>
      </c>
      <c r="AM76" s="14">
        <f>IF([1]Sheet2!AR75=999999,"NA",[1]Sheet2!AR75)</f>
        <v>292</v>
      </c>
      <c r="AN76" s="14">
        <f>IF([1]Sheet2!AS75=999999,"NA",[1]Sheet2!AS75)</f>
        <v>224</v>
      </c>
      <c r="AO76" s="14">
        <f>[1]Sheet2!P75</f>
        <v>0</v>
      </c>
      <c r="AP76" s="14">
        <f>[1]Sheet2!Q75</f>
        <v>0</v>
      </c>
      <c r="AQ76" s="14">
        <f>[1]Sheet2!R75</f>
        <v>0</v>
      </c>
      <c r="AR76" s="14">
        <f>[1]Sheet2!S75</f>
        <v>0</v>
      </c>
      <c r="AS76" s="14">
        <f>[1]Sheet2!T75</f>
        <v>0</v>
      </c>
      <c r="AT76" s="14">
        <f>[1]Sheet2!U75</f>
        <v>0</v>
      </c>
      <c r="AU76" s="14">
        <f>[1]Sheet2!V75</f>
        <v>0</v>
      </c>
      <c r="AV76" s="14">
        <f>[1]Sheet2!W75</f>
        <v>0</v>
      </c>
      <c r="AW76" s="14">
        <f>[1]Sheet2!X75</f>
        <v>0</v>
      </c>
      <c r="AX76" s="14">
        <f>[1]Sheet2!Y75</f>
        <v>0</v>
      </c>
      <c r="AY76" s="16">
        <f>Demand_LP!B$5/31</f>
        <v>754.78140345091151</v>
      </c>
      <c r="AZ76" s="16">
        <f>Demand_LP!C$5/31</f>
        <v>547.55235732009919</v>
      </c>
      <c r="BA76" s="16">
        <f>Demand_LP!D$5/31</f>
        <v>312.75612076095945</v>
      </c>
      <c r="BB76" s="16">
        <f>Demand_LP!E$5/31</f>
        <v>772.29437499345636</v>
      </c>
      <c r="BC76" s="16">
        <f>Demand_LP!F$5/31</f>
        <v>471.74248526347748</v>
      </c>
      <c r="BD76" s="16">
        <f>Demand_LP!G$5/31</f>
        <v>754.78140345091151</v>
      </c>
      <c r="BE76" s="16">
        <f>Demand_LP!H$5/31</f>
        <v>547.55235732009919</v>
      </c>
      <c r="BF76" s="16">
        <f>Demand_LP!I$5/31</f>
        <v>451.61290322580646</v>
      </c>
      <c r="BG76" s="16">
        <f>Demand_LP!J$5/31</f>
        <v>451.61290322580646</v>
      </c>
      <c r="BH76" s="16">
        <f>Demand_LP!K$5/31</f>
        <v>451.61290322580646</v>
      </c>
      <c r="BI76" s="16" t="e">
        <f t="shared" si="43"/>
        <v>#VALUE!</v>
      </c>
      <c r="BJ76" s="16">
        <f t="shared" si="44"/>
        <v>-41308.15351530187</v>
      </c>
      <c r="BK76" s="16">
        <f t="shared" si="45"/>
        <v>-17457.111331679069</v>
      </c>
      <c r="BL76" s="16">
        <f t="shared" si="46"/>
        <v>-50677.543044780163</v>
      </c>
      <c r="BM76" s="16">
        <f t="shared" si="47"/>
        <v>-32422.693832150224</v>
      </c>
      <c r="BN76" s="16">
        <f t="shared" si="48"/>
        <v>-47566.939648312815</v>
      </c>
      <c r="BO76" s="16">
        <f t="shared" si="49"/>
        <v>-43665.733002481385</v>
      </c>
      <c r="BP76" s="16">
        <f t="shared" si="50"/>
        <v>-32222.580645161313</v>
      </c>
      <c r="BQ76" s="16">
        <f t="shared" si="51"/>
        <v>-28822.58064516131</v>
      </c>
      <c r="BR76" s="16">
        <f t="shared" si="52"/>
        <v>-30022.580645161303</v>
      </c>
      <c r="BS76" s="14">
        <f>IF([1]Sheet2!CA75=999999,"NA",[1]Sheet2!CA75)</f>
        <v>186456.41935483864</v>
      </c>
      <c r="BT76" s="14">
        <f>IF([1]Sheet2!CB75=999999,"NA",[1]Sheet2!CB75)</f>
        <v>214</v>
      </c>
      <c r="BU76" s="14">
        <f>IF([1]Sheet2!CC75=999999,"NA",[1]Sheet2!CC75)</f>
        <v>292</v>
      </c>
      <c r="BV76" s="14">
        <f>IF([1]Sheet2!CD75=999999,"NA",[1]Sheet2!CD75)</f>
        <v>292</v>
      </c>
      <c r="BW76" s="14">
        <f>IF([1]Sheet2!CE75=999999,"NA",[1]Sheet2!CE75)</f>
        <v>254</v>
      </c>
      <c r="BX76" s="14">
        <f>IF([1]Sheet2!CF75=999999,"NA",[1]Sheet2!CF75)</f>
        <v>292</v>
      </c>
      <c r="BY76" s="14">
        <f>IF([1]Sheet2!CG75=999999,"NA",[1]Sheet2!CG75)</f>
        <v>186</v>
      </c>
      <c r="BZ76" s="14">
        <f>IF([1]Sheet2!CH75=999999,"NA",[1]Sheet2!CH75)</f>
        <v>292</v>
      </c>
      <c r="CA76" s="14">
        <f>IF([1]Sheet2!CI75=999999,"NA",[1]Sheet2!CI75)</f>
        <v>292</v>
      </c>
      <c r="CB76" s="14">
        <f>IF([1]Sheet2!CJ75=999999,"NA",[1]Sheet2!CJ75)</f>
        <v>292</v>
      </c>
      <c r="CC76" s="14">
        <f>[1]Sheet2!BG75</f>
        <v>0</v>
      </c>
      <c r="CD76" s="14">
        <f>[1]Sheet2!BH75</f>
        <v>0</v>
      </c>
      <c r="CE76" s="14">
        <f>[1]Sheet2!BI75</f>
        <v>0</v>
      </c>
      <c r="CF76" s="14">
        <f>[1]Sheet2!BJ75</f>
        <v>0</v>
      </c>
      <c r="CG76" s="14">
        <f>[1]Sheet2!BK75</f>
        <v>0</v>
      </c>
      <c r="CH76" s="14">
        <f>[1]Sheet2!BL75</f>
        <v>0</v>
      </c>
      <c r="CI76" s="14">
        <f>[1]Sheet2!BM75</f>
        <v>0</v>
      </c>
      <c r="CJ76" s="14">
        <f>[1]Sheet2!BN75</f>
        <v>0</v>
      </c>
      <c r="CK76" s="14">
        <f>[1]Sheet2!BO75</f>
        <v>0</v>
      </c>
      <c r="CL76" s="14">
        <f>[1]Sheet2!BP75</f>
        <v>0</v>
      </c>
      <c r="CM76" s="16">
        <f>Demand_SW!B$5/31</f>
        <v>138.46153846153845</v>
      </c>
      <c r="CN76" s="16">
        <f>Demand_SW!C$5/31</f>
        <v>29.776674937965261</v>
      </c>
      <c r="CO76" s="16">
        <f>Demand_SW!D$5/31</f>
        <v>0</v>
      </c>
      <c r="CP76" s="16">
        <f>Demand_SW!E$5/31</f>
        <v>0</v>
      </c>
      <c r="CQ76" s="16">
        <f>Demand_SW!F$5/31</f>
        <v>0</v>
      </c>
      <c r="CR76" s="16">
        <f>Demand_SW!G$5/31</f>
        <v>138.70967741935485</v>
      </c>
      <c r="CS76" s="16">
        <f>Demand_SW!H$5/31</f>
        <v>29.776674937965261</v>
      </c>
      <c r="CT76" s="16">
        <f>Demand_SW!I$5/31</f>
        <v>0</v>
      </c>
      <c r="CU76" s="16">
        <f>Demand_SW!J$5/31</f>
        <v>0</v>
      </c>
      <c r="CV76" s="16">
        <f>Demand_SW!K$5/31</f>
        <v>0</v>
      </c>
      <c r="CW76" s="16">
        <f t="shared" si="53"/>
        <v>42083.076923076893</v>
      </c>
      <c r="CX76" s="16">
        <f t="shared" si="54"/>
        <v>83.126550868486447</v>
      </c>
      <c r="CY76" s="16">
        <f t="shared" si="55"/>
        <v>0</v>
      </c>
      <c r="CZ76" s="16">
        <f t="shared" si="56"/>
        <v>0</v>
      </c>
      <c r="DA76" s="16">
        <f t="shared" si="57"/>
        <v>0</v>
      </c>
      <c r="DB76" s="16">
        <f t="shared" si="58"/>
        <v>-7441.9354838709642</v>
      </c>
      <c r="DC76" s="16">
        <f t="shared" si="59"/>
        <v>83.126550868486447</v>
      </c>
      <c r="DD76" s="16">
        <f t="shared" si="60"/>
        <v>0</v>
      </c>
      <c r="DE76" s="16">
        <f t="shared" si="61"/>
        <v>0</v>
      </c>
      <c r="DF76" s="16">
        <f t="shared" si="62"/>
        <v>0</v>
      </c>
      <c r="DG76" s="14">
        <f>IF([1]Sheet2!DR75=999999,"NA",[1]Sheet2!DR75)</f>
        <v>73103</v>
      </c>
      <c r="DH76" s="14">
        <f>IF([1]Sheet2!DS75=999999,"NA",[1]Sheet2!DS75)</f>
        <v>292</v>
      </c>
      <c r="DI76" s="14">
        <f>IF([1]Sheet2!DT75=999999,"NA",[1]Sheet2!DT75)</f>
        <v>292</v>
      </c>
      <c r="DJ76" s="14" t="str">
        <f>IF([1]Sheet2!DU75=999999,"NA",[1]Sheet2!DU75)</f>
        <v>NA</v>
      </c>
      <c r="DK76" s="14" t="str">
        <f>IF([1]Sheet2!DV75=999999,"NA",[1]Sheet2!DV75)</f>
        <v>NA</v>
      </c>
      <c r="DL76" s="14" t="str">
        <f>IF([1]Sheet2!DW75=999999,"NA",[1]Sheet2!DW75)</f>
        <v>NA</v>
      </c>
      <c r="DM76" s="14">
        <f>IF([1]Sheet2!DX75=999999,"NA",[1]Sheet2!DX75)</f>
        <v>292</v>
      </c>
      <c r="DN76" s="14">
        <f>IF([1]Sheet2!DY75=999999,"NA",[1]Sheet2!DY75)</f>
        <v>292</v>
      </c>
      <c r="DO76" s="14" t="str">
        <f>IF([1]Sheet2!DZ75=999999,"NA",[1]Sheet2!DZ75)</f>
        <v>NA</v>
      </c>
      <c r="DP76" s="14" t="str">
        <f>IF([1]Sheet2!EA75=999999,"NA",[1]Sheet2!EA75)</f>
        <v>NA</v>
      </c>
      <c r="DQ76" s="14">
        <f>[1]Sheet2!CX75</f>
        <v>0</v>
      </c>
      <c r="DR76" s="14">
        <f>[1]Sheet2!CY75</f>
        <v>0</v>
      </c>
      <c r="DS76" s="14">
        <f>[1]Sheet2!CZ75</f>
        <v>0</v>
      </c>
      <c r="DT76" s="14">
        <f>[1]Sheet2!DA75</f>
        <v>0</v>
      </c>
      <c r="DU76" s="14">
        <f>[1]Sheet2!DB75</f>
        <v>0</v>
      </c>
      <c r="DV76" s="14">
        <f>[1]Sheet2!DC75</f>
        <v>0</v>
      </c>
      <c r="DW76" s="14">
        <f>[1]Sheet2!DD75</f>
        <v>0</v>
      </c>
      <c r="DX76" s="14">
        <f>[1]Sheet2!DE75</f>
        <v>0</v>
      </c>
      <c r="DY76" s="14">
        <f>[1]Sheet2!DF75</f>
        <v>0</v>
      </c>
      <c r="DZ76" s="14">
        <f>[1]Sheet2!DG75</f>
        <v>0</v>
      </c>
    </row>
    <row r="77" spans="1:130" x14ac:dyDescent="0.25">
      <c r="A77" s="15">
        <v>43539</v>
      </c>
      <c r="B77" s="1"/>
      <c r="C77" s="1"/>
      <c r="D77" s="1"/>
      <c r="E77" s="14">
        <f>[1]Sheet2!N76</f>
        <v>0</v>
      </c>
      <c r="F77" s="14">
        <f>[1]Sheet2!BE76</f>
        <v>0</v>
      </c>
      <c r="G77" s="14">
        <f>[1]Sheet2!CV76</f>
        <v>336.72456575682378</v>
      </c>
      <c r="H77" s="1"/>
      <c r="I77" s="1"/>
      <c r="J77" s="1"/>
      <c r="K77" s="16">
        <f>Demand_CWRS!B$5/31</f>
        <v>131.679370700757</v>
      </c>
      <c r="L77" s="16">
        <f>Demand_CWRS!C$5/31</f>
        <v>537.20942928039699</v>
      </c>
      <c r="M77" s="16">
        <f>Demand_CWRS!D$5/31</f>
        <v>0</v>
      </c>
      <c r="N77" s="16">
        <f>Demand_CWRS!E$5/31</f>
        <v>121.5961418056559</v>
      </c>
      <c r="O77" s="16">
        <f>Demand_CWRS!F$5/31</f>
        <v>245.08227837631262</v>
      </c>
      <c r="P77" s="16">
        <f>Demand_CWRS!G$5/31</f>
        <v>131.679370700757</v>
      </c>
      <c r="Q77" s="16">
        <f>Demand_CWRS!H$5/31</f>
        <v>537.20942928039699</v>
      </c>
      <c r="R77" s="16">
        <f>Demand_CWRS!I$5/31</f>
        <v>245.08227837631262</v>
      </c>
      <c r="S77" s="16">
        <f>Demand_CWRS!J$5/31</f>
        <v>245.08227837631262</v>
      </c>
      <c r="T77" s="16">
        <f>Demand_CWRS!K$5/31</f>
        <v>245.08227837631262</v>
      </c>
      <c r="U77" s="16">
        <f t="shared" si="33"/>
        <v>-12372.134370607489</v>
      </c>
      <c r="V77" s="16">
        <f t="shared" si="34"/>
        <v>-27586.772208436701</v>
      </c>
      <c r="W77" s="16">
        <f t="shared" si="35"/>
        <v>0</v>
      </c>
      <c r="X77" s="16">
        <f t="shared" si="36"/>
        <v>-6533.8664860592007</v>
      </c>
      <c r="Y77" s="16">
        <f t="shared" si="37"/>
        <v>-16188.200762183154</v>
      </c>
      <c r="Z77" s="16">
        <f t="shared" si="38"/>
        <v>-12155.190560511355</v>
      </c>
      <c r="AA77" s="16">
        <f t="shared" si="39"/>
        <v>-27086.772208436701</v>
      </c>
      <c r="AB77" s="16">
        <f t="shared" si="40"/>
        <v>-13876.234175644688</v>
      </c>
      <c r="AC77" s="16">
        <f t="shared" si="41"/>
        <v>-13876.234175644679</v>
      </c>
      <c r="AD77" s="16">
        <f t="shared" si="42"/>
        <v>-14576.234175644677</v>
      </c>
      <c r="AE77" s="14">
        <f>IF([1]Sheet2!AJ76=999999,"NA",[1]Sheet2!AJ76)</f>
        <v>53</v>
      </c>
      <c r="AF77" s="14">
        <f>IF([1]Sheet2!AK76=999999,"NA",[1]Sheet2!AK76)</f>
        <v>0</v>
      </c>
      <c r="AG77" s="14" t="str">
        <f>IF([1]Sheet2!AL76=999999,"NA",[1]Sheet2!AL76)</f>
        <v>NA</v>
      </c>
      <c r="AH77" s="14">
        <f>IF([1]Sheet2!AM76=999999,"NA",[1]Sheet2!AM76)</f>
        <v>291</v>
      </c>
      <c r="AI77" s="14">
        <f>IF([1]Sheet2!AN76=999999,"NA",[1]Sheet2!AN76)</f>
        <v>291</v>
      </c>
      <c r="AJ77" s="14">
        <f>IF([1]Sheet2!AO76=999999,"NA",[1]Sheet2!AO76)</f>
        <v>291</v>
      </c>
      <c r="AK77" s="14">
        <f>IF([1]Sheet2!AP76=999999,"NA",[1]Sheet2!AP76)</f>
        <v>36</v>
      </c>
      <c r="AL77" s="14">
        <f>IF([1]Sheet2!AQ76=999999,"NA",[1]Sheet2!AQ76)</f>
        <v>167</v>
      </c>
      <c r="AM77" s="14">
        <f>IF([1]Sheet2!AR76=999999,"NA",[1]Sheet2!AR76)</f>
        <v>291</v>
      </c>
      <c r="AN77" s="14">
        <f>IF([1]Sheet2!AS76=999999,"NA",[1]Sheet2!AS76)</f>
        <v>223</v>
      </c>
      <c r="AO77" s="14">
        <f>[1]Sheet2!P76</f>
        <v>0</v>
      </c>
      <c r="AP77" s="14">
        <f>[1]Sheet2!Q76</f>
        <v>0</v>
      </c>
      <c r="AQ77" s="14">
        <f>[1]Sheet2!R76</f>
        <v>0</v>
      </c>
      <c r="AR77" s="14">
        <f>[1]Sheet2!S76</f>
        <v>0</v>
      </c>
      <c r="AS77" s="14">
        <f>[1]Sheet2!T76</f>
        <v>0</v>
      </c>
      <c r="AT77" s="14">
        <f>[1]Sheet2!U76</f>
        <v>0</v>
      </c>
      <c r="AU77" s="14">
        <f>[1]Sheet2!V76</f>
        <v>0</v>
      </c>
      <c r="AV77" s="14">
        <f>[1]Sheet2!W76</f>
        <v>0</v>
      </c>
      <c r="AW77" s="14">
        <f>[1]Sheet2!X76</f>
        <v>0</v>
      </c>
      <c r="AX77" s="14">
        <f>[1]Sheet2!Y76</f>
        <v>0</v>
      </c>
      <c r="AY77" s="16">
        <f>Demand_LP!B$5/31</f>
        <v>754.78140345091151</v>
      </c>
      <c r="AZ77" s="16">
        <f>Demand_LP!C$5/31</f>
        <v>547.55235732009919</v>
      </c>
      <c r="BA77" s="16">
        <f>Demand_LP!D$5/31</f>
        <v>312.75612076095945</v>
      </c>
      <c r="BB77" s="16">
        <f>Demand_LP!E$5/31</f>
        <v>772.29437499345636</v>
      </c>
      <c r="BC77" s="16">
        <f>Demand_LP!F$5/31</f>
        <v>471.74248526347748</v>
      </c>
      <c r="BD77" s="16">
        <f>Demand_LP!G$5/31</f>
        <v>754.78140345091151</v>
      </c>
      <c r="BE77" s="16">
        <f>Demand_LP!H$5/31</f>
        <v>547.55235732009919</v>
      </c>
      <c r="BF77" s="16">
        <f>Demand_LP!I$5/31</f>
        <v>451.61290322580646</v>
      </c>
      <c r="BG77" s="16">
        <f>Demand_LP!J$5/31</f>
        <v>451.61290322580646</v>
      </c>
      <c r="BH77" s="16">
        <f>Demand_LP!K$5/31</f>
        <v>451.61290322580646</v>
      </c>
      <c r="BI77" s="16" t="e">
        <f t="shared" si="43"/>
        <v>#VALUE!</v>
      </c>
      <c r="BJ77" s="16">
        <f t="shared" si="44"/>
        <v>-41855.705872621969</v>
      </c>
      <c r="BK77" s="16">
        <f t="shared" si="45"/>
        <v>-17769.867452440027</v>
      </c>
      <c r="BL77" s="16">
        <f t="shared" si="46"/>
        <v>-51449.837419773619</v>
      </c>
      <c r="BM77" s="16">
        <f t="shared" si="47"/>
        <v>-32894.436317413703</v>
      </c>
      <c r="BN77" s="16">
        <f t="shared" si="48"/>
        <v>-48321.721051763729</v>
      </c>
      <c r="BO77" s="16">
        <f t="shared" si="49"/>
        <v>-44213.285359801484</v>
      </c>
      <c r="BP77" s="16">
        <f t="shared" si="50"/>
        <v>-32674.19354838712</v>
      </c>
      <c r="BQ77" s="16">
        <f t="shared" si="51"/>
        <v>-29274.193548387117</v>
      </c>
      <c r="BR77" s="16">
        <f t="shared" si="52"/>
        <v>-30474.193548387109</v>
      </c>
      <c r="BS77" s="14">
        <f>IF([1]Sheet2!CA76=999999,"NA",[1]Sheet2!CA76)</f>
        <v>186004.80645161282</v>
      </c>
      <c r="BT77" s="14">
        <f>IF([1]Sheet2!CB76=999999,"NA",[1]Sheet2!CB76)</f>
        <v>213</v>
      </c>
      <c r="BU77" s="14">
        <f>IF([1]Sheet2!CC76=999999,"NA",[1]Sheet2!CC76)</f>
        <v>291</v>
      </c>
      <c r="BV77" s="14">
        <f>IF([1]Sheet2!CD76=999999,"NA",[1]Sheet2!CD76)</f>
        <v>291</v>
      </c>
      <c r="BW77" s="14">
        <f>IF([1]Sheet2!CE76=999999,"NA",[1]Sheet2!CE76)</f>
        <v>253</v>
      </c>
      <c r="BX77" s="14">
        <f>IF([1]Sheet2!CF76=999999,"NA",[1]Sheet2!CF76)</f>
        <v>291</v>
      </c>
      <c r="BY77" s="14">
        <f>IF([1]Sheet2!CG76=999999,"NA",[1]Sheet2!CG76)</f>
        <v>185</v>
      </c>
      <c r="BZ77" s="14">
        <f>IF([1]Sheet2!CH76=999999,"NA",[1]Sheet2!CH76)</f>
        <v>291</v>
      </c>
      <c r="CA77" s="14">
        <f>IF([1]Sheet2!CI76=999999,"NA",[1]Sheet2!CI76)</f>
        <v>291</v>
      </c>
      <c r="CB77" s="14">
        <f>IF([1]Sheet2!CJ76=999999,"NA",[1]Sheet2!CJ76)</f>
        <v>291</v>
      </c>
      <c r="CC77" s="14">
        <f>[1]Sheet2!BG76</f>
        <v>0</v>
      </c>
      <c r="CD77" s="14">
        <f>[1]Sheet2!BH76</f>
        <v>0</v>
      </c>
      <c r="CE77" s="14">
        <f>[1]Sheet2!BI76</f>
        <v>0</v>
      </c>
      <c r="CF77" s="14">
        <f>[1]Sheet2!BJ76</f>
        <v>0</v>
      </c>
      <c r="CG77" s="14">
        <f>[1]Sheet2!BK76</f>
        <v>0</v>
      </c>
      <c r="CH77" s="14">
        <f>[1]Sheet2!BL76</f>
        <v>0</v>
      </c>
      <c r="CI77" s="14">
        <f>[1]Sheet2!BM76</f>
        <v>0</v>
      </c>
      <c r="CJ77" s="14">
        <f>[1]Sheet2!BN76</f>
        <v>0</v>
      </c>
      <c r="CK77" s="14">
        <f>[1]Sheet2!BO76</f>
        <v>0</v>
      </c>
      <c r="CL77" s="14">
        <f>[1]Sheet2!BP76</f>
        <v>0</v>
      </c>
      <c r="CM77" s="16">
        <f>Demand_SW!B$5/31</f>
        <v>138.46153846153845</v>
      </c>
      <c r="CN77" s="16">
        <f>Demand_SW!C$5/31</f>
        <v>29.776674937965261</v>
      </c>
      <c r="CO77" s="16">
        <f>Demand_SW!D$5/31</f>
        <v>0</v>
      </c>
      <c r="CP77" s="16">
        <f>Demand_SW!E$5/31</f>
        <v>0</v>
      </c>
      <c r="CQ77" s="16">
        <f>Demand_SW!F$5/31</f>
        <v>0</v>
      </c>
      <c r="CR77" s="16">
        <f>Demand_SW!G$5/31</f>
        <v>138.70967741935485</v>
      </c>
      <c r="CS77" s="16">
        <f>Demand_SW!H$5/31</f>
        <v>29.776674937965261</v>
      </c>
      <c r="CT77" s="16">
        <f>Demand_SW!I$5/31</f>
        <v>0</v>
      </c>
      <c r="CU77" s="16">
        <f>Demand_SW!J$5/31</f>
        <v>0</v>
      </c>
      <c r="CV77" s="16">
        <f>Demand_SW!K$5/31</f>
        <v>0</v>
      </c>
      <c r="CW77" s="16">
        <f t="shared" si="53"/>
        <v>41944.615384615354</v>
      </c>
      <c r="CX77" s="16">
        <f t="shared" si="54"/>
        <v>53.349875930521186</v>
      </c>
      <c r="CY77" s="16">
        <f t="shared" si="55"/>
        <v>0</v>
      </c>
      <c r="CZ77" s="16">
        <f t="shared" si="56"/>
        <v>0</v>
      </c>
      <c r="DA77" s="16">
        <f t="shared" si="57"/>
        <v>0</v>
      </c>
      <c r="DB77" s="16">
        <f t="shared" si="58"/>
        <v>-7580.6451612903193</v>
      </c>
      <c r="DC77" s="16">
        <f t="shared" si="59"/>
        <v>53.349875930521186</v>
      </c>
      <c r="DD77" s="16">
        <f t="shared" si="60"/>
        <v>0</v>
      </c>
      <c r="DE77" s="16">
        <f t="shared" si="61"/>
        <v>0</v>
      </c>
      <c r="DF77" s="16">
        <f t="shared" si="62"/>
        <v>0</v>
      </c>
      <c r="DG77" s="14">
        <f>IF([1]Sheet2!DR76=999999,"NA",[1]Sheet2!DR76)</f>
        <v>73103</v>
      </c>
      <c r="DH77" s="14">
        <f>IF([1]Sheet2!DS76=999999,"NA",[1]Sheet2!DS76)</f>
        <v>291</v>
      </c>
      <c r="DI77" s="14">
        <f>IF([1]Sheet2!DT76=999999,"NA",[1]Sheet2!DT76)</f>
        <v>291</v>
      </c>
      <c r="DJ77" s="14" t="str">
        <f>IF([1]Sheet2!DU76=999999,"NA",[1]Sheet2!DU76)</f>
        <v>NA</v>
      </c>
      <c r="DK77" s="14" t="str">
        <f>IF([1]Sheet2!DV76=999999,"NA",[1]Sheet2!DV76)</f>
        <v>NA</v>
      </c>
      <c r="DL77" s="14" t="str">
        <f>IF([1]Sheet2!DW76=999999,"NA",[1]Sheet2!DW76)</f>
        <v>NA</v>
      </c>
      <c r="DM77" s="14">
        <f>IF([1]Sheet2!DX76=999999,"NA",[1]Sheet2!DX76)</f>
        <v>291</v>
      </c>
      <c r="DN77" s="14">
        <f>IF([1]Sheet2!DY76=999999,"NA",[1]Sheet2!DY76)</f>
        <v>291</v>
      </c>
      <c r="DO77" s="14" t="str">
        <f>IF([1]Sheet2!DZ76=999999,"NA",[1]Sheet2!DZ76)</f>
        <v>NA</v>
      </c>
      <c r="DP77" s="14" t="str">
        <f>IF([1]Sheet2!EA76=999999,"NA",[1]Sheet2!EA76)</f>
        <v>NA</v>
      </c>
      <c r="DQ77" s="14">
        <f>[1]Sheet2!CX76</f>
        <v>0</v>
      </c>
      <c r="DR77" s="14">
        <f>[1]Sheet2!CY76</f>
        <v>0</v>
      </c>
      <c r="DS77" s="14">
        <f>[1]Sheet2!CZ76</f>
        <v>0</v>
      </c>
      <c r="DT77" s="14">
        <f>[1]Sheet2!DA76</f>
        <v>0</v>
      </c>
      <c r="DU77" s="14">
        <f>[1]Sheet2!DB76</f>
        <v>0</v>
      </c>
      <c r="DV77" s="14">
        <f>[1]Sheet2!DC76</f>
        <v>0</v>
      </c>
      <c r="DW77" s="14">
        <f>[1]Sheet2!DD76</f>
        <v>0</v>
      </c>
      <c r="DX77" s="14">
        <f>[1]Sheet2!DE76</f>
        <v>0</v>
      </c>
      <c r="DY77" s="14">
        <f>[1]Sheet2!DF76</f>
        <v>0</v>
      </c>
      <c r="DZ77" s="14">
        <f>[1]Sheet2!DG76</f>
        <v>0</v>
      </c>
    </row>
    <row r="78" spans="1:130" x14ac:dyDescent="0.25">
      <c r="A78" s="15">
        <v>43540</v>
      </c>
      <c r="B78" s="1"/>
      <c r="C78" s="1"/>
      <c r="D78" s="1"/>
      <c r="E78" s="14">
        <f>[1]Sheet2!N77</f>
        <v>0</v>
      </c>
      <c r="F78" s="14">
        <f>[1]Sheet2!BE77</f>
        <v>0</v>
      </c>
      <c r="G78" s="14">
        <f>[1]Sheet2!CV77</f>
        <v>336.72456575682378</v>
      </c>
      <c r="H78" s="1"/>
      <c r="I78" s="1"/>
      <c r="J78" s="1"/>
      <c r="K78" s="16">
        <f>Demand_CWRS!B$5/31</f>
        <v>131.679370700757</v>
      </c>
      <c r="L78" s="16">
        <f>Demand_CWRS!C$5/31</f>
        <v>537.20942928039699</v>
      </c>
      <c r="M78" s="16">
        <f>Demand_CWRS!D$5/31</f>
        <v>0</v>
      </c>
      <c r="N78" s="16">
        <f>Demand_CWRS!E$5/31</f>
        <v>121.5961418056559</v>
      </c>
      <c r="O78" s="16">
        <f>Demand_CWRS!F$5/31</f>
        <v>245.08227837631262</v>
      </c>
      <c r="P78" s="16">
        <f>Demand_CWRS!G$5/31</f>
        <v>131.679370700757</v>
      </c>
      <c r="Q78" s="16">
        <f>Demand_CWRS!H$5/31</f>
        <v>537.20942928039699</v>
      </c>
      <c r="R78" s="16">
        <f>Demand_CWRS!I$5/31</f>
        <v>245.08227837631262</v>
      </c>
      <c r="S78" s="16">
        <f>Demand_CWRS!J$5/31</f>
        <v>245.08227837631262</v>
      </c>
      <c r="T78" s="16">
        <f>Demand_CWRS!K$5/31</f>
        <v>245.08227837631262</v>
      </c>
      <c r="U78" s="16">
        <f t="shared" si="33"/>
        <v>-12503.813741308246</v>
      </c>
      <c r="V78" s="16">
        <f t="shared" si="34"/>
        <v>-28123.981637717097</v>
      </c>
      <c r="W78" s="16">
        <f t="shared" si="35"/>
        <v>0</v>
      </c>
      <c r="X78" s="16">
        <f t="shared" si="36"/>
        <v>-6655.4626278648566</v>
      </c>
      <c r="Y78" s="16">
        <f t="shared" si="37"/>
        <v>-16433.283040559469</v>
      </c>
      <c r="Z78" s="16">
        <f t="shared" si="38"/>
        <v>-12286.869931212112</v>
      </c>
      <c r="AA78" s="16">
        <f t="shared" si="39"/>
        <v>-27623.981637717097</v>
      </c>
      <c r="AB78" s="16">
        <f t="shared" si="40"/>
        <v>-14121.316454021</v>
      </c>
      <c r="AC78" s="16">
        <f t="shared" si="41"/>
        <v>-14121.316454020991</v>
      </c>
      <c r="AD78" s="16">
        <f t="shared" si="42"/>
        <v>-14821.316454020989</v>
      </c>
      <c r="AE78" s="14">
        <f>IF([1]Sheet2!AJ77=999999,"NA",[1]Sheet2!AJ77)</f>
        <v>52</v>
      </c>
      <c r="AF78" s="14">
        <f>IF([1]Sheet2!AK77=999999,"NA",[1]Sheet2!AK77)</f>
        <v>0</v>
      </c>
      <c r="AG78" s="14" t="str">
        <f>IF([1]Sheet2!AL77=999999,"NA",[1]Sheet2!AL77)</f>
        <v>NA</v>
      </c>
      <c r="AH78" s="14">
        <f>IF([1]Sheet2!AM77=999999,"NA",[1]Sheet2!AM77)</f>
        <v>290</v>
      </c>
      <c r="AI78" s="14">
        <f>IF([1]Sheet2!AN77=999999,"NA",[1]Sheet2!AN77)</f>
        <v>290</v>
      </c>
      <c r="AJ78" s="14">
        <f>IF([1]Sheet2!AO77=999999,"NA",[1]Sheet2!AO77)</f>
        <v>290</v>
      </c>
      <c r="AK78" s="14">
        <f>IF([1]Sheet2!AP77=999999,"NA",[1]Sheet2!AP77)</f>
        <v>35</v>
      </c>
      <c r="AL78" s="14">
        <f>IF([1]Sheet2!AQ77=999999,"NA",[1]Sheet2!AQ77)</f>
        <v>166</v>
      </c>
      <c r="AM78" s="14">
        <f>IF([1]Sheet2!AR77=999999,"NA",[1]Sheet2!AR77)</f>
        <v>290</v>
      </c>
      <c r="AN78" s="14">
        <f>IF([1]Sheet2!AS77=999999,"NA",[1]Sheet2!AS77)</f>
        <v>222</v>
      </c>
      <c r="AO78" s="14">
        <f>[1]Sheet2!P77</f>
        <v>0</v>
      </c>
      <c r="AP78" s="14">
        <f>[1]Sheet2!Q77</f>
        <v>0</v>
      </c>
      <c r="AQ78" s="14">
        <f>[1]Sheet2!R77</f>
        <v>0</v>
      </c>
      <c r="AR78" s="14">
        <f>[1]Sheet2!S77</f>
        <v>0</v>
      </c>
      <c r="AS78" s="14">
        <f>[1]Sheet2!T77</f>
        <v>0</v>
      </c>
      <c r="AT78" s="14">
        <f>[1]Sheet2!U77</f>
        <v>0</v>
      </c>
      <c r="AU78" s="14">
        <f>[1]Sheet2!V77</f>
        <v>0</v>
      </c>
      <c r="AV78" s="14">
        <f>[1]Sheet2!W77</f>
        <v>0</v>
      </c>
      <c r="AW78" s="14">
        <f>[1]Sheet2!X77</f>
        <v>0</v>
      </c>
      <c r="AX78" s="14">
        <f>[1]Sheet2!Y77</f>
        <v>0</v>
      </c>
      <c r="AY78" s="16">
        <f>Demand_LP!B$5/31</f>
        <v>754.78140345091151</v>
      </c>
      <c r="AZ78" s="16">
        <f>Demand_LP!C$5/31</f>
        <v>547.55235732009919</v>
      </c>
      <c r="BA78" s="16">
        <f>Demand_LP!D$5/31</f>
        <v>312.75612076095945</v>
      </c>
      <c r="BB78" s="16">
        <f>Demand_LP!E$5/31</f>
        <v>772.29437499345636</v>
      </c>
      <c r="BC78" s="16">
        <f>Demand_LP!F$5/31</f>
        <v>471.74248526347748</v>
      </c>
      <c r="BD78" s="16">
        <f>Demand_LP!G$5/31</f>
        <v>754.78140345091151</v>
      </c>
      <c r="BE78" s="16">
        <f>Demand_LP!H$5/31</f>
        <v>547.55235732009919</v>
      </c>
      <c r="BF78" s="16">
        <f>Demand_LP!I$5/31</f>
        <v>451.61290322580646</v>
      </c>
      <c r="BG78" s="16">
        <f>Demand_LP!J$5/31</f>
        <v>451.61290322580646</v>
      </c>
      <c r="BH78" s="16">
        <f>Demand_LP!K$5/31</f>
        <v>451.61290322580646</v>
      </c>
      <c r="BI78" s="16" t="e">
        <f t="shared" si="43"/>
        <v>#VALUE!</v>
      </c>
      <c r="BJ78" s="16">
        <f t="shared" si="44"/>
        <v>-42403.258229942068</v>
      </c>
      <c r="BK78" s="16">
        <f t="shared" si="45"/>
        <v>-18082.623573200985</v>
      </c>
      <c r="BL78" s="16">
        <f t="shared" si="46"/>
        <v>-52222.131794767076</v>
      </c>
      <c r="BM78" s="16">
        <f t="shared" si="47"/>
        <v>-33366.178802677183</v>
      </c>
      <c r="BN78" s="16">
        <f t="shared" si="48"/>
        <v>-49076.502455214642</v>
      </c>
      <c r="BO78" s="16">
        <f t="shared" si="49"/>
        <v>-44760.837717121583</v>
      </c>
      <c r="BP78" s="16">
        <f t="shared" si="50"/>
        <v>-33125.806451612923</v>
      </c>
      <c r="BQ78" s="16">
        <f t="shared" si="51"/>
        <v>-29725.806451612923</v>
      </c>
      <c r="BR78" s="16">
        <f t="shared" si="52"/>
        <v>-30925.806451612916</v>
      </c>
      <c r="BS78" s="14">
        <f>IF([1]Sheet2!CA77=999999,"NA",[1]Sheet2!CA77)</f>
        <v>185553.193548387</v>
      </c>
      <c r="BT78" s="14">
        <f>IF([1]Sheet2!CB77=999999,"NA",[1]Sheet2!CB77)</f>
        <v>212</v>
      </c>
      <c r="BU78" s="14">
        <f>IF([1]Sheet2!CC77=999999,"NA",[1]Sheet2!CC77)</f>
        <v>290</v>
      </c>
      <c r="BV78" s="14">
        <f>IF([1]Sheet2!CD77=999999,"NA",[1]Sheet2!CD77)</f>
        <v>290</v>
      </c>
      <c r="BW78" s="14">
        <f>IF([1]Sheet2!CE77=999999,"NA",[1]Sheet2!CE77)</f>
        <v>252</v>
      </c>
      <c r="BX78" s="14">
        <f>IF([1]Sheet2!CF77=999999,"NA",[1]Sheet2!CF77)</f>
        <v>290</v>
      </c>
      <c r="BY78" s="14">
        <f>IF([1]Sheet2!CG77=999999,"NA",[1]Sheet2!CG77)</f>
        <v>184</v>
      </c>
      <c r="BZ78" s="14">
        <f>IF([1]Sheet2!CH77=999999,"NA",[1]Sheet2!CH77)</f>
        <v>290</v>
      </c>
      <c r="CA78" s="14">
        <f>IF([1]Sheet2!CI77=999999,"NA",[1]Sheet2!CI77)</f>
        <v>290</v>
      </c>
      <c r="CB78" s="14">
        <f>IF([1]Sheet2!CJ77=999999,"NA",[1]Sheet2!CJ77)</f>
        <v>290</v>
      </c>
      <c r="CC78" s="14">
        <f>[1]Sheet2!BG77</f>
        <v>0</v>
      </c>
      <c r="CD78" s="14">
        <f>[1]Sheet2!BH77</f>
        <v>0</v>
      </c>
      <c r="CE78" s="14">
        <f>[1]Sheet2!BI77</f>
        <v>0</v>
      </c>
      <c r="CF78" s="14">
        <f>[1]Sheet2!BJ77</f>
        <v>0</v>
      </c>
      <c r="CG78" s="14">
        <f>[1]Sheet2!BK77</f>
        <v>0</v>
      </c>
      <c r="CH78" s="14">
        <f>[1]Sheet2!BL77</f>
        <v>0</v>
      </c>
      <c r="CI78" s="14">
        <f>[1]Sheet2!BM77</f>
        <v>0</v>
      </c>
      <c r="CJ78" s="14">
        <f>[1]Sheet2!BN77</f>
        <v>0</v>
      </c>
      <c r="CK78" s="14">
        <f>[1]Sheet2!BO77</f>
        <v>0</v>
      </c>
      <c r="CL78" s="14">
        <f>[1]Sheet2!BP77</f>
        <v>0</v>
      </c>
      <c r="CM78" s="16">
        <f>Demand_SW!B$5/31</f>
        <v>138.46153846153845</v>
      </c>
      <c r="CN78" s="16">
        <f>Demand_SW!C$5/31</f>
        <v>29.776674937965261</v>
      </c>
      <c r="CO78" s="16">
        <f>Demand_SW!D$5/31</f>
        <v>0</v>
      </c>
      <c r="CP78" s="16">
        <f>Demand_SW!E$5/31</f>
        <v>0</v>
      </c>
      <c r="CQ78" s="16">
        <f>Demand_SW!F$5/31</f>
        <v>0</v>
      </c>
      <c r="CR78" s="16">
        <f>Demand_SW!G$5/31</f>
        <v>138.70967741935485</v>
      </c>
      <c r="CS78" s="16">
        <f>Demand_SW!H$5/31</f>
        <v>29.776674937965261</v>
      </c>
      <c r="CT78" s="16">
        <f>Demand_SW!I$5/31</f>
        <v>0</v>
      </c>
      <c r="CU78" s="16">
        <f>Demand_SW!J$5/31</f>
        <v>0</v>
      </c>
      <c r="CV78" s="16">
        <f>Demand_SW!K$5/31</f>
        <v>0</v>
      </c>
      <c r="CW78" s="16">
        <f t="shared" si="53"/>
        <v>41806.153846153815</v>
      </c>
      <c r="CX78" s="16">
        <f t="shared" si="54"/>
        <v>23.573200992555925</v>
      </c>
      <c r="CY78" s="16">
        <f t="shared" si="55"/>
        <v>0</v>
      </c>
      <c r="CZ78" s="16">
        <f t="shared" si="56"/>
        <v>0</v>
      </c>
      <c r="DA78" s="16">
        <f t="shared" si="57"/>
        <v>0</v>
      </c>
      <c r="DB78" s="16">
        <f t="shared" si="58"/>
        <v>-7719.3548387096744</v>
      </c>
      <c r="DC78" s="16">
        <f t="shared" si="59"/>
        <v>23.573200992555925</v>
      </c>
      <c r="DD78" s="16">
        <f t="shared" si="60"/>
        <v>0</v>
      </c>
      <c r="DE78" s="16">
        <f t="shared" si="61"/>
        <v>0</v>
      </c>
      <c r="DF78" s="16">
        <f t="shared" si="62"/>
        <v>0</v>
      </c>
      <c r="DG78" s="14">
        <f>IF([1]Sheet2!DR77=999999,"NA",[1]Sheet2!DR77)</f>
        <v>73103</v>
      </c>
      <c r="DH78" s="14">
        <f>IF([1]Sheet2!DS77=999999,"NA",[1]Sheet2!DS77)</f>
        <v>290</v>
      </c>
      <c r="DI78" s="14">
        <f>IF([1]Sheet2!DT77=999999,"NA",[1]Sheet2!DT77)</f>
        <v>290</v>
      </c>
      <c r="DJ78" s="14" t="str">
        <f>IF([1]Sheet2!DU77=999999,"NA",[1]Sheet2!DU77)</f>
        <v>NA</v>
      </c>
      <c r="DK78" s="14" t="str">
        <f>IF([1]Sheet2!DV77=999999,"NA",[1]Sheet2!DV77)</f>
        <v>NA</v>
      </c>
      <c r="DL78" s="14" t="str">
        <f>IF([1]Sheet2!DW77=999999,"NA",[1]Sheet2!DW77)</f>
        <v>NA</v>
      </c>
      <c r="DM78" s="14">
        <f>IF([1]Sheet2!DX77=999999,"NA",[1]Sheet2!DX77)</f>
        <v>290</v>
      </c>
      <c r="DN78" s="14">
        <f>IF([1]Sheet2!DY77=999999,"NA",[1]Sheet2!DY77)</f>
        <v>290</v>
      </c>
      <c r="DO78" s="14" t="str">
        <f>IF([1]Sheet2!DZ77=999999,"NA",[1]Sheet2!DZ77)</f>
        <v>NA</v>
      </c>
      <c r="DP78" s="14" t="str">
        <f>IF([1]Sheet2!EA77=999999,"NA",[1]Sheet2!EA77)</f>
        <v>NA</v>
      </c>
      <c r="DQ78" s="14">
        <f>[1]Sheet2!CX77</f>
        <v>0</v>
      </c>
      <c r="DR78" s="14">
        <f>[1]Sheet2!CY77</f>
        <v>0</v>
      </c>
      <c r="DS78" s="14">
        <f>[1]Sheet2!CZ77</f>
        <v>0</v>
      </c>
      <c r="DT78" s="14">
        <f>[1]Sheet2!DA77</f>
        <v>0</v>
      </c>
      <c r="DU78" s="14">
        <f>[1]Sheet2!DB77</f>
        <v>0</v>
      </c>
      <c r="DV78" s="14">
        <f>[1]Sheet2!DC77</f>
        <v>0</v>
      </c>
      <c r="DW78" s="14">
        <f>[1]Sheet2!DD77</f>
        <v>0</v>
      </c>
      <c r="DX78" s="14">
        <f>[1]Sheet2!DE77</f>
        <v>0</v>
      </c>
      <c r="DY78" s="14">
        <f>[1]Sheet2!DF77</f>
        <v>0</v>
      </c>
      <c r="DZ78" s="14">
        <f>[1]Sheet2!DG77</f>
        <v>0</v>
      </c>
    </row>
    <row r="79" spans="1:130" x14ac:dyDescent="0.25">
      <c r="A79" s="15">
        <v>43541</v>
      </c>
      <c r="B79" s="1"/>
      <c r="C79" s="1"/>
      <c r="D79" s="1"/>
      <c r="E79" s="14">
        <f>[1]Sheet2!N78</f>
        <v>0</v>
      </c>
      <c r="F79" s="14">
        <f>[1]Sheet2!BE78</f>
        <v>0</v>
      </c>
      <c r="G79" s="14">
        <f>[1]Sheet2!CV78</f>
        <v>336.72456575682378</v>
      </c>
      <c r="H79" s="1"/>
      <c r="I79" s="1"/>
      <c r="J79" s="1"/>
      <c r="K79" s="16">
        <f>Demand_CWRS!B$5/31</f>
        <v>131.679370700757</v>
      </c>
      <c r="L79" s="16">
        <f>Demand_CWRS!C$5/31</f>
        <v>537.20942928039699</v>
      </c>
      <c r="M79" s="16">
        <f>Demand_CWRS!D$5/31</f>
        <v>0</v>
      </c>
      <c r="N79" s="16">
        <f>Demand_CWRS!E$5/31</f>
        <v>121.5961418056559</v>
      </c>
      <c r="O79" s="16">
        <f>Demand_CWRS!F$5/31</f>
        <v>245.08227837631262</v>
      </c>
      <c r="P79" s="16">
        <f>Demand_CWRS!G$5/31</f>
        <v>131.679370700757</v>
      </c>
      <c r="Q79" s="16">
        <f>Demand_CWRS!H$5/31</f>
        <v>537.20942928039699</v>
      </c>
      <c r="R79" s="16">
        <f>Demand_CWRS!I$5/31</f>
        <v>245.08227837631262</v>
      </c>
      <c r="S79" s="16">
        <f>Demand_CWRS!J$5/31</f>
        <v>245.08227837631262</v>
      </c>
      <c r="T79" s="16">
        <f>Demand_CWRS!K$5/31</f>
        <v>245.08227837631262</v>
      </c>
      <c r="U79" s="16">
        <f t="shared" si="33"/>
        <v>-12635.493112009002</v>
      </c>
      <c r="V79" s="16">
        <f t="shared" si="34"/>
        <v>-28661.191066997493</v>
      </c>
      <c r="W79" s="16">
        <f t="shared" si="35"/>
        <v>0</v>
      </c>
      <c r="X79" s="16">
        <f t="shared" si="36"/>
        <v>-6777.0587696705124</v>
      </c>
      <c r="Y79" s="16">
        <f t="shared" si="37"/>
        <v>-16678.365318935783</v>
      </c>
      <c r="Z79" s="16">
        <f t="shared" si="38"/>
        <v>-12418.549301912868</v>
      </c>
      <c r="AA79" s="16">
        <f t="shared" si="39"/>
        <v>-28161.191066997493</v>
      </c>
      <c r="AB79" s="16">
        <f t="shared" si="40"/>
        <v>-14366.398732397312</v>
      </c>
      <c r="AC79" s="16">
        <f t="shared" si="41"/>
        <v>-14366.398732397303</v>
      </c>
      <c r="AD79" s="16">
        <f t="shared" si="42"/>
        <v>-15066.398732397302</v>
      </c>
      <c r="AE79" s="14">
        <f>IF([1]Sheet2!AJ78=999999,"NA",[1]Sheet2!AJ78)</f>
        <v>51</v>
      </c>
      <c r="AF79" s="14">
        <f>IF([1]Sheet2!AK78=999999,"NA",[1]Sheet2!AK78)</f>
        <v>0</v>
      </c>
      <c r="AG79" s="14" t="str">
        <f>IF([1]Sheet2!AL78=999999,"NA",[1]Sheet2!AL78)</f>
        <v>NA</v>
      </c>
      <c r="AH79" s="14">
        <f>IF([1]Sheet2!AM78=999999,"NA",[1]Sheet2!AM78)</f>
        <v>289</v>
      </c>
      <c r="AI79" s="14">
        <f>IF([1]Sheet2!AN78=999999,"NA",[1]Sheet2!AN78)</f>
        <v>289</v>
      </c>
      <c r="AJ79" s="14">
        <f>IF([1]Sheet2!AO78=999999,"NA",[1]Sheet2!AO78)</f>
        <v>289</v>
      </c>
      <c r="AK79" s="14">
        <f>IF([1]Sheet2!AP78=999999,"NA",[1]Sheet2!AP78)</f>
        <v>34</v>
      </c>
      <c r="AL79" s="14">
        <f>IF([1]Sheet2!AQ78=999999,"NA",[1]Sheet2!AQ78)</f>
        <v>165</v>
      </c>
      <c r="AM79" s="14">
        <f>IF([1]Sheet2!AR78=999999,"NA",[1]Sheet2!AR78)</f>
        <v>289</v>
      </c>
      <c r="AN79" s="14">
        <f>IF([1]Sheet2!AS78=999999,"NA",[1]Sheet2!AS78)</f>
        <v>221</v>
      </c>
      <c r="AO79" s="14">
        <f>[1]Sheet2!P78</f>
        <v>0</v>
      </c>
      <c r="AP79" s="14">
        <f>[1]Sheet2!Q78</f>
        <v>0</v>
      </c>
      <c r="AQ79" s="14">
        <f>[1]Sheet2!R78</f>
        <v>0</v>
      </c>
      <c r="AR79" s="14">
        <f>[1]Sheet2!S78</f>
        <v>0</v>
      </c>
      <c r="AS79" s="14">
        <f>[1]Sheet2!T78</f>
        <v>0</v>
      </c>
      <c r="AT79" s="14">
        <f>[1]Sheet2!U78</f>
        <v>0</v>
      </c>
      <c r="AU79" s="14">
        <f>[1]Sheet2!V78</f>
        <v>0</v>
      </c>
      <c r="AV79" s="14">
        <f>[1]Sheet2!W78</f>
        <v>0</v>
      </c>
      <c r="AW79" s="14">
        <f>[1]Sheet2!X78</f>
        <v>0</v>
      </c>
      <c r="AX79" s="14">
        <f>[1]Sheet2!Y78</f>
        <v>0</v>
      </c>
      <c r="AY79" s="16">
        <f>Demand_LP!B$5/31</f>
        <v>754.78140345091151</v>
      </c>
      <c r="AZ79" s="16">
        <f>Demand_LP!C$5/31</f>
        <v>547.55235732009919</v>
      </c>
      <c r="BA79" s="16">
        <f>Demand_LP!D$5/31</f>
        <v>312.75612076095945</v>
      </c>
      <c r="BB79" s="16">
        <f>Demand_LP!E$5/31</f>
        <v>772.29437499345636</v>
      </c>
      <c r="BC79" s="16">
        <f>Demand_LP!F$5/31</f>
        <v>471.74248526347748</v>
      </c>
      <c r="BD79" s="16">
        <f>Demand_LP!G$5/31</f>
        <v>754.78140345091151</v>
      </c>
      <c r="BE79" s="16">
        <f>Demand_LP!H$5/31</f>
        <v>547.55235732009919</v>
      </c>
      <c r="BF79" s="16">
        <f>Demand_LP!I$5/31</f>
        <v>451.61290322580646</v>
      </c>
      <c r="BG79" s="16">
        <f>Demand_LP!J$5/31</f>
        <v>451.61290322580646</v>
      </c>
      <c r="BH79" s="16">
        <f>Demand_LP!K$5/31</f>
        <v>451.61290322580646</v>
      </c>
      <c r="BI79" s="16" t="e">
        <f t="shared" si="43"/>
        <v>#VALUE!</v>
      </c>
      <c r="BJ79" s="16">
        <f t="shared" si="44"/>
        <v>-42950.810587262167</v>
      </c>
      <c r="BK79" s="16">
        <f t="shared" si="45"/>
        <v>-18395.379693961942</v>
      </c>
      <c r="BL79" s="16">
        <f t="shared" si="46"/>
        <v>-52994.426169760533</v>
      </c>
      <c r="BM79" s="16">
        <f t="shared" si="47"/>
        <v>-33837.921287940662</v>
      </c>
      <c r="BN79" s="16">
        <f t="shared" si="48"/>
        <v>-49831.283858665556</v>
      </c>
      <c r="BO79" s="16">
        <f t="shared" si="49"/>
        <v>-45308.390074441682</v>
      </c>
      <c r="BP79" s="16">
        <f t="shared" si="50"/>
        <v>-33577.419354838727</v>
      </c>
      <c r="BQ79" s="16">
        <f t="shared" si="51"/>
        <v>-30177.41935483873</v>
      </c>
      <c r="BR79" s="16">
        <f t="shared" si="52"/>
        <v>-31377.419354838723</v>
      </c>
      <c r="BS79" s="14">
        <f>IF([1]Sheet2!CA78=999999,"NA",[1]Sheet2!CA78)</f>
        <v>185101.58064516119</v>
      </c>
      <c r="BT79" s="14">
        <f>IF([1]Sheet2!CB78=999999,"NA",[1]Sheet2!CB78)</f>
        <v>211</v>
      </c>
      <c r="BU79" s="14">
        <f>IF([1]Sheet2!CC78=999999,"NA",[1]Sheet2!CC78)</f>
        <v>289</v>
      </c>
      <c r="BV79" s="14">
        <f>IF([1]Sheet2!CD78=999999,"NA",[1]Sheet2!CD78)</f>
        <v>289</v>
      </c>
      <c r="BW79" s="14">
        <f>IF([1]Sheet2!CE78=999999,"NA",[1]Sheet2!CE78)</f>
        <v>251</v>
      </c>
      <c r="BX79" s="14">
        <f>IF([1]Sheet2!CF78=999999,"NA",[1]Sheet2!CF78)</f>
        <v>289</v>
      </c>
      <c r="BY79" s="14">
        <f>IF([1]Sheet2!CG78=999999,"NA",[1]Sheet2!CG78)</f>
        <v>183</v>
      </c>
      <c r="BZ79" s="14">
        <f>IF([1]Sheet2!CH78=999999,"NA",[1]Sheet2!CH78)</f>
        <v>289</v>
      </c>
      <c r="CA79" s="14">
        <f>IF([1]Sheet2!CI78=999999,"NA",[1]Sheet2!CI78)</f>
        <v>289</v>
      </c>
      <c r="CB79" s="14">
        <f>IF([1]Sheet2!CJ78=999999,"NA",[1]Sheet2!CJ78)</f>
        <v>289</v>
      </c>
      <c r="CC79" s="14">
        <f>[1]Sheet2!BG78</f>
        <v>0</v>
      </c>
      <c r="CD79" s="14">
        <f>[1]Sheet2!BH78</f>
        <v>0</v>
      </c>
      <c r="CE79" s="14">
        <f>[1]Sheet2!BI78</f>
        <v>0</v>
      </c>
      <c r="CF79" s="14">
        <f>[1]Sheet2!BJ78</f>
        <v>0</v>
      </c>
      <c r="CG79" s="14">
        <f>[1]Sheet2!BK78</f>
        <v>0</v>
      </c>
      <c r="CH79" s="14">
        <f>[1]Sheet2!BL78</f>
        <v>0</v>
      </c>
      <c r="CI79" s="14">
        <f>[1]Sheet2!BM78</f>
        <v>0</v>
      </c>
      <c r="CJ79" s="14">
        <f>[1]Sheet2!BN78</f>
        <v>0</v>
      </c>
      <c r="CK79" s="14">
        <f>[1]Sheet2!BO78</f>
        <v>0</v>
      </c>
      <c r="CL79" s="14">
        <f>[1]Sheet2!BP78</f>
        <v>0</v>
      </c>
      <c r="CM79" s="16">
        <f>Demand_SW!B$5/31</f>
        <v>138.46153846153845</v>
      </c>
      <c r="CN79" s="16">
        <f>Demand_SW!C$5/31</f>
        <v>29.776674937965261</v>
      </c>
      <c r="CO79" s="16">
        <f>Demand_SW!D$5/31</f>
        <v>0</v>
      </c>
      <c r="CP79" s="16">
        <f>Demand_SW!E$5/31</f>
        <v>0</v>
      </c>
      <c r="CQ79" s="16">
        <f>Demand_SW!F$5/31</f>
        <v>0</v>
      </c>
      <c r="CR79" s="16">
        <f>Demand_SW!G$5/31</f>
        <v>138.70967741935485</v>
      </c>
      <c r="CS79" s="16">
        <f>Demand_SW!H$5/31</f>
        <v>29.776674937965261</v>
      </c>
      <c r="CT79" s="16">
        <f>Demand_SW!I$5/31</f>
        <v>0</v>
      </c>
      <c r="CU79" s="16">
        <f>Demand_SW!J$5/31</f>
        <v>0</v>
      </c>
      <c r="CV79" s="16">
        <f>Demand_SW!K$5/31</f>
        <v>0</v>
      </c>
      <c r="CW79" s="16">
        <f t="shared" si="53"/>
        <v>41667.692307692276</v>
      </c>
      <c r="CX79" s="16">
        <f t="shared" si="54"/>
        <v>-6.2034739454093355</v>
      </c>
      <c r="CY79" s="16">
        <f t="shared" si="55"/>
        <v>0</v>
      </c>
      <c r="CZ79" s="16">
        <f t="shared" si="56"/>
        <v>0</v>
      </c>
      <c r="DA79" s="16">
        <f t="shared" si="57"/>
        <v>0</v>
      </c>
      <c r="DB79" s="16">
        <f t="shared" si="58"/>
        <v>-7858.0645161290295</v>
      </c>
      <c r="DC79" s="16">
        <f t="shared" si="59"/>
        <v>-6.2034739454093355</v>
      </c>
      <c r="DD79" s="16">
        <f t="shared" si="60"/>
        <v>0</v>
      </c>
      <c r="DE79" s="16">
        <f t="shared" si="61"/>
        <v>0</v>
      </c>
      <c r="DF79" s="16">
        <f t="shared" si="62"/>
        <v>0</v>
      </c>
      <c r="DG79" s="14">
        <f>IF([1]Sheet2!DR78=999999,"NA",[1]Sheet2!DR78)</f>
        <v>73103</v>
      </c>
      <c r="DH79" s="14">
        <f>IF([1]Sheet2!DS78=999999,"NA",[1]Sheet2!DS78)</f>
        <v>289</v>
      </c>
      <c r="DI79" s="14">
        <f>IF([1]Sheet2!DT78=999999,"NA",[1]Sheet2!DT78)</f>
        <v>289</v>
      </c>
      <c r="DJ79" s="14" t="str">
        <f>IF([1]Sheet2!DU78=999999,"NA",[1]Sheet2!DU78)</f>
        <v>NA</v>
      </c>
      <c r="DK79" s="14" t="str">
        <f>IF([1]Sheet2!DV78=999999,"NA",[1]Sheet2!DV78)</f>
        <v>NA</v>
      </c>
      <c r="DL79" s="14" t="str">
        <f>IF([1]Sheet2!DW78=999999,"NA",[1]Sheet2!DW78)</f>
        <v>NA</v>
      </c>
      <c r="DM79" s="14">
        <f>IF([1]Sheet2!DX78=999999,"NA",[1]Sheet2!DX78)</f>
        <v>289</v>
      </c>
      <c r="DN79" s="14">
        <f>IF([1]Sheet2!DY78=999999,"NA",[1]Sheet2!DY78)</f>
        <v>289</v>
      </c>
      <c r="DO79" s="14" t="str">
        <f>IF([1]Sheet2!DZ78=999999,"NA",[1]Sheet2!DZ78)</f>
        <v>NA</v>
      </c>
      <c r="DP79" s="14" t="str">
        <f>IF([1]Sheet2!EA78=999999,"NA",[1]Sheet2!EA78)</f>
        <v>NA</v>
      </c>
      <c r="DQ79" s="14">
        <f>[1]Sheet2!CX78</f>
        <v>0</v>
      </c>
      <c r="DR79" s="14">
        <f>[1]Sheet2!CY78</f>
        <v>0</v>
      </c>
      <c r="DS79" s="14">
        <f>[1]Sheet2!CZ78</f>
        <v>0</v>
      </c>
      <c r="DT79" s="14">
        <f>[1]Sheet2!DA78</f>
        <v>0</v>
      </c>
      <c r="DU79" s="14">
        <f>[1]Sheet2!DB78</f>
        <v>0</v>
      </c>
      <c r="DV79" s="14">
        <f>[1]Sheet2!DC78</f>
        <v>0</v>
      </c>
      <c r="DW79" s="14">
        <f>[1]Sheet2!DD78</f>
        <v>0</v>
      </c>
      <c r="DX79" s="14">
        <f>[1]Sheet2!DE78</f>
        <v>0</v>
      </c>
      <c r="DY79" s="14">
        <f>[1]Sheet2!DF78</f>
        <v>0</v>
      </c>
      <c r="DZ79" s="14">
        <f>[1]Sheet2!DG78</f>
        <v>0</v>
      </c>
    </row>
    <row r="80" spans="1:130" x14ac:dyDescent="0.25">
      <c r="A80" s="15">
        <v>43542</v>
      </c>
      <c r="B80" s="1"/>
      <c r="C80" s="1"/>
      <c r="D80" s="1"/>
      <c r="E80" s="14">
        <f>[1]Sheet2!N79</f>
        <v>0</v>
      </c>
      <c r="F80" s="14">
        <f>[1]Sheet2!BE79</f>
        <v>0</v>
      </c>
      <c r="G80" s="14">
        <f>[1]Sheet2!CV79</f>
        <v>336.72456575682378</v>
      </c>
      <c r="H80" s="1"/>
      <c r="I80" s="1"/>
      <c r="J80" s="1"/>
      <c r="K80" s="16">
        <f>Demand_CWRS!B$5/31</f>
        <v>131.679370700757</v>
      </c>
      <c r="L80" s="16">
        <f>Demand_CWRS!C$5/31</f>
        <v>537.20942928039699</v>
      </c>
      <c r="M80" s="16">
        <f>Demand_CWRS!D$5/31</f>
        <v>0</v>
      </c>
      <c r="N80" s="16">
        <f>Demand_CWRS!E$5/31</f>
        <v>121.5961418056559</v>
      </c>
      <c r="O80" s="16">
        <f>Demand_CWRS!F$5/31</f>
        <v>245.08227837631262</v>
      </c>
      <c r="P80" s="16">
        <f>Demand_CWRS!G$5/31</f>
        <v>131.679370700757</v>
      </c>
      <c r="Q80" s="16">
        <f>Demand_CWRS!H$5/31</f>
        <v>537.20942928039699</v>
      </c>
      <c r="R80" s="16">
        <f>Demand_CWRS!I$5/31</f>
        <v>245.08227837631262</v>
      </c>
      <c r="S80" s="16">
        <f>Demand_CWRS!J$5/31</f>
        <v>245.08227837631262</v>
      </c>
      <c r="T80" s="16">
        <f>Demand_CWRS!K$5/31</f>
        <v>245.08227837631262</v>
      </c>
      <c r="U80" s="16">
        <f t="shared" si="33"/>
        <v>-12767.172482709759</v>
      </c>
      <c r="V80" s="16">
        <f t="shared" si="34"/>
        <v>-29198.400496277889</v>
      </c>
      <c r="W80" s="16">
        <f t="shared" si="35"/>
        <v>0</v>
      </c>
      <c r="X80" s="16">
        <f t="shared" si="36"/>
        <v>-6898.6549114761683</v>
      </c>
      <c r="Y80" s="16">
        <f t="shared" si="37"/>
        <v>-16923.447597312097</v>
      </c>
      <c r="Z80" s="16">
        <f t="shared" si="38"/>
        <v>-12550.228672613624</v>
      </c>
      <c r="AA80" s="16">
        <f t="shared" si="39"/>
        <v>-28698.400496277889</v>
      </c>
      <c r="AB80" s="16">
        <f t="shared" si="40"/>
        <v>-14611.481010773625</v>
      </c>
      <c r="AC80" s="16">
        <f t="shared" si="41"/>
        <v>-14611.481010773616</v>
      </c>
      <c r="AD80" s="16">
        <f t="shared" si="42"/>
        <v>-15311.481010773614</v>
      </c>
      <c r="AE80" s="14">
        <f>IF([1]Sheet2!AJ79=999999,"NA",[1]Sheet2!AJ79)</f>
        <v>50</v>
      </c>
      <c r="AF80" s="14">
        <f>IF([1]Sheet2!AK79=999999,"NA",[1]Sheet2!AK79)</f>
        <v>0</v>
      </c>
      <c r="AG80" s="14" t="str">
        <f>IF([1]Sheet2!AL79=999999,"NA",[1]Sheet2!AL79)</f>
        <v>NA</v>
      </c>
      <c r="AH80" s="14">
        <f>IF([1]Sheet2!AM79=999999,"NA",[1]Sheet2!AM79)</f>
        <v>288</v>
      </c>
      <c r="AI80" s="14">
        <f>IF([1]Sheet2!AN79=999999,"NA",[1]Sheet2!AN79)</f>
        <v>288</v>
      </c>
      <c r="AJ80" s="14">
        <f>IF([1]Sheet2!AO79=999999,"NA",[1]Sheet2!AO79)</f>
        <v>288</v>
      </c>
      <c r="AK80" s="14">
        <f>IF([1]Sheet2!AP79=999999,"NA",[1]Sheet2!AP79)</f>
        <v>33</v>
      </c>
      <c r="AL80" s="14">
        <f>IF([1]Sheet2!AQ79=999999,"NA",[1]Sheet2!AQ79)</f>
        <v>164</v>
      </c>
      <c r="AM80" s="14">
        <f>IF([1]Sheet2!AR79=999999,"NA",[1]Sheet2!AR79)</f>
        <v>288</v>
      </c>
      <c r="AN80" s="14">
        <f>IF([1]Sheet2!AS79=999999,"NA",[1]Sheet2!AS79)</f>
        <v>220</v>
      </c>
      <c r="AO80" s="14">
        <f>[1]Sheet2!P79</f>
        <v>0</v>
      </c>
      <c r="AP80" s="14">
        <f>[1]Sheet2!Q79</f>
        <v>0</v>
      </c>
      <c r="AQ80" s="14">
        <f>[1]Sheet2!R79</f>
        <v>0</v>
      </c>
      <c r="AR80" s="14">
        <f>[1]Sheet2!S79</f>
        <v>0</v>
      </c>
      <c r="AS80" s="14">
        <f>[1]Sheet2!T79</f>
        <v>0</v>
      </c>
      <c r="AT80" s="14">
        <f>[1]Sheet2!U79</f>
        <v>0</v>
      </c>
      <c r="AU80" s="14">
        <f>[1]Sheet2!V79</f>
        <v>0</v>
      </c>
      <c r="AV80" s="14">
        <f>[1]Sheet2!W79</f>
        <v>0</v>
      </c>
      <c r="AW80" s="14">
        <f>[1]Sheet2!X79</f>
        <v>0</v>
      </c>
      <c r="AX80" s="14">
        <f>[1]Sheet2!Y79</f>
        <v>0</v>
      </c>
      <c r="AY80" s="16">
        <f>Demand_LP!B$5/31</f>
        <v>754.78140345091151</v>
      </c>
      <c r="AZ80" s="16">
        <f>Demand_LP!C$5/31</f>
        <v>547.55235732009919</v>
      </c>
      <c r="BA80" s="16">
        <f>Demand_LP!D$5/31</f>
        <v>312.75612076095945</v>
      </c>
      <c r="BB80" s="16">
        <f>Demand_LP!E$5/31</f>
        <v>772.29437499345636</v>
      </c>
      <c r="BC80" s="16">
        <f>Demand_LP!F$5/31</f>
        <v>471.74248526347748</v>
      </c>
      <c r="BD80" s="16">
        <f>Demand_LP!G$5/31</f>
        <v>754.78140345091151</v>
      </c>
      <c r="BE80" s="16">
        <f>Demand_LP!H$5/31</f>
        <v>547.55235732009919</v>
      </c>
      <c r="BF80" s="16">
        <f>Demand_LP!I$5/31</f>
        <v>451.61290322580646</v>
      </c>
      <c r="BG80" s="16">
        <f>Demand_LP!J$5/31</f>
        <v>451.61290322580646</v>
      </c>
      <c r="BH80" s="16">
        <f>Demand_LP!K$5/31</f>
        <v>451.61290322580646</v>
      </c>
      <c r="BI80" s="16" t="e">
        <f t="shared" si="43"/>
        <v>#VALUE!</v>
      </c>
      <c r="BJ80" s="16">
        <f t="shared" si="44"/>
        <v>-43498.362944582266</v>
      </c>
      <c r="BK80" s="16">
        <f t="shared" si="45"/>
        <v>-18708.1358147229</v>
      </c>
      <c r="BL80" s="16">
        <f t="shared" si="46"/>
        <v>-53766.720544753989</v>
      </c>
      <c r="BM80" s="16">
        <f t="shared" si="47"/>
        <v>-34309.663773204142</v>
      </c>
      <c r="BN80" s="16">
        <f t="shared" si="48"/>
        <v>-50586.06526211647</v>
      </c>
      <c r="BO80" s="16">
        <f t="shared" si="49"/>
        <v>-45855.942431761781</v>
      </c>
      <c r="BP80" s="16">
        <f t="shared" si="50"/>
        <v>-34029.03225806453</v>
      </c>
      <c r="BQ80" s="16">
        <f t="shared" si="51"/>
        <v>-30629.032258064537</v>
      </c>
      <c r="BR80" s="16">
        <f t="shared" si="52"/>
        <v>-31829.03225806453</v>
      </c>
      <c r="BS80" s="14">
        <f>IF([1]Sheet2!CA79=999999,"NA",[1]Sheet2!CA79)</f>
        <v>184649.96774193537</v>
      </c>
      <c r="BT80" s="14">
        <f>IF([1]Sheet2!CB79=999999,"NA",[1]Sheet2!CB79)</f>
        <v>210</v>
      </c>
      <c r="BU80" s="14">
        <f>IF([1]Sheet2!CC79=999999,"NA",[1]Sheet2!CC79)</f>
        <v>288</v>
      </c>
      <c r="BV80" s="14">
        <f>IF([1]Sheet2!CD79=999999,"NA",[1]Sheet2!CD79)</f>
        <v>288</v>
      </c>
      <c r="BW80" s="14">
        <f>IF([1]Sheet2!CE79=999999,"NA",[1]Sheet2!CE79)</f>
        <v>250</v>
      </c>
      <c r="BX80" s="14">
        <f>IF([1]Sheet2!CF79=999999,"NA",[1]Sheet2!CF79)</f>
        <v>288</v>
      </c>
      <c r="BY80" s="14">
        <f>IF([1]Sheet2!CG79=999999,"NA",[1]Sheet2!CG79)</f>
        <v>182</v>
      </c>
      <c r="BZ80" s="14">
        <f>IF([1]Sheet2!CH79=999999,"NA",[1]Sheet2!CH79)</f>
        <v>288</v>
      </c>
      <c r="CA80" s="14">
        <f>IF([1]Sheet2!CI79=999999,"NA",[1]Sheet2!CI79)</f>
        <v>288</v>
      </c>
      <c r="CB80" s="14">
        <f>IF([1]Sheet2!CJ79=999999,"NA",[1]Sheet2!CJ79)</f>
        <v>288</v>
      </c>
      <c r="CC80" s="14">
        <f>[1]Sheet2!BG79</f>
        <v>0</v>
      </c>
      <c r="CD80" s="14">
        <f>[1]Sheet2!BH79</f>
        <v>0</v>
      </c>
      <c r="CE80" s="14">
        <f>[1]Sheet2!BI79</f>
        <v>0</v>
      </c>
      <c r="CF80" s="14">
        <f>[1]Sheet2!BJ79</f>
        <v>0</v>
      </c>
      <c r="CG80" s="14">
        <f>[1]Sheet2!BK79</f>
        <v>0</v>
      </c>
      <c r="CH80" s="14">
        <f>[1]Sheet2!BL79</f>
        <v>0</v>
      </c>
      <c r="CI80" s="14">
        <f>[1]Sheet2!BM79</f>
        <v>0</v>
      </c>
      <c r="CJ80" s="14">
        <f>[1]Sheet2!BN79</f>
        <v>0</v>
      </c>
      <c r="CK80" s="14">
        <f>[1]Sheet2!BO79</f>
        <v>0</v>
      </c>
      <c r="CL80" s="14">
        <f>[1]Sheet2!BP79</f>
        <v>0</v>
      </c>
      <c r="CM80" s="16">
        <f>Demand_SW!B$5/31</f>
        <v>138.46153846153845</v>
      </c>
      <c r="CN80" s="16">
        <f>Demand_SW!C$5/31</f>
        <v>29.776674937965261</v>
      </c>
      <c r="CO80" s="16">
        <f>Demand_SW!D$5/31</f>
        <v>0</v>
      </c>
      <c r="CP80" s="16">
        <f>Demand_SW!E$5/31</f>
        <v>0</v>
      </c>
      <c r="CQ80" s="16">
        <f>Demand_SW!F$5/31</f>
        <v>0</v>
      </c>
      <c r="CR80" s="16">
        <f>Demand_SW!G$5/31</f>
        <v>138.70967741935485</v>
      </c>
      <c r="CS80" s="16">
        <f>Demand_SW!H$5/31</f>
        <v>29.776674937965261</v>
      </c>
      <c r="CT80" s="16">
        <f>Demand_SW!I$5/31</f>
        <v>0</v>
      </c>
      <c r="CU80" s="16">
        <f>Demand_SW!J$5/31</f>
        <v>0</v>
      </c>
      <c r="CV80" s="16">
        <f>Demand_SW!K$5/31</f>
        <v>0</v>
      </c>
      <c r="CW80" s="16">
        <f t="shared" si="53"/>
        <v>41529.230769230737</v>
      </c>
      <c r="CX80" s="16">
        <f t="shared" si="54"/>
        <v>-35.980148883374596</v>
      </c>
      <c r="CY80" s="16">
        <f t="shared" si="55"/>
        <v>0</v>
      </c>
      <c r="CZ80" s="16">
        <f t="shared" si="56"/>
        <v>0</v>
      </c>
      <c r="DA80" s="16">
        <f t="shared" si="57"/>
        <v>0</v>
      </c>
      <c r="DB80" s="16">
        <f t="shared" si="58"/>
        <v>-7996.7741935483846</v>
      </c>
      <c r="DC80" s="16">
        <f t="shared" si="59"/>
        <v>-35.980148883374596</v>
      </c>
      <c r="DD80" s="16">
        <f t="shared" si="60"/>
        <v>0</v>
      </c>
      <c r="DE80" s="16">
        <f t="shared" si="61"/>
        <v>0</v>
      </c>
      <c r="DF80" s="16">
        <f t="shared" si="62"/>
        <v>0</v>
      </c>
      <c r="DG80" s="14">
        <f>IF([1]Sheet2!DR79=999999,"NA",[1]Sheet2!DR79)</f>
        <v>73103</v>
      </c>
      <c r="DH80" s="14">
        <f>IF([1]Sheet2!DS79=999999,"NA",[1]Sheet2!DS79)</f>
        <v>288</v>
      </c>
      <c r="DI80" s="14">
        <f>IF([1]Sheet2!DT79=999999,"NA",[1]Sheet2!DT79)</f>
        <v>288</v>
      </c>
      <c r="DJ80" s="14" t="str">
        <f>IF([1]Sheet2!DU79=999999,"NA",[1]Sheet2!DU79)</f>
        <v>NA</v>
      </c>
      <c r="DK80" s="14" t="str">
        <f>IF([1]Sheet2!DV79=999999,"NA",[1]Sheet2!DV79)</f>
        <v>NA</v>
      </c>
      <c r="DL80" s="14" t="str">
        <f>IF([1]Sheet2!DW79=999999,"NA",[1]Sheet2!DW79)</f>
        <v>NA</v>
      </c>
      <c r="DM80" s="14">
        <f>IF([1]Sheet2!DX79=999999,"NA",[1]Sheet2!DX79)</f>
        <v>288</v>
      </c>
      <c r="DN80" s="14">
        <f>IF([1]Sheet2!DY79=999999,"NA",[1]Sheet2!DY79)</f>
        <v>288</v>
      </c>
      <c r="DO80" s="14" t="str">
        <f>IF([1]Sheet2!DZ79=999999,"NA",[1]Sheet2!DZ79)</f>
        <v>NA</v>
      </c>
      <c r="DP80" s="14" t="str">
        <f>IF([1]Sheet2!EA79=999999,"NA",[1]Sheet2!EA79)</f>
        <v>NA</v>
      </c>
      <c r="DQ80" s="14">
        <f>[1]Sheet2!CX79</f>
        <v>0</v>
      </c>
      <c r="DR80" s="14">
        <f>[1]Sheet2!CY79</f>
        <v>0</v>
      </c>
      <c r="DS80" s="14">
        <f>[1]Sheet2!CZ79</f>
        <v>0</v>
      </c>
      <c r="DT80" s="14">
        <f>[1]Sheet2!DA79</f>
        <v>0</v>
      </c>
      <c r="DU80" s="14">
        <f>[1]Sheet2!DB79</f>
        <v>0</v>
      </c>
      <c r="DV80" s="14">
        <f>[1]Sheet2!DC79</f>
        <v>0</v>
      </c>
      <c r="DW80" s="14">
        <f>[1]Sheet2!DD79</f>
        <v>0</v>
      </c>
      <c r="DX80" s="14">
        <f>[1]Sheet2!DE79</f>
        <v>0</v>
      </c>
      <c r="DY80" s="14">
        <f>[1]Sheet2!DF79</f>
        <v>0</v>
      </c>
      <c r="DZ80" s="14">
        <f>[1]Sheet2!DG79</f>
        <v>0</v>
      </c>
    </row>
    <row r="81" spans="1:130" x14ac:dyDescent="0.25">
      <c r="A81" s="15">
        <v>43543</v>
      </c>
      <c r="B81" s="1"/>
      <c r="C81" s="1"/>
      <c r="D81" s="1"/>
      <c r="E81" s="14">
        <f>[1]Sheet2!N80</f>
        <v>0</v>
      </c>
      <c r="F81" s="14">
        <f>[1]Sheet2!BE80</f>
        <v>0</v>
      </c>
      <c r="G81" s="14">
        <f>[1]Sheet2!CV80</f>
        <v>336.72456575682378</v>
      </c>
      <c r="H81" s="1"/>
      <c r="I81" s="1"/>
      <c r="J81" s="1"/>
      <c r="K81" s="16">
        <f>Demand_CWRS!B$5/31</f>
        <v>131.679370700757</v>
      </c>
      <c r="L81" s="16">
        <f>Demand_CWRS!C$5/31</f>
        <v>537.20942928039699</v>
      </c>
      <c r="M81" s="16">
        <f>Demand_CWRS!D$5/31</f>
        <v>0</v>
      </c>
      <c r="N81" s="16">
        <f>Demand_CWRS!E$5/31</f>
        <v>121.5961418056559</v>
      </c>
      <c r="O81" s="16">
        <f>Demand_CWRS!F$5/31</f>
        <v>245.08227837631262</v>
      </c>
      <c r="P81" s="16">
        <f>Demand_CWRS!G$5/31</f>
        <v>131.679370700757</v>
      </c>
      <c r="Q81" s="16">
        <f>Demand_CWRS!H$5/31</f>
        <v>537.20942928039699</v>
      </c>
      <c r="R81" s="16">
        <f>Demand_CWRS!I$5/31</f>
        <v>245.08227837631262</v>
      </c>
      <c r="S81" s="16">
        <f>Demand_CWRS!J$5/31</f>
        <v>245.08227837631262</v>
      </c>
      <c r="T81" s="16">
        <f>Demand_CWRS!K$5/31</f>
        <v>245.08227837631262</v>
      </c>
      <c r="U81" s="16">
        <f t="shared" si="33"/>
        <v>-12898.851853410515</v>
      </c>
      <c r="V81" s="16">
        <f t="shared" si="34"/>
        <v>-29735.609925558285</v>
      </c>
      <c r="W81" s="16">
        <f t="shared" si="35"/>
        <v>0</v>
      </c>
      <c r="X81" s="16">
        <f t="shared" si="36"/>
        <v>-7020.2510532818242</v>
      </c>
      <c r="Y81" s="16">
        <f t="shared" si="37"/>
        <v>-17168.529875688411</v>
      </c>
      <c r="Z81" s="16">
        <f t="shared" si="38"/>
        <v>-12681.908043314381</v>
      </c>
      <c r="AA81" s="16">
        <f t="shared" si="39"/>
        <v>-29235.609925558285</v>
      </c>
      <c r="AB81" s="16">
        <f t="shared" si="40"/>
        <v>-14856.563289149937</v>
      </c>
      <c r="AC81" s="16">
        <f t="shared" si="41"/>
        <v>-14856.563289149928</v>
      </c>
      <c r="AD81" s="16">
        <f t="shared" si="42"/>
        <v>-15556.563289149926</v>
      </c>
      <c r="AE81" s="14">
        <f>IF([1]Sheet2!AJ80=999999,"NA",[1]Sheet2!AJ80)</f>
        <v>49</v>
      </c>
      <c r="AF81" s="14">
        <f>IF([1]Sheet2!AK80=999999,"NA",[1]Sheet2!AK80)</f>
        <v>0</v>
      </c>
      <c r="AG81" s="14" t="str">
        <f>IF([1]Sheet2!AL80=999999,"NA",[1]Sheet2!AL80)</f>
        <v>NA</v>
      </c>
      <c r="AH81" s="14">
        <f>IF([1]Sheet2!AM80=999999,"NA",[1]Sheet2!AM80)</f>
        <v>287</v>
      </c>
      <c r="AI81" s="14">
        <f>IF([1]Sheet2!AN80=999999,"NA",[1]Sheet2!AN80)</f>
        <v>287</v>
      </c>
      <c r="AJ81" s="14">
        <f>IF([1]Sheet2!AO80=999999,"NA",[1]Sheet2!AO80)</f>
        <v>287</v>
      </c>
      <c r="AK81" s="14">
        <f>IF([1]Sheet2!AP80=999999,"NA",[1]Sheet2!AP80)</f>
        <v>32</v>
      </c>
      <c r="AL81" s="14">
        <f>IF([1]Sheet2!AQ80=999999,"NA",[1]Sheet2!AQ80)</f>
        <v>163</v>
      </c>
      <c r="AM81" s="14">
        <f>IF([1]Sheet2!AR80=999999,"NA",[1]Sheet2!AR80)</f>
        <v>287</v>
      </c>
      <c r="AN81" s="14">
        <f>IF([1]Sheet2!AS80=999999,"NA",[1]Sheet2!AS80)</f>
        <v>219</v>
      </c>
      <c r="AO81" s="14">
        <f>[1]Sheet2!P80</f>
        <v>0</v>
      </c>
      <c r="AP81" s="14">
        <f>[1]Sheet2!Q80</f>
        <v>0</v>
      </c>
      <c r="AQ81" s="14">
        <f>[1]Sheet2!R80</f>
        <v>0</v>
      </c>
      <c r="AR81" s="14">
        <f>[1]Sheet2!S80</f>
        <v>0</v>
      </c>
      <c r="AS81" s="14">
        <f>[1]Sheet2!T80</f>
        <v>0</v>
      </c>
      <c r="AT81" s="14">
        <f>[1]Sheet2!U80</f>
        <v>0</v>
      </c>
      <c r="AU81" s="14">
        <f>[1]Sheet2!V80</f>
        <v>0</v>
      </c>
      <c r="AV81" s="14">
        <f>[1]Sheet2!W80</f>
        <v>0</v>
      </c>
      <c r="AW81" s="14">
        <f>[1]Sheet2!X80</f>
        <v>0</v>
      </c>
      <c r="AX81" s="14">
        <f>[1]Sheet2!Y80</f>
        <v>0</v>
      </c>
      <c r="AY81" s="16">
        <f>Demand_LP!B$5/31</f>
        <v>754.78140345091151</v>
      </c>
      <c r="AZ81" s="16">
        <f>Demand_LP!C$5/31</f>
        <v>547.55235732009919</v>
      </c>
      <c r="BA81" s="16">
        <f>Demand_LP!D$5/31</f>
        <v>312.75612076095945</v>
      </c>
      <c r="BB81" s="16">
        <f>Demand_LP!E$5/31</f>
        <v>772.29437499345636</v>
      </c>
      <c r="BC81" s="16">
        <f>Demand_LP!F$5/31</f>
        <v>471.74248526347748</v>
      </c>
      <c r="BD81" s="16">
        <f>Demand_LP!G$5/31</f>
        <v>754.78140345091151</v>
      </c>
      <c r="BE81" s="16">
        <f>Demand_LP!H$5/31</f>
        <v>547.55235732009919</v>
      </c>
      <c r="BF81" s="16">
        <f>Demand_LP!I$5/31</f>
        <v>451.61290322580646</v>
      </c>
      <c r="BG81" s="16">
        <f>Demand_LP!J$5/31</f>
        <v>451.61290322580646</v>
      </c>
      <c r="BH81" s="16">
        <f>Demand_LP!K$5/31</f>
        <v>451.61290322580646</v>
      </c>
      <c r="BI81" s="16" t="e">
        <f t="shared" si="43"/>
        <v>#VALUE!</v>
      </c>
      <c r="BJ81" s="16">
        <f t="shared" si="44"/>
        <v>-44045.915301902365</v>
      </c>
      <c r="BK81" s="16">
        <f t="shared" si="45"/>
        <v>-19020.891935483858</v>
      </c>
      <c r="BL81" s="16">
        <f t="shared" si="46"/>
        <v>-54539.014919747446</v>
      </c>
      <c r="BM81" s="16">
        <f t="shared" si="47"/>
        <v>-34781.406258467621</v>
      </c>
      <c r="BN81" s="16">
        <f t="shared" si="48"/>
        <v>-51340.846665567384</v>
      </c>
      <c r="BO81" s="16">
        <f t="shared" si="49"/>
        <v>-46403.49478908188</v>
      </c>
      <c r="BP81" s="16">
        <f t="shared" si="50"/>
        <v>-34480.645161290333</v>
      </c>
      <c r="BQ81" s="16">
        <f t="shared" si="51"/>
        <v>-31080.645161290344</v>
      </c>
      <c r="BR81" s="16">
        <f t="shared" si="52"/>
        <v>-32280.645161290337</v>
      </c>
      <c r="BS81" s="14">
        <f>IF([1]Sheet2!CA80=999999,"NA",[1]Sheet2!CA80)</f>
        <v>184198.35483870955</v>
      </c>
      <c r="BT81" s="14">
        <f>IF([1]Sheet2!CB80=999999,"NA",[1]Sheet2!CB80)</f>
        <v>209</v>
      </c>
      <c r="BU81" s="14">
        <f>IF([1]Sheet2!CC80=999999,"NA",[1]Sheet2!CC80)</f>
        <v>287</v>
      </c>
      <c r="BV81" s="14">
        <f>IF([1]Sheet2!CD80=999999,"NA",[1]Sheet2!CD80)</f>
        <v>287</v>
      </c>
      <c r="BW81" s="14">
        <f>IF([1]Sheet2!CE80=999999,"NA",[1]Sheet2!CE80)</f>
        <v>249</v>
      </c>
      <c r="BX81" s="14">
        <f>IF([1]Sheet2!CF80=999999,"NA",[1]Sheet2!CF80)</f>
        <v>287</v>
      </c>
      <c r="BY81" s="14">
        <f>IF([1]Sheet2!CG80=999999,"NA",[1]Sheet2!CG80)</f>
        <v>181</v>
      </c>
      <c r="BZ81" s="14">
        <f>IF([1]Sheet2!CH80=999999,"NA",[1]Sheet2!CH80)</f>
        <v>287</v>
      </c>
      <c r="CA81" s="14">
        <f>IF([1]Sheet2!CI80=999999,"NA",[1]Sheet2!CI80)</f>
        <v>287</v>
      </c>
      <c r="CB81" s="14">
        <f>IF([1]Sheet2!CJ80=999999,"NA",[1]Sheet2!CJ80)</f>
        <v>287</v>
      </c>
      <c r="CC81" s="14">
        <f>[1]Sheet2!BG80</f>
        <v>0</v>
      </c>
      <c r="CD81" s="14">
        <f>[1]Sheet2!BH80</f>
        <v>0</v>
      </c>
      <c r="CE81" s="14">
        <f>[1]Sheet2!BI80</f>
        <v>0</v>
      </c>
      <c r="CF81" s="14">
        <f>[1]Sheet2!BJ80</f>
        <v>0</v>
      </c>
      <c r="CG81" s="14">
        <f>[1]Sheet2!BK80</f>
        <v>0</v>
      </c>
      <c r="CH81" s="14">
        <f>[1]Sheet2!BL80</f>
        <v>0</v>
      </c>
      <c r="CI81" s="14">
        <f>[1]Sheet2!BM80</f>
        <v>0</v>
      </c>
      <c r="CJ81" s="14">
        <f>[1]Sheet2!BN80</f>
        <v>0</v>
      </c>
      <c r="CK81" s="14">
        <f>[1]Sheet2!BO80</f>
        <v>0</v>
      </c>
      <c r="CL81" s="14">
        <f>[1]Sheet2!BP80</f>
        <v>0</v>
      </c>
      <c r="CM81" s="16">
        <f>Demand_SW!B$5/31</f>
        <v>138.46153846153845</v>
      </c>
      <c r="CN81" s="16">
        <f>Demand_SW!C$5/31</f>
        <v>29.776674937965261</v>
      </c>
      <c r="CO81" s="16">
        <f>Demand_SW!D$5/31</f>
        <v>0</v>
      </c>
      <c r="CP81" s="16">
        <f>Demand_SW!E$5/31</f>
        <v>0</v>
      </c>
      <c r="CQ81" s="16">
        <f>Demand_SW!F$5/31</f>
        <v>0</v>
      </c>
      <c r="CR81" s="16">
        <f>Demand_SW!G$5/31</f>
        <v>138.70967741935485</v>
      </c>
      <c r="CS81" s="16">
        <f>Demand_SW!H$5/31</f>
        <v>29.776674937965261</v>
      </c>
      <c r="CT81" s="16">
        <f>Demand_SW!I$5/31</f>
        <v>0</v>
      </c>
      <c r="CU81" s="16">
        <f>Demand_SW!J$5/31</f>
        <v>0</v>
      </c>
      <c r="CV81" s="16">
        <f>Demand_SW!K$5/31</f>
        <v>0</v>
      </c>
      <c r="CW81" s="16">
        <f t="shared" si="53"/>
        <v>41390.769230769198</v>
      </c>
      <c r="CX81" s="16">
        <f t="shared" si="54"/>
        <v>-65.75682382133985</v>
      </c>
      <c r="CY81" s="16">
        <f t="shared" si="55"/>
        <v>0</v>
      </c>
      <c r="CZ81" s="16">
        <f t="shared" si="56"/>
        <v>0</v>
      </c>
      <c r="DA81" s="16">
        <f t="shared" si="57"/>
        <v>0</v>
      </c>
      <c r="DB81" s="16">
        <f t="shared" si="58"/>
        <v>-8135.4838709677397</v>
      </c>
      <c r="DC81" s="16">
        <f t="shared" si="59"/>
        <v>-65.75682382133985</v>
      </c>
      <c r="DD81" s="16">
        <f t="shared" si="60"/>
        <v>0</v>
      </c>
      <c r="DE81" s="16">
        <f t="shared" si="61"/>
        <v>0</v>
      </c>
      <c r="DF81" s="16">
        <f t="shared" si="62"/>
        <v>0</v>
      </c>
      <c r="DG81" s="14">
        <f>IF([1]Sheet2!DR80=999999,"NA",[1]Sheet2!DR80)</f>
        <v>73103</v>
      </c>
      <c r="DH81" s="14">
        <f>IF([1]Sheet2!DS80=999999,"NA",[1]Sheet2!DS80)</f>
        <v>287</v>
      </c>
      <c r="DI81" s="14">
        <f>IF([1]Sheet2!DT80=999999,"NA",[1]Sheet2!DT80)</f>
        <v>287</v>
      </c>
      <c r="DJ81" s="14" t="str">
        <f>IF([1]Sheet2!DU80=999999,"NA",[1]Sheet2!DU80)</f>
        <v>NA</v>
      </c>
      <c r="DK81" s="14" t="str">
        <f>IF([1]Sheet2!DV80=999999,"NA",[1]Sheet2!DV80)</f>
        <v>NA</v>
      </c>
      <c r="DL81" s="14" t="str">
        <f>IF([1]Sheet2!DW80=999999,"NA",[1]Sheet2!DW80)</f>
        <v>NA</v>
      </c>
      <c r="DM81" s="14">
        <f>IF([1]Sheet2!DX80=999999,"NA",[1]Sheet2!DX80)</f>
        <v>287</v>
      </c>
      <c r="DN81" s="14">
        <f>IF([1]Sheet2!DY80=999999,"NA",[1]Sheet2!DY80)</f>
        <v>287</v>
      </c>
      <c r="DO81" s="14" t="str">
        <f>IF([1]Sheet2!DZ80=999999,"NA",[1]Sheet2!DZ80)</f>
        <v>NA</v>
      </c>
      <c r="DP81" s="14" t="str">
        <f>IF([1]Sheet2!EA80=999999,"NA",[1]Sheet2!EA80)</f>
        <v>NA</v>
      </c>
      <c r="DQ81" s="14">
        <f>[1]Sheet2!CX80</f>
        <v>0</v>
      </c>
      <c r="DR81" s="14">
        <f>[1]Sheet2!CY80</f>
        <v>0</v>
      </c>
      <c r="DS81" s="14">
        <f>[1]Sheet2!CZ80</f>
        <v>0</v>
      </c>
      <c r="DT81" s="14">
        <f>[1]Sheet2!DA80</f>
        <v>0</v>
      </c>
      <c r="DU81" s="14">
        <f>[1]Sheet2!DB80</f>
        <v>0</v>
      </c>
      <c r="DV81" s="14">
        <f>[1]Sheet2!DC80</f>
        <v>0</v>
      </c>
      <c r="DW81" s="14">
        <f>[1]Sheet2!DD80</f>
        <v>0</v>
      </c>
      <c r="DX81" s="14">
        <f>[1]Sheet2!DE80</f>
        <v>0</v>
      </c>
      <c r="DY81" s="14">
        <f>[1]Sheet2!DF80</f>
        <v>0</v>
      </c>
      <c r="DZ81" s="14">
        <f>[1]Sheet2!DG80</f>
        <v>0</v>
      </c>
    </row>
    <row r="82" spans="1:130" x14ac:dyDescent="0.25">
      <c r="A82" s="15">
        <v>43544</v>
      </c>
      <c r="B82" s="1"/>
      <c r="C82" s="1"/>
      <c r="D82" s="1"/>
      <c r="E82" s="14">
        <f>[1]Sheet2!N81</f>
        <v>0</v>
      </c>
      <c r="F82" s="14">
        <f>[1]Sheet2!BE81</f>
        <v>0</v>
      </c>
      <c r="G82" s="14">
        <f>[1]Sheet2!CV81</f>
        <v>336.72456575682378</v>
      </c>
      <c r="H82" s="1"/>
      <c r="I82" s="1"/>
      <c r="J82" s="1"/>
      <c r="K82" s="16">
        <f>Demand_CWRS!B$5/31</f>
        <v>131.679370700757</v>
      </c>
      <c r="L82" s="16">
        <f>Demand_CWRS!C$5/31</f>
        <v>537.20942928039699</v>
      </c>
      <c r="M82" s="16">
        <f>Demand_CWRS!D$5/31</f>
        <v>0</v>
      </c>
      <c r="N82" s="16">
        <f>Demand_CWRS!E$5/31</f>
        <v>121.5961418056559</v>
      </c>
      <c r="O82" s="16">
        <f>Demand_CWRS!F$5/31</f>
        <v>245.08227837631262</v>
      </c>
      <c r="P82" s="16">
        <f>Demand_CWRS!G$5/31</f>
        <v>131.679370700757</v>
      </c>
      <c r="Q82" s="16">
        <f>Demand_CWRS!H$5/31</f>
        <v>537.20942928039699</v>
      </c>
      <c r="R82" s="16">
        <f>Demand_CWRS!I$5/31</f>
        <v>245.08227837631262</v>
      </c>
      <c r="S82" s="16">
        <f>Demand_CWRS!J$5/31</f>
        <v>245.08227837631262</v>
      </c>
      <c r="T82" s="16">
        <f>Demand_CWRS!K$5/31</f>
        <v>245.08227837631262</v>
      </c>
      <c r="U82" s="16">
        <f t="shared" si="33"/>
        <v>-13030.531224111272</v>
      </c>
      <c r="V82" s="16">
        <f t="shared" si="34"/>
        <v>-30272.819354838681</v>
      </c>
      <c r="W82" s="16">
        <f t="shared" si="35"/>
        <v>0</v>
      </c>
      <c r="X82" s="16">
        <f t="shared" si="36"/>
        <v>-7141.84719508748</v>
      </c>
      <c r="Y82" s="16">
        <f t="shared" si="37"/>
        <v>-17413.612154064725</v>
      </c>
      <c r="Z82" s="16">
        <f t="shared" si="38"/>
        <v>-12813.587414015137</v>
      </c>
      <c r="AA82" s="16">
        <f t="shared" si="39"/>
        <v>-29772.819354838681</v>
      </c>
      <c r="AB82" s="16">
        <f t="shared" si="40"/>
        <v>-15101.64556752625</v>
      </c>
      <c r="AC82" s="16">
        <f t="shared" si="41"/>
        <v>-15101.64556752624</v>
      </c>
      <c r="AD82" s="16">
        <f t="shared" si="42"/>
        <v>-15801.645567526239</v>
      </c>
      <c r="AE82" s="14">
        <f>IF([1]Sheet2!AJ81=999999,"NA",[1]Sheet2!AJ81)</f>
        <v>48</v>
      </c>
      <c r="AF82" s="14">
        <f>IF([1]Sheet2!AK81=999999,"NA",[1]Sheet2!AK81)</f>
        <v>0</v>
      </c>
      <c r="AG82" s="14" t="str">
        <f>IF([1]Sheet2!AL81=999999,"NA",[1]Sheet2!AL81)</f>
        <v>NA</v>
      </c>
      <c r="AH82" s="14">
        <f>IF([1]Sheet2!AM81=999999,"NA",[1]Sheet2!AM81)</f>
        <v>286</v>
      </c>
      <c r="AI82" s="14">
        <f>IF([1]Sheet2!AN81=999999,"NA",[1]Sheet2!AN81)</f>
        <v>286</v>
      </c>
      <c r="AJ82" s="14">
        <f>IF([1]Sheet2!AO81=999999,"NA",[1]Sheet2!AO81)</f>
        <v>286</v>
      </c>
      <c r="AK82" s="14">
        <f>IF([1]Sheet2!AP81=999999,"NA",[1]Sheet2!AP81)</f>
        <v>31</v>
      </c>
      <c r="AL82" s="14">
        <f>IF([1]Sheet2!AQ81=999999,"NA",[1]Sheet2!AQ81)</f>
        <v>162</v>
      </c>
      <c r="AM82" s="14">
        <f>IF([1]Sheet2!AR81=999999,"NA",[1]Sheet2!AR81)</f>
        <v>286</v>
      </c>
      <c r="AN82" s="14">
        <f>IF([1]Sheet2!AS81=999999,"NA",[1]Sheet2!AS81)</f>
        <v>218</v>
      </c>
      <c r="AO82" s="14">
        <f>[1]Sheet2!P81</f>
        <v>0</v>
      </c>
      <c r="AP82" s="14">
        <f>[1]Sheet2!Q81</f>
        <v>0</v>
      </c>
      <c r="AQ82" s="14">
        <f>[1]Sheet2!R81</f>
        <v>0</v>
      </c>
      <c r="AR82" s="14">
        <f>[1]Sheet2!S81</f>
        <v>0</v>
      </c>
      <c r="AS82" s="14">
        <f>[1]Sheet2!T81</f>
        <v>0</v>
      </c>
      <c r="AT82" s="14">
        <f>[1]Sheet2!U81</f>
        <v>0</v>
      </c>
      <c r="AU82" s="14">
        <f>[1]Sheet2!V81</f>
        <v>0</v>
      </c>
      <c r="AV82" s="14">
        <f>[1]Sheet2!W81</f>
        <v>0</v>
      </c>
      <c r="AW82" s="14">
        <f>[1]Sheet2!X81</f>
        <v>0</v>
      </c>
      <c r="AX82" s="14">
        <f>[1]Sheet2!Y81</f>
        <v>0</v>
      </c>
      <c r="AY82" s="16">
        <f>Demand_LP!B$5/31</f>
        <v>754.78140345091151</v>
      </c>
      <c r="AZ82" s="16">
        <f>Demand_LP!C$5/31</f>
        <v>547.55235732009919</v>
      </c>
      <c r="BA82" s="16">
        <f>Demand_LP!D$5/31</f>
        <v>312.75612076095945</v>
      </c>
      <c r="BB82" s="16">
        <f>Demand_LP!E$5/31</f>
        <v>772.29437499345636</v>
      </c>
      <c r="BC82" s="16">
        <f>Demand_LP!F$5/31</f>
        <v>471.74248526347748</v>
      </c>
      <c r="BD82" s="16">
        <f>Demand_LP!G$5/31</f>
        <v>754.78140345091151</v>
      </c>
      <c r="BE82" s="16">
        <f>Demand_LP!H$5/31</f>
        <v>547.55235732009919</v>
      </c>
      <c r="BF82" s="16">
        <f>Demand_LP!I$5/31</f>
        <v>451.61290322580646</v>
      </c>
      <c r="BG82" s="16">
        <f>Demand_LP!J$5/31</f>
        <v>451.61290322580646</v>
      </c>
      <c r="BH82" s="16">
        <f>Demand_LP!K$5/31</f>
        <v>451.61290322580646</v>
      </c>
      <c r="BI82" s="16" t="e">
        <f t="shared" si="43"/>
        <v>#VALUE!</v>
      </c>
      <c r="BJ82" s="16">
        <f t="shared" si="44"/>
        <v>-44593.467659222464</v>
      </c>
      <c r="BK82" s="16">
        <f t="shared" si="45"/>
        <v>-19333.648056244816</v>
      </c>
      <c r="BL82" s="16">
        <f t="shared" si="46"/>
        <v>-55311.309294740902</v>
      </c>
      <c r="BM82" s="16">
        <f t="shared" si="47"/>
        <v>-35253.148743731101</v>
      </c>
      <c r="BN82" s="16">
        <f t="shared" si="48"/>
        <v>-52095.628069018298</v>
      </c>
      <c r="BO82" s="16">
        <f t="shared" si="49"/>
        <v>-46951.047146401979</v>
      </c>
      <c r="BP82" s="16">
        <f t="shared" si="50"/>
        <v>-34932.258064516136</v>
      </c>
      <c r="BQ82" s="16">
        <f t="shared" si="51"/>
        <v>-31532.258064516151</v>
      </c>
      <c r="BR82" s="16">
        <f t="shared" si="52"/>
        <v>-32732.258064516143</v>
      </c>
      <c r="BS82" s="14">
        <f>IF([1]Sheet2!CA81=999999,"NA",[1]Sheet2!CA81)</f>
        <v>183746.74193548373</v>
      </c>
      <c r="BT82" s="14">
        <f>IF([1]Sheet2!CB81=999999,"NA",[1]Sheet2!CB81)</f>
        <v>208</v>
      </c>
      <c r="BU82" s="14">
        <f>IF([1]Sheet2!CC81=999999,"NA",[1]Sheet2!CC81)</f>
        <v>286</v>
      </c>
      <c r="BV82" s="14">
        <f>IF([1]Sheet2!CD81=999999,"NA",[1]Sheet2!CD81)</f>
        <v>286</v>
      </c>
      <c r="BW82" s="14">
        <f>IF([1]Sheet2!CE81=999999,"NA",[1]Sheet2!CE81)</f>
        <v>248</v>
      </c>
      <c r="BX82" s="14">
        <f>IF([1]Sheet2!CF81=999999,"NA",[1]Sheet2!CF81)</f>
        <v>286</v>
      </c>
      <c r="BY82" s="14">
        <f>IF([1]Sheet2!CG81=999999,"NA",[1]Sheet2!CG81)</f>
        <v>180</v>
      </c>
      <c r="BZ82" s="14">
        <f>IF([1]Sheet2!CH81=999999,"NA",[1]Sheet2!CH81)</f>
        <v>286</v>
      </c>
      <c r="CA82" s="14">
        <f>IF([1]Sheet2!CI81=999999,"NA",[1]Sheet2!CI81)</f>
        <v>286</v>
      </c>
      <c r="CB82" s="14">
        <f>IF([1]Sheet2!CJ81=999999,"NA",[1]Sheet2!CJ81)</f>
        <v>286</v>
      </c>
      <c r="CC82" s="14">
        <f>[1]Sheet2!BG81</f>
        <v>0</v>
      </c>
      <c r="CD82" s="14">
        <f>[1]Sheet2!BH81</f>
        <v>0</v>
      </c>
      <c r="CE82" s="14">
        <f>[1]Sheet2!BI81</f>
        <v>0</v>
      </c>
      <c r="CF82" s="14">
        <f>[1]Sheet2!BJ81</f>
        <v>0</v>
      </c>
      <c r="CG82" s="14">
        <f>[1]Sheet2!BK81</f>
        <v>0</v>
      </c>
      <c r="CH82" s="14">
        <f>[1]Sheet2!BL81</f>
        <v>0</v>
      </c>
      <c r="CI82" s="14">
        <f>[1]Sheet2!BM81</f>
        <v>0</v>
      </c>
      <c r="CJ82" s="14">
        <f>[1]Sheet2!BN81</f>
        <v>0</v>
      </c>
      <c r="CK82" s="14">
        <f>[1]Sheet2!BO81</f>
        <v>0</v>
      </c>
      <c r="CL82" s="14">
        <f>[1]Sheet2!BP81</f>
        <v>0</v>
      </c>
      <c r="CM82" s="16">
        <f>Demand_SW!B$5/31</f>
        <v>138.46153846153845</v>
      </c>
      <c r="CN82" s="16">
        <f>Demand_SW!C$5/31</f>
        <v>29.776674937965261</v>
      </c>
      <c r="CO82" s="16">
        <f>Demand_SW!D$5/31</f>
        <v>0</v>
      </c>
      <c r="CP82" s="16">
        <f>Demand_SW!E$5/31</f>
        <v>0</v>
      </c>
      <c r="CQ82" s="16">
        <f>Demand_SW!F$5/31</f>
        <v>0</v>
      </c>
      <c r="CR82" s="16">
        <f>Demand_SW!G$5/31</f>
        <v>138.70967741935485</v>
      </c>
      <c r="CS82" s="16">
        <f>Demand_SW!H$5/31</f>
        <v>29.776674937965261</v>
      </c>
      <c r="CT82" s="16">
        <f>Demand_SW!I$5/31</f>
        <v>0</v>
      </c>
      <c r="CU82" s="16">
        <f>Demand_SW!J$5/31</f>
        <v>0</v>
      </c>
      <c r="CV82" s="16">
        <f>Demand_SW!K$5/31</f>
        <v>0</v>
      </c>
      <c r="CW82" s="16">
        <f t="shared" si="53"/>
        <v>41252.307692307659</v>
      </c>
      <c r="CX82" s="16">
        <f t="shared" si="54"/>
        <v>-95.533498759305104</v>
      </c>
      <c r="CY82" s="16">
        <f t="shared" si="55"/>
        <v>0</v>
      </c>
      <c r="CZ82" s="16">
        <f t="shared" si="56"/>
        <v>0</v>
      </c>
      <c r="DA82" s="16">
        <f t="shared" si="57"/>
        <v>0</v>
      </c>
      <c r="DB82" s="16">
        <f t="shared" si="58"/>
        <v>-8274.1935483870948</v>
      </c>
      <c r="DC82" s="16">
        <f t="shared" si="59"/>
        <v>-95.533498759305104</v>
      </c>
      <c r="DD82" s="16">
        <f t="shared" si="60"/>
        <v>0</v>
      </c>
      <c r="DE82" s="16">
        <f t="shared" si="61"/>
        <v>0</v>
      </c>
      <c r="DF82" s="16">
        <f t="shared" si="62"/>
        <v>0</v>
      </c>
      <c r="DG82" s="14">
        <f>IF([1]Sheet2!DR81=999999,"NA",[1]Sheet2!DR81)</f>
        <v>73103</v>
      </c>
      <c r="DH82" s="14">
        <f>IF([1]Sheet2!DS81=999999,"NA",[1]Sheet2!DS81)</f>
        <v>286</v>
      </c>
      <c r="DI82" s="14">
        <f>IF([1]Sheet2!DT81=999999,"NA",[1]Sheet2!DT81)</f>
        <v>286</v>
      </c>
      <c r="DJ82" s="14" t="str">
        <f>IF([1]Sheet2!DU81=999999,"NA",[1]Sheet2!DU81)</f>
        <v>NA</v>
      </c>
      <c r="DK82" s="14" t="str">
        <f>IF([1]Sheet2!DV81=999999,"NA",[1]Sheet2!DV81)</f>
        <v>NA</v>
      </c>
      <c r="DL82" s="14" t="str">
        <f>IF([1]Sheet2!DW81=999999,"NA",[1]Sheet2!DW81)</f>
        <v>NA</v>
      </c>
      <c r="DM82" s="14">
        <f>IF([1]Sheet2!DX81=999999,"NA",[1]Sheet2!DX81)</f>
        <v>286</v>
      </c>
      <c r="DN82" s="14">
        <f>IF([1]Sheet2!DY81=999999,"NA",[1]Sheet2!DY81)</f>
        <v>286</v>
      </c>
      <c r="DO82" s="14" t="str">
        <f>IF([1]Sheet2!DZ81=999999,"NA",[1]Sheet2!DZ81)</f>
        <v>NA</v>
      </c>
      <c r="DP82" s="14" t="str">
        <f>IF([1]Sheet2!EA81=999999,"NA",[1]Sheet2!EA81)</f>
        <v>NA</v>
      </c>
      <c r="DQ82" s="14">
        <f>[1]Sheet2!CX81</f>
        <v>0</v>
      </c>
      <c r="DR82" s="14">
        <f>[1]Sheet2!CY81</f>
        <v>0</v>
      </c>
      <c r="DS82" s="14">
        <f>[1]Sheet2!CZ81</f>
        <v>0</v>
      </c>
      <c r="DT82" s="14">
        <f>[1]Sheet2!DA81</f>
        <v>0</v>
      </c>
      <c r="DU82" s="14">
        <f>[1]Sheet2!DB81</f>
        <v>0</v>
      </c>
      <c r="DV82" s="14">
        <f>[1]Sheet2!DC81</f>
        <v>0</v>
      </c>
      <c r="DW82" s="14">
        <f>[1]Sheet2!DD81</f>
        <v>0</v>
      </c>
      <c r="DX82" s="14">
        <f>[1]Sheet2!DE81</f>
        <v>0</v>
      </c>
      <c r="DY82" s="14">
        <f>[1]Sheet2!DF81</f>
        <v>0</v>
      </c>
      <c r="DZ82" s="14">
        <f>[1]Sheet2!DG81</f>
        <v>0</v>
      </c>
    </row>
    <row r="83" spans="1:130" x14ac:dyDescent="0.25">
      <c r="A83" s="15">
        <v>43545</v>
      </c>
      <c r="B83" s="1"/>
      <c r="C83" s="1"/>
      <c r="D83" s="1"/>
      <c r="E83" s="14">
        <f>[1]Sheet2!N82</f>
        <v>0</v>
      </c>
      <c r="F83" s="14">
        <f>[1]Sheet2!BE82</f>
        <v>0</v>
      </c>
      <c r="G83" s="14">
        <f>[1]Sheet2!CV82</f>
        <v>336.72456575682378</v>
      </c>
      <c r="H83" s="1"/>
      <c r="I83" s="1"/>
      <c r="J83" s="1"/>
      <c r="K83" s="16">
        <f>Demand_CWRS!B$5/31</f>
        <v>131.679370700757</v>
      </c>
      <c r="L83" s="16">
        <f>Demand_CWRS!C$5/31</f>
        <v>537.20942928039699</v>
      </c>
      <c r="M83" s="16">
        <f>Demand_CWRS!D$5/31</f>
        <v>0</v>
      </c>
      <c r="N83" s="16">
        <f>Demand_CWRS!E$5/31</f>
        <v>121.5961418056559</v>
      </c>
      <c r="O83" s="16">
        <f>Demand_CWRS!F$5/31</f>
        <v>245.08227837631262</v>
      </c>
      <c r="P83" s="16">
        <f>Demand_CWRS!G$5/31</f>
        <v>131.679370700757</v>
      </c>
      <c r="Q83" s="16">
        <f>Demand_CWRS!H$5/31</f>
        <v>537.20942928039699</v>
      </c>
      <c r="R83" s="16">
        <f>Demand_CWRS!I$5/31</f>
        <v>245.08227837631262</v>
      </c>
      <c r="S83" s="16">
        <f>Demand_CWRS!J$5/31</f>
        <v>245.08227837631262</v>
      </c>
      <c r="T83" s="16">
        <f>Demand_CWRS!K$5/31</f>
        <v>245.08227837631262</v>
      </c>
      <c r="U83" s="16">
        <f t="shared" si="33"/>
        <v>-13162.210594812028</v>
      </c>
      <c r="V83" s="16">
        <f t="shared" si="34"/>
        <v>-30810.028784119077</v>
      </c>
      <c r="W83" s="16">
        <f t="shared" si="35"/>
        <v>0</v>
      </c>
      <c r="X83" s="16">
        <f t="shared" si="36"/>
        <v>-7263.4433368931359</v>
      </c>
      <c r="Y83" s="16">
        <f t="shared" si="37"/>
        <v>-17658.69443244104</v>
      </c>
      <c r="Z83" s="16">
        <f t="shared" si="38"/>
        <v>-12945.266784715894</v>
      </c>
      <c r="AA83" s="16">
        <f t="shared" si="39"/>
        <v>-30310.028784119077</v>
      </c>
      <c r="AB83" s="16">
        <f t="shared" si="40"/>
        <v>-15346.727845902562</v>
      </c>
      <c r="AC83" s="16">
        <f t="shared" si="41"/>
        <v>-15346.727845902553</v>
      </c>
      <c r="AD83" s="16">
        <f t="shared" si="42"/>
        <v>-16046.727845902551</v>
      </c>
      <c r="AE83" s="14">
        <f>IF([1]Sheet2!AJ82=999999,"NA",[1]Sheet2!AJ82)</f>
        <v>47</v>
      </c>
      <c r="AF83" s="14">
        <f>IF([1]Sheet2!AK82=999999,"NA",[1]Sheet2!AK82)</f>
        <v>0</v>
      </c>
      <c r="AG83" s="14" t="str">
        <f>IF([1]Sheet2!AL82=999999,"NA",[1]Sheet2!AL82)</f>
        <v>NA</v>
      </c>
      <c r="AH83" s="14">
        <f>IF([1]Sheet2!AM82=999999,"NA",[1]Sheet2!AM82)</f>
        <v>285</v>
      </c>
      <c r="AI83" s="14">
        <f>IF([1]Sheet2!AN82=999999,"NA",[1]Sheet2!AN82)</f>
        <v>285</v>
      </c>
      <c r="AJ83" s="14">
        <f>IF([1]Sheet2!AO82=999999,"NA",[1]Sheet2!AO82)</f>
        <v>285</v>
      </c>
      <c r="AK83" s="14">
        <f>IF([1]Sheet2!AP82=999999,"NA",[1]Sheet2!AP82)</f>
        <v>30</v>
      </c>
      <c r="AL83" s="14">
        <f>IF([1]Sheet2!AQ82=999999,"NA",[1]Sheet2!AQ82)</f>
        <v>161</v>
      </c>
      <c r="AM83" s="14">
        <f>IF([1]Sheet2!AR82=999999,"NA",[1]Sheet2!AR82)</f>
        <v>285</v>
      </c>
      <c r="AN83" s="14">
        <f>IF([1]Sheet2!AS82=999999,"NA",[1]Sheet2!AS82)</f>
        <v>217</v>
      </c>
      <c r="AO83" s="14">
        <f>[1]Sheet2!P82</f>
        <v>0</v>
      </c>
      <c r="AP83" s="14">
        <f>[1]Sheet2!Q82</f>
        <v>0</v>
      </c>
      <c r="AQ83" s="14">
        <f>[1]Sheet2!R82</f>
        <v>0</v>
      </c>
      <c r="AR83" s="14">
        <f>[1]Sheet2!S82</f>
        <v>0</v>
      </c>
      <c r="AS83" s="14">
        <f>[1]Sheet2!T82</f>
        <v>0</v>
      </c>
      <c r="AT83" s="14">
        <f>[1]Sheet2!U82</f>
        <v>0</v>
      </c>
      <c r="AU83" s="14">
        <f>[1]Sheet2!V82</f>
        <v>0</v>
      </c>
      <c r="AV83" s="14">
        <f>[1]Sheet2!W82</f>
        <v>0</v>
      </c>
      <c r="AW83" s="14">
        <f>[1]Sheet2!X82</f>
        <v>0</v>
      </c>
      <c r="AX83" s="14">
        <f>[1]Sheet2!Y82</f>
        <v>0</v>
      </c>
      <c r="AY83" s="16">
        <f>Demand_LP!B$5/31</f>
        <v>754.78140345091151</v>
      </c>
      <c r="AZ83" s="16">
        <f>Demand_LP!C$5/31</f>
        <v>547.55235732009919</v>
      </c>
      <c r="BA83" s="16">
        <f>Demand_LP!D$5/31</f>
        <v>312.75612076095945</v>
      </c>
      <c r="BB83" s="16">
        <f>Demand_LP!E$5/31</f>
        <v>772.29437499345636</v>
      </c>
      <c r="BC83" s="16">
        <f>Demand_LP!F$5/31</f>
        <v>471.74248526347748</v>
      </c>
      <c r="BD83" s="16">
        <f>Demand_LP!G$5/31</f>
        <v>754.78140345091151</v>
      </c>
      <c r="BE83" s="16">
        <f>Demand_LP!H$5/31</f>
        <v>547.55235732009919</v>
      </c>
      <c r="BF83" s="16">
        <f>Demand_LP!I$5/31</f>
        <v>451.61290322580646</v>
      </c>
      <c r="BG83" s="16">
        <f>Demand_LP!J$5/31</f>
        <v>451.61290322580646</v>
      </c>
      <c r="BH83" s="16">
        <f>Demand_LP!K$5/31</f>
        <v>451.61290322580646</v>
      </c>
      <c r="BI83" s="16" t="e">
        <f t="shared" si="43"/>
        <v>#VALUE!</v>
      </c>
      <c r="BJ83" s="16">
        <f t="shared" si="44"/>
        <v>-45141.020016542563</v>
      </c>
      <c r="BK83" s="16">
        <f t="shared" si="45"/>
        <v>-19646.404177005774</v>
      </c>
      <c r="BL83" s="16">
        <f t="shared" si="46"/>
        <v>-56083.603669734359</v>
      </c>
      <c r="BM83" s="16">
        <f t="shared" si="47"/>
        <v>-35724.89122899458</v>
      </c>
      <c r="BN83" s="16">
        <f t="shared" si="48"/>
        <v>-52850.409472469211</v>
      </c>
      <c r="BO83" s="16">
        <f t="shared" si="49"/>
        <v>-47498.599503722078</v>
      </c>
      <c r="BP83" s="16">
        <f t="shared" si="50"/>
        <v>-35383.870967741939</v>
      </c>
      <c r="BQ83" s="16">
        <f t="shared" si="51"/>
        <v>-31983.870967741957</v>
      </c>
      <c r="BR83" s="16">
        <f t="shared" si="52"/>
        <v>-33183.870967741947</v>
      </c>
      <c r="BS83" s="14">
        <f>IF([1]Sheet2!CA82=999999,"NA",[1]Sheet2!CA82)</f>
        <v>183295.12903225792</v>
      </c>
      <c r="BT83" s="14">
        <f>IF([1]Sheet2!CB82=999999,"NA",[1]Sheet2!CB82)</f>
        <v>207</v>
      </c>
      <c r="BU83" s="14">
        <f>IF([1]Sheet2!CC82=999999,"NA",[1]Sheet2!CC82)</f>
        <v>285</v>
      </c>
      <c r="BV83" s="14">
        <f>IF([1]Sheet2!CD82=999999,"NA",[1]Sheet2!CD82)</f>
        <v>285</v>
      </c>
      <c r="BW83" s="14">
        <f>IF([1]Sheet2!CE82=999999,"NA",[1]Sheet2!CE82)</f>
        <v>247</v>
      </c>
      <c r="BX83" s="14">
        <f>IF([1]Sheet2!CF82=999999,"NA",[1]Sheet2!CF82)</f>
        <v>285</v>
      </c>
      <c r="BY83" s="14">
        <f>IF([1]Sheet2!CG82=999999,"NA",[1]Sheet2!CG82)</f>
        <v>179</v>
      </c>
      <c r="BZ83" s="14">
        <f>IF([1]Sheet2!CH82=999999,"NA",[1]Sheet2!CH82)</f>
        <v>285</v>
      </c>
      <c r="CA83" s="14">
        <f>IF([1]Sheet2!CI82=999999,"NA",[1]Sheet2!CI82)</f>
        <v>285</v>
      </c>
      <c r="CB83" s="14">
        <f>IF([1]Sheet2!CJ82=999999,"NA",[1]Sheet2!CJ82)</f>
        <v>285</v>
      </c>
      <c r="CC83" s="14">
        <f>[1]Sheet2!BG82</f>
        <v>0</v>
      </c>
      <c r="CD83" s="14">
        <f>[1]Sheet2!BH82</f>
        <v>0</v>
      </c>
      <c r="CE83" s="14">
        <f>[1]Sheet2!BI82</f>
        <v>0</v>
      </c>
      <c r="CF83" s="14">
        <f>[1]Sheet2!BJ82</f>
        <v>0</v>
      </c>
      <c r="CG83" s="14">
        <f>[1]Sheet2!BK82</f>
        <v>0</v>
      </c>
      <c r="CH83" s="14">
        <f>[1]Sheet2!BL82</f>
        <v>0</v>
      </c>
      <c r="CI83" s="14">
        <f>[1]Sheet2!BM82</f>
        <v>0</v>
      </c>
      <c r="CJ83" s="14">
        <f>[1]Sheet2!BN82</f>
        <v>0</v>
      </c>
      <c r="CK83" s="14">
        <f>[1]Sheet2!BO82</f>
        <v>0</v>
      </c>
      <c r="CL83" s="14">
        <f>[1]Sheet2!BP82</f>
        <v>0</v>
      </c>
      <c r="CM83" s="16">
        <f>Demand_SW!B$5/31</f>
        <v>138.46153846153845</v>
      </c>
      <c r="CN83" s="16">
        <f>Demand_SW!C$5/31</f>
        <v>29.776674937965261</v>
      </c>
      <c r="CO83" s="16">
        <f>Demand_SW!D$5/31</f>
        <v>0</v>
      </c>
      <c r="CP83" s="16">
        <f>Demand_SW!E$5/31</f>
        <v>0</v>
      </c>
      <c r="CQ83" s="16">
        <f>Demand_SW!F$5/31</f>
        <v>0</v>
      </c>
      <c r="CR83" s="16">
        <f>Demand_SW!G$5/31</f>
        <v>138.70967741935485</v>
      </c>
      <c r="CS83" s="16">
        <f>Demand_SW!H$5/31</f>
        <v>29.776674937965261</v>
      </c>
      <c r="CT83" s="16">
        <f>Demand_SW!I$5/31</f>
        <v>0</v>
      </c>
      <c r="CU83" s="16">
        <f>Demand_SW!J$5/31</f>
        <v>0</v>
      </c>
      <c r="CV83" s="16">
        <f>Demand_SW!K$5/31</f>
        <v>0</v>
      </c>
      <c r="CW83" s="16">
        <f t="shared" si="53"/>
        <v>41113.84615384612</v>
      </c>
      <c r="CX83" s="16">
        <f t="shared" si="54"/>
        <v>-125.31017369727036</v>
      </c>
      <c r="CY83" s="16">
        <f t="shared" si="55"/>
        <v>0</v>
      </c>
      <c r="CZ83" s="16">
        <f t="shared" si="56"/>
        <v>0</v>
      </c>
      <c r="DA83" s="16">
        <f t="shared" si="57"/>
        <v>0</v>
      </c>
      <c r="DB83" s="16">
        <f t="shared" si="58"/>
        <v>-8412.903225806449</v>
      </c>
      <c r="DC83" s="16">
        <f t="shared" si="59"/>
        <v>-125.31017369727036</v>
      </c>
      <c r="DD83" s="16">
        <f t="shared" si="60"/>
        <v>0</v>
      </c>
      <c r="DE83" s="16">
        <f t="shared" si="61"/>
        <v>0</v>
      </c>
      <c r="DF83" s="16">
        <f t="shared" si="62"/>
        <v>0</v>
      </c>
      <c r="DG83" s="14">
        <f>IF([1]Sheet2!DR82=999999,"NA",[1]Sheet2!DR82)</f>
        <v>73103</v>
      </c>
      <c r="DH83" s="14">
        <f>IF([1]Sheet2!DS82=999999,"NA",[1]Sheet2!DS82)</f>
        <v>285</v>
      </c>
      <c r="DI83" s="14">
        <f>IF([1]Sheet2!DT82=999999,"NA",[1]Sheet2!DT82)</f>
        <v>285</v>
      </c>
      <c r="DJ83" s="14" t="str">
        <f>IF([1]Sheet2!DU82=999999,"NA",[1]Sheet2!DU82)</f>
        <v>NA</v>
      </c>
      <c r="DK83" s="14" t="str">
        <f>IF([1]Sheet2!DV82=999999,"NA",[1]Sheet2!DV82)</f>
        <v>NA</v>
      </c>
      <c r="DL83" s="14" t="str">
        <f>IF([1]Sheet2!DW82=999999,"NA",[1]Sheet2!DW82)</f>
        <v>NA</v>
      </c>
      <c r="DM83" s="14">
        <f>IF([1]Sheet2!DX82=999999,"NA",[1]Sheet2!DX82)</f>
        <v>285</v>
      </c>
      <c r="DN83" s="14">
        <f>IF([1]Sheet2!DY82=999999,"NA",[1]Sheet2!DY82)</f>
        <v>285</v>
      </c>
      <c r="DO83" s="14" t="str">
        <f>IF([1]Sheet2!DZ82=999999,"NA",[1]Sheet2!DZ82)</f>
        <v>NA</v>
      </c>
      <c r="DP83" s="14" t="str">
        <f>IF([1]Sheet2!EA82=999999,"NA",[1]Sheet2!EA82)</f>
        <v>NA</v>
      </c>
      <c r="DQ83" s="14">
        <f>[1]Sheet2!CX82</f>
        <v>0</v>
      </c>
      <c r="DR83" s="14">
        <f>[1]Sheet2!CY82</f>
        <v>0</v>
      </c>
      <c r="DS83" s="14">
        <f>[1]Sheet2!CZ82</f>
        <v>0</v>
      </c>
      <c r="DT83" s="14">
        <f>[1]Sheet2!DA82</f>
        <v>0</v>
      </c>
      <c r="DU83" s="14">
        <f>[1]Sheet2!DB82</f>
        <v>0</v>
      </c>
      <c r="DV83" s="14">
        <f>[1]Sheet2!DC82</f>
        <v>0</v>
      </c>
      <c r="DW83" s="14">
        <f>[1]Sheet2!DD82</f>
        <v>0</v>
      </c>
      <c r="DX83" s="14">
        <f>[1]Sheet2!DE82</f>
        <v>0</v>
      </c>
      <c r="DY83" s="14">
        <f>[1]Sheet2!DF82</f>
        <v>0</v>
      </c>
      <c r="DZ83" s="14">
        <f>[1]Sheet2!DG82</f>
        <v>0</v>
      </c>
    </row>
    <row r="84" spans="1:130" x14ac:dyDescent="0.25">
      <c r="A84" s="15">
        <v>43546</v>
      </c>
      <c r="B84" s="1"/>
      <c r="C84" s="1"/>
      <c r="D84" s="1"/>
      <c r="E84" s="14">
        <f>[1]Sheet2!N83</f>
        <v>0</v>
      </c>
      <c r="F84" s="14">
        <f>[1]Sheet2!BE83</f>
        <v>0</v>
      </c>
      <c r="G84" s="14">
        <f>[1]Sheet2!CV83</f>
        <v>336.72456575682378</v>
      </c>
      <c r="H84" s="1"/>
      <c r="I84" s="1"/>
      <c r="J84" s="1"/>
      <c r="K84" s="16">
        <f>Demand_CWRS!B$5/31</f>
        <v>131.679370700757</v>
      </c>
      <c r="L84" s="16">
        <f>Demand_CWRS!C$5/31</f>
        <v>537.20942928039699</v>
      </c>
      <c r="M84" s="16">
        <f>Demand_CWRS!D$5/31</f>
        <v>0</v>
      </c>
      <c r="N84" s="16">
        <f>Demand_CWRS!E$5/31</f>
        <v>121.5961418056559</v>
      </c>
      <c r="O84" s="16">
        <f>Demand_CWRS!F$5/31</f>
        <v>245.08227837631262</v>
      </c>
      <c r="P84" s="16">
        <f>Demand_CWRS!G$5/31</f>
        <v>131.679370700757</v>
      </c>
      <c r="Q84" s="16">
        <f>Demand_CWRS!H$5/31</f>
        <v>537.20942928039699</v>
      </c>
      <c r="R84" s="16">
        <f>Demand_CWRS!I$5/31</f>
        <v>245.08227837631262</v>
      </c>
      <c r="S84" s="16">
        <f>Demand_CWRS!J$5/31</f>
        <v>245.08227837631262</v>
      </c>
      <c r="T84" s="16">
        <f>Demand_CWRS!K$5/31</f>
        <v>245.08227837631262</v>
      </c>
      <c r="U84" s="16">
        <f t="shared" si="33"/>
        <v>-13293.889965512784</v>
      </c>
      <c r="V84" s="16">
        <f t="shared" si="34"/>
        <v>-31347.238213399472</v>
      </c>
      <c r="W84" s="16">
        <f t="shared" si="35"/>
        <v>0</v>
      </c>
      <c r="X84" s="16">
        <f t="shared" si="36"/>
        <v>-7385.0394786987918</v>
      </c>
      <c r="Y84" s="16">
        <f t="shared" si="37"/>
        <v>-17903.776710817354</v>
      </c>
      <c r="Z84" s="16">
        <f t="shared" si="38"/>
        <v>-13076.94615541665</v>
      </c>
      <c r="AA84" s="16">
        <f t="shared" si="39"/>
        <v>-30847.238213399472</v>
      </c>
      <c r="AB84" s="16">
        <f t="shared" si="40"/>
        <v>-15591.810124278874</v>
      </c>
      <c r="AC84" s="16">
        <f t="shared" si="41"/>
        <v>-15591.810124278865</v>
      </c>
      <c r="AD84" s="16">
        <f t="shared" si="42"/>
        <v>-16291.810124278863</v>
      </c>
      <c r="AE84" s="14">
        <f>IF([1]Sheet2!AJ83=999999,"NA",[1]Sheet2!AJ83)</f>
        <v>46</v>
      </c>
      <c r="AF84" s="14">
        <f>IF([1]Sheet2!AK83=999999,"NA",[1]Sheet2!AK83)</f>
        <v>0</v>
      </c>
      <c r="AG84" s="14" t="str">
        <f>IF([1]Sheet2!AL83=999999,"NA",[1]Sheet2!AL83)</f>
        <v>NA</v>
      </c>
      <c r="AH84" s="14">
        <f>IF([1]Sheet2!AM83=999999,"NA",[1]Sheet2!AM83)</f>
        <v>284</v>
      </c>
      <c r="AI84" s="14">
        <f>IF([1]Sheet2!AN83=999999,"NA",[1]Sheet2!AN83)</f>
        <v>284</v>
      </c>
      <c r="AJ84" s="14">
        <f>IF([1]Sheet2!AO83=999999,"NA",[1]Sheet2!AO83)</f>
        <v>284</v>
      </c>
      <c r="AK84" s="14">
        <f>IF([1]Sheet2!AP83=999999,"NA",[1]Sheet2!AP83)</f>
        <v>29</v>
      </c>
      <c r="AL84" s="14">
        <f>IF([1]Sheet2!AQ83=999999,"NA",[1]Sheet2!AQ83)</f>
        <v>160</v>
      </c>
      <c r="AM84" s="14">
        <f>IF([1]Sheet2!AR83=999999,"NA",[1]Sheet2!AR83)</f>
        <v>284</v>
      </c>
      <c r="AN84" s="14">
        <f>IF([1]Sheet2!AS83=999999,"NA",[1]Sheet2!AS83)</f>
        <v>216</v>
      </c>
      <c r="AO84" s="14">
        <f>[1]Sheet2!P83</f>
        <v>0</v>
      </c>
      <c r="AP84" s="14">
        <f>[1]Sheet2!Q83</f>
        <v>0</v>
      </c>
      <c r="AQ84" s="14">
        <f>[1]Sheet2!R83</f>
        <v>0</v>
      </c>
      <c r="AR84" s="14">
        <f>[1]Sheet2!S83</f>
        <v>0</v>
      </c>
      <c r="AS84" s="14">
        <f>[1]Sheet2!T83</f>
        <v>0</v>
      </c>
      <c r="AT84" s="14">
        <f>[1]Sheet2!U83</f>
        <v>0</v>
      </c>
      <c r="AU84" s="14">
        <f>[1]Sheet2!V83</f>
        <v>0</v>
      </c>
      <c r="AV84" s="14">
        <f>[1]Sheet2!W83</f>
        <v>0</v>
      </c>
      <c r="AW84" s="14">
        <f>[1]Sheet2!X83</f>
        <v>0</v>
      </c>
      <c r="AX84" s="14">
        <f>[1]Sheet2!Y83</f>
        <v>0</v>
      </c>
      <c r="AY84" s="16">
        <f>Demand_LP!B$5/31</f>
        <v>754.78140345091151</v>
      </c>
      <c r="AZ84" s="16">
        <f>Demand_LP!C$5/31</f>
        <v>547.55235732009919</v>
      </c>
      <c r="BA84" s="16">
        <f>Demand_LP!D$5/31</f>
        <v>312.75612076095945</v>
      </c>
      <c r="BB84" s="16">
        <f>Demand_LP!E$5/31</f>
        <v>772.29437499345636</v>
      </c>
      <c r="BC84" s="16">
        <f>Demand_LP!F$5/31</f>
        <v>471.74248526347748</v>
      </c>
      <c r="BD84" s="16">
        <f>Demand_LP!G$5/31</f>
        <v>754.78140345091151</v>
      </c>
      <c r="BE84" s="16">
        <f>Demand_LP!H$5/31</f>
        <v>547.55235732009919</v>
      </c>
      <c r="BF84" s="16">
        <f>Demand_LP!I$5/31</f>
        <v>451.61290322580646</v>
      </c>
      <c r="BG84" s="16">
        <f>Demand_LP!J$5/31</f>
        <v>451.61290322580646</v>
      </c>
      <c r="BH84" s="16">
        <f>Demand_LP!K$5/31</f>
        <v>451.61290322580646</v>
      </c>
      <c r="BI84" s="16" t="e">
        <f t="shared" si="43"/>
        <v>#VALUE!</v>
      </c>
      <c r="BJ84" s="16">
        <f t="shared" si="44"/>
        <v>-45688.572373862662</v>
      </c>
      <c r="BK84" s="16">
        <f t="shared" si="45"/>
        <v>-19959.160297766732</v>
      </c>
      <c r="BL84" s="16">
        <f t="shared" si="46"/>
        <v>-56855.898044727815</v>
      </c>
      <c r="BM84" s="16">
        <f t="shared" si="47"/>
        <v>-36196.63371425806</v>
      </c>
      <c r="BN84" s="16">
        <f t="shared" si="48"/>
        <v>-53605.190875920125</v>
      </c>
      <c r="BO84" s="16">
        <f t="shared" si="49"/>
        <v>-48046.151861042177</v>
      </c>
      <c r="BP84" s="16">
        <f t="shared" si="50"/>
        <v>-35835.483870967742</v>
      </c>
      <c r="BQ84" s="16">
        <f t="shared" si="51"/>
        <v>-32435.483870967764</v>
      </c>
      <c r="BR84" s="16">
        <f t="shared" si="52"/>
        <v>-33635.48387096775</v>
      </c>
      <c r="BS84" s="14">
        <f>IF([1]Sheet2!CA83=999999,"NA",[1]Sheet2!CA83)</f>
        <v>182843.5161290321</v>
      </c>
      <c r="BT84" s="14">
        <f>IF([1]Sheet2!CB83=999999,"NA",[1]Sheet2!CB83)</f>
        <v>206</v>
      </c>
      <c r="BU84" s="14">
        <f>IF([1]Sheet2!CC83=999999,"NA",[1]Sheet2!CC83)</f>
        <v>284</v>
      </c>
      <c r="BV84" s="14">
        <f>IF([1]Sheet2!CD83=999999,"NA",[1]Sheet2!CD83)</f>
        <v>284</v>
      </c>
      <c r="BW84" s="14">
        <f>IF([1]Sheet2!CE83=999999,"NA",[1]Sheet2!CE83)</f>
        <v>246</v>
      </c>
      <c r="BX84" s="14">
        <f>IF([1]Sheet2!CF83=999999,"NA",[1]Sheet2!CF83)</f>
        <v>284</v>
      </c>
      <c r="BY84" s="14">
        <f>IF([1]Sheet2!CG83=999999,"NA",[1]Sheet2!CG83)</f>
        <v>178</v>
      </c>
      <c r="BZ84" s="14">
        <f>IF([1]Sheet2!CH83=999999,"NA",[1]Sheet2!CH83)</f>
        <v>284</v>
      </c>
      <c r="CA84" s="14">
        <f>IF([1]Sheet2!CI83=999999,"NA",[1]Sheet2!CI83)</f>
        <v>284</v>
      </c>
      <c r="CB84" s="14">
        <f>IF([1]Sheet2!CJ83=999999,"NA",[1]Sheet2!CJ83)</f>
        <v>284</v>
      </c>
      <c r="CC84" s="14">
        <f>[1]Sheet2!BG83</f>
        <v>0</v>
      </c>
      <c r="CD84" s="14">
        <f>[1]Sheet2!BH83</f>
        <v>0</v>
      </c>
      <c r="CE84" s="14">
        <f>[1]Sheet2!BI83</f>
        <v>0</v>
      </c>
      <c r="CF84" s="14">
        <f>[1]Sheet2!BJ83</f>
        <v>0</v>
      </c>
      <c r="CG84" s="14">
        <f>[1]Sheet2!BK83</f>
        <v>0</v>
      </c>
      <c r="CH84" s="14">
        <f>[1]Sheet2!BL83</f>
        <v>0</v>
      </c>
      <c r="CI84" s="14">
        <f>[1]Sheet2!BM83</f>
        <v>0</v>
      </c>
      <c r="CJ84" s="14">
        <f>[1]Sheet2!BN83</f>
        <v>0</v>
      </c>
      <c r="CK84" s="14">
        <f>[1]Sheet2!BO83</f>
        <v>0</v>
      </c>
      <c r="CL84" s="14">
        <f>[1]Sheet2!BP83</f>
        <v>0</v>
      </c>
      <c r="CM84" s="16">
        <f>Demand_SW!B$5/31</f>
        <v>138.46153846153845</v>
      </c>
      <c r="CN84" s="16">
        <f>Demand_SW!C$5/31</f>
        <v>29.776674937965261</v>
      </c>
      <c r="CO84" s="16">
        <f>Demand_SW!D$5/31</f>
        <v>0</v>
      </c>
      <c r="CP84" s="16">
        <f>Demand_SW!E$5/31</f>
        <v>0</v>
      </c>
      <c r="CQ84" s="16">
        <f>Demand_SW!F$5/31</f>
        <v>0</v>
      </c>
      <c r="CR84" s="16">
        <f>Demand_SW!G$5/31</f>
        <v>138.70967741935485</v>
      </c>
      <c r="CS84" s="16">
        <f>Demand_SW!H$5/31</f>
        <v>29.776674937965261</v>
      </c>
      <c r="CT84" s="16">
        <f>Demand_SW!I$5/31</f>
        <v>0</v>
      </c>
      <c r="CU84" s="16">
        <f>Demand_SW!J$5/31</f>
        <v>0</v>
      </c>
      <c r="CV84" s="16">
        <f>Demand_SW!K$5/31</f>
        <v>0</v>
      </c>
      <c r="CW84" s="16">
        <f t="shared" si="53"/>
        <v>40975.384615384581</v>
      </c>
      <c r="CX84" s="16">
        <f t="shared" si="54"/>
        <v>-155.08684863523561</v>
      </c>
      <c r="CY84" s="16">
        <f t="shared" si="55"/>
        <v>0</v>
      </c>
      <c r="CZ84" s="16">
        <f t="shared" si="56"/>
        <v>0</v>
      </c>
      <c r="DA84" s="16">
        <f t="shared" si="57"/>
        <v>0</v>
      </c>
      <c r="DB84" s="16">
        <f t="shared" si="58"/>
        <v>-8551.6129032258032</v>
      </c>
      <c r="DC84" s="16">
        <f t="shared" si="59"/>
        <v>-155.08684863523561</v>
      </c>
      <c r="DD84" s="16">
        <f t="shared" si="60"/>
        <v>0</v>
      </c>
      <c r="DE84" s="16">
        <f t="shared" si="61"/>
        <v>0</v>
      </c>
      <c r="DF84" s="16">
        <f t="shared" si="62"/>
        <v>0</v>
      </c>
      <c r="DG84" s="14">
        <f>IF([1]Sheet2!DR83=999999,"NA",[1]Sheet2!DR83)</f>
        <v>73103</v>
      </c>
      <c r="DH84" s="14">
        <f>IF([1]Sheet2!DS83=999999,"NA",[1]Sheet2!DS83)</f>
        <v>284</v>
      </c>
      <c r="DI84" s="14">
        <f>IF([1]Sheet2!DT83=999999,"NA",[1]Sheet2!DT83)</f>
        <v>284</v>
      </c>
      <c r="DJ84" s="14" t="str">
        <f>IF([1]Sheet2!DU83=999999,"NA",[1]Sheet2!DU83)</f>
        <v>NA</v>
      </c>
      <c r="DK84" s="14" t="str">
        <f>IF([1]Sheet2!DV83=999999,"NA",[1]Sheet2!DV83)</f>
        <v>NA</v>
      </c>
      <c r="DL84" s="14" t="str">
        <f>IF([1]Sheet2!DW83=999999,"NA",[1]Sheet2!DW83)</f>
        <v>NA</v>
      </c>
      <c r="DM84" s="14">
        <f>IF([1]Sheet2!DX83=999999,"NA",[1]Sheet2!DX83)</f>
        <v>284</v>
      </c>
      <c r="DN84" s="14">
        <f>IF([1]Sheet2!DY83=999999,"NA",[1]Sheet2!DY83)</f>
        <v>284</v>
      </c>
      <c r="DO84" s="14" t="str">
        <f>IF([1]Sheet2!DZ83=999999,"NA",[1]Sheet2!DZ83)</f>
        <v>NA</v>
      </c>
      <c r="DP84" s="14" t="str">
        <f>IF([1]Sheet2!EA83=999999,"NA",[1]Sheet2!EA83)</f>
        <v>NA</v>
      </c>
      <c r="DQ84" s="14">
        <f>[1]Sheet2!CX83</f>
        <v>0</v>
      </c>
      <c r="DR84" s="14">
        <f>[1]Sheet2!CY83</f>
        <v>0</v>
      </c>
      <c r="DS84" s="14">
        <f>[1]Sheet2!CZ83</f>
        <v>0</v>
      </c>
      <c r="DT84" s="14">
        <f>[1]Sheet2!DA83</f>
        <v>0</v>
      </c>
      <c r="DU84" s="14">
        <f>[1]Sheet2!DB83</f>
        <v>0</v>
      </c>
      <c r="DV84" s="14">
        <f>[1]Sheet2!DC83</f>
        <v>0</v>
      </c>
      <c r="DW84" s="14">
        <f>[1]Sheet2!DD83</f>
        <v>0</v>
      </c>
      <c r="DX84" s="14">
        <f>[1]Sheet2!DE83</f>
        <v>0</v>
      </c>
      <c r="DY84" s="14">
        <f>[1]Sheet2!DF83</f>
        <v>0</v>
      </c>
      <c r="DZ84" s="14">
        <f>[1]Sheet2!DG83</f>
        <v>0</v>
      </c>
    </row>
    <row r="85" spans="1:130" x14ac:dyDescent="0.25">
      <c r="A85" s="15">
        <v>43547</v>
      </c>
      <c r="B85" s="1"/>
      <c r="C85" s="1"/>
      <c r="D85" s="1"/>
      <c r="E85" s="14">
        <f>[1]Sheet2!N84</f>
        <v>0</v>
      </c>
      <c r="F85" s="14">
        <f>[1]Sheet2!BE84</f>
        <v>0</v>
      </c>
      <c r="G85" s="14">
        <f>[1]Sheet2!CV84</f>
        <v>336.72456575682378</v>
      </c>
      <c r="H85" s="1"/>
      <c r="I85" s="1"/>
      <c r="J85" s="1"/>
      <c r="K85" s="16">
        <f>Demand_CWRS!B$5/31</f>
        <v>131.679370700757</v>
      </c>
      <c r="L85" s="16">
        <f>Demand_CWRS!C$5/31</f>
        <v>537.20942928039699</v>
      </c>
      <c r="M85" s="16">
        <f>Demand_CWRS!D$5/31</f>
        <v>0</v>
      </c>
      <c r="N85" s="16">
        <f>Demand_CWRS!E$5/31</f>
        <v>121.5961418056559</v>
      </c>
      <c r="O85" s="16">
        <f>Demand_CWRS!F$5/31</f>
        <v>245.08227837631262</v>
      </c>
      <c r="P85" s="16">
        <f>Demand_CWRS!G$5/31</f>
        <v>131.679370700757</v>
      </c>
      <c r="Q85" s="16">
        <f>Demand_CWRS!H$5/31</f>
        <v>537.20942928039699</v>
      </c>
      <c r="R85" s="16">
        <f>Demand_CWRS!I$5/31</f>
        <v>245.08227837631262</v>
      </c>
      <c r="S85" s="16">
        <f>Demand_CWRS!J$5/31</f>
        <v>245.08227837631262</v>
      </c>
      <c r="T85" s="16">
        <f>Demand_CWRS!K$5/31</f>
        <v>245.08227837631262</v>
      </c>
      <c r="U85" s="16">
        <f t="shared" si="33"/>
        <v>-13425.569336213541</v>
      </c>
      <c r="V85" s="16">
        <f t="shared" si="34"/>
        <v>-31884.447642679868</v>
      </c>
      <c r="W85" s="16">
        <f t="shared" si="35"/>
        <v>0</v>
      </c>
      <c r="X85" s="16">
        <f t="shared" si="36"/>
        <v>-7506.6356205044476</v>
      </c>
      <c r="Y85" s="16">
        <f t="shared" si="37"/>
        <v>-18148.858989193668</v>
      </c>
      <c r="Z85" s="16">
        <f t="shared" si="38"/>
        <v>-13208.625526117406</v>
      </c>
      <c r="AA85" s="16">
        <f t="shared" si="39"/>
        <v>-31384.447642679868</v>
      </c>
      <c r="AB85" s="16">
        <f t="shared" si="40"/>
        <v>-15836.892402655187</v>
      </c>
      <c r="AC85" s="16">
        <f t="shared" si="41"/>
        <v>-15836.892402655178</v>
      </c>
      <c r="AD85" s="16">
        <f t="shared" si="42"/>
        <v>-16536.892402655176</v>
      </c>
      <c r="AE85" s="14">
        <f>IF([1]Sheet2!AJ84=999999,"NA",[1]Sheet2!AJ84)</f>
        <v>45</v>
      </c>
      <c r="AF85" s="14">
        <f>IF([1]Sheet2!AK84=999999,"NA",[1]Sheet2!AK84)</f>
        <v>0</v>
      </c>
      <c r="AG85" s="14" t="str">
        <f>IF([1]Sheet2!AL84=999999,"NA",[1]Sheet2!AL84)</f>
        <v>NA</v>
      </c>
      <c r="AH85" s="14">
        <f>IF([1]Sheet2!AM84=999999,"NA",[1]Sheet2!AM84)</f>
        <v>283</v>
      </c>
      <c r="AI85" s="14">
        <f>IF([1]Sheet2!AN84=999999,"NA",[1]Sheet2!AN84)</f>
        <v>283</v>
      </c>
      <c r="AJ85" s="14">
        <f>IF([1]Sheet2!AO84=999999,"NA",[1]Sheet2!AO84)</f>
        <v>283</v>
      </c>
      <c r="AK85" s="14">
        <f>IF([1]Sheet2!AP84=999999,"NA",[1]Sheet2!AP84)</f>
        <v>28</v>
      </c>
      <c r="AL85" s="14">
        <f>IF([1]Sheet2!AQ84=999999,"NA",[1]Sheet2!AQ84)</f>
        <v>159</v>
      </c>
      <c r="AM85" s="14">
        <f>IF([1]Sheet2!AR84=999999,"NA",[1]Sheet2!AR84)</f>
        <v>283</v>
      </c>
      <c r="AN85" s="14">
        <f>IF([1]Sheet2!AS84=999999,"NA",[1]Sheet2!AS84)</f>
        <v>215</v>
      </c>
      <c r="AO85" s="14">
        <f>[1]Sheet2!P84</f>
        <v>0</v>
      </c>
      <c r="AP85" s="14">
        <f>[1]Sheet2!Q84</f>
        <v>0</v>
      </c>
      <c r="AQ85" s="14">
        <f>[1]Sheet2!R84</f>
        <v>0</v>
      </c>
      <c r="AR85" s="14">
        <f>[1]Sheet2!S84</f>
        <v>0</v>
      </c>
      <c r="AS85" s="14">
        <f>[1]Sheet2!T84</f>
        <v>0</v>
      </c>
      <c r="AT85" s="14">
        <f>[1]Sheet2!U84</f>
        <v>0</v>
      </c>
      <c r="AU85" s="14">
        <f>[1]Sheet2!V84</f>
        <v>0</v>
      </c>
      <c r="AV85" s="14">
        <f>[1]Sheet2!W84</f>
        <v>0</v>
      </c>
      <c r="AW85" s="14">
        <f>[1]Sheet2!X84</f>
        <v>0</v>
      </c>
      <c r="AX85" s="14">
        <f>[1]Sheet2!Y84</f>
        <v>0</v>
      </c>
      <c r="AY85" s="16">
        <f>Demand_LP!B$5/31</f>
        <v>754.78140345091151</v>
      </c>
      <c r="AZ85" s="16">
        <f>Demand_LP!C$5/31</f>
        <v>547.55235732009919</v>
      </c>
      <c r="BA85" s="16">
        <f>Demand_LP!D$5/31</f>
        <v>312.75612076095945</v>
      </c>
      <c r="BB85" s="16">
        <f>Demand_LP!E$5/31</f>
        <v>772.29437499345636</v>
      </c>
      <c r="BC85" s="16">
        <f>Demand_LP!F$5/31</f>
        <v>471.74248526347748</v>
      </c>
      <c r="BD85" s="16">
        <f>Demand_LP!G$5/31</f>
        <v>754.78140345091151</v>
      </c>
      <c r="BE85" s="16">
        <f>Demand_LP!H$5/31</f>
        <v>547.55235732009919</v>
      </c>
      <c r="BF85" s="16">
        <f>Demand_LP!I$5/31</f>
        <v>451.61290322580646</v>
      </c>
      <c r="BG85" s="16">
        <f>Demand_LP!J$5/31</f>
        <v>451.61290322580646</v>
      </c>
      <c r="BH85" s="16">
        <f>Demand_LP!K$5/31</f>
        <v>451.61290322580646</v>
      </c>
      <c r="BI85" s="16" t="e">
        <f t="shared" si="43"/>
        <v>#VALUE!</v>
      </c>
      <c r="BJ85" s="16">
        <f t="shared" si="44"/>
        <v>-46236.124731182761</v>
      </c>
      <c r="BK85" s="16">
        <f t="shared" si="45"/>
        <v>-20271.91641852769</v>
      </c>
      <c r="BL85" s="16">
        <f t="shared" si="46"/>
        <v>-57628.192419721272</v>
      </c>
      <c r="BM85" s="16">
        <f t="shared" si="47"/>
        <v>-36668.376199521539</v>
      </c>
      <c r="BN85" s="16">
        <f t="shared" si="48"/>
        <v>-54359.972279371039</v>
      </c>
      <c r="BO85" s="16">
        <f t="shared" si="49"/>
        <v>-48593.704218362276</v>
      </c>
      <c r="BP85" s="16">
        <f t="shared" si="50"/>
        <v>-36287.096774193546</v>
      </c>
      <c r="BQ85" s="16">
        <f t="shared" si="51"/>
        <v>-32887.096774193567</v>
      </c>
      <c r="BR85" s="16">
        <f t="shared" si="52"/>
        <v>-34087.096774193553</v>
      </c>
      <c r="BS85" s="14">
        <f>IF([1]Sheet2!CA84=999999,"NA",[1]Sheet2!CA84)</f>
        <v>182391.90322580628</v>
      </c>
      <c r="BT85" s="14">
        <f>IF([1]Sheet2!CB84=999999,"NA",[1]Sheet2!CB84)</f>
        <v>205</v>
      </c>
      <c r="BU85" s="14">
        <f>IF([1]Sheet2!CC84=999999,"NA",[1]Sheet2!CC84)</f>
        <v>283</v>
      </c>
      <c r="BV85" s="14">
        <f>IF([1]Sheet2!CD84=999999,"NA",[1]Sheet2!CD84)</f>
        <v>283</v>
      </c>
      <c r="BW85" s="14">
        <f>IF([1]Sheet2!CE84=999999,"NA",[1]Sheet2!CE84)</f>
        <v>245</v>
      </c>
      <c r="BX85" s="14">
        <f>IF([1]Sheet2!CF84=999999,"NA",[1]Sheet2!CF84)</f>
        <v>283</v>
      </c>
      <c r="BY85" s="14">
        <f>IF([1]Sheet2!CG84=999999,"NA",[1]Sheet2!CG84)</f>
        <v>177</v>
      </c>
      <c r="BZ85" s="14">
        <f>IF([1]Sheet2!CH84=999999,"NA",[1]Sheet2!CH84)</f>
        <v>283</v>
      </c>
      <c r="CA85" s="14">
        <f>IF([1]Sheet2!CI84=999999,"NA",[1]Sheet2!CI84)</f>
        <v>283</v>
      </c>
      <c r="CB85" s="14">
        <f>IF([1]Sheet2!CJ84=999999,"NA",[1]Sheet2!CJ84)</f>
        <v>283</v>
      </c>
      <c r="CC85" s="14">
        <f>[1]Sheet2!BG84</f>
        <v>0</v>
      </c>
      <c r="CD85" s="14">
        <f>[1]Sheet2!BH84</f>
        <v>0</v>
      </c>
      <c r="CE85" s="14">
        <f>[1]Sheet2!BI84</f>
        <v>0</v>
      </c>
      <c r="CF85" s="14">
        <f>[1]Sheet2!BJ84</f>
        <v>0</v>
      </c>
      <c r="CG85" s="14">
        <f>[1]Sheet2!BK84</f>
        <v>0</v>
      </c>
      <c r="CH85" s="14">
        <f>[1]Sheet2!BL84</f>
        <v>0</v>
      </c>
      <c r="CI85" s="14">
        <f>[1]Sheet2!BM84</f>
        <v>0</v>
      </c>
      <c r="CJ85" s="14">
        <f>[1]Sheet2!BN84</f>
        <v>0</v>
      </c>
      <c r="CK85" s="14">
        <f>[1]Sheet2!BO84</f>
        <v>0</v>
      </c>
      <c r="CL85" s="14">
        <f>[1]Sheet2!BP84</f>
        <v>0</v>
      </c>
      <c r="CM85" s="16">
        <f>Demand_SW!B$5/31</f>
        <v>138.46153846153845</v>
      </c>
      <c r="CN85" s="16">
        <f>Demand_SW!C$5/31</f>
        <v>29.776674937965261</v>
      </c>
      <c r="CO85" s="16">
        <f>Demand_SW!D$5/31</f>
        <v>0</v>
      </c>
      <c r="CP85" s="16">
        <f>Demand_SW!E$5/31</f>
        <v>0</v>
      </c>
      <c r="CQ85" s="16">
        <f>Demand_SW!F$5/31</f>
        <v>0</v>
      </c>
      <c r="CR85" s="16">
        <f>Demand_SW!G$5/31</f>
        <v>138.70967741935485</v>
      </c>
      <c r="CS85" s="16">
        <f>Demand_SW!H$5/31</f>
        <v>29.776674937965261</v>
      </c>
      <c r="CT85" s="16">
        <f>Demand_SW!I$5/31</f>
        <v>0</v>
      </c>
      <c r="CU85" s="16">
        <f>Demand_SW!J$5/31</f>
        <v>0</v>
      </c>
      <c r="CV85" s="16">
        <f>Demand_SW!K$5/31</f>
        <v>0</v>
      </c>
      <c r="CW85" s="16">
        <f t="shared" si="53"/>
        <v>40836.923076923042</v>
      </c>
      <c r="CX85" s="16">
        <f t="shared" si="54"/>
        <v>-184.86352357320087</v>
      </c>
      <c r="CY85" s="16">
        <f t="shared" si="55"/>
        <v>0</v>
      </c>
      <c r="CZ85" s="16">
        <f t="shared" si="56"/>
        <v>0</v>
      </c>
      <c r="DA85" s="16">
        <f t="shared" si="57"/>
        <v>0</v>
      </c>
      <c r="DB85" s="16">
        <f t="shared" si="58"/>
        <v>-8690.3225806451574</v>
      </c>
      <c r="DC85" s="16">
        <f t="shared" si="59"/>
        <v>-184.86352357320087</v>
      </c>
      <c r="DD85" s="16">
        <f t="shared" si="60"/>
        <v>0</v>
      </c>
      <c r="DE85" s="16">
        <f t="shared" si="61"/>
        <v>0</v>
      </c>
      <c r="DF85" s="16">
        <f t="shared" si="62"/>
        <v>0</v>
      </c>
      <c r="DG85" s="14">
        <f>IF([1]Sheet2!DR84=999999,"NA",[1]Sheet2!DR84)</f>
        <v>73103</v>
      </c>
      <c r="DH85" s="14">
        <f>IF([1]Sheet2!DS84=999999,"NA",[1]Sheet2!DS84)</f>
        <v>283</v>
      </c>
      <c r="DI85" s="14">
        <f>IF([1]Sheet2!DT84=999999,"NA",[1]Sheet2!DT84)</f>
        <v>283</v>
      </c>
      <c r="DJ85" s="14" t="str">
        <f>IF([1]Sheet2!DU84=999999,"NA",[1]Sheet2!DU84)</f>
        <v>NA</v>
      </c>
      <c r="DK85" s="14" t="str">
        <f>IF([1]Sheet2!DV84=999999,"NA",[1]Sheet2!DV84)</f>
        <v>NA</v>
      </c>
      <c r="DL85" s="14" t="str">
        <f>IF([1]Sheet2!DW84=999999,"NA",[1]Sheet2!DW84)</f>
        <v>NA</v>
      </c>
      <c r="DM85" s="14">
        <f>IF([1]Sheet2!DX84=999999,"NA",[1]Sheet2!DX84)</f>
        <v>283</v>
      </c>
      <c r="DN85" s="14">
        <f>IF([1]Sheet2!DY84=999999,"NA",[1]Sheet2!DY84)</f>
        <v>283</v>
      </c>
      <c r="DO85" s="14" t="str">
        <f>IF([1]Sheet2!DZ84=999999,"NA",[1]Sheet2!DZ84)</f>
        <v>NA</v>
      </c>
      <c r="DP85" s="14" t="str">
        <f>IF([1]Sheet2!EA84=999999,"NA",[1]Sheet2!EA84)</f>
        <v>NA</v>
      </c>
      <c r="DQ85" s="14">
        <f>[1]Sheet2!CX84</f>
        <v>0</v>
      </c>
      <c r="DR85" s="14">
        <f>[1]Sheet2!CY84</f>
        <v>0</v>
      </c>
      <c r="DS85" s="14">
        <f>[1]Sheet2!CZ84</f>
        <v>0</v>
      </c>
      <c r="DT85" s="14">
        <f>[1]Sheet2!DA84</f>
        <v>0</v>
      </c>
      <c r="DU85" s="14">
        <f>[1]Sheet2!DB84</f>
        <v>0</v>
      </c>
      <c r="DV85" s="14">
        <f>[1]Sheet2!DC84</f>
        <v>0</v>
      </c>
      <c r="DW85" s="14">
        <f>[1]Sheet2!DD84</f>
        <v>0</v>
      </c>
      <c r="DX85" s="14">
        <f>[1]Sheet2!DE84</f>
        <v>0</v>
      </c>
      <c r="DY85" s="14">
        <f>[1]Sheet2!DF84</f>
        <v>0</v>
      </c>
      <c r="DZ85" s="14">
        <f>[1]Sheet2!DG84</f>
        <v>0</v>
      </c>
    </row>
    <row r="86" spans="1:130" x14ac:dyDescent="0.25">
      <c r="A86" s="15">
        <v>43548</v>
      </c>
      <c r="B86" s="1"/>
      <c r="C86" s="1"/>
      <c r="D86" s="1"/>
      <c r="E86" s="14">
        <f>[1]Sheet2!N85</f>
        <v>0</v>
      </c>
      <c r="F86" s="14">
        <f>[1]Sheet2!BE85</f>
        <v>0</v>
      </c>
      <c r="G86" s="14">
        <f>[1]Sheet2!CV85</f>
        <v>336.72456575682378</v>
      </c>
      <c r="H86" s="1"/>
      <c r="I86" s="1"/>
      <c r="J86" s="1"/>
      <c r="K86" s="16">
        <f>Demand_CWRS!B$5/31</f>
        <v>131.679370700757</v>
      </c>
      <c r="L86" s="16">
        <f>Demand_CWRS!C$5/31</f>
        <v>537.20942928039699</v>
      </c>
      <c r="M86" s="16">
        <f>Demand_CWRS!D$5/31</f>
        <v>0</v>
      </c>
      <c r="N86" s="16">
        <f>Demand_CWRS!E$5/31</f>
        <v>121.5961418056559</v>
      </c>
      <c r="O86" s="16">
        <f>Demand_CWRS!F$5/31</f>
        <v>245.08227837631262</v>
      </c>
      <c r="P86" s="16">
        <f>Demand_CWRS!G$5/31</f>
        <v>131.679370700757</v>
      </c>
      <c r="Q86" s="16">
        <f>Demand_CWRS!H$5/31</f>
        <v>537.20942928039699</v>
      </c>
      <c r="R86" s="16">
        <f>Demand_CWRS!I$5/31</f>
        <v>245.08227837631262</v>
      </c>
      <c r="S86" s="16">
        <f>Demand_CWRS!J$5/31</f>
        <v>245.08227837631262</v>
      </c>
      <c r="T86" s="16">
        <f>Demand_CWRS!K$5/31</f>
        <v>245.08227837631262</v>
      </c>
      <c r="U86" s="16">
        <f t="shared" si="33"/>
        <v>-13557.248706914297</v>
      </c>
      <c r="V86" s="16">
        <f t="shared" si="34"/>
        <v>-32421.657071960264</v>
      </c>
      <c r="W86" s="16">
        <f t="shared" si="35"/>
        <v>0</v>
      </c>
      <c r="X86" s="16">
        <f t="shared" si="36"/>
        <v>-7628.2317623101035</v>
      </c>
      <c r="Y86" s="16">
        <f t="shared" si="37"/>
        <v>-18393.941267569982</v>
      </c>
      <c r="Z86" s="16">
        <f t="shared" si="38"/>
        <v>-13340.304896818163</v>
      </c>
      <c r="AA86" s="16">
        <f t="shared" si="39"/>
        <v>-31921.657071960264</v>
      </c>
      <c r="AB86" s="16">
        <f t="shared" si="40"/>
        <v>-16081.974681031499</v>
      </c>
      <c r="AC86" s="16">
        <f t="shared" si="41"/>
        <v>-16081.97468103149</v>
      </c>
      <c r="AD86" s="16">
        <f t="shared" si="42"/>
        <v>-16781.97468103149</v>
      </c>
      <c r="AE86" s="14">
        <f>IF([1]Sheet2!AJ85=999999,"NA",[1]Sheet2!AJ85)</f>
        <v>44</v>
      </c>
      <c r="AF86" s="14">
        <f>IF([1]Sheet2!AK85=999999,"NA",[1]Sheet2!AK85)</f>
        <v>0</v>
      </c>
      <c r="AG86" s="14" t="str">
        <f>IF([1]Sheet2!AL85=999999,"NA",[1]Sheet2!AL85)</f>
        <v>NA</v>
      </c>
      <c r="AH86" s="14">
        <f>IF([1]Sheet2!AM85=999999,"NA",[1]Sheet2!AM85)</f>
        <v>282</v>
      </c>
      <c r="AI86" s="14">
        <f>IF([1]Sheet2!AN85=999999,"NA",[1]Sheet2!AN85)</f>
        <v>282</v>
      </c>
      <c r="AJ86" s="14">
        <f>IF([1]Sheet2!AO85=999999,"NA",[1]Sheet2!AO85)</f>
        <v>282</v>
      </c>
      <c r="AK86" s="14">
        <f>IF([1]Sheet2!AP85=999999,"NA",[1]Sheet2!AP85)</f>
        <v>27</v>
      </c>
      <c r="AL86" s="14">
        <f>IF([1]Sheet2!AQ85=999999,"NA",[1]Sheet2!AQ85)</f>
        <v>158</v>
      </c>
      <c r="AM86" s="14">
        <f>IF([1]Sheet2!AR85=999999,"NA",[1]Sheet2!AR85)</f>
        <v>282</v>
      </c>
      <c r="AN86" s="14">
        <f>IF([1]Sheet2!AS85=999999,"NA",[1]Sheet2!AS85)</f>
        <v>214</v>
      </c>
      <c r="AO86" s="14">
        <f>[1]Sheet2!P85</f>
        <v>0</v>
      </c>
      <c r="AP86" s="14">
        <f>[1]Sheet2!Q85</f>
        <v>0</v>
      </c>
      <c r="AQ86" s="14">
        <f>[1]Sheet2!R85</f>
        <v>0</v>
      </c>
      <c r="AR86" s="14">
        <f>[1]Sheet2!S85</f>
        <v>0</v>
      </c>
      <c r="AS86" s="14">
        <f>[1]Sheet2!T85</f>
        <v>0</v>
      </c>
      <c r="AT86" s="14">
        <f>[1]Sheet2!U85</f>
        <v>0</v>
      </c>
      <c r="AU86" s="14">
        <f>[1]Sheet2!V85</f>
        <v>0</v>
      </c>
      <c r="AV86" s="14">
        <f>[1]Sheet2!W85</f>
        <v>0</v>
      </c>
      <c r="AW86" s="14">
        <f>[1]Sheet2!X85</f>
        <v>0</v>
      </c>
      <c r="AX86" s="14">
        <f>[1]Sheet2!Y85</f>
        <v>0</v>
      </c>
      <c r="AY86" s="16">
        <f>Demand_LP!B$5/31</f>
        <v>754.78140345091151</v>
      </c>
      <c r="AZ86" s="16">
        <f>Demand_LP!C$5/31</f>
        <v>547.55235732009919</v>
      </c>
      <c r="BA86" s="16">
        <f>Demand_LP!D$5/31</f>
        <v>312.75612076095945</v>
      </c>
      <c r="BB86" s="16">
        <f>Demand_LP!E$5/31</f>
        <v>772.29437499345636</v>
      </c>
      <c r="BC86" s="16">
        <f>Demand_LP!F$5/31</f>
        <v>471.74248526347748</v>
      </c>
      <c r="BD86" s="16">
        <f>Demand_LP!G$5/31</f>
        <v>754.78140345091151</v>
      </c>
      <c r="BE86" s="16">
        <f>Demand_LP!H$5/31</f>
        <v>547.55235732009919</v>
      </c>
      <c r="BF86" s="16">
        <f>Demand_LP!I$5/31</f>
        <v>451.61290322580646</v>
      </c>
      <c r="BG86" s="16">
        <f>Demand_LP!J$5/31</f>
        <v>451.61290322580646</v>
      </c>
      <c r="BH86" s="16">
        <f>Demand_LP!K$5/31</f>
        <v>451.61290322580646</v>
      </c>
      <c r="BI86" s="16" t="e">
        <f t="shared" si="43"/>
        <v>#VALUE!</v>
      </c>
      <c r="BJ86" s="16">
        <f t="shared" si="44"/>
        <v>-46783.67708850286</v>
      </c>
      <c r="BK86" s="16">
        <f t="shared" si="45"/>
        <v>-20584.672539288647</v>
      </c>
      <c r="BL86" s="16">
        <f t="shared" si="46"/>
        <v>-58400.486794714729</v>
      </c>
      <c r="BM86" s="16">
        <f t="shared" si="47"/>
        <v>-37140.118684785019</v>
      </c>
      <c r="BN86" s="16">
        <f t="shared" si="48"/>
        <v>-55114.753682821953</v>
      </c>
      <c r="BO86" s="16">
        <f t="shared" si="49"/>
        <v>-49141.256575682375</v>
      </c>
      <c r="BP86" s="16">
        <f t="shared" si="50"/>
        <v>-36738.709677419349</v>
      </c>
      <c r="BQ86" s="16">
        <f t="shared" si="51"/>
        <v>-33338.709677419371</v>
      </c>
      <c r="BR86" s="16">
        <f t="shared" si="52"/>
        <v>-34538.709677419356</v>
      </c>
      <c r="BS86" s="14">
        <f>IF([1]Sheet2!CA85=999999,"NA",[1]Sheet2!CA85)</f>
        <v>181940.29032258046</v>
      </c>
      <c r="BT86" s="14">
        <f>IF([1]Sheet2!CB85=999999,"NA",[1]Sheet2!CB85)</f>
        <v>204</v>
      </c>
      <c r="BU86" s="14">
        <f>IF([1]Sheet2!CC85=999999,"NA",[1]Sheet2!CC85)</f>
        <v>282</v>
      </c>
      <c r="BV86" s="14">
        <f>IF([1]Sheet2!CD85=999999,"NA",[1]Sheet2!CD85)</f>
        <v>282</v>
      </c>
      <c r="BW86" s="14">
        <f>IF([1]Sheet2!CE85=999999,"NA",[1]Sheet2!CE85)</f>
        <v>244</v>
      </c>
      <c r="BX86" s="14">
        <f>IF([1]Sheet2!CF85=999999,"NA",[1]Sheet2!CF85)</f>
        <v>282</v>
      </c>
      <c r="BY86" s="14">
        <f>IF([1]Sheet2!CG85=999999,"NA",[1]Sheet2!CG85)</f>
        <v>176</v>
      </c>
      <c r="BZ86" s="14">
        <f>IF([1]Sheet2!CH85=999999,"NA",[1]Sheet2!CH85)</f>
        <v>282</v>
      </c>
      <c r="CA86" s="14">
        <f>IF([1]Sheet2!CI85=999999,"NA",[1]Sheet2!CI85)</f>
        <v>282</v>
      </c>
      <c r="CB86" s="14">
        <f>IF([1]Sheet2!CJ85=999999,"NA",[1]Sheet2!CJ85)</f>
        <v>282</v>
      </c>
      <c r="CC86" s="14">
        <f>[1]Sheet2!BG85</f>
        <v>0</v>
      </c>
      <c r="CD86" s="14">
        <f>[1]Sheet2!BH85</f>
        <v>0</v>
      </c>
      <c r="CE86" s="14">
        <f>[1]Sheet2!BI85</f>
        <v>0</v>
      </c>
      <c r="CF86" s="14">
        <f>[1]Sheet2!BJ85</f>
        <v>0</v>
      </c>
      <c r="CG86" s="14">
        <f>[1]Sheet2!BK85</f>
        <v>0</v>
      </c>
      <c r="CH86" s="14">
        <f>[1]Sheet2!BL85</f>
        <v>0</v>
      </c>
      <c r="CI86" s="14">
        <f>[1]Sheet2!BM85</f>
        <v>0</v>
      </c>
      <c r="CJ86" s="14">
        <f>[1]Sheet2!BN85</f>
        <v>0</v>
      </c>
      <c r="CK86" s="14">
        <f>[1]Sheet2!BO85</f>
        <v>0</v>
      </c>
      <c r="CL86" s="14">
        <f>[1]Sheet2!BP85</f>
        <v>0</v>
      </c>
      <c r="CM86" s="16">
        <f>Demand_SW!B$5/31</f>
        <v>138.46153846153845</v>
      </c>
      <c r="CN86" s="16">
        <f>Demand_SW!C$5/31</f>
        <v>29.776674937965261</v>
      </c>
      <c r="CO86" s="16">
        <f>Demand_SW!D$5/31</f>
        <v>0</v>
      </c>
      <c r="CP86" s="16">
        <f>Demand_SW!E$5/31</f>
        <v>0</v>
      </c>
      <c r="CQ86" s="16">
        <f>Demand_SW!F$5/31</f>
        <v>0</v>
      </c>
      <c r="CR86" s="16">
        <f>Demand_SW!G$5/31</f>
        <v>138.70967741935485</v>
      </c>
      <c r="CS86" s="16">
        <f>Demand_SW!H$5/31</f>
        <v>29.776674937965261</v>
      </c>
      <c r="CT86" s="16">
        <f>Demand_SW!I$5/31</f>
        <v>0</v>
      </c>
      <c r="CU86" s="16">
        <f>Demand_SW!J$5/31</f>
        <v>0</v>
      </c>
      <c r="CV86" s="16">
        <f>Demand_SW!K$5/31</f>
        <v>0</v>
      </c>
      <c r="CW86" s="16">
        <f t="shared" si="53"/>
        <v>40698.461538461503</v>
      </c>
      <c r="CX86" s="16">
        <f t="shared" si="54"/>
        <v>-214.64019851116612</v>
      </c>
      <c r="CY86" s="16">
        <f t="shared" si="55"/>
        <v>0</v>
      </c>
      <c r="CZ86" s="16">
        <f t="shared" si="56"/>
        <v>0</v>
      </c>
      <c r="DA86" s="16">
        <f t="shared" si="57"/>
        <v>0</v>
      </c>
      <c r="DB86" s="16">
        <f t="shared" si="58"/>
        <v>-8829.0322580645116</v>
      </c>
      <c r="DC86" s="16">
        <f t="shared" si="59"/>
        <v>-214.64019851116612</v>
      </c>
      <c r="DD86" s="16">
        <f t="shared" si="60"/>
        <v>0</v>
      </c>
      <c r="DE86" s="16">
        <f t="shared" si="61"/>
        <v>0</v>
      </c>
      <c r="DF86" s="16">
        <f t="shared" si="62"/>
        <v>0</v>
      </c>
      <c r="DG86" s="14">
        <f>IF([1]Sheet2!DR85=999999,"NA",[1]Sheet2!DR85)</f>
        <v>73103</v>
      </c>
      <c r="DH86" s="14">
        <f>IF([1]Sheet2!DS85=999999,"NA",[1]Sheet2!DS85)</f>
        <v>282</v>
      </c>
      <c r="DI86" s="14">
        <f>IF([1]Sheet2!DT85=999999,"NA",[1]Sheet2!DT85)</f>
        <v>282</v>
      </c>
      <c r="DJ86" s="14" t="str">
        <f>IF([1]Sheet2!DU85=999999,"NA",[1]Sheet2!DU85)</f>
        <v>NA</v>
      </c>
      <c r="DK86" s="14" t="str">
        <f>IF([1]Sheet2!DV85=999999,"NA",[1]Sheet2!DV85)</f>
        <v>NA</v>
      </c>
      <c r="DL86" s="14" t="str">
        <f>IF([1]Sheet2!DW85=999999,"NA",[1]Sheet2!DW85)</f>
        <v>NA</v>
      </c>
      <c r="DM86" s="14">
        <f>IF([1]Sheet2!DX85=999999,"NA",[1]Sheet2!DX85)</f>
        <v>282</v>
      </c>
      <c r="DN86" s="14">
        <f>IF([1]Sheet2!DY85=999999,"NA",[1]Sheet2!DY85)</f>
        <v>282</v>
      </c>
      <c r="DO86" s="14" t="str">
        <f>IF([1]Sheet2!DZ85=999999,"NA",[1]Sheet2!DZ85)</f>
        <v>NA</v>
      </c>
      <c r="DP86" s="14" t="str">
        <f>IF([1]Sheet2!EA85=999999,"NA",[1]Sheet2!EA85)</f>
        <v>NA</v>
      </c>
      <c r="DQ86" s="14">
        <f>[1]Sheet2!CX85</f>
        <v>0</v>
      </c>
      <c r="DR86" s="14">
        <f>[1]Sheet2!CY85</f>
        <v>0</v>
      </c>
      <c r="DS86" s="14">
        <f>[1]Sheet2!CZ85</f>
        <v>0</v>
      </c>
      <c r="DT86" s="14">
        <f>[1]Sheet2!DA85</f>
        <v>0</v>
      </c>
      <c r="DU86" s="14">
        <f>[1]Sheet2!DB85</f>
        <v>0</v>
      </c>
      <c r="DV86" s="14">
        <f>[1]Sheet2!DC85</f>
        <v>0</v>
      </c>
      <c r="DW86" s="14">
        <f>[1]Sheet2!DD85</f>
        <v>0</v>
      </c>
      <c r="DX86" s="14">
        <f>[1]Sheet2!DE85</f>
        <v>0</v>
      </c>
      <c r="DY86" s="14">
        <f>[1]Sheet2!DF85</f>
        <v>0</v>
      </c>
      <c r="DZ86" s="14">
        <f>[1]Sheet2!DG85</f>
        <v>0</v>
      </c>
    </row>
    <row r="87" spans="1:130" x14ac:dyDescent="0.25">
      <c r="A87" s="15">
        <v>43549</v>
      </c>
      <c r="B87" s="1"/>
      <c r="C87" s="1"/>
      <c r="D87" s="1"/>
      <c r="E87" s="14">
        <f>[1]Sheet2!N86</f>
        <v>0</v>
      </c>
      <c r="F87" s="14">
        <f>[1]Sheet2!BE86</f>
        <v>0</v>
      </c>
      <c r="G87" s="14">
        <f>[1]Sheet2!CV86</f>
        <v>336.72456575682378</v>
      </c>
      <c r="H87" s="1"/>
      <c r="I87" s="1"/>
      <c r="J87" s="1"/>
      <c r="K87" s="16">
        <f>Demand_CWRS!B$5/31</f>
        <v>131.679370700757</v>
      </c>
      <c r="L87" s="16">
        <f>Demand_CWRS!C$5/31</f>
        <v>537.20942928039699</v>
      </c>
      <c r="M87" s="16">
        <f>Demand_CWRS!D$5/31</f>
        <v>0</v>
      </c>
      <c r="N87" s="16">
        <f>Demand_CWRS!E$5/31</f>
        <v>121.5961418056559</v>
      </c>
      <c r="O87" s="16">
        <f>Demand_CWRS!F$5/31</f>
        <v>245.08227837631262</v>
      </c>
      <c r="P87" s="16">
        <f>Demand_CWRS!G$5/31</f>
        <v>131.679370700757</v>
      </c>
      <c r="Q87" s="16">
        <f>Demand_CWRS!H$5/31</f>
        <v>537.20942928039699</v>
      </c>
      <c r="R87" s="16">
        <f>Demand_CWRS!I$5/31</f>
        <v>245.08227837631262</v>
      </c>
      <c r="S87" s="16">
        <f>Demand_CWRS!J$5/31</f>
        <v>245.08227837631262</v>
      </c>
      <c r="T87" s="16">
        <f>Demand_CWRS!K$5/31</f>
        <v>245.08227837631262</v>
      </c>
      <c r="U87" s="16">
        <f t="shared" si="33"/>
        <v>-13688.928077615054</v>
      </c>
      <c r="V87" s="16">
        <f t="shared" si="34"/>
        <v>-32958.866501240664</v>
      </c>
      <c r="W87" s="16">
        <f t="shared" si="35"/>
        <v>0</v>
      </c>
      <c r="X87" s="16">
        <f t="shared" si="36"/>
        <v>-7749.8279041157593</v>
      </c>
      <c r="Y87" s="16">
        <f t="shared" si="37"/>
        <v>-18639.023545946297</v>
      </c>
      <c r="Z87" s="16">
        <f t="shared" si="38"/>
        <v>-13471.984267518919</v>
      </c>
      <c r="AA87" s="16">
        <f t="shared" si="39"/>
        <v>-32458.86650124066</v>
      </c>
      <c r="AB87" s="16">
        <f t="shared" si="40"/>
        <v>-16327.056959407812</v>
      </c>
      <c r="AC87" s="16">
        <f t="shared" si="41"/>
        <v>-16327.056959407802</v>
      </c>
      <c r="AD87" s="16">
        <f t="shared" si="42"/>
        <v>-17027.056959407804</v>
      </c>
      <c r="AE87" s="14">
        <f>IF([1]Sheet2!AJ86=999999,"NA",[1]Sheet2!AJ86)</f>
        <v>43</v>
      </c>
      <c r="AF87" s="14">
        <f>IF([1]Sheet2!AK86=999999,"NA",[1]Sheet2!AK86)</f>
        <v>0</v>
      </c>
      <c r="AG87" s="14" t="str">
        <f>IF([1]Sheet2!AL86=999999,"NA",[1]Sheet2!AL86)</f>
        <v>NA</v>
      </c>
      <c r="AH87" s="14">
        <f>IF([1]Sheet2!AM86=999999,"NA",[1]Sheet2!AM86)</f>
        <v>281</v>
      </c>
      <c r="AI87" s="14">
        <f>IF([1]Sheet2!AN86=999999,"NA",[1]Sheet2!AN86)</f>
        <v>281</v>
      </c>
      <c r="AJ87" s="14">
        <f>IF([1]Sheet2!AO86=999999,"NA",[1]Sheet2!AO86)</f>
        <v>281</v>
      </c>
      <c r="AK87" s="14">
        <f>IF([1]Sheet2!AP86=999999,"NA",[1]Sheet2!AP86)</f>
        <v>26</v>
      </c>
      <c r="AL87" s="14">
        <f>IF([1]Sheet2!AQ86=999999,"NA",[1]Sheet2!AQ86)</f>
        <v>157</v>
      </c>
      <c r="AM87" s="14">
        <f>IF([1]Sheet2!AR86=999999,"NA",[1]Sheet2!AR86)</f>
        <v>281</v>
      </c>
      <c r="AN87" s="14">
        <f>IF([1]Sheet2!AS86=999999,"NA",[1]Sheet2!AS86)</f>
        <v>213</v>
      </c>
      <c r="AO87" s="14">
        <f>[1]Sheet2!P86</f>
        <v>0</v>
      </c>
      <c r="AP87" s="14">
        <f>[1]Sheet2!Q86</f>
        <v>0</v>
      </c>
      <c r="AQ87" s="14">
        <f>[1]Sheet2!R86</f>
        <v>0</v>
      </c>
      <c r="AR87" s="14">
        <f>[1]Sheet2!S86</f>
        <v>0</v>
      </c>
      <c r="AS87" s="14">
        <f>[1]Sheet2!T86</f>
        <v>0</v>
      </c>
      <c r="AT87" s="14">
        <f>[1]Sheet2!U86</f>
        <v>0</v>
      </c>
      <c r="AU87" s="14">
        <f>[1]Sheet2!V86</f>
        <v>0</v>
      </c>
      <c r="AV87" s="14">
        <f>[1]Sheet2!W86</f>
        <v>0</v>
      </c>
      <c r="AW87" s="14">
        <f>[1]Sheet2!X86</f>
        <v>0</v>
      </c>
      <c r="AX87" s="14">
        <f>[1]Sheet2!Y86</f>
        <v>0</v>
      </c>
      <c r="AY87" s="16">
        <f>Demand_LP!B$5/31</f>
        <v>754.78140345091151</v>
      </c>
      <c r="AZ87" s="16">
        <f>Demand_LP!C$5/31</f>
        <v>547.55235732009919</v>
      </c>
      <c r="BA87" s="16">
        <f>Demand_LP!D$5/31</f>
        <v>312.75612076095945</v>
      </c>
      <c r="BB87" s="16">
        <f>Demand_LP!E$5/31</f>
        <v>772.29437499345636</v>
      </c>
      <c r="BC87" s="16">
        <f>Demand_LP!F$5/31</f>
        <v>471.74248526347748</v>
      </c>
      <c r="BD87" s="16">
        <f>Demand_LP!G$5/31</f>
        <v>754.78140345091151</v>
      </c>
      <c r="BE87" s="16">
        <f>Demand_LP!H$5/31</f>
        <v>547.55235732009919</v>
      </c>
      <c r="BF87" s="16">
        <f>Demand_LP!I$5/31</f>
        <v>451.61290322580646</v>
      </c>
      <c r="BG87" s="16">
        <f>Demand_LP!J$5/31</f>
        <v>451.61290322580646</v>
      </c>
      <c r="BH87" s="16">
        <f>Demand_LP!K$5/31</f>
        <v>451.61290322580646</v>
      </c>
      <c r="BI87" s="16" t="e">
        <f t="shared" si="43"/>
        <v>#VALUE!</v>
      </c>
      <c r="BJ87" s="16">
        <f t="shared" si="44"/>
        <v>-47331.229445822959</v>
      </c>
      <c r="BK87" s="16">
        <f t="shared" si="45"/>
        <v>-20897.428660049605</v>
      </c>
      <c r="BL87" s="16">
        <f t="shared" si="46"/>
        <v>-59172.781169708185</v>
      </c>
      <c r="BM87" s="16">
        <f t="shared" si="47"/>
        <v>-37611.861170048498</v>
      </c>
      <c r="BN87" s="16">
        <f t="shared" si="48"/>
        <v>-55869.535086272866</v>
      </c>
      <c r="BO87" s="16">
        <f t="shared" si="49"/>
        <v>-49688.808933002474</v>
      </c>
      <c r="BP87" s="16">
        <f t="shared" si="50"/>
        <v>-37190.322580645152</v>
      </c>
      <c r="BQ87" s="16">
        <f t="shared" si="51"/>
        <v>-33790.322580645174</v>
      </c>
      <c r="BR87" s="16">
        <f t="shared" si="52"/>
        <v>-34990.322580645159</v>
      </c>
      <c r="BS87" s="14">
        <f>IF([1]Sheet2!CA86=999999,"NA",[1]Sheet2!CA86)</f>
        <v>181488.67741935464</v>
      </c>
      <c r="BT87" s="14">
        <f>IF([1]Sheet2!CB86=999999,"NA",[1]Sheet2!CB86)</f>
        <v>203</v>
      </c>
      <c r="BU87" s="14">
        <f>IF([1]Sheet2!CC86=999999,"NA",[1]Sheet2!CC86)</f>
        <v>281</v>
      </c>
      <c r="BV87" s="14">
        <f>IF([1]Sheet2!CD86=999999,"NA",[1]Sheet2!CD86)</f>
        <v>281</v>
      </c>
      <c r="BW87" s="14">
        <f>IF([1]Sheet2!CE86=999999,"NA",[1]Sheet2!CE86)</f>
        <v>243</v>
      </c>
      <c r="BX87" s="14">
        <f>IF([1]Sheet2!CF86=999999,"NA",[1]Sheet2!CF86)</f>
        <v>281</v>
      </c>
      <c r="BY87" s="14">
        <f>IF([1]Sheet2!CG86=999999,"NA",[1]Sheet2!CG86)</f>
        <v>175</v>
      </c>
      <c r="BZ87" s="14">
        <f>IF([1]Sheet2!CH86=999999,"NA",[1]Sheet2!CH86)</f>
        <v>281</v>
      </c>
      <c r="CA87" s="14">
        <f>IF([1]Sheet2!CI86=999999,"NA",[1]Sheet2!CI86)</f>
        <v>281</v>
      </c>
      <c r="CB87" s="14">
        <f>IF([1]Sheet2!CJ86=999999,"NA",[1]Sheet2!CJ86)</f>
        <v>281</v>
      </c>
      <c r="CC87" s="14">
        <f>[1]Sheet2!BG86</f>
        <v>0</v>
      </c>
      <c r="CD87" s="14">
        <f>[1]Sheet2!BH86</f>
        <v>0</v>
      </c>
      <c r="CE87" s="14">
        <f>[1]Sheet2!BI86</f>
        <v>0</v>
      </c>
      <c r="CF87" s="14">
        <f>[1]Sheet2!BJ86</f>
        <v>0</v>
      </c>
      <c r="CG87" s="14">
        <f>[1]Sheet2!BK86</f>
        <v>0</v>
      </c>
      <c r="CH87" s="14">
        <f>[1]Sheet2!BL86</f>
        <v>0</v>
      </c>
      <c r="CI87" s="14">
        <f>[1]Sheet2!BM86</f>
        <v>0</v>
      </c>
      <c r="CJ87" s="14">
        <f>[1]Sheet2!BN86</f>
        <v>0</v>
      </c>
      <c r="CK87" s="14">
        <f>[1]Sheet2!BO86</f>
        <v>0</v>
      </c>
      <c r="CL87" s="14">
        <f>[1]Sheet2!BP86</f>
        <v>0</v>
      </c>
      <c r="CM87" s="16">
        <f>Demand_SW!B$5/31</f>
        <v>138.46153846153845</v>
      </c>
      <c r="CN87" s="16">
        <f>Demand_SW!C$5/31</f>
        <v>29.776674937965261</v>
      </c>
      <c r="CO87" s="16">
        <f>Demand_SW!D$5/31</f>
        <v>0</v>
      </c>
      <c r="CP87" s="16">
        <f>Demand_SW!E$5/31</f>
        <v>0</v>
      </c>
      <c r="CQ87" s="16">
        <f>Demand_SW!F$5/31</f>
        <v>0</v>
      </c>
      <c r="CR87" s="16">
        <f>Demand_SW!G$5/31</f>
        <v>138.70967741935485</v>
      </c>
      <c r="CS87" s="16">
        <f>Demand_SW!H$5/31</f>
        <v>29.776674937965261</v>
      </c>
      <c r="CT87" s="16">
        <f>Demand_SW!I$5/31</f>
        <v>0</v>
      </c>
      <c r="CU87" s="16">
        <f>Demand_SW!J$5/31</f>
        <v>0</v>
      </c>
      <c r="CV87" s="16">
        <f>Demand_SW!K$5/31</f>
        <v>0</v>
      </c>
      <c r="CW87" s="16">
        <f t="shared" si="53"/>
        <v>40559.999999999964</v>
      </c>
      <c r="CX87" s="16">
        <f t="shared" si="54"/>
        <v>-244.41687344913137</v>
      </c>
      <c r="CY87" s="16">
        <f t="shared" si="55"/>
        <v>0</v>
      </c>
      <c r="CZ87" s="16">
        <f t="shared" si="56"/>
        <v>0</v>
      </c>
      <c r="DA87" s="16">
        <f t="shared" si="57"/>
        <v>0</v>
      </c>
      <c r="DB87" s="16">
        <f t="shared" si="58"/>
        <v>-8967.7419354838657</v>
      </c>
      <c r="DC87" s="16">
        <f t="shared" si="59"/>
        <v>-244.41687344913137</v>
      </c>
      <c r="DD87" s="16">
        <f t="shared" si="60"/>
        <v>0</v>
      </c>
      <c r="DE87" s="16">
        <f t="shared" si="61"/>
        <v>0</v>
      </c>
      <c r="DF87" s="16">
        <f t="shared" si="62"/>
        <v>0</v>
      </c>
      <c r="DG87" s="14">
        <f>IF([1]Sheet2!DR86=999999,"NA",[1]Sheet2!DR86)</f>
        <v>73103</v>
      </c>
      <c r="DH87" s="14">
        <f>IF([1]Sheet2!DS86=999999,"NA",[1]Sheet2!DS86)</f>
        <v>281</v>
      </c>
      <c r="DI87" s="14">
        <f>IF([1]Sheet2!DT86=999999,"NA",[1]Sheet2!DT86)</f>
        <v>281</v>
      </c>
      <c r="DJ87" s="14" t="str">
        <f>IF([1]Sheet2!DU86=999999,"NA",[1]Sheet2!DU86)</f>
        <v>NA</v>
      </c>
      <c r="DK87" s="14" t="str">
        <f>IF([1]Sheet2!DV86=999999,"NA",[1]Sheet2!DV86)</f>
        <v>NA</v>
      </c>
      <c r="DL87" s="14" t="str">
        <f>IF([1]Sheet2!DW86=999999,"NA",[1]Sheet2!DW86)</f>
        <v>NA</v>
      </c>
      <c r="DM87" s="14">
        <f>IF([1]Sheet2!DX86=999999,"NA",[1]Sheet2!DX86)</f>
        <v>281</v>
      </c>
      <c r="DN87" s="14">
        <f>IF([1]Sheet2!DY86=999999,"NA",[1]Sheet2!DY86)</f>
        <v>281</v>
      </c>
      <c r="DO87" s="14" t="str">
        <f>IF([1]Sheet2!DZ86=999999,"NA",[1]Sheet2!DZ86)</f>
        <v>NA</v>
      </c>
      <c r="DP87" s="14" t="str">
        <f>IF([1]Sheet2!EA86=999999,"NA",[1]Sheet2!EA86)</f>
        <v>NA</v>
      </c>
      <c r="DQ87" s="14">
        <f>[1]Sheet2!CX86</f>
        <v>0</v>
      </c>
      <c r="DR87" s="14">
        <f>[1]Sheet2!CY86</f>
        <v>0</v>
      </c>
      <c r="DS87" s="14">
        <f>[1]Sheet2!CZ86</f>
        <v>0</v>
      </c>
      <c r="DT87" s="14">
        <f>[1]Sheet2!DA86</f>
        <v>0</v>
      </c>
      <c r="DU87" s="14">
        <f>[1]Sheet2!DB86</f>
        <v>0</v>
      </c>
      <c r="DV87" s="14">
        <f>[1]Sheet2!DC86</f>
        <v>0</v>
      </c>
      <c r="DW87" s="14">
        <f>[1]Sheet2!DD86</f>
        <v>0</v>
      </c>
      <c r="DX87" s="14">
        <f>[1]Sheet2!DE86</f>
        <v>0</v>
      </c>
      <c r="DY87" s="14">
        <f>[1]Sheet2!DF86</f>
        <v>0</v>
      </c>
      <c r="DZ87" s="14">
        <f>[1]Sheet2!DG86</f>
        <v>0</v>
      </c>
    </row>
    <row r="88" spans="1:130" x14ac:dyDescent="0.25">
      <c r="A88" s="15">
        <v>43550</v>
      </c>
      <c r="B88" s="1"/>
      <c r="C88" s="1"/>
      <c r="D88" s="1"/>
      <c r="E88" s="14">
        <f>[1]Sheet2!N87</f>
        <v>0</v>
      </c>
      <c r="F88" s="14">
        <f>[1]Sheet2!BE87</f>
        <v>0</v>
      </c>
      <c r="G88" s="14">
        <f>[1]Sheet2!CV87</f>
        <v>336.72456575682378</v>
      </c>
      <c r="H88" s="1"/>
      <c r="I88" s="1"/>
      <c r="J88" s="1"/>
      <c r="K88" s="16">
        <f>Demand_CWRS!B$5/31</f>
        <v>131.679370700757</v>
      </c>
      <c r="L88" s="16">
        <f>Demand_CWRS!C$5/31</f>
        <v>537.20942928039699</v>
      </c>
      <c r="M88" s="16">
        <f>Demand_CWRS!D$5/31</f>
        <v>0</v>
      </c>
      <c r="N88" s="16">
        <f>Demand_CWRS!E$5/31</f>
        <v>121.5961418056559</v>
      </c>
      <c r="O88" s="16">
        <f>Demand_CWRS!F$5/31</f>
        <v>245.08227837631262</v>
      </c>
      <c r="P88" s="16">
        <f>Demand_CWRS!G$5/31</f>
        <v>131.679370700757</v>
      </c>
      <c r="Q88" s="16">
        <f>Demand_CWRS!H$5/31</f>
        <v>537.20942928039699</v>
      </c>
      <c r="R88" s="16">
        <f>Demand_CWRS!I$5/31</f>
        <v>245.08227837631262</v>
      </c>
      <c r="S88" s="16">
        <f>Demand_CWRS!J$5/31</f>
        <v>245.08227837631262</v>
      </c>
      <c r="T88" s="16">
        <f>Demand_CWRS!K$5/31</f>
        <v>245.08227837631262</v>
      </c>
      <c r="U88" s="16">
        <f t="shared" si="33"/>
        <v>-13820.60744831581</v>
      </c>
      <c r="V88" s="16">
        <f t="shared" si="34"/>
        <v>-33496.075930521059</v>
      </c>
      <c r="W88" s="16">
        <f t="shared" si="35"/>
        <v>0</v>
      </c>
      <c r="X88" s="16">
        <f t="shared" si="36"/>
        <v>-7871.4240459214152</v>
      </c>
      <c r="Y88" s="16">
        <f t="shared" si="37"/>
        <v>-18884.105824322611</v>
      </c>
      <c r="Z88" s="16">
        <f t="shared" si="38"/>
        <v>-13603.663638219676</v>
      </c>
      <c r="AA88" s="16">
        <f t="shared" si="39"/>
        <v>-32996.075930521059</v>
      </c>
      <c r="AB88" s="16">
        <f t="shared" si="40"/>
        <v>-16572.139237784126</v>
      </c>
      <c r="AC88" s="16">
        <f t="shared" si="41"/>
        <v>-16572.139237784115</v>
      </c>
      <c r="AD88" s="16">
        <f t="shared" si="42"/>
        <v>-17272.139237784118</v>
      </c>
      <c r="AE88" s="14">
        <f>IF([1]Sheet2!AJ87=999999,"NA",[1]Sheet2!AJ87)</f>
        <v>42</v>
      </c>
      <c r="AF88" s="14">
        <f>IF([1]Sheet2!AK87=999999,"NA",[1]Sheet2!AK87)</f>
        <v>0</v>
      </c>
      <c r="AG88" s="14" t="str">
        <f>IF([1]Sheet2!AL87=999999,"NA",[1]Sheet2!AL87)</f>
        <v>NA</v>
      </c>
      <c r="AH88" s="14">
        <f>IF([1]Sheet2!AM87=999999,"NA",[1]Sheet2!AM87)</f>
        <v>280</v>
      </c>
      <c r="AI88" s="14">
        <f>IF([1]Sheet2!AN87=999999,"NA",[1]Sheet2!AN87)</f>
        <v>280</v>
      </c>
      <c r="AJ88" s="14">
        <f>IF([1]Sheet2!AO87=999999,"NA",[1]Sheet2!AO87)</f>
        <v>280</v>
      </c>
      <c r="AK88" s="14">
        <f>IF([1]Sheet2!AP87=999999,"NA",[1]Sheet2!AP87)</f>
        <v>25</v>
      </c>
      <c r="AL88" s="14">
        <f>IF([1]Sheet2!AQ87=999999,"NA",[1]Sheet2!AQ87)</f>
        <v>156</v>
      </c>
      <c r="AM88" s="14">
        <f>IF([1]Sheet2!AR87=999999,"NA",[1]Sheet2!AR87)</f>
        <v>280</v>
      </c>
      <c r="AN88" s="14">
        <f>IF([1]Sheet2!AS87=999999,"NA",[1]Sheet2!AS87)</f>
        <v>212</v>
      </c>
      <c r="AO88" s="14">
        <f>[1]Sheet2!P87</f>
        <v>0</v>
      </c>
      <c r="AP88" s="14">
        <f>[1]Sheet2!Q87</f>
        <v>0</v>
      </c>
      <c r="AQ88" s="14">
        <f>[1]Sheet2!R87</f>
        <v>0</v>
      </c>
      <c r="AR88" s="14">
        <f>[1]Sheet2!S87</f>
        <v>0</v>
      </c>
      <c r="AS88" s="14">
        <f>[1]Sheet2!T87</f>
        <v>0</v>
      </c>
      <c r="AT88" s="14">
        <f>[1]Sheet2!U87</f>
        <v>0</v>
      </c>
      <c r="AU88" s="14">
        <f>[1]Sheet2!V87</f>
        <v>0</v>
      </c>
      <c r="AV88" s="14">
        <f>[1]Sheet2!W87</f>
        <v>0</v>
      </c>
      <c r="AW88" s="14">
        <f>[1]Sheet2!X87</f>
        <v>0</v>
      </c>
      <c r="AX88" s="14">
        <f>[1]Sheet2!Y87</f>
        <v>0</v>
      </c>
      <c r="AY88" s="16">
        <f>Demand_LP!B$5/31</f>
        <v>754.78140345091151</v>
      </c>
      <c r="AZ88" s="16">
        <f>Demand_LP!C$5/31</f>
        <v>547.55235732009919</v>
      </c>
      <c r="BA88" s="16">
        <f>Demand_LP!D$5/31</f>
        <v>312.75612076095945</v>
      </c>
      <c r="BB88" s="16">
        <f>Demand_LP!E$5/31</f>
        <v>772.29437499345636</v>
      </c>
      <c r="BC88" s="16">
        <f>Demand_LP!F$5/31</f>
        <v>471.74248526347748</v>
      </c>
      <c r="BD88" s="16">
        <f>Demand_LP!G$5/31</f>
        <v>754.78140345091151</v>
      </c>
      <c r="BE88" s="16">
        <f>Demand_LP!H$5/31</f>
        <v>547.55235732009919</v>
      </c>
      <c r="BF88" s="16">
        <f>Demand_LP!I$5/31</f>
        <v>451.61290322580646</v>
      </c>
      <c r="BG88" s="16">
        <f>Demand_LP!J$5/31</f>
        <v>451.61290322580646</v>
      </c>
      <c r="BH88" s="16">
        <f>Demand_LP!K$5/31</f>
        <v>451.61290322580646</v>
      </c>
      <c r="BI88" s="16" t="e">
        <f t="shared" si="43"/>
        <v>#VALUE!</v>
      </c>
      <c r="BJ88" s="16">
        <f t="shared" si="44"/>
        <v>-47878.781803143058</v>
      </c>
      <c r="BK88" s="16">
        <f t="shared" si="45"/>
        <v>-21210.184780810563</v>
      </c>
      <c r="BL88" s="16">
        <f t="shared" si="46"/>
        <v>-59945.075544701642</v>
      </c>
      <c r="BM88" s="16">
        <f t="shared" si="47"/>
        <v>-38083.603655311977</v>
      </c>
      <c r="BN88" s="16">
        <f t="shared" si="48"/>
        <v>-56624.31648972378</v>
      </c>
      <c r="BO88" s="16">
        <f t="shared" si="49"/>
        <v>-50236.361290322573</v>
      </c>
      <c r="BP88" s="16">
        <f t="shared" si="50"/>
        <v>-37641.935483870955</v>
      </c>
      <c r="BQ88" s="16">
        <f t="shared" si="51"/>
        <v>-34241.935483870977</v>
      </c>
      <c r="BR88" s="16">
        <f t="shared" si="52"/>
        <v>-35441.935483870962</v>
      </c>
      <c r="BS88" s="14">
        <f>IF([1]Sheet2!CA87=999999,"NA",[1]Sheet2!CA87)</f>
        <v>181037.06451612883</v>
      </c>
      <c r="BT88" s="14">
        <f>IF([1]Sheet2!CB87=999999,"NA",[1]Sheet2!CB87)</f>
        <v>202</v>
      </c>
      <c r="BU88" s="14">
        <f>IF([1]Sheet2!CC87=999999,"NA",[1]Sheet2!CC87)</f>
        <v>280</v>
      </c>
      <c r="BV88" s="14">
        <f>IF([1]Sheet2!CD87=999999,"NA",[1]Sheet2!CD87)</f>
        <v>280</v>
      </c>
      <c r="BW88" s="14">
        <f>IF([1]Sheet2!CE87=999999,"NA",[1]Sheet2!CE87)</f>
        <v>242</v>
      </c>
      <c r="BX88" s="14">
        <f>IF([1]Sheet2!CF87=999999,"NA",[1]Sheet2!CF87)</f>
        <v>280</v>
      </c>
      <c r="BY88" s="14">
        <f>IF([1]Sheet2!CG87=999999,"NA",[1]Sheet2!CG87)</f>
        <v>174</v>
      </c>
      <c r="BZ88" s="14">
        <f>IF([1]Sheet2!CH87=999999,"NA",[1]Sheet2!CH87)</f>
        <v>280</v>
      </c>
      <c r="CA88" s="14">
        <f>IF([1]Sheet2!CI87=999999,"NA",[1]Sheet2!CI87)</f>
        <v>280</v>
      </c>
      <c r="CB88" s="14">
        <f>IF([1]Sheet2!CJ87=999999,"NA",[1]Sheet2!CJ87)</f>
        <v>280</v>
      </c>
      <c r="CC88" s="14">
        <f>[1]Sheet2!BG87</f>
        <v>0</v>
      </c>
      <c r="CD88" s="14">
        <f>[1]Sheet2!BH87</f>
        <v>0</v>
      </c>
      <c r="CE88" s="14">
        <f>[1]Sheet2!BI87</f>
        <v>0</v>
      </c>
      <c r="CF88" s="14">
        <f>[1]Sheet2!BJ87</f>
        <v>0</v>
      </c>
      <c r="CG88" s="14">
        <f>[1]Sheet2!BK87</f>
        <v>0</v>
      </c>
      <c r="CH88" s="14">
        <f>[1]Sheet2!BL87</f>
        <v>0</v>
      </c>
      <c r="CI88" s="14">
        <f>[1]Sheet2!BM87</f>
        <v>0</v>
      </c>
      <c r="CJ88" s="14">
        <f>[1]Sheet2!BN87</f>
        <v>0</v>
      </c>
      <c r="CK88" s="14">
        <f>[1]Sheet2!BO87</f>
        <v>0</v>
      </c>
      <c r="CL88" s="14">
        <f>[1]Sheet2!BP87</f>
        <v>0</v>
      </c>
      <c r="CM88" s="16">
        <f>Demand_SW!B$5/31</f>
        <v>138.46153846153845</v>
      </c>
      <c r="CN88" s="16">
        <f>Demand_SW!C$5/31</f>
        <v>29.776674937965261</v>
      </c>
      <c r="CO88" s="16">
        <f>Demand_SW!D$5/31</f>
        <v>0</v>
      </c>
      <c r="CP88" s="16">
        <f>Demand_SW!E$5/31</f>
        <v>0</v>
      </c>
      <c r="CQ88" s="16">
        <f>Demand_SW!F$5/31</f>
        <v>0</v>
      </c>
      <c r="CR88" s="16">
        <f>Demand_SW!G$5/31</f>
        <v>138.70967741935485</v>
      </c>
      <c r="CS88" s="16">
        <f>Demand_SW!H$5/31</f>
        <v>29.776674937965261</v>
      </c>
      <c r="CT88" s="16">
        <f>Demand_SW!I$5/31</f>
        <v>0</v>
      </c>
      <c r="CU88" s="16">
        <f>Demand_SW!J$5/31</f>
        <v>0</v>
      </c>
      <c r="CV88" s="16">
        <f>Demand_SW!K$5/31</f>
        <v>0</v>
      </c>
      <c r="CW88" s="16">
        <f t="shared" si="53"/>
        <v>40421.538461538425</v>
      </c>
      <c r="CX88" s="16">
        <f t="shared" si="54"/>
        <v>-274.19354838709666</v>
      </c>
      <c r="CY88" s="16">
        <f t="shared" si="55"/>
        <v>0</v>
      </c>
      <c r="CZ88" s="16">
        <f t="shared" si="56"/>
        <v>0</v>
      </c>
      <c r="DA88" s="16">
        <f t="shared" si="57"/>
        <v>0</v>
      </c>
      <c r="DB88" s="16">
        <f t="shared" si="58"/>
        <v>-9106.4516129032199</v>
      </c>
      <c r="DC88" s="16">
        <f t="shared" si="59"/>
        <v>-274.19354838709666</v>
      </c>
      <c r="DD88" s="16">
        <f t="shared" si="60"/>
        <v>0</v>
      </c>
      <c r="DE88" s="16">
        <f t="shared" si="61"/>
        <v>0</v>
      </c>
      <c r="DF88" s="16">
        <f t="shared" si="62"/>
        <v>0</v>
      </c>
      <c r="DG88" s="14">
        <f>IF([1]Sheet2!DR87=999999,"NA",[1]Sheet2!DR87)</f>
        <v>73103</v>
      </c>
      <c r="DH88" s="14">
        <f>IF([1]Sheet2!DS87=999999,"NA",[1]Sheet2!DS87)</f>
        <v>280</v>
      </c>
      <c r="DI88" s="14">
        <f>IF([1]Sheet2!DT87=999999,"NA",[1]Sheet2!DT87)</f>
        <v>280</v>
      </c>
      <c r="DJ88" s="14" t="str">
        <f>IF([1]Sheet2!DU87=999999,"NA",[1]Sheet2!DU87)</f>
        <v>NA</v>
      </c>
      <c r="DK88" s="14" t="str">
        <f>IF([1]Sheet2!DV87=999999,"NA",[1]Sheet2!DV87)</f>
        <v>NA</v>
      </c>
      <c r="DL88" s="14" t="str">
        <f>IF([1]Sheet2!DW87=999999,"NA",[1]Sheet2!DW87)</f>
        <v>NA</v>
      </c>
      <c r="DM88" s="14">
        <f>IF([1]Sheet2!DX87=999999,"NA",[1]Sheet2!DX87)</f>
        <v>280</v>
      </c>
      <c r="DN88" s="14">
        <f>IF([1]Sheet2!DY87=999999,"NA",[1]Sheet2!DY87)</f>
        <v>280</v>
      </c>
      <c r="DO88" s="14" t="str">
        <f>IF([1]Sheet2!DZ87=999999,"NA",[1]Sheet2!DZ87)</f>
        <v>NA</v>
      </c>
      <c r="DP88" s="14" t="str">
        <f>IF([1]Sheet2!EA87=999999,"NA",[1]Sheet2!EA87)</f>
        <v>NA</v>
      </c>
      <c r="DQ88" s="14">
        <f>[1]Sheet2!CX87</f>
        <v>0</v>
      </c>
      <c r="DR88" s="14">
        <f>[1]Sheet2!CY87</f>
        <v>0</v>
      </c>
      <c r="DS88" s="14">
        <f>[1]Sheet2!CZ87</f>
        <v>0</v>
      </c>
      <c r="DT88" s="14">
        <f>[1]Sheet2!DA87</f>
        <v>0</v>
      </c>
      <c r="DU88" s="14">
        <f>[1]Sheet2!DB87</f>
        <v>0</v>
      </c>
      <c r="DV88" s="14">
        <f>[1]Sheet2!DC87</f>
        <v>0</v>
      </c>
      <c r="DW88" s="14">
        <f>[1]Sheet2!DD87</f>
        <v>0</v>
      </c>
      <c r="DX88" s="14">
        <f>[1]Sheet2!DE87</f>
        <v>0</v>
      </c>
      <c r="DY88" s="14">
        <f>[1]Sheet2!DF87</f>
        <v>0</v>
      </c>
      <c r="DZ88" s="14">
        <f>[1]Sheet2!DG87</f>
        <v>0</v>
      </c>
    </row>
    <row r="89" spans="1:130" x14ac:dyDescent="0.25">
      <c r="A89" s="15">
        <v>43551</v>
      </c>
      <c r="B89" s="1"/>
      <c r="C89" s="1"/>
      <c r="D89" s="1"/>
      <c r="E89" s="14">
        <f>[1]Sheet2!N88</f>
        <v>0</v>
      </c>
      <c r="F89" s="14">
        <f>[1]Sheet2!BE88</f>
        <v>0</v>
      </c>
      <c r="G89" s="14">
        <f>[1]Sheet2!CV88</f>
        <v>336.72456575682378</v>
      </c>
      <c r="H89" s="1"/>
      <c r="I89" s="1"/>
      <c r="J89" s="1"/>
      <c r="K89" s="16">
        <f>Demand_CWRS!B$5/31</f>
        <v>131.679370700757</v>
      </c>
      <c r="L89" s="16">
        <f>Demand_CWRS!C$5/31</f>
        <v>537.20942928039699</v>
      </c>
      <c r="M89" s="16">
        <f>Demand_CWRS!D$5/31</f>
        <v>0</v>
      </c>
      <c r="N89" s="16">
        <f>Demand_CWRS!E$5/31</f>
        <v>121.5961418056559</v>
      </c>
      <c r="O89" s="16">
        <f>Demand_CWRS!F$5/31</f>
        <v>245.08227837631262</v>
      </c>
      <c r="P89" s="16">
        <f>Demand_CWRS!G$5/31</f>
        <v>131.679370700757</v>
      </c>
      <c r="Q89" s="16">
        <f>Demand_CWRS!H$5/31</f>
        <v>537.20942928039699</v>
      </c>
      <c r="R89" s="16">
        <f>Demand_CWRS!I$5/31</f>
        <v>245.08227837631262</v>
      </c>
      <c r="S89" s="16">
        <f>Demand_CWRS!J$5/31</f>
        <v>245.08227837631262</v>
      </c>
      <c r="T89" s="16">
        <f>Demand_CWRS!K$5/31</f>
        <v>245.08227837631262</v>
      </c>
      <c r="U89" s="16">
        <f t="shared" si="33"/>
        <v>-13952.286819016566</v>
      </c>
      <c r="V89" s="16">
        <f t="shared" si="34"/>
        <v>-34033.285359801455</v>
      </c>
      <c r="W89" s="16">
        <f t="shared" si="35"/>
        <v>0</v>
      </c>
      <c r="X89" s="16">
        <f t="shared" si="36"/>
        <v>-7993.0201877270711</v>
      </c>
      <c r="Y89" s="16">
        <f t="shared" si="37"/>
        <v>-19129.188102698925</v>
      </c>
      <c r="Z89" s="16">
        <f t="shared" si="38"/>
        <v>-13735.343008920432</v>
      </c>
      <c r="AA89" s="16">
        <f t="shared" si="39"/>
        <v>-33533.285359801455</v>
      </c>
      <c r="AB89" s="16">
        <f t="shared" si="40"/>
        <v>-16817.22151616044</v>
      </c>
      <c r="AC89" s="16">
        <f t="shared" si="41"/>
        <v>-16817.221516160429</v>
      </c>
      <c r="AD89" s="16">
        <f t="shared" si="42"/>
        <v>-17517.221516160433</v>
      </c>
      <c r="AE89" s="14">
        <f>IF([1]Sheet2!AJ88=999999,"NA",[1]Sheet2!AJ88)</f>
        <v>41</v>
      </c>
      <c r="AF89" s="14">
        <f>IF([1]Sheet2!AK88=999999,"NA",[1]Sheet2!AK88)</f>
        <v>0</v>
      </c>
      <c r="AG89" s="14" t="str">
        <f>IF([1]Sheet2!AL88=999999,"NA",[1]Sheet2!AL88)</f>
        <v>NA</v>
      </c>
      <c r="AH89" s="14">
        <f>IF([1]Sheet2!AM88=999999,"NA",[1]Sheet2!AM88)</f>
        <v>279</v>
      </c>
      <c r="AI89" s="14">
        <f>IF([1]Sheet2!AN88=999999,"NA",[1]Sheet2!AN88)</f>
        <v>279</v>
      </c>
      <c r="AJ89" s="14">
        <f>IF([1]Sheet2!AO88=999999,"NA",[1]Sheet2!AO88)</f>
        <v>279</v>
      </c>
      <c r="AK89" s="14">
        <f>IF([1]Sheet2!AP88=999999,"NA",[1]Sheet2!AP88)</f>
        <v>24</v>
      </c>
      <c r="AL89" s="14">
        <f>IF([1]Sheet2!AQ88=999999,"NA",[1]Sheet2!AQ88)</f>
        <v>155</v>
      </c>
      <c r="AM89" s="14">
        <f>IF([1]Sheet2!AR88=999999,"NA",[1]Sheet2!AR88)</f>
        <v>279</v>
      </c>
      <c r="AN89" s="14">
        <f>IF([1]Sheet2!AS88=999999,"NA",[1]Sheet2!AS88)</f>
        <v>211</v>
      </c>
      <c r="AO89" s="14">
        <f>[1]Sheet2!P88</f>
        <v>0</v>
      </c>
      <c r="AP89" s="14">
        <f>[1]Sheet2!Q88</f>
        <v>0</v>
      </c>
      <c r="AQ89" s="14">
        <f>[1]Sheet2!R88</f>
        <v>0</v>
      </c>
      <c r="AR89" s="14">
        <f>[1]Sheet2!S88</f>
        <v>0</v>
      </c>
      <c r="AS89" s="14">
        <f>[1]Sheet2!T88</f>
        <v>0</v>
      </c>
      <c r="AT89" s="14">
        <f>[1]Sheet2!U88</f>
        <v>0</v>
      </c>
      <c r="AU89" s="14">
        <f>[1]Sheet2!V88</f>
        <v>0</v>
      </c>
      <c r="AV89" s="14">
        <f>[1]Sheet2!W88</f>
        <v>0</v>
      </c>
      <c r="AW89" s="14">
        <f>[1]Sheet2!X88</f>
        <v>0</v>
      </c>
      <c r="AX89" s="14">
        <f>[1]Sheet2!Y88</f>
        <v>0</v>
      </c>
      <c r="AY89" s="16">
        <f>Demand_LP!B$5/31</f>
        <v>754.78140345091151</v>
      </c>
      <c r="AZ89" s="16">
        <f>Demand_LP!C$5/31</f>
        <v>547.55235732009919</v>
      </c>
      <c r="BA89" s="16">
        <f>Demand_LP!D$5/31</f>
        <v>312.75612076095945</v>
      </c>
      <c r="BB89" s="16">
        <f>Demand_LP!E$5/31</f>
        <v>772.29437499345636</v>
      </c>
      <c r="BC89" s="16">
        <f>Demand_LP!F$5/31</f>
        <v>471.74248526347748</v>
      </c>
      <c r="BD89" s="16">
        <f>Demand_LP!G$5/31</f>
        <v>754.78140345091151</v>
      </c>
      <c r="BE89" s="16">
        <f>Demand_LP!H$5/31</f>
        <v>547.55235732009919</v>
      </c>
      <c r="BF89" s="16">
        <f>Demand_LP!I$5/31</f>
        <v>451.61290322580646</v>
      </c>
      <c r="BG89" s="16">
        <f>Demand_LP!J$5/31</f>
        <v>451.61290322580646</v>
      </c>
      <c r="BH89" s="16">
        <f>Demand_LP!K$5/31</f>
        <v>451.61290322580646</v>
      </c>
      <c r="BI89" s="16" t="e">
        <f t="shared" si="43"/>
        <v>#VALUE!</v>
      </c>
      <c r="BJ89" s="16">
        <f t="shared" si="44"/>
        <v>-48426.334160463157</v>
      </c>
      <c r="BK89" s="16">
        <f t="shared" si="45"/>
        <v>-21522.940901571521</v>
      </c>
      <c r="BL89" s="16">
        <f t="shared" si="46"/>
        <v>-60717.369919695098</v>
      </c>
      <c r="BM89" s="16">
        <f t="shared" si="47"/>
        <v>-38555.346140575457</v>
      </c>
      <c r="BN89" s="16">
        <f t="shared" si="48"/>
        <v>-57379.097893174694</v>
      </c>
      <c r="BO89" s="16">
        <f t="shared" si="49"/>
        <v>-50783.913647642672</v>
      </c>
      <c r="BP89" s="16">
        <f t="shared" si="50"/>
        <v>-38093.548387096758</v>
      </c>
      <c r="BQ89" s="16">
        <f t="shared" si="51"/>
        <v>-34693.54838709678</v>
      </c>
      <c r="BR89" s="16">
        <f t="shared" si="52"/>
        <v>-35893.548387096766</v>
      </c>
      <c r="BS89" s="14">
        <f>IF([1]Sheet2!CA88=999999,"NA",[1]Sheet2!CA88)</f>
        <v>180585.45161290301</v>
      </c>
      <c r="BT89" s="14">
        <f>IF([1]Sheet2!CB88=999999,"NA",[1]Sheet2!CB88)</f>
        <v>201</v>
      </c>
      <c r="BU89" s="14">
        <f>IF([1]Sheet2!CC88=999999,"NA",[1]Sheet2!CC88)</f>
        <v>279</v>
      </c>
      <c r="BV89" s="14">
        <f>IF([1]Sheet2!CD88=999999,"NA",[1]Sheet2!CD88)</f>
        <v>279</v>
      </c>
      <c r="BW89" s="14">
        <f>IF([1]Sheet2!CE88=999999,"NA",[1]Sheet2!CE88)</f>
        <v>241</v>
      </c>
      <c r="BX89" s="14">
        <f>IF([1]Sheet2!CF88=999999,"NA",[1]Sheet2!CF88)</f>
        <v>279</v>
      </c>
      <c r="BY89" s="14">
        <f>IF([1]Sheet2!CG88=999999,"NA",[1]Sheet2!CG88)</f>
        <v>173</v>
      </c>
      <c r="BZ89" s="14">
        <f>IF([1]Sheet2!CH88=999999,"NA",[1]Sheet2!CH88)</f>
        <v>279</v>
      </c>
      <c r="CA89" s="14">
        <f>IF([1]Sheet2!CI88=999999,"NA",[1]Sheet2!CI88)</f>
        <v>279</v>
      </c>
      <c r="CB89" s="14">
        <f>IF([1]Sheet2!CJ88=999999,"NA",[1]Sheet2!CJ88)</f>
        <v>279</v>
      </c>
      <c r="CC89" s="14">
        <f>[1]Sheet2!BG88</f>
        <v>0</v>
      </c>
      <c r="CD89" s="14">
        <f>[1]Sheet2!BH88</f>
        <v>0</v>
      </c>
      <c r="CE89" s="14">
        <f>[1]Sheet2!BI88</f>
        <v>0</v>
      </c>
      <c r="CF89" s="14">
        <f>[1]Sheet2!BJ88</f>
        <v>0</v>
      </c>
      <c r="CG89" s="14">
        <f>[1]Sheet2!BK88</f>
        <v>0</v>
      </c>
      <c r="CH89" s="14">
        <f>[1]Sheet2!BL88</f>
        <v>0</v>
      </c>
      <c r="CI89" s="14">
        <f>[1]Sheet2!BM88</f>
        <v>0</v>
      </c>
      <c r="CJ89" s="14">
        <f>[1]Sheet2!BN88</f>
        <v>0</v>
      </c>
      <c r="CK89" s="14">
        <f>[1]Sheet2!BO88</f>
        <v>0</v>
      </c>
      <c r="CL89" s="14">
        <f>[1]Sheet2!BP88</f>
        <v>0</v>
      </c>
      <c r="CM89" s="16">
        <f>Demand_SW!B$5/31</f>
        <v>138.46153846153845</v>
      </c>
      <c r="CN89" s="16">
        <f>Demand_SW!C$5/31</f>
        <v>29.776674937965261</v>
      </c>
      <c r="CO89" s="16">
        <f>Demand_SW!D$5/31</f>
        <v>0</v>
      </c>
      <c r="CP89" s="16">
        <f>Demand_SW!E$5/31</f>
        <v>0</v>
      </c>
      <c r="CQ89" s="16">
        <f>Demand_SW!F$5/31</f>
        <v>0</v>
      </c>
      <c r="CR89" s="16">
        <f>Demand_SW!G$5/31</f>
        <v>138.70967741935485</v>
      </c>
      <c r="CS89" s="16">
        <f>Demand_SW!H$5/31</f>
        <v>29.776674937965261</v>
      </c>
      <c r="CT89" s="16">
        <f>Demand_SW!I$5/31</f>
        <v>0</v>
      </c>
      <c r="CU89" s="16">
        <f>Demand_SW!J$5/31</f>
        <v>0</v>
      </c>
      <c r="CV89" s="16">
        <f>Demand_SW!K$5/31</f>
        <v>0</v>
      </c>
      <c r="CW89" s="16">
        <f t="shared" si="53"/>
        <v>40283.076923076886</v>
      </c>
      <c r="CX89" s="16">
        <f t="shared" si="54"/>
        <v>-303.97022332506191</v>
      </c>
      <c r="CY89" s="16">
        <f t="shared" si="55"/>
        <v>0</v>
      </c>
      <c r="CZ89" s="16">
        <f t="shared" si="56"/>
        <v>0</v>
      </c>
      <c r="DA89" s="16">
        <f t="shared" si="57"/>
        <v>0</v>
      </c>
      <c r="DB89" s="16">
        <f t="shared" si="58"/>
        <v>-9245.1612903225741</v>
      </c>
      <c r="DC89" s="16">
        <f t="shared" si="59"/>
        <v>-303.97022332506191</v>
      </c>
      <c r="DD89" s="16">
        <f t="shared" si="60"/>
        <v>0</v>
      </c>
      <c r="DE89" s="16">
        <f t="shared" si="61"/>
        <v>0</v>
      </c>
      <c r="DF89" s="16">
        <f t="shared" si="62"/>
        <v>0</v>
      </c>
      <c r="DG89" s="14">
        <f>IF([1]Sheet2!DR88=999999,"NA",[1]Sheet2!DR88)</f>
        <v>73103</v>
      </c>
      <c r="DH89" s="14">
        <f>IF([1]Sheet2!DS88=999999,"NA",[1]Sheet2!DS88)</f>
        <v>279</v>
      </c>
      <c r="DI89" s="14">
        <f>IF([1]Sheet2!DT88=999999,"NA",[1]Sheet2!DT88)</f>
        <v>279</v>
      </c>
      <c r="DJ89" s="14" t="str">
        <f>IF([1]Sheet2!DU88=999999,"NA",[1]Sheet2!DU88)</f>
        <v>NA</v>
      </c>
      <c r="DK89" s="14" t="str">
        <f>IF([1]Sheet2!DV88=999999,"NA",[1]Sheet2!DV88)</f>
        <v>NA</v>
      </c>
      <c r="DL89" s="14" t="str">
        <f>IF([1]Sheet2!DW88=999999,"NA",[1]Sheet2!DW88)</f>
        <v>NA</v>
      </c>
      <c r="DM89" s="14">
        <f>IF([1]Sheet2!DX88=999999,"NA",[1]Sheet2!DX88)</f>
        <v>279</v>
      </c>
      <c r="DN89" s="14">
        <f>IF([1]Sheet2!DY88=999999,"NA",[1]Sheet2!DY88)</f>
        <v>279</v>
      </c>
      <c r="DO89" s="14" t="str">
        <f>IF([1]Sheet2!DZ88=999999,"NA",[1]Sheet2!DZ88)</f>
        <v>NA</v>
      </c>
      <c r="DP89" s="14" t="str">
        <f>IF([1]Sheet2!EA88=999999,"NA",[1]Sheet2!EA88)</f>
        <v>NA</v>
      </c>
      <c r="DQ89" s="14">
        <f>[1]Sheet2!CX88</f>
        <v>0</v>
      </c>
      <c r="DR89" s="14">
        <f>[1]Sheet2!CY88</f>
        <v>0</v>
      </c>
      <c r="DS89" s="14">
        <f>[1]Sheet2!CZ88</f>
        <v>0</v>
      </c>
      <c r="DT89" s="14">
        <f>[1]Sheet2!DA88</f>
        <v>0</v>
      </c>
      <c r="DU89" s="14">
        <f>[1]Sheet2!DB88</f>
        <v>0</v>
      </c>
      <c r="DV89" s="14">
        <f>[1]Sheet2!DC88</f>
        <v>0</v>
      </c>
      <c r="DW89" s="14">
        <f>[1]Sheet2!DD88</f>
        <v>0</v>
      </c>
      <c r="DX89" s="14">
        <f>[1]Sheet2!DE88</f>
        <v>0</v>
      </c>
      <c r="DY89" s="14">
        <f>[1]Sheet2!DF88</f>
        <v>0</v>
      </c>
      <c r="DZ89" s="14">
        <f>[1]Sheet2!DG88</f>
        <v>0</v>
      </c>
    </row>
    <row r="90" spans="1:130" x14ac:dyDescent="0.25">
      <c r="A90" s="15">
        <v>43552</v>
      </c>
      <c r="B90" s="1"/>
      <c r="C90" s="1"/>
      <c r="D90" s="1"/>
      <c r="E90" s="14">
        <f>[1]Sheet2!N89</f>
        <v>0</v>
      </c>
      <c r="F90" s="14">
        <f>[1]Sheet2!BE89</f>
        <v>0</v>
      </c>
      <c r="G90" s="14">
        <f>[1]Sheet2!CV89</f>
        <v>336.72456575682378</v>
      </c>
      <c r="H90" s="1"/>
      <c r="I90" s="1"/>
      <c r="J90" s="1"/>
      <c r="K90" s="16">
        <f>Demand_CWRS!B$5/31</f>
        <v>131.679370700757</v>
      </c>
      <c r="L90" s="16">
        <f>Demand_CWRS!C$5/31</f>
        <v>537.20942928039699</v>
      </c>
      <c r="M90" s="16">
        <f>Demand_CWRS!D$5/31</f>
        <v>0</v>
      </c>
      <c r="N90" s="16">
        <f>Demand_CWRS!E$5/31</f>
        <v>121.5961418056559</v>
      </c>
      <c r="O90" s="16">
        <f>Demand_CWRS!F$5/31</f>
        <v>245.08227837631262</v>
      </c>
      <c r="P90" s="16">
        <f>Demand_CWRS!G$5/31</f>
        <v>131.679370700757</v>
      </c>
      <c r="Q90" s="16">
        <f>Demand_CWRS!H$5/31</f>
        <v>537.20942928039699</v>
      </c>
      <c r="R90" s="16">
        <f>Demand_CWRS!I$5/31</f>
        <v>245.08227837631262</v>
      </c>
      <c r="S90" s="16">
        <f>Demand_CWRS!J$5/31</f>
        <v>245.08227837631262</v>
      </c>
      <c r="T90" s="16">
        <f>Demand_CWRS!K$5/31</f>
        <v>245.08227837631262</v>
      </c>
      <c r="U90" s="16">
        <f t="shared" si="33"/>
        <v>-14083.966189717323</v>
      </c>
      <c r="V90" s="16">
        <f t="shared" si="34"/>
        <v>-34570.494789081851</v>
      </c>
      <c r="W90" s="16">
        <f t="shared" si="35"/>
        <v>0</v>
      </c>
      <c r="X90" s="16">
        <f t="shared" si="36"/>
        <v>-8114.6163295327269</v>
      </c>
      <c r="Y90" s="16">
        <f t="shared" si="37"/>
        <v>-19374.270381075239</v>
      </c>
      <c r="Z90" s="16">
        <f t="shared" si="38"/>
        <v>-13867.022379621189</v>
      </c>
      <c r="AA90" s="16">
        <f t="shared" si="39"/>
        <v>-34070.494789081851</v>
      </c>
      <c r="AB90" s="16">
        <f t="shared" si="40"/>
        <v>-17062.303794536754</v>
      </c>
      <c r="AC90" s="16">
        <f t="shared" si="41"/>
        <v>-17062.303794536743</v>
      </c>
      <c r="AD90" s="16">
        <f t="shared" si="42"/>
        <v>-17762.303794536747</v>
      </c>
      <c r="AE90" s="14">
        <f>IF([1]Sheet2!AJ89=999999,"NA",[1]Sheet2!AJ89)</f>
        <v>40</v>
      </c>
      <c r="AF90" s="14">
        <f>IF([1]Sheet2!AK89=999999,"NA",[1]Sheet2!AK89)</f>
        <v>0</v>
      </c>
      <c r="AG90" s="14" t="str">
        <f>IF([1]Sheet2!AL89=999999,"NA",[1]Sheet2!AL89)</f>
        <v>NA</v>
      </c>
      <c r="AH90" s="14">
        <f>IF([1]Sheet2!AM89=999999,"NA",[1]Sheet2!AM89)</f>
        <v>278</v>
      </c>
      <c r="AI90" s="14">
        <f>IF([1]Sheet2!AN89=999999,"NA",[1]Sheet2!AN89)</f>
        <v>278</v>
      </c>
      <c r="AJ90" s="14">
        <f>IF([1]Sheet2!AO89=999999,"NA",[1]Sheet2!AO89)</f>
        <v>278</v>
      </c>
      <c r="AK90" s="14">
        <f>IF([1]Sheet2!AP89=999999,"NA",[1]Sheet2!AP89)</f>
        <v>23</v>
      </c>
      <c r="AL90" s="14">
        <f>IF([1]Sheet2!AQ89=999999,"NA",[1]Sheet2!AQ89)</f>
        <v>154</v>
      </c>
      <c r="AM90" s="14">
        <f>IF([1]Sheet2!AR89=999999,"NA",[1]Sheet2!AR89)</f>
        <v>278</v>
      </c>
      <c r="AN90" s="14">
        <f>IF([1]Sheet2!AS89=999999,"NA",[1]Sheet2!AS89)</f>
        <v>210</v>
      </c>
      <c r="AO90" s="14">
        <f>[1]Sheet2!P89</f>
        <v>0</v>
      </c>
      <c r="AP90" s="14">
        <f>[1]Sheet2!Q89</f>
        <v>0</v>
      </c>
      <c r="AQ90" s="14">
        <f>[1]Sheet2!R89</f>
        <v>0</v>
      </c>
      <c r="AR90" s="14">
        <f>[1]Sheet2!S89</f>
        <v>0</v>
      </c>
      <c r="AS90" s="14">
        <f>[1]Sheet2!T89</f>
        <v>0</v>
      </c>
      <c r="AT90" s="14">
        <f>[1]Sheet2!U89</f>
        <v>0</v>
      </c>
      <c r="AU90" s="14">
        <f>[1]Sheet2!V89</f>
        <v>0</v>
      </c>
      <c r="AV90" s="14">
        <f>[1]Sheet2!W89</f>
        <v>0</v>
      </c>
      <c r="AW90" s="14">
        <f>[1]Sheet2!X89</f>
        <v>0</v>
      </c>
      <c r="AX90" s="14">
        <f>[1]Sheet2!Y89</f>
        <v>0</v>
      </c>
      <c r="AY90" s="16">
        <f>Demand_LP!B$5/31</f>
        <v>754.78140345091151</v>
      </c>
      <c r="AZ90" s="16">
        <f>Demand_LP!C$5/31</f>
        <v>547.55235732009919</v>
      </c>
      <c r="BA90" s="16">
        <f>Demand_LP!D$5/31</f>
        <v>312.75612076095945</v>
      </c>
      <c r="BB90" s="16">
        <f>Demand_LP!E$5/31</f>
        <v>772.29437499345636</v>
      </c>
      <c r="BC90" s="16">
        <f>Demand_LP!F$5/31</f>
        <v>471.74248526347748</v>
      </c>
      <c r="BD90" s="16">
        <f>Demand_LP!G$5/31</f>
        <v>754.78140345091151</v>
      </c>
      <c r="BE90" s="16">
        <f>Demand_LP!H$5/31</f>
        <v>547.55235732009919</v>
      </c>
      <c r="BF90" s="16">
        <f>Demand_LP!I$5/31</f>
        <v>451.61290322580646</v>
      </c>
      <c r="BG90" s="16">
        <f>Demand_LP!J$5/31</f>
        <v>451.61290322580646</v>
      </c>
      <c r="BH90" s="16">
        <f>Demand_LP!K$5/31</f>
        <v>451.61290322580646</v>
      </c>
      <c r="BI90" s="16" t="e">
        <f t="shared" si="43"/>
        <v>#VALUE!</v>
      </c>
      <c r="BJ90" s="16">
        <f t="shared" si="44"/>
        <v>-48973.886517783256</v>
      </c>
      <c r="BK90" s="16">
        <f t="shared" si="45"/>
        <v>-21835.697022332479</v>
      </c>
      <c r="BL90" s="16">
        <f t="shared" si="46"/>
        <v>-61489.664294688555</v>
      </c>
      <c r="BM90" s="16">
        <f t="shared" si="47"/>
        <v>-39027.088625838936</v>
      </c>
      <c r="BN90" s="16">
        <f t="shared" si="48"/>
        <v>-58133.879296625608</v>
      </c>
      <c r="BO90" s="16">
        <f t="shared" si="49"/>
        <v>-51331.466004962771</v>
      </c>
      <c r="BP90" s="16">
        <f t="shared" si="50"/>
        <v>-38545.161290322561</v>
      </c>
      <c r="BQ90" s="16">
        <f t="shared" si="51"/>
        <v>-35145.161290322583</v>
      </c>
      <c r="BR90" s="16">
        <f t="shared" si="52"/>
        <v>-36345.161290322569</v>
      </c>
      <c r="BS90" s="14">
        <f>IF([1]Sheet2!CA89=999999,"NA",[1]Sheet2!CA89)</f>
        <v>180133.83870967719</v>
      </c>
      <c r="BT90" s="14">
        <f>IF([1]Sheet2!CB89=999999,"NA",[1]Sheet2!CB89)</f>
        <v>200</v>
      </c>
      <c r="BU90" s="14">
        <f>IF([1]Sheet2!CC89=999999,"NA",[1]Sheet2!CC89)</f>
        <v>278</v>
      </c>
      <c r="BV90" s="14">
        <f>IF([1]Sheet2!CD89=999999,"NA",[1]Sheet2!CD89)</f>
        <v>278</v>
      </c>
      <c r="BW90" s="14">
        <f>IF([1]Sheet2!CE89=999999,"NA",[1]Sheet2!CE89)</f>
        <v>240</v>
      </c>
      <c r="BX90" s="14">
        <f>IF([1]Sheet2!CF89=999999,"NA",[1]Sheet2!CF89)</f>
        <v>278</v>
      </c>
      <c r="BY90" s="14">
        <f>IF([1]Sheet2!CG89=999999,"NA",[1]Sheet2!CG89)</f>
        <v>172</v>
      </c>
      <c r="BZ90" s="14">
        <f>IF([1]Sheet2!CH89=999999,"NA",[1]Sheet2!CH89)</f>
        <v>278</v>
      </c>
      <c r="CA90" s="14">
        <f>IF([1]Sheet2!CI89=999999,"NA",[1]Sheet2!CI89)</f>
        <v>278</v>
      </c>
      <c r="CB90" s="14">
        <f>IF([1]Sheet2!CJ89=999999,"NA",[1]Sheet2!CJ89)</f>
        <v>278</v>
      </c>
      <c r="CC90" s="14">
        <f>[1]Sheet2!BG89</f>
        <v>0</v>
      </c>
      <c r="CD90" s="14">
        <f>[1]Sheet2!BH89</f>
        <v>0</v>
      </c>
      <c r="CE90" s="14">
        <f>[1]Sheet2!BI89</f>
        <v>0</v>
      </c>
      <c r="CF90" s="14">
        <f>[1]Sheet2!BJ89</f>
        <v>0</v>
      </c>
      <c r="CG90" s="14">
        <f>[1]Sheet2!BK89</f>
        <v>0</v>
      </c>
      <c r="CH90" s="14">
        <f>[1]Sheet2!BL89</f>
        <v>0</v>
      </c>
      <c r="CI90" s="14">
        <f>[1]Sheet2!BM89</f>
        <v>0</v>
      </c>
      <c r="CJ90" s="14">
        <f>[1]Sheet2!BN89</f>
        <v>0</v>
      </c>
      <c r="CK90" s="14">
        <f>[1]Sheet2!BO89</f>
        <v>0</v>
      </c>
      <c r="CL90" s="14">
        <f>[1]Sheet2!BP89</f>
        <v>0</v>
      </c>
      <c r="CM90" s="16">
        <f>Demand_SW!B$5/31</f>
        <v>138.46153846153845</v>
      </c>
      <c r="CN90" s="16">
        <f>Demand_SW!C$5/31</f>
        <v>29.776674937965261</v>
      </c>
      <c r="CO90" s="16">
        <f>Demand_SW!D$5/31</f>
        <v>0</v>
      </c>
      <c r="CP90" s="16">
        <f>Demand_SW!E$5/31</f>
        <v>0</v>
      </c>
      <c r="CQ90" s="16">
        <f>Demand_SW!F$5/31</f>
        <v>0</v>
      </c>
      <c r="CR90" s="16">
        <f>Demand_SW!G$5/31</f>
        <v>138.70967741935485</v>
      </c>
      <c r="CS90" s="16">
        <f>Demand_SW!H$5/31</f>
        <v>29.776674937965261</v>
      </c>
      <c r="CT90" s="16">
        <f>Demand_SW!I$5/31</f>
        <v>0</v>
      </c>
      <c r="CU90" s="16">
        <f>Demand_SW!J$5/31</f>
        <v>0</v>
      </c>
      <c r="CV90" s="16">
        <f>Demand_SW!K$5/31</f>
        <v>0</v>
      </c>
      <c r="CW90" s="16">
        <f t="shared" si="53"/>
        <v>40144.615384615347</v>
      </c>
      <c r="CX90" s="16">
        <f t="shared" si="54"/>
        <v>-333.74689826302716</v>
      </c>
      <c r="CY90" s="16">
        <f t="shared" si="55"/>
        <v>0</v>
      </c>
      <c r="CZ90" s="16">
        <f t="shared" si="56"/>
        <v>0</v>
      </c>
      <c r="DA90" s="16">
        <f t="shared" si="57"/>
        <v>0</v>
      </c>
      <c r="DB90" s="16">
        <f t="shared" si="58"/>
        <v>-9383.8709677419283</v>
      </c>
      <c r="DC90" s="16">
        <f t="shared" si="59"/>
        <v>-333.74689826302716</v>
      </c>
      <c r="DD90" s="16">
        <f t="shared" si="60"/>
        <v>0</v>
      </c>
      <c r="DE90" s="16">
        <f t="shared" si="61"/>
        <v>0</v>
      </c>
      <c r="DF90" s="16">
        <f t="shared" si="62"/>
        <v>0</v>
      </c>
      <c r="DG90" s="14">
        <f>IF([1]Sheet2!DR89=999999,"NA",[1]Sheet2!DR89)</f>
        <v>73103</v>
      </c>
      <c r="DH90" s="14">
        <f>IF([1]Sheet2!DS89=999999,"NA",[1]Sheet2!DS89)</f>
        <v>278</v>
      </c>
      <c r="DI90" s="14">
        <f>IF([1]Sheet2!DT89=999999,"NA",[1]Sheet2!DT89)</f>
        <v>278</v>
      </c>
      <c r="DJ90" s="14" t="str">
        <f>IF([1]Sheet2!DU89=999999,"NA",[1]Sheet2!DU89)</f>
        <v>NA</v>
      </c>
      <c r="DK90" s="14" t="str">
        <f>IF([1]Sheet2!DV89=999999,"NA",[1]Sheet2!DV89)</f>
        <v>NA</v>
      </c>
      <c r="DL90" s="14" t="str">
        <f>IF([1]Sheet2!DW89=999999,"NA",[1]Sheet2!DW89)</f>
        <v>NA</v>
      </c>
      <c r="DM90" s="14">
        <f>IF([1]Sheet2!DX89=999999,"NA",[1]Sheet2!DX89)</f>
        <v>278</v>
      </c>
      <c r="DN90" s="14">
        <f>IF([1]Sheet2!DY89=999999,"NA",[1]Sheet2!DY89)</f>
        <v>278</v>
      </c>
      <c r="DO90" s="14" t="str">
        <f>IF([1]Sheet2!DZ89=999999,"NA",[1]Sheet2!DZ89)</f>
        <v>NA</v>
      </c>
      <c r="DP90" s="14" t="str">
        <f>IF([1]Sheet2!EA89=999999,"NA",[1]Sheet2!EA89)</f>
        <v>NA</v>
      </c>
      <c r="DQ90" s="14">
        <f>[1]Sheet2!CX89</f>
        <v>0</v>
      </c>
      <c r="DR90" s="14">
        <f>[1]Sheet2!CY89</f>
        <v>0</v>
      </c>
      <c r="DS90" s="14">
        <f>[1]Sheet2!CZ89</f>
        <v>0</v>
      </c>
      <c r="DT90" s="14">
        <f>[1]Sheet2!DA89</f>
        <v>0</v>
      </c>
      <c r="DU90" s="14">
        <f>[1]Sheet2!DB89</f>
        <v>0</v>
      </c>
      <c r="DV90" s="14">
        <f>[1]Sheet2!DC89</f>
        <v>0</v>
      </c>
      <c r="DW90" s="14">
        <f>[1]Sheet2!DD89</f>
        <v>0</v>
      </c>
      <c r="DX90" s="14">
        <f>[1]Sheet2!DE89</f>
        <v>0</v>
      </c>
      <c r="DY90" s="14">
        <f>[1]Sheet2!DF89</f>
        <v>0</v>
      </c>
      <c r="DZ90" s="14">
        <f>[1]Sheet2!DG89</f>
        <v>0</v>
      </c>
    </row>
    <row r="91" spans="1:130" x14ac:dyDescent="0.25">
      <c r="A91" s="15">
        <v>43553</v>
      </c>
      <c r="B91" s="1"/>
      <c r="C91" s="1"/>
      <c r="D91" s="1"/>
      <c r="E91" s="14">
        <f>[1]Sheet2!N90</f>
        <v>0</v>
      </c>
      <c r="F91" s="14">
        <f>[1]Sheet2!BE90</f>
        <v>0</v>
      </c>
      <c r="G91" s="14">
        <f>[1]Sheet2!CV90</f>
        <v>336.72456575682378</v>
      </c>
      <c r="H91" s="1"/>
      <c r="I91" s="1"/>
      <c r="J91" s="1"/>
      <c r="K91" s="16">
        <f>Demand_CWRS!B$5/31</f>
        <v>131.679370700757</v>
      </c>
      <c r="L91" s="16">
        <f>Demand_CWRS!C$5/31</f>
        <v>537.20942928039699</v>
      </c>
      <c r="M91" s="16">
        <f>Demand_CWRS!D$5/31</f>
        <v>0</v>
      </c>
      <c r="N91" s="16">
        <f>Demand_CWRS!E$5/31</f>
        <v>121.5961418056559</v>
      </c>
      <c r="O91" s="16">
        <f>Demand_CWRS!F$5/31</f>
        <v>245.08227837631262</v>
      </c>
      <c r="P91" s="16">
        <f>Demand_CWRS!G$5/31</f>
        <v>131.679370700757</v>
      </c>
      <c r="Q91" s="16">
        <f>Demand_CWRS!H$5/31</f>
        <v>537.20942928039699</v>
      </c>
      <c r="R91" s="16">
        <f>Demand_CWRS!I$5/31</f>
        <v>245.08227837631262</v>
      </c>
      <c r="S91" s="16">
        <f>Demand_CWRS!J$5/31</f>
        <v>245.08227837631262</v>
      </c>
      <c r="T91" s="16">
        <f>Demand_CWRS!K$5/31</f>
        <v>245.08227837631262</v>
      </c>
      <c r="U91" s="16">
        <f t="shared" si="33"/>
        <v>-14215.645560418079</v>
      </c>
      <c r="V91" s="16">
        <f t="shared" si="34"/>
        <v>-35107.704218362247</v>
      </c>
      <c r="W91" s="16">
        <f t="shared" si="35"/>
        <v>0</v>
      </c>
      <c r="X91" s="16">
        <f t="shared" si="36"/>
        <v>-8236.2124713383837</v>
      </c>
      <c r="Y91" s="16">
        <f t="shared" si="37"/>
        <v>-19619.352659451553</v>
      </c>
      <c r="Z91" s="16">
        <f t="shared" si="38"/>
        <v>-13998.701750321945</v>
      </c>
      <c r="AA91" s="16">
        <f t="shared" si="39"/>
        <v>-34607.704218362247</v>
      </c>
      <c r="AB91" s="16">
        <f t="shared" si="40"/>
        <v>-17307.386072913068</v>
      </c>
      <c r="AC91" s="16">
        <f t="shared" si="41"/>
        <v>-17307.386072913057</v>
      </c>
      <c r="AD91" s="16">
        <f t="shared" si="42"/>
        <v>-18007.386072913061</v>
      </c>
      <c r="AE91" s="14">
        <f>IF([1]Sheet2!AJ90=999999,"NA",[1]Sheet2!AJ90)</f>
        <v>39</v>
      </c>
      <c r="AF91" s="14">
        <f>IF([1]Sheet2!AK90=999999,"NA",[1]Sheet2!AK90)</f>
        <v>0</v>
      </c>
      <c r="AG91" s="14" t="str">
        <f>IF([1]Sheet2!AL90=999999,"NA",[1]Sheet2!AL90)</f>
        <v>NA</v>
      </c>
      <c r="AH91" s="14">
        <f>IF([1]Sheet2!AM90=999999,"NA",[1]Sheet2!AM90)</f>
        <v>277</v>
      </c>
      <c r="AI91" s="14">
        <f>IF([1]Sheet2!AN90=999999,"NA",[1]Sheet2!AN90)</f>
        <v>277</v>
      </c>
      <c r="AJ91" s="14">
        <f>IF([1]Sheet2!AO90=999999,"NA",[1]Sheet2!AO90)</f>
        <v>277</v>
      </c>
      <c r="AK91" s="14">
        <f>IF([1]Sheet2!AP90=999999,"NA",[1]Sheet2!AP90)</f>
        <v>22</v>
      </c>
      <c r="AL91" s="14">
        <f>IF([1]Sheet2!AQ90=999999,"NA",[1]Sheet2!AQ90)</f>
        <v>153</v>
      </c>
      <c r="AM91" s="14">
        <f>IF([1]Sheet2!AR90=999999,"NA",[1]Sheet2!AR90)</f>
        <v>277</v>
      </c>
      <c r="AN91" s="14">
        <f>IF([1]Sheet2!AS90=999999,"NA",[1]Sheet2!AS90)</f>
        <v>209</v>
      </c>
      <c r="AO91" s="14">
        <f>[1]Sheet2!P90</f>
        <v>0</v>
      </c>
      <c r="AP91" s="14">
        <f>[1]Sheet2!Q90</f>
        <v>0</v>
      </c>
      <c r="AQ91" s="14">
        <f>[1]Sheet2!R90</f>
        <v>0</v>
      </c>
      <c r="AR91" s="14">
        <f>[1]Sheet2!S90</f>
        <v>0</v>
      </c>
      <c r="AS91" s="14">
        <f>[1]Sheet2!T90</f>
        <v>0</v>
      </c>
      <c r="AT91" s="14">
        <f>[1]Sheet2!U90</f>
        <v>0</v>
      </c>
      <c r="AU91" s="14">
        <f>[1]Sheet2!V90</f>
        <v>0</v>
      </c>
      <c r="AV91" s="14">
        <f>[1]Sheet2!W90</f>
        <v>0</v>
      </c>
      <c r="AW91" s="14">
        <f>[1]Sheet2!X90</f>
        <v>0</v>
      </c>
      <c r="AX91" s="14">
        <f>[1]Sheet2!Y90</f>
        <v>0</v>
      </c>
      <c r="AY91" s="16">
        <f>Demand_LP!B$5/31</f>
        <v>754.78140345091151</v>
      </c>
      <c r="AZ91" s="16">
        <f>Demand_LP!C$5/31</f>
        <v>547.55235732009919</v>
      </c>
      <c r="BA91" s="16">
        <f>Demand_LP!D$5/31</f>
        <v>312.75612076095945</v>
      </c>
      <c r="BB91" s="16">
        <f>Demand_LP!E$5/31</f>
        <v>772.29437499345636</v>
      </c>
      <c r="BC91" s="16">
        <f>Demand_LP!F$5/31</f>
        <v>471.74248526347748</v>
      </c>
      <c r="BD91" s="16">
        <f>Demand_LP!G$5/31</f>
        <v>754.78140345091151</v>
      </c>
      <c r="BE91" s="16">
        <f>Demand_LP!H$5/31</f>
        <v>547.55235732009919</v>
      </c>
      <c r="BF91" s="16">
        <f>Demand_LP!I$5/31</f>
        <v>451.61290322580646</v>
      </c>
      <c r="BG91" s="16">
        <f>Demand_LP!J$5/31</f>
        <v>451.61290322580646</v>
      </c>
      <c r="BH91" s="16">
        <f>Demand_LP!K$5/31</f>
        <v>451.61290322580646</v>
      </c>
      <c r="BI91" s="16" t="e">
        <f t="shared" si="43"/>
        <v>#VALUE!</v>
      </c>
      <c r="BJ91" s="16">
        <f t="shared" si="44"/>
        <v>-49521.438875103355</v>
      </c>
      <c r="BK91" s="16">
        <f t="shared" si="45"/>
        <v>-22148.453143093437</v>
      </c>
      <c r="BL91" s="16">
        <f t="shared" si="46"/>
        <v>-62261.958669682012</v>
      </c>
      <c r="BM91" s="16">
        <f t="shared" si="47"/>
        <v>-39498.831111102416</v>
      </c>
      <c r="BN91" s="16">
        <f t="shared" si="48"/>
        <v>-58888.660700076522</v>
      </c>
      <c r="BO91" s="16">
        <f t="shared" si="49"/>
        <v>-51879.01836228287</v>
      </c>
      <c r="BP91" s="16">
        <f t="shared" si="50"/>
        <v>-38996.774193548365</v>
      </c>
      <c r="BQ91" s="16">
        <f t="shared" si="51"/>
        <v>-35596.774193548386</v>
      </c>
      <c r="BR91" s="16">
        <f t="shared" si="52"/>
        <v>-36796.774193548372</v>
      </c>
      <c r="BS91" s="14">
        <f>IF([1]Sheet2!CA90=999999,"NA",[1]Sheet2!CA90)</f>
        <v>179682.22580645137</v>
      </c>
      <c r="BT91" s="14">
        <f>IF([1]Sheet2!CB90=999999,"NA",[1]Sheet2!CB90)</f>
        <v>199</v>
      </c>
      <c r="BU91" s="14">
        <f>IF([1]Sheet2!CC90=999999,"NA",[1]Sheet2!CC90)</f>
        <v>277</v>
      </c>
      <c r="BV91" s="14">
        <f>IF([1]Sheet2!CD90=999999,"NA",[1]Sheet2!CD90)</f>
        <v>277</v>
      </c>
      <c r="BW91" s="14">
        <f>IF([1]Sheet2!CE90=999999,"NA",[1]Sheet2!CE90)</f>
        <v>239</v>
      </c>
      <c r="BX91" s="14">
        <f>IF([1]Sheet2!CF90=999999,"NA",[1]Sheet2!CF90)</f>
        <v>277</v>
      </c>
      <c r="BY91" s="14">
        <f>IF([1]Sheet2!CG90=999999,"NA",[1]Sheet2!CG90)</f>
        <v>171</v>
      </c>
      <c r="BZ91" s="14">
        <f>IF([1]Sheet2!CH90=999999,"NA",[1]Sheet2!CH90)</f>
        <v>277</v>
      </c>
      <c r="CA91" s="14">
        <f>IF([1]Sheet2!CI90=999999,"NA",[1]Sheet2!CI90)</f>
        <v>277</v>
      </c>
      <c r="CB91" s="14">
        <f>IF([1]Sheet2!CJ90=999999,"NA",[1]Sheet2!CJ90)</f>
        <v>277</v>
      </c>
      <c r="CC91" s="14">
        <f>[1]Sheet2!BG90</f>
        <v>0</v>
      </c>
      <c r="CD91" s="14">
        <f>[1]Sheet2!BH90</f>
        <v>0</v>
      </c>
      <c r="CE91" s="14">
        <f>[1]Sheet2!BI90</f>
        <v>0</v>
      </c>
      <c r="CF91" s="14">
        <f>[1]Sheet2!BJ90</f>
        <v>0</v>
      </c>
      <c r="CG91" s="14">
        <f>[1]Sheet2!BK90</f>
        <v>0</v>
      </c>
      <c r="CH91" s="14">
        <f>[1]Sheet2!BL90</f>
        <v>0</v>
      </c>
      <c r="CI91" s="14">
        <f>[1]Sheet2!BM90</f>
        <v>0</v>
      </c>
      <c r="CJ91" s="14">
        <f>[1]Sheet2!BN90</f>
        <v>0</v>
      </c>
      <c r="CK91" s="14">
        <f>[1]Sheet2!BO90</f>
        <v>0</v>
      </c>
      <c r="CL91" s="14">
        <f>[1]Sheet2!BP90</f>
        <v>0</v>
      </c>
      <c r="CM91" s="16">
        <f>Demand_SW!B$5/31</f>
        <v>138.46153846153845</v>
      </c>
      <c r="CN91" s="16">
        <f>Demand_SW!C$5/31</f>
        <v>29.776674937965261</v>
      </c>
      <c r="CO91" s="16">
        <f>Demand_SW!D$5/31</f>
        <v>0</v>
      </c>
      <c r="CP91" s="16">
        <f>Demand_SW!E$5/31</f>
        <v>0</v>
      </c>
      <c r="CQ91" s="16">
        <f>Demand_SW!F$5/31</f>
        <v>0</v>
      </c>
      <c r="CR91" s="16">
        <f>Demand_SW!G$5/31</f>
        <v>138.70967741935485</v>
      </c>
      <c r="CS91" s="16">
        <f>Demand_SW!H$5/31</f>
        <v>29.776674937965261</v>
      </c>
      <c r="CT91" s="16">
        <f>Demand_SW!I$5/31</f>
        <v>0</v>
      </c>
      <c r="CU91" s="16">
        <f>Demand_SW!J$5/31</f>
        <v>0</v>
      </c>
      <c r="CV91" s="16">
        <f>Demand_SW!K$5/31</f>
        <v>0</v>
      </c>
      <c r="CW91" s="16">
        <f t="shared" si="53"/>
        <v>40006.153846153808</v>
      </c>
      <c r="CX91" s="16">
        <f t="shared" si="54"/>
        <v>-363.52357320099242</v>
      </c>
      <c r="CY91" s="16">
        <f t="shared" si="55"/>
        <v>0</v>
      </c>
      <c r="CZ91" s="16">
        <f t="shared" si="56"/>
        <v>0</v>
      </c>
      <c r="DA91" s="16">
        <f t="shared" si="57"/>
        <v>0</v>
      </c>
      <c r="DB91" s="16">
        <f t="shared" si="58"/>
        <v>-9522.5806451612825</v>
      </c>
      <c r="DC91" s="16">
        <f t="shared" si="59"/>
        <v>-363.52357320099242</v>
      </c>
      <c r="DD91" s="16">
        <f t="shared" si="60"/>
        <v>0</v>
      </c>
      <c r="DE91" s="16">
        <f t="shared" si="61"/>
        <v>0</v>
      </c>
      <c r="DF91" s="16">
        <f t="shared" si="62"/>
        <v>0</v>
      </c>
      <c r="DG91" s="14">
        <f>IF([1]Sheet2!DR90=999999,"NA",[1]Sheet2!DR90)</f>
        <v>73103</v>
      </c>
      <c r="DH91" s="14">
        <f>IF([1]Sheet2!DS90=999999,"NA",[1]Sheet2!DS90)</f>
        <v>277</v>
      </c>
      <c r="DI91" s="14">
        <f>IF([1]Sheet2!DT90=999999,"NA",[1]Sheet2!DT90)</f>
        <v>277</v>
      </c>
      <c r="DJ91" s="14" t="str">
        <f>IF([1]Sheet2!DU90=999999,"NA",[1]Sheet2!DU90)</f>
        <v>NA</v>
      </c>
      <c r="DK91" s="14" t="str">
        <f>IF([1]Sheet2!DV90=999999,"NA",[1]Sheet2!DV90)</f>
        <v>NA</v>
      </c>
      <c r="DL91" s="14" t="str">
        <f>IF([1]Sheet2!DW90=999999,"NA",[1]Sheet2!DW90)</f>
        <v>NA</v>
      </c>
      <c r="DM91" s="14">
        <f>IF([1]Sheet2!DX90=999999,"NA",[1]Sheet2!DX90)</f>
        <v>277</v>
      </c>
      <c r="DN91" s="14">
        <f>IF([1]Sheet2!DY90=999999,"NA",[1]Sheet2!DY90)</f>
        <v>277</v>
      </c>
      <c r="DO91" s="14" t="str">
        <f>IF([1]Sheet2!DZ90=999999,"NA",[1]Sheet2!DZ90)</f>
        <v>NA</v>
      </c>
      <c r="DP91" s="14" t="str">
        <f>IF([1]Sheet2!EA90=999999,"NA",[1]Sheet2!EA90)</f>
        <v>NA</v>
      </c>
      <c r="DQ91" s="14">
        <f>[1]Sheet2!CX90</f>
        <v>0</v>
      </c>
      <c r="DR91" s="14">
        <f>[1]Sheet2!CY90</f>
        <v>0</v>
      </c>
      <c r="DS91" s="14">
        <f>[1]Sheet2!CZ90</f>
        <v>0</v>
      </c>
      <c r="DT91" s="14">
        <f>[1]Sheet2!DA90</f>
        <v>0</v>
      </c>
      <c r="DU91" s="14">
        <f>[1]Sheet2!DB90</f>
        <v>0</v>
      </c>
      <c r="DV91" s="14">
        <f>[1]Sheet2!DC90</f>
        <v>0</v>
      </c>
      <c r="DW91" s="14">
        <f>[1]Sheet2!DD90</f>
        <v>0</v>
      </c>
      <c r="DX91" s="14">
        <f>[1]Sheet2!DE90</f>
        <v>0</v>
      </c>
      <c r="DY91" s="14">
        <f>[1]Sheet2!DF90</f>
        <v>0</v>
      </c>
      <c r="DZ91" s="14">
        <f>[1]Sheet2!DG90</f>
        <v>0</v>
      </c>
    </row>
    <row r="92" spans="1:130" x14ac:dyDescent="0.25">
      <c r="A92" s="15">
        <v>43554</v>
      </c>
      <c r="B92" s="1"/>
      <c r="C92" s="1"/>
      <c r="D92" s="1"/>
      <c r="E92" s="14">
        <f>[1]Sheet2!N91</f>
        <v>0</v>
      </c>
      <c r="F92" s="14">
        <f>[1]Sheet2!BE91</f>
        <v>0</v>
      </c>
      <c r="G92" s="14">
        <f>[1]Sheet2!CV91</f>
        <v>336.72456575682378</v>
      </c>
      <c r="H92" s="1"/>
      <c r="I92" s="1"/>
      <c r="J92" s="1"/>
      <c r="K92" s="16">
        <f>Demand_CWRS!B$5/31</f>
        <v>131.679370700757</v>
      </c>
      <c r="L92" s="16">
        <f>Demand_CWRS!C$5/31</f>
        <v>537.20942928039699</v>
      </c>
      <c r="M92" s="16">
        <f>Demand_CWRS!D$5/31</f>
        <v>0</v>
      </c>
      <c r="N92" s="16">
        <f>Demand_CWRS!E$5/31</f>
        <v>121.5961418056559</v>
      </c>
      <c r="O92" s="16">
        <f>Demand_CWRS!F$5/31</f>
        <v>245.08227837631262</v>
      </c>
      <c r="P92" s="16">
        <f>Demand_CWRS!G$5/31</f>
        <v>131.679370700757</v>
      </c>
      <c r="Q92" s="16">
        <f>Demand_CWRS!H$5/31</f>
        <v>537.20942928039699</v>
      </c>
      <c r="R92" s="16">
        <f>Demand_CWRS!I$5/31</f>
        <v>245.08227837631262</v>
      </c>
      <c r="S92" s="16">
        <f>Demand_CWRS!J$5/31</f>
        <v>245.08227837631262</v>
      </c>
      <c r="T92" s="16">
        <f>Demand_CWRS!K$5/31</f>
        <v>245.08227837631262</v>
      </c>
      <c r="U92" s="16">
        <f t="shared" si="33"/>
        <v>-14347.324931118836</v>
      </c>
      <c r="V92" s="16">
        <f t="shared" si="34"/>
        <v>-35644.913647642643</v>
      </c>
      <c r="W92" s="16">
        <f t="shared" si="35"/>
        <v>0</v>
      </c>
      <c r="X92" s="16">
        <f t="shared" si="36"/>
        <v>-8357.8086131440396</v>
      </c>
      <c r="Y92" s="16">
        <f t="shared" si="37"/>
        <v>-19864.434937827868</v>
      </c>
      <c r="Z92" s="16">
        <f t="shared" si="38"/>
        <v>-14130.381121022701</v>
      </c>
      <c r="AA92" s="16">
        <f t="shared" si="39"/>
        <v>-35144.913647642643</v>
      </c>
      <c r="AB92" s="16">
        <f t="shared" si="40"/>
        <v>-17552.468351289383</v>
      </c>
      <c r="AC92" s="16">
        <f t="shared" si="41"/>
        <v>-17552.468351289372</v>
      </c>
      <c r="AD92" s="16">
        <f t="shared" si="42"/>
        <v>-18252.468351289375</v>
      </c>
      <c r="AE92" s="14">
        <f>IF([1]Sheet2!AJ91=999999,"NA",[1]Sheet2!AJ91)</f>
        <v>38</v>
      </c>
      <c r="AF92" s="14">
        <f>IF([1]Sheet2!AK91=999999,"NA",[1]Sheet2!AK91)</f>
        <v>0</v>
      </c>
      <c r="AG92" s="14" t="str">
        <f>IF([1]Sheet2!AL91=999999,"NA",[1]Sheet2!AL91)</f>
        <v>NA</v>
      </c>
      <c r="AH92" s="14">
        <f>IF([1]Sheet2!AM91=999999,"NA",[1]Sheet2!AM91)</f>
        <v>276</v>
      </c>
      <c r="AI92" s="14">
        <f>IF([1]Sheet2!AN91=999999,"NA",[1]Sheet2!AN91)</f>
        <v>276</v>
      </c>
      <c r="AJ92" s="14">
        <f>IF([1]Sheet2!AO91=999999,"NA",[1]Sheet2!AO91)</f>
        <v>276</v>
      </c>
      <c r="AK92" s="14">
        <f>IF([1]Sheet2!AP91=999999,"NA",[1]Sheet2!AP91)</f>
        <v>21</v>
      </c>
      <c r="AL92" s="14">
        <f>IF([1]Sheet2!AQ91=999999,"NA",[1]Sheet2!AQ91)</f>
        <v>152</v>
      </c>
      <c r="AM92" s="14">
        <f>IF([1]Sheet2!AR91=999999,"NA",[1]Sheet2!AR91)</f>
        <v>276</v>
      </c>
      <c r="AN92" s="14">
        <f>IF([1]Sheet2!AS91=999999,"NA",[1]Sheet2!AS91)</f>
        <v>208</v>
      </c>
      <c r="AO92" s="14">
        <f>[1]Sheet2!P91</f>
        <v>0</v>
      </c>
      <c r="AP92" s="14">
        <f>[1]Sheet2!Q91</f>
        <v>0</v>
      </c>
      <c r="AQ92" s="14">
        <f>[1]Sheet2!R91</f>
        <v>0</v>
      </c>
      <c r="AR92" s="14">
        <f>[1]Sheet2!S91</f>
        <v>0</v>
      </c>
      <c r="AS92" s="14">
        <f>[1]Sheet2!T91</f>
        <v>0</v>
      </c>
      <c r="AT92" s="14">
        <f>[1]Sheet2!U91</f>
        <v>0</v>
      </c>
      <c r="AU92" s="14">
        <f>[1]Sheet2!V91</f>
        <v>0</v>
      </c>
      <c r="AV92" s="14">
        <f>[1]Sheet2!W91</f>
        <v>0</v>
      </c>
      <c r="AW92" s="14">
        <f>[1]Sheet2!X91</f>
        <v>0</v>
      </c>
      <c r="AX92" s="14">
        <f>[1]Sheet2!Y91</f>
        <v>0</v>
      </c>
      <c r="AY92" s="16">
        <f>Demand_LP!B$5/31</f>
        <v>754.78140345091151</v>
      </c>
      <c r="AZ92" s="16">
        <f>Demand_LP!C$5/31</f>
        <v>547.55235732009919</v>
      </c>
      <c r="BA92" s="16">
        <f>Demand_LP!D$5/31</f>
        <v>312.75612076095945</v>
      </c>
      <c r="BB92" s="16">
        <f>Demand_LP!E$5/31</f>
        <v>772.29437499345636</v>
      </c>
      <c r="BC92" s="16">
        <f>Demand_LP!F$5/31</f>
        <v>471.74248526347748</v>
      </c>
      <c r="BD92" s="16">
        <f>Demand_LP!G$5/31</f>
        <v>754.78140345091151</v>
      </c>
      <c r="BE92" s="16">
        <f>Demand_LP!H$5/31</f>
        <v>547.55235732009919</v>
      </c>
      <c r="BF92" s="16">
        <f>Demand_LP!I$5/31</f>
        <v>451.61290322580646</v>
      </c>
      <c r="BG92" s="16">
        <f>Demand_LP!J$5/31</f>
        <v>451.61290322580646</v>
      </c>
      <c r="BH92" s="16">
        <f>Demand_LP!K$5/31</f>
        <v>451.61290322580646</v>
      </c>
      <c r="BI92" s="16" t="e">
        <f t="shared" si="43"/>
        <v>#VALUE!</v>
      </c>
      <c r="BJ92" s="16">
        <f t="shared" si="44"/>
        <v>-50068.991232423454</v>
      </c>
      <c r="BK92" s="16">
        <f t="shared" si="45"/>
        <v>-22461.209263854395</v>
      </c>
      <c r="BL92" s="16">
        <f t="shared" si="46"/>
        <v>-63034.253044675468</v>
      </c>
      <c r="BM92" s="16">
        <f t="shared" si="47"/>
        <v>-39970.573596365895</v>
      </c>
      <c r="BN92" s="16">
        <f t="shared" si="48"/>
        <v>-59643.442103527435</v>
      </c>
      <c r="BO92" s="16">
        <f t="shared" si="49"/>
        <v>-52426.570719602969</v>
      </c>
      <c r="BP92" s="16">
        <f t="shared" si="50"/>
        <v>-39448.387096774168</v>
      </c>
      <c r="BQ92" s="16">
        <f t="shared" si="51"/>
        <v>-36048.38709677419</v>
      </c>
      <c r="BR92" s="16">
        <f t="shared" si="52"/>
        <v>-37248.387096774175</v>
      </c>
      <c r="BS92" s="14">
        <f>IF([1]Sheet2!CA91=999999,"NA",[1]Sheet2!CA91)</f>
        <v>179230.61290322556</v>
      </c>
      <c r="BT92" s="14">
        <f>IF([1]Sheet2!CB91=999999,"NA",[1]Sheet2!CB91)</f>
        <v>198</v>
      </c>
      <c r="BU92" s="14">
        <f>IF([1]Sheet2!CC91=999999,"NA",[1]Sheet2!CC91)</f>
        <v>276</v>
      </c>
      <c r="BV92" s="14">
        <f>IF([1]Sheet2!CD91=999999,"NA",[1]Sheet2!CD91)</f>
        <v>276</v>
      </c>
      <c r="BW92" s="14">
        <f>IF([1]Sheet2!CE91=999999,"NA",[1]Sheet2!CE91)</f>
        <v>238</v>
      </c>
      <c r="BX92" s="14">
        <f>IF([1]Sheet2!CF91=999999,"NA",[1]Sheet2!CF91)</f>
        <v>276</v>
      </c>
      <c r="BY92" s="14">
        <f>IF([1]Sheet2!CG91=999999,"NA",[1]Sheet2!CG91)</f>
        <v>170</v>
      </c>
      <c r="BZ92" s="14">
        <f>IF([1]Sheet2!CH91=999999,"NA",[1]Sheet2!CH91)</f>
        <v>276</v>
      </c>
      <c r="CA92" s="14">
        <f>IF([1]Sheet2!CI91=999999,"NA",[1]Sheet2!CI91)</f>
        <v>276</v>
      </c>
      <c r="CB92" s="14">
        <f>IF([1]Sheet2!CJ91=999999,"NA",[1]Sheet2!CJ91)</f>
        <v>276</v>
      </c>
      <c r="CC92" s="14">
        <f>[1]Sheet2!BG91</f>
        <v>0</v>
      </c>
      <c r="CD92" s="14">
        <f>[1]Sheet2!BH91</f>
        <v>0</v>
      </c>
      <c r="CE92" s="14">
        <f>[1]Sheet2!BI91</f>
        <v>0</v>
      </c>
      <c r="CF92" s="14">
        <f>[1]Sheet2!BJ91</f>
        <v>0</v>
      </c>
      <c r="CG92" s="14">
        <f>[1]Sheet2!BK91</f>
        <v>0</v>
      </c>
      <c r="CH92" s="14">
        <f>[1]Sheet2!BL91</f>
        <v>0</v>
      </c>
      <c r="CI92" s="14">
        <f>[1]Sheet2!BM91</f>
        <v>0</v>
      </c>
      <c r="CJ92" s="14">
        <f>[1]Sheet2!BN91</f>
        <v>0</v>
      </c>
      <c r="CK92" s="14">
        <f>[1]Sheet2!BO91</f>
        <v>0</v>
      </c>
      <c r="CL92" s="14">
        <f>[1]Sheet2!BP91</f>
        <v>0</v>
      </c>
      <c r="CM92" s="16">
        <f>Demand_SW!B$5/31</f>
        <v>138.46153846153845</v>
      </c>
      <c r="CN92" s="16">
        <f>Demand_SW!C$5/31</f>
        <v>29.776674937965261</v>
      </c>
      <c r="CO92" s="16">
        <f>Demand_SW!D$5/31</f>
        <v>0</v>
      </c>
      <c r="CP92" s="16">
        <f>Demand_SW!E$5/31</f>
        <v>0</v>
      </c>
      <c r="CQ92" s="16">
        <f>Demand_SW!F$5/31</f>
        <v>0</v>
      </c>
      <c r="CR92" s="16">
        <f>Demand_SW!G$5/31</f>
        <v>138.70967741935485</v>
      </c>
      <c r="CS92" s="16">
        <f>Demand_SW!H$5/31</f>
        <v>29.776674937965261</v>
      </c>
      <c r="CT92" s="16">
        <f>Demand_SW!I$5/31</f>
        <v>0</v>
      </c>
      <c r="CU92" s="16">
        <f>Demand_SW!J$5/31</f>
        <v>0</v>
      </c>
      <c r="CV92" s="16">
        <f>Demand_SW!K$5/31</f>
        <v>0</v>
      </c>
      <c r="CW92" s="16">
        <f t="shared" si="53"/>
        <v>39867.692307692269</v>
      </c>
      <c r="CX92" s="16">
        <f t="shared" si="54"/>
        <v>-393.30024813895767</v>
      </c>
      <c r="CY92" s="16">
        <f t="shared" si="55"/>
        <v>0</v>
      </c>
      <c r="CZ92" s="16">
        <f t="shared" si="56"/>
        <v>0</v>
      </c>
      <c r="DA92" s="16">
        <f t="shared" si="57"/>
        <v>0</v>
      </c>
      <c r="DB92" s="16">
        <f t="shared" si="58"/>
        <v>-9661.2903225806367</v>
      </c>
      <c r="DC92" s="16">
        <f t="shared" si="59"/>
        <v>-393.30024813895767</v>
      </c>
      <c r="DD92" s="16">
        <f t="shared" si="60"/>
        <v>0</v>
      </c>
      <c r="DE92" s="16">
        <f t="shared" si="61"/>
        <v>0</v>
      </c>
      <c r="DF92" s="16">
        <f t="shared" si="62"/>
        <v>0</v>
      </c>
      <c r="DG92" s="14">
        <f>IF([1]Sheet2!DR91=999999,"NA",[1]Sheet2!DR91)</f>
        <v>73103</v>
      </c>
      <c r="DH92" s="14">
        <f>IF([1]Sheet2!DS91=999999,"NA",[1]Sheet2!DS91)</f>
        <v>276</v>
      </c>
      <c r="DI92" s="14">
        <f>IF([1]Sheet2!DT91=999999,"NA",[1]Sheet2!DT91)</f>
        <v>276</v>
      </c>
      <c r="DJ92" s="14" t="str">
        <f>IF([1]Sheet2!DU91=999999,"NA",[1]Sheet2!DU91)</f>
        <v>NA</v>
      </c>
      <c r="DK92" s="14" t="str">
        <f>IF([1]Sheet2!DV91=999999,"NA",[1]Sheet2!DV91)</f>
        <v>NA</v>
      </c>
      <c r="DL92" s="14" t="str">
        <f>IF([1]Sheet2!DW91=999999,"NA",[1]Sheet2!DW91)</f>
        <v>NA</v>
      </c>
      <c r="DM92" s="14">
        <f>IF([1]Sheet2!DX91=999999,"NA",[1]Sheet2!DX91)</f>
        <v>276</v>
      </c>
      <c r="DN92" s="14">
        <f>IF([1]Sheet2!DY91=999999,"NA",[1]Sheet2!DY91)</f>
        <v>276</v>
      </c>
      <c r="DO92" s="14" t="str">
        <f>IF([1]Sheet2!DZ91=999999,"NA",[1]Sheet2!DZ91)</f>
        <v>NA</v>
      </c>
      <c r="DP92" s="14" t="str">
        <f>IF([1]Sheet2!EA91=999999,"NA",[1]Sheet2!EA91)</f>
        <v>NA</v>
      </c>
      <c r="DQ92" s="14">
        <f>[1]Sheet2!CX91</f>
        <v>0</v>
      </c>
      <c r="DR92" s="14">
        <f>[1]Sheet2!CY91</f>
        <v>0</v>
      </c>
      <c r="DS92" s="14">
        <f>[1]Sheet2!CZ91</f>
        <v>0</v>
      </c>
      <c r="DT92" s="14">
        <f>[1]Sheet2!DA91</f>
        <v>0</v>
      </c>
      <c r="DU92" s="14">
        <f>[1]Sheet2!DB91</f>
        <v>0</v>
      </c>
      <c r="DV92" s="14">
        <f>[1]Sheet2!DC91</f>
        <v>0</v>
      </c>
      <c r="DW92" s="14">
        <f>[1]Sheet2!DD91</f>
        <v>0</v>
      </c>
      <c r="DX92" s="14">
        <f>[1]Sheet2!DE91</f>
        <v>0</v>
      </c>
      <c r="DY92" s="14">
        <f>[1]Sheet2!DF91</f>
        <v>0</v>
      </c>
      <c r="DZ92" s="14">
        <f>[1]Sheet2!DG91</f>
        <v>0</v>
      </c>
    </row>
    <row r="93" spans="1:130" x14ac:dyDescent="0.25">
      <c r="A93" s="15">
        <v>43555</v>
      </c>
      <c r="B93" s="1"/>
      <c r="C93" s="1"/>
      <c r="D93" s="1"/>
      <c r="E93" s="14">
        <f>[1]Sheet2!N92</f>
        <v>0</v>
      </c>
      <c r="F93" s="14">
        <f>[1]Sheet2!BE92</f>
        <v>0</v>
      </c>
      <c r="G93" s="14">
        <f>[1]Sheet2!CV92</f>
        <v>336.72456575682378</v>
      </c>
      <c r="H93" s="1"/>
      <c r="I93" s="1"/>
      <c r="J93" s="1"/>
      <c r="K93" s="16">
        <f>Demand_CWRS!B$5/31</f>
        <v>131.679370700757</v>
      </c>
      <c r="L93" s="16">
        <f>Demand_CWRS!C$5/31</f>
        <v>537.20942928039699</v>
      </c>
      <c r="M93" s="16">
        <f>Demand_CWRS!D$5/31</f>
        <v>0</v>
      </c>
      <c r="N93" s="16">
        <f>Demand_CWRS!E$5/31</f>
        <v>121.5961418056559</v>
      </c>
      <c r="O93" s="16">
        <f>Demand_CWRS!F$5/31</f>
        <v>245.08227837631262</v>
      </c>
      <c r="P93" s="16">
        <f>Demand_CWRS!G$5/31</f>
        <v>131.679370700757</v>
      </c>
      <c r="Q93" s="16">
        <f>Demand_CWRS!H$5/31</f>
        <v>537.20942928039699</v>
      </c>
      <c r="R93" s="16">
        <f>Demand_CWRS!I$5/31</f>
        <v>245.08227837631262</v>
      </c>
      <c r="S93" s="16">
        <f>Demand_CWRS!J$5/31</f>
        <v>245.08227837631262</v>
      </c>
      <c r="T93" s="16">
        <f>Demand_CWRS!K$5/31</f>
        <v>245.08227837631262</v>
      </c>
      <c r="U93" s="16">
        <f t="shared" si="33"/>
        <v>-14479.004301819592</v>
      </c>
      <c r="V93" s="16">
        <f t="shared" si="34"/>
        <v>-36182.123076923039</v>
      </c>
      <c r="W93" s="16">
        <f t="shared" si="35"/>
        <v>0</v>
      </c>
      <c r="X93" s="16">
        <f t="shared" si="36"/>
        <v>-8479.4047549496954</v>
      </c>
      <c r="Y93" s="16">
        <f t="shared" si="37"/>
        <v>-20109.517216204182</v>
      </c>
      <c r="Z93" s="16">
        <f t="shared" si="38"/>
        <v>-14262.060491723458</v>
      </c>
      <c r="AA93" s="16">
        <f t="shared" si="39"/>
        <v>-35682.123076923039</v>
      </c>
      <c r="AB93" s="16">
        <f t="shared" si="40"/>
        <v>-17797.550629665697</v>
      </c>
      <c r="AC93" s="16">
        <f t="shared" si="41"/>
        <v>-17797.550629665686</v>
      </c>
      <c r="AD93" s="16">
        <f t="shared" si="42"/>
        <v>-18497.550629665689</v>
      </c>
      <c r="AE93" s="14">
        <f>IF([1]Sheet2!AJ92=999999,"NA",[1]Sheet2!AJ92)</f>
        <v>37</v>
      </c>
      <c r="AF93" s="14">
        <f>IF([1]Sheet2!AK92=999999,"NA",[1]Sheet2!AK92)</f>
        <v>0</v>
      </c>
      <c r="AG93" s="14" t="str">
        <f>IF([1]Sheet2!AL92=999999,"NA",[1]Sheet2!AL92)</f>
        <v>NA</v>
      </c>
      <c r="AH93" s="14">
        <f>IF([1]Sheet2!AM92=999999,"NA",[1]Sheet2!AM92)</f>
        <v>275</v>
      </c>
      <c r="AI93" s="14">
        <f>IF([1]Sheet2!AN92=999999,"NA",[1]Sheet2!AN92)</f>
        <v>275</v>
      </c>
      <c r="AJ93" s="14">
        <f>IF([1]Sheet2!AO92=999999,"NA",[1]Sheet2!AO92)</f>
        <v>275</v>
      </c>
      <c r="AK93" s="14">
        <f>IF([1]Sheet2!AP92=999999,"NA",[1]Sheet2!AP92)</f>
        <v>20</v>
      </c>
      <c r="AL93" s="14">
        <f>IF([1]Sheet2!AQ92=999999,"NA",[1]Sheet2!AQ92)</f>
        <v>151</v>
      </c>
      <c r="AM93" s="14">
        <f>IF([1]Sheet2!AR92=999999,"NA",[1]Sheet2!AR92)</f>
        <v>275</v>
      </c>
      <c r="AN93" s="14">
        <f>IF([1]Sheet2!AS92=999999,"NA",[1]Sheet2!AS92)</f>
        <v>207</v>
      </c>
      <c r="AO93" s="14">
        <f>[1]Sheet2!P92</f>
        <v>0</v>
      </c>
      <c r="AP93" s="14">
        <f>[1]Sheet2!Q92</f>
        <v>0</v>
      </c>
      <c r="AQ93" s="14">
        <f>[1]Sheet2!R92</f>
        <v>0</v>
      </c>
      <c r="AR93" s="14">
        <f>[1]Sheet2!S92</f>
        <v>0</v>
      </c>
      <c r="AS93" s="14">
        <f>[1]Sheet2!T92</f>
        <v>0</v>
      </c>
      <c r="AT93" s="14">
        <f>[1]Sheet2!U92</f>
        <v>0</v>
      </c>
      <c r="AU93" s="14">
        <f>[1]Sheet2!V92</f>
        <v>0</v>
      </c>
      <c r="AV93" s="14">
        <f>[1]Sheet2!W92</f>
        <v>0</v>
      </c>
      <c r="AW93" s="14">
        <f>[1]Sheet2!X92</f>
        <v>0</v>
      </c>
      <c r="AX93" s="14">
        <f>[1]Sheet2!Y92</f>
        <v>0</v>
      </c>
      <c r="AY93" s="16">
        <f>Demand_LP!B$5/31</f>
        <v>754.78140345091151</v>
      </c>
      <c r="AZ93" s="16">
        <f>Demand_LP!C$5/31</f>
        <v>547.55235732009919</v>
      </c>
      <c r="BA93" s="16">
        <f>Demand_LP!D$5/31</f>
        <v>312.75612076095945</v>
      </c>
      <c r="BB93" s="16">
        <f>Demand_LP!E$5/31</f>
        <v>772.29437499345636</v>
      </c>
      <c r="BC93" s="16">
        <f>Demand_LP!F$5/31</f>
        <v>471.74248526347748</v>
      </c>
      <c r="BD93" s="16">
        <f>Demand_LP!G$5/31</f>
        <v>754.78140345091151</v>
      </c>
      <c r="BE93" s="16">
        <f>Demand_LP!H$5/31</f>
        <v>547.55235732009919</v>
      </c>
      <c r="BF93" s="16">
        <f>Demand_LP!I$5/31</f>
        <v>451.61290322580646</v>
      </c>
      <c r="BG93" s="16">
        <f>Demand_LP!J$5/31</f>
        <v>451.61290322580646</v>
      </c>
      <c r="BH93" s="16">
        <f>Demand_LP!K$5/31</f>
        <v>451.61290322580646</v>
      </c>
      <c r="BI93" s="16" t="e">
        <f t="shared" si="43"/>
        <v>#VALUE!</v>
      </c>
      <c r="BJ93" s="16">
        <f t="shared" si="44"/>
        <v>-50616.543589743553</v>
      </c>
      <c r="BK93" s="16">
        <f t="shared" si="45"/>
        <v>-22773.965384615352</v>
      </c>
      <c r="BL93" s="16">
        <f t="shared" si="46"/>
        <v>-63806.547419668925</v>
      </c>
      <c r="BM93" s="16">
        <f t="shared" si="47"/>
        <v>-40442.316081629375</v>
      </c>
      <c r="BN93" s="16">
        <f t="shared" si="48"/>
        <v>-60398.223506978349</v>
      </c>
      <c r="BO93" s="16">
        <f t="shared" si="49"/>
        <v>-52974.123076923068</v>
      </c>
      <c r="BP93" s="16">
        <f t="shared" si="50"/>
        <v>-39899.999999999971</v>
      </c>
      <c r="BQ93" s="16">
        <f t="shared" si="51"/>
        <v>-36499.999999999993</v>
      </c>
      <c r="BR93" s="16">
        <f t="shared" si="52"/>
        <v>-37699.999999999978</v>
      </c>
      <c r="BS93" s="14">
        <f>IF([1]Sheet2!CA92=999999,"NA",[1]Sheet2!CA92)</f>
        <v>178778.99999999974</v>
      </c>
      <c r="BT93" s="14">
        <f>IF([1]Sheet2!CB92=999999,"NA",[1]Sheet2!CB92)</f>
        <v>197</v>
      </c>
      <c r="BU93" s="14">
        <f>IF([1]Sheet2!CC92=999999,"NA",[1]Sheet2!CC92)</f>
        <v>275</v>
      </c>
      <c r="BV93" s="14">
        <f>IF([1]Sheet2!CD92=999999,"NA",[1]Sheet2!CD92)</f>
        <v>275</v>
      </c>
      <c r="BW93" s="14">
        <f>IF([1]Sheet2!CE92=999999,"NA",[1]Sheet2!CE92)</f>
        <v>237</v>
      </c>
      <c r="BX93" s="14">
        <f>IF([1]Sheet2!CF92=999999,"NA",[1]Sheet2!CF92)</f>
        <v>275</v>
      </c>
      <c r="BY93" s="14">
        <f>IF([1]Sheet2!CG92=999999,"NA",[1]Sheet2!CG92)</f>
        <v>169</v>
      </c>
      <c r="BZ93" s="14">
        <f>IF([1]Sheet2!CH92=999999,"NA",[1]Sheet2!CH92)</f>
        <v>275</v>
      </c>
      <c r="CA93" s="14">
        <f>IF([1]Sheet2!CI92=999999,"NA",[1]Sheet2!CI92)</f>
        <v>275</v>
      </c>
      <c r="CB93" s="14">
        <f>IF([1]Sheet2!CJ92=999999,"NA",[1]Sheet2!CJ92)</f>
        <v>275</v>
      </c>
      <c r="CC93" s="14">
        <f>[1]Sheet2!BG92</f>
        <v>0</v>
      </c>
      <c r="CD93" s="14">
        <f>[1]Sheet2!BH92</f>
        <v>0</v>
      </c>
      <c r="CE93" s="14">
        <f>[1]Sheet2!BI92</f>
        <v>0</v>
      </c>
      <c r="CF93" s="14">
        <f>[1]Sheet2!BJ92</f>
        <v>0</v>
      </c>
      <c r="CG93" s="14">
        <f>[1]Sheet2!BK92</f>
        <v>0</v>
      </c>
      <c r="CH93" s="14">
        <f>[1]Sheet2!BL92</f>
        <v>0</v>
      </c>
      <c r="CI93" s="14">
        <f>[1]Sheet2!BM92</f>
        <v>0</v>
      </c>
      <c r="CJ93" s="14">
        <f>[1]Sheet2!BN92</f>
        <v>0</v>
      </c>
      <c r="CK93" s="14">
        <f>[1]Sheet2!BO92</f>
        <v>0</v>
      </c>
      <c r="CL93" s="14">
        <f>[1]Sheet2!BP92</f>
        <v>0</v>
      </c>
      <c r="CM93" s="16">
        <f>Demand_SW!B$5/31</f>
        <v>138.46153846153845</v>
      </c>
      <c r="CN93" s="16">
        <f>Demand_SW!C$5/31</f>
        <v>29.776674937965261</v>
      </c>
      <c r="CO93" s="16">
        <f>Demand_SW!D$5/31</f>
        <v>0</v>
      </c>
      <c r="CP93" s="16">
        <f>Demand_SW!E$5/31</f>
        <v>0</v>
      </c>
      <c r="CQ93" s="16">
        <f>Demand_SW!F$5/31</f>
        <v>0</v>
      </c>
      <c r="CR93" s="16">
        <f>Demand_SW!G$5/31</f>
        <v>138.70967741935485</v>
      </c>
      <c r="CS93" s="16">
        <f>Demand_SW!H$5/31</f>
        <v>29.776674937965261</v>
      </c>
      <c r="CT93" s="16">
        <f>Demand_SW!I$5/31</f>
        <v>0</v>
      </c>
      <c r="CU93" s="16">
        <f>Demand_SW!J$5/31</f>
        <v>0</v>
      </c>
      <c r="CV93" s="16">
        <f>Demand_SW!K$5/31</f>
        <v>0</v>
      </c>
      <c r="CW93" s="16">
        <f t="shared" si="53"/>
        <v>39729.230769230729</v>
      </c>
      <c r="CX93" s="16">
        <f t="shared" si="54"/>
        <v>-423.07692307692292</v>
      </c>
      <c r="CY93" s="16">
        <f t="shared" si="55"/>
        <v>0</v>
      </c>
      <c r="CZ93" s="16">
        <f t="shared" si="56"/>
        <v>0</v>
      </c>
      <c r="DA93" s="16">
        <f t="shared" si="57"/>
        <v>0</v>
      </c>
      <c r="DB93" s="16">
        <f t="shared" si="58"/>
        <v>-9799.9999999999909</v>
      </c>
      <c r="DC93" s="16">
        <f t="shared" si="59"/>
        <v>-423.07692307692292</v>
      </c>
      <c r="DD93" s="16">
        <f t="shared" si="60"/>
        <v>0</v>
      </c>
      <c r="DE93" s="16">
        <f t="shared" si="61"/>
        <v>0</v>
      </c>
      <c r="DF93" s="16">
        <f t="shared" si="62"/>
        <v>0</v>
      </c>
      <c r="DG93" s="14">
        <f>IF([1]Sheet2!DR92=999999,"NA",[1]Sheet2!DR92)</f>
        <v>73103</v>
      </c>
      <c r="DH93" s="14">
        <f>IF([1]Sheet2!DS92=999999,"NA",[1]Sheet2!DS92)</f>
        <v>275</v>
      </c>
      <c r="DI93" s="14">
        <f>IF([1]Sheet2!DT92=999999,"NA",[1]Sheet2!DT92)</f>
        <v>275</v>
      </c>
      <c r="DJ93" s="14" t="str">
        <f>IF([1]Sheet2!DU92=999999,"NA",[1]Sheet2!DU92)</f>
        <v>NA</v>
      </c>
      <c r="DK93" s="14" t="str">
        <f>IF([1]Sheet2!DV92=999999,"NA",[1]Sheet2!DV92)</f>
        <v>NA</v>
      </c>
      <c r="DL93" s="14" t="str">
        <f>IF([1]Sheet2!DW92=999999,"NA",[1]Sheet2!DW92)</f>
        <v>NA</v>
      </c>
      <c r="DM93" s="14">
        <f>IF([1]Sheet2!DX92=999999,"NA",[1]Sheet2!DX92)</f>
        <v>275</v>
      </c>
      <c r="DN93" s="14">
        <f>IF([1]Sheet2!DY92=999999,"NA",[1]Sheet2!DY92)</f>
        <v>275</v>
      </c>
      <c r="DO93" s="14" t="str">
        <f>IF([1]Sheet2!DZ92=999999,"NA",[1]Sheet2!DZ92)</f>
        <v>NA</v>
      </c>
      <c r="DP93" s="14" t="str">
        <f>IF([1]Sheet2!EA92=999999,"NA",[1]Sheet2!EA92)</f>
        <v>NA</v>
      </c>
      <c r="DQ93" s="14">
        <f>[1]Sheet2!CX92</f>
        <v>0</v>
      </c>
      <c r="DR93" s="14">
        <f>[1]Sheet2!CY92</f>
        <v>0</v>
      </c>
      <c r="DS93" s="14">
        <f>[1]Sheet2!CZ92</f>
        <v>0</v>
      </c>
      <c r="DT93" s="14">
        <f>[1]Sheet2!DA92</f>
        <v>0</v>
      </c>
      <c r="DU93" s="14">
        <f>[1]Sheet2!DB92</f>
        <v>0</v>
      </c>
      <c r="DV93" s="14">
        <f>[1]Sheet2!DC92</f>
        <v>0</v>
      </c>
      <c r="DW93" s="14">
        <f>[1]Sheet2!DD92</f>
        <v>0</v>
      </c>
      <c r="DX93" s="14">
        <f>[1]Sheet2!DE92</f>
        <v>0</v>
      </c>
      <c r="DY93" s="14">
        <f>[1]Sheet2!DF92</f>
        <v>0</v>
      </c>
      <c r="DZ93" s="14">
        <f>[1]Sheet2!DG92</f>
        <v>0</v>
      </c>
    </row>
    <row r="94" spans="1:130" x14ac:dyDescent="0.25">
      <c r="A94" s="15">
        <v>43556</v>
      </c>
      <c r="B94" s="1"/>
      <c r="C94" s="1"/>
      <c r="D94" s="1"/>
      <c r="E94" s="14">
        <f>[1]Sheet2!N93</f>
        <v>0</v>
      </c>
      <c r="F94" s="14">
        <f>[1]Sheet2!BE93</f>
        <v>0</v>
      </c>
      <c r="G94" s="14">
        <f>[1]Sheet2!CV93</f>
        <v>346.15384615384608</v>
      </c>
      <c r="H94" s="1"/>
      <c r="I94" s="1"/>
      <c r="J94" s="1"/>
      <c r="K94" s="16">
        <f>Demand_CWRS!B$6/30</f>
        <v>136.96097796474356</v>
      </c>
      <c r="L94" s="16">
        <f>Demand_CWRS!C$6/30</f>
        <v>544.43376068376062</v>
      </c>
      <c r="M94" s="16">
        <f>Demand_CWRS!D$6/30</f>
        <v>0</v>
      </c>
      <c r="N94" s="16">
        <f>Demand_CWRS!E$6/30</f>
        <v>108.97435897435896</v>
      </c>
      <c r="O94" s="16">
        <f>Demand_CWRS!F$6/30</f>
        <v>213.3621347489316</v>
      </c>
      <c r="P94" s="16">
        <f>Demand_CWRS!G$6/30</f>
        <v>133.33333333333334</v>
      </c>
      <c r="Q94" s="16">
        <f>Demand_CWRS!H$6/30</f>
        <v>544.43376068376062</v>
      </c>
      <c r="R94" s="16">
        <f>Demand_CWRS!I$6/30</f>
        <v>213.3621347489316</v>
      </c>
      <c r="S94" s="16">
        <f>Demand_CWRS!J$6/30</f>
        <v>213.3621347489316</v>
      </c>
      <c r="T94" s="16">
        <f>Demand_CWRS!K$6/30</f>
        <v>213.3621347489316</v>
      </c>
      <c r="U94" s="16">
        <f t="shared" si="33"/>
        <v>-14615.965279784336</v>
      </c>
      <c r="V94" s="16">
        <f t="shared" si="34"/>
        <v>-36726.556837606797</v>
      </c>
      <c r="W94" s="16">
        <f t="shared" si="35"/>
        <v>0</v>
      </c>
      <c r="X94" s="16">
        <f t="shared" si="36"/>
        <v>-8588.3791139240548</v>
      </c>
      <c r="Y94" s="16">
        <f t="shared" si="37"/>
        <v>-20322.879350953113</v>
      </c>
      <c r="Z94" s="16">
        <f t="shared" si="38"/>
        <v>-14395.393825056792</v>
      </c>
      <c r="AA94" s="16">
        <f t="shared" si="39"/>
        <v>-36226.556837606797</v>
      </c>
      <c r="AB94" s="16">
        <f t="shared" si="40"/>
        <v>-18010.912764414628</v>
      </c>
      <c r="AC94" s="16">
        <f t="shared" si="41"/>
        <v>-18010.912764414617</v>
      </c>
      <c r="AD94" s="16">
        <f t="shared" si="42"/>
        <v>-18710.912764414621</v>
      </c>
      <c r="AE94" s="14">
        <f>IF([1]Sheet2!AJ93=999999,"NA",[1]Sheet2!AJ93)</f>
        <v>36</v>
      </c>
      <c r="AF94" s="14">
        <f>IF([1]Sheet2!AK93=999999,"NA",[1]Sheet2!AK93)</f>
        <v>0</v>
      </c>
      <c r="AG94" s="14" t="str">
        <f>IF([1]Sheet2!AL93=999999,"NA",[1]Sheet2!AL93)</f>
        <v>NA</v>
      </c>
      <c r="AH94" s="14">
        <f>IF([1]Sheet2!AM93=999999,"NA",[1]Sheet2!AM93)</f>
        <v>274</v>
      </c>
      <c r="AI94" s="14">
        <f>IF([1]Sheet2!AN93=999999,"NA",[1]Sheet2!AN93)</f>
        <v>274</v>
      </c>
      <c r="AJ94" s="14">
        <f>IF([1]Sheet2!AO93=999999,"NA",[1]Sheet2!AO93)</f>
        <v>274</v>
      </c>
      <c r="AK94" s="14">
        <f>IF([1]Sheet2!AP93=999999,"NA",[1]Sheet2!AP93)</f>
        <v>19</v>
      </c>
      <c r="AL94" s="14">
        <f>IF([1]Sheet2!AQ93=999999,"NA",[1]Sheet2!AQ93)</f>
        <v>150</v>
      </c>
      <c r="AM94" s="14">
        <f>IF([1]Sheet2!AR93=999999,"NA",[1]Sheet2!AR93)</f>
        <v>274</v>
      </c>
      <c r="AN94" s="14">
        <f>IF([1]Sheet2!AS93=999999,"NA",[1]Sheet2!AS93)</f>
        <v>206</v>
      </c>
      <c r="AO94" s="14">
        <f>[1]Sheet2!P93</f>
        <v>0</v>
      </c>
      <c r="AP94" s="14">
        <f>[1]Sheet2!Q93</f>
        <v>0</v>
      </c>
      <c r="AQ94" s="14">
        <f>[1]Sheet2!R93</f>
        <v>0</v>
      </c>
      <c r="AR94" s="14">
        <f>[1]Sheet2!S93</f>
        <v>0</v>
      </c>
      <c r="AS94" s="14">
        <f>[1]Sheet2!T93</f>
        <v>0</v>
      </c>
      <c r="AT94" s="14">
        <f>[1]Sheet2!U93</f>
        <v>0</v>
      </c>
      <c r="AU94" s="14">
        <f>[1]Sheet2!V93</f>
        <v>0</v>
      </c>
      <c r="AV94" s="14">
        <f>[1]Sheet2!W93</f>
        <v>0</v>
      </c>
      <c r="AW94" s="14">
        <f>[1]Sheet2!X93</f>
        <v>0</v>
      </c>
      <c r="AX94" s="14">
        <f>[1]Sheet2!Y93</f>
        <v>0</v>
      </c>
      <c r="AY94" s="16">
        <f>Demand_LP!B$6/30</f>
        <v>790.61612406517088</v>
      </c>
      <c r="AZ94" s="16">
        <f>Demand_LP!C$6/30</f>
        <v>816.46367521367517</v>
      </c>
      <c r="BA94" s="16">
        <f>Demand_LP!D$6/30</f>
        <v>346.63461538461536</v>
      </c>
      <c r="BB94" s="16">
        <f>Demand_LP!E$6/30</f>
        <v>795.48076923076928</v>
      </c>
      <c r="BC94" s="16">
        <f>Demand_LP!F$6/30</f>
        <v>472.52230168269227</v>
      </c>
      <c r="BD94" s="16">
        <f>Demand_LP!G$6/30</f>
        <v>790.61612406517088</v>
      </c>
      <c r="BE94" s="16">
        <f>Demand_LP!H$6/30</f>
        <v>816.46367521367517</v>
      </c>
      <c r="BF94" s="16">
        <f>Demand_LP!I$6/30</f>
        <v>472.52230168269227</v>
      </c>
      <c r="BG94" s="16">
        <f>Demand_LP!J$6/30</f>
        <v>472.52230168269227</v>
      </c>
      <c r="BH94" s="16">
        <f>Demand_LP!K$6/30</f>
        <v>472.52230168269227</v>
      </c>
      <c r="BI94" s="16" t="e">
        <f t="shared" si="43"/>
        <v>#VALUE!</v>
      </c>
      <c r="BJ94" s="16">
        <f t="shared" si="44"/>
        <v>-51433.007264957225</v>
      </c>
      <c r="BK94" s="16">
        <f t="shared" si="45"/>
        <v>-23120.599999999969</v>
      </c>
      <c r="BL94" s="16">
        <f t="shared" si="46"/>
        <v>-64602.028188899691</v>
      </c>
      <c r="BM94" s="16">
        <f t="shared" si="47"/>
        <v>-40914.838383312068</v>
      </c>
      <c r="BN94" s="16">
        <f t="shared" si="48"/>
        <v>-61188.83963104352</v>
      </c>
      <c r="BO94" s="16">
        <f t="shared" si="49"/>
        <v>-53790.58675213674</v>
      </c>
      <c r="BP94" s="16">
        <f t="shared" si="50"/>
        <v>-40372.522301682664</v>
      </c>
      <c r="BQ94" s="16">
        <f t="shared" si="51"/>
        <v>-36972.522301682686</v>
      </c>
      <c r="BR94" s="16">
        <f t="shared" si="52"/>
        <v>-38172.522301682671</v>
      </c>
      <c r="BS94" s="14">
        <f>IF([1]Sheet2!CA93=999999,"NA",[1]Sheet2!CA93)</f>
        <v>178306.47769831706</v>
      </c>
      <c r="BT94" s="14">
        <f>IF([1]Sheet2!CB93=999999,"NA",[1]Sheet2!CB93)</f>
        <v>196</v>
      </c>
      <c r="BU94" s="14">
        <f>IF([1]Sheet2!CC93=999999,"NA",[1]Sheet2!CC93)</f>
        <v>274</v>
      </c>
      <c r="BV94" s="14">
        <f>IF([1]Sheet2!CD93=999999,"NA",[1]Sheet2!CD93)</f>
        <v>274</v>
      </c>
      <c r="BW94" s="14">
        <f>IF([1]Sheet2!CE93=999999,"NA",[1]Sheet2!CE93)</f>
        <v>236</v>
      </c>
      <c r="BX94" s="14">
        <f>IF([1]Sheet2!CF93=999999,"NA",[1]Sheet2!CF93)</f>
        <v>274</v>
      </c>
      <c r="BY94" s="14">
        <f>IF([1]Sheet2!CG93=999999,"NA",[1]Sheet2!CG93)</f>
        <v>168</v>
      </c>
      <c r="BZ94" s="14">
        <f>IF([1]Sheet2!CH93=999999,"NA",[1]Sheet2!CH93)</f>
        <v>274</v>
      </c>
      <c r="CA94" s="14">
        <f>IF([1]Sheet2!CI93=999999,"NA",[1]Sheet2!CI93)</f>
        <v>274</v>
      </c>
      <c r="CB94" s="14">
        <f>IF([1]Sheet2!CJ93=999999,"NA",[1]Sheet2!CJ93)</f>
        <v>274</v>
      </c>
      <c r="CC94" s="14">
        <f>[1]Sheet2!BG93</f>
        <v>0</v>
      </c>
      <c r="CD94" s="14">
        <f>[1]Sheet2!BH93</f>
        <v>0</v>
      </c>
      <c r="CE94" s="14">
        <f>[1]Sheet2!BI93</f>
        <v>0</v>
      </c>
      <c r="CF94" s="14">
        <f>[1]Sheet2!BJ93</f>
        <v>0</v>
      </c>
      <c r="CG94" s="14">
        <f>[1]Sheet2!BK93</f>
        <v>0</v>
      </c>
      <c r="CH94" s="14">
        <f>[1]Sheet2!BL93</f>
        <v>0</v>
      </c>
      <c r="CI94" s="14">
        <f>[1]Sheet2!BM93</f>
        <v>0</v>
      </c>
      <c r="CJ94" s="14">
        <f>[1]Sheet2!BN93</f>
        <v>0</v>
      </c>
      <c r="CK94" s="14">
        <f>[1]Sheet2!BO93</f>
        <v>0</v>
      </c>
      <c r="CL94" s="14">
        <f>[1]Sheet2!BP93</f>
        <v>0</v>
      </c>
      <c r="CM94" s="16">
        <f>Demand_SW!B$6/30</f>
        <v>173.07692307692304</v>
      </c>
      <c r="CN94" s="16">
        <f>Demand_SW!C$6/30</f>
        <v>0</v>
      </c>
      <c r="CO94" s="16">
        <f>Demand_SW!D$6/30</f>
        <v>0</v>
      </c>
      <c r="CP94" s="16">
        <f>Demand_SW!E$6/30</f>
        <v>0</v>
      </c>
      <c r="CQ94" s="16">
        <f>Demand_SW!F$6/30</f>
        <v>0</v>
      </c>
      <c r="CR94" s="16">
        <f>Demand_SW!G$6/30</f>
        <v>173.07692307692304</v>
      </c>
      <c r="CS94" s="16">
        <f>Demand_SW!H$6/30</f>
        <v>0</v>
      </c>
      <c r="CT94" s="16">
        <f>Demand_SW!I$6/30</f>
        <v>0</v>
      </c>
      <c r="CU94" s="16">
        <f>Demand_SW!J$6/30</f>
        <v>0</v>
      </c>
      <c r="CV94" s="16">
        <f>Demand_SW!K$6/30</f>
        <v>0</v>
      </c>
      <c r="CW94" s="16">
        <f t="shared" si="53"/>
        <v>39556.153846153808</v>
      </c>
      <c r="CX94" s="16">
        <f t="shared" si="54"/>
        <v>-423.07692307692292</v>
      </c>
      <c r="CY94" s="16">
        <f t="shared" si="55"/>
        <v>0</v>
      </c>
      <c r="CZ94" s="16">
        <f t="shared" si="56"/>
        <v>0</v>
      </c>
      <c r="DA94" s="16">
        <f t="shared" si="57"/>
        <v>0</v>
      </c>
      <c r="DB94" s="16">
        <f t="shared" si="58"/>
        <v>-9973.0769230769147</v>
      </c>
      <c r="DC94" s="16">
        <f t="shared" si="59"/>
        <v>-423.07692307692292</v>
      </c>
      <c r="DD94" s="16">
        <f t="shared" si="60"/>
        <v>0</v>
      </c>
      <c r="DE94" s="16">
        <f t="shared" si="61"/>
        <v>0</v>
      </c>
      <c r="DF94" s="16">
        <f t="shared" si="62"/>
        <v>0</v>
      </c>
      <c r="DG94" s="14">
        <f>IF([1]Sheet2!DR93=999999,"NA",[1]Sheet2!DR93)</f>
        <v>73103</v>
      </c>
      <c r="DH94" s="14">
        <f>IF([1]Sheet2!DS93=999999,"NA",[1]Sheet2!DS93)</f>
        <v>274</v>
      </c>
      <c r="DI94" s="14">
        <f>IF([1]Sheet2!DT93=999999,"NA",[1]Sheet2!DT93)</f>
        <v>274</v>
      </c>
      <c r="DJ94" s="14" t="str">
        <f>IF([1]Sheet2!DU93=999999,"NA",[1]Sheet2!DU93)</f>
        <v>NA</v>
      </c>
      <c r="DK94" s="14" t="str">
        <f>IF([1]Sheet2!DV93=999999,"NA",[1]Sheet2!DV93)</f>
        <v>NA</v>
      </c>
      <c r="DL94" s="14" t="str">
        <f>IF([1]Sheet2!DW93=999999,"NA",[1]Sheet2!DW93)</f>
        <v>NA</v>
      </c>
      <c r="DM94" s="14">
        <f>IF([1]Sheet2!DX93=999999,"NA",[1]Sheet2!DX93)</f>
        <v>274</v>
      </c>
      <c r="DN94" s="14">
        <f>IF([1]Sheet2!DY93=999999,"NA",[1]Sheet2!DY93)</f>
        <v>274</v>
      </c>
      <c r="DO94" s="14" t="str">
        <f>IF([1]Sheet2!DZ93=999999,"NA",[1]Sheet2!DZ93)</f>
        <v>NA</v>
      </c>
      <c r="DP94" s="14" t="str">
        <f>IF([1]Sheet2!EA93=999999,"NA",[1]Sheet2!EA93)</f>
        <v>NA</v>
      </c>
      <c r="DQ94" s="14">
        <f>[1]Sheet2!CX93</f>
        <v>0</v>
      </c>
      <c r="DR94" s="14">
        <f>[1]Sheet2!CY93</f>
        <v>0</v>
      </c>
      <c r="DS94" s="14">
        <f>[1]Sheet2!CZ93</f>
        <v>0</v>
      </c>
      <c r="DT94" s="14">
        <f>[1]Sheet2!DA93</f>
        <v>0</v>
      </c>
      <c r="DU94" s="14">
        <f>[1]Sheet2!DB93</f>
        <v>0</v>
      </c>
      <c r="DV94" s="14">
        <f>[1]Sheet2!DC93</f>
        <v>0</v>
      </c>
      <c r="DW94" s="14">
        <f>[1]Sheet2!DD93</f>
        <v>0</v>
      </c>
      <c r="DX94" s="14">
        <f>[1]Sheet2!DE93</f>
        <v>0</v>
      </c>
      <c r="DY94" s="14">
        <f>[1]Sheet2!DF93</f>
        <v>0</v>
      </c>
      <c r="DZ94" s="14">
        <f>[1]Sheet2!DG93</f>
        <v>0</v>
      </c>
    </row>
    <row r="95" spans="1:130" x14ac:dyDescent="0.25">
      <c r="A95" s="15">
        <v>43557</v>
      </c>
      <c r="B95" s="1"/>
      <c r="C95" s="1"/>
      <c r="D95" s="1"/>
      <c r="E95" s="14">
        <f>[1]Sheet2!N94</f>
        <v>0</v>
      </c>
      <c r="F95" s="14">
        <f>[1]Sheet2!BE94</f>
        <v>0</v>
      </c>
      <c r="G95" s="14">
        <f>[1]Sheet2!CV94</f>
        <v>346.15384615384608</v>
      </c>
      <c r="H95" s="1"/>
      <c r="I95" s="1"/>
      <c r="J95" s="1"/>
      <c r="K95" s="16">
        <f>Demand_CWRS!B$6/30</f>
        <v>136.96097796474356</v>
      </c>
      <c r="L95" s="16">
        <f>Demand_CWRS!C$6/30</f>
        <v>544.43376068376062</v>
      </c>
      <c r="M95" s="16">
        <f>Demand_CWRS!D$6/30</f>
        <v>0</v>
      </c>
      <c r="N95" s="16">
        <f>Demand_CWRS!E$6/30</f>
        <v>108.97435897435896</v>
      </c>
      <c r="O95" s="16">
        <f>Demand_CWRS!F$6/30</f>
        <v>213.3621347489316</v>
      </c>
      <c r="P95" s="16">
        <f>Demand_CWRS!G$6/30</f>
        <v>133.33333333333334</v>
      </c>
      <c r="Q95" s="16">
        <f>Demand_CWRS!H$6/30</f>
        <v>544.43376068376062</v>
      </c>
      <c r="R95" s="16">
        <f>Demand_CWRS!I$6/30</f>
        <v>213.3621347489316</v>
      </c>
      <c r="S95" s="16">
        <f>Demand_CWRS!J$6/30</f>
        <v>213.3621347489316</v>
      </c>
      <c r="T95" s="16">
        <f>Demand_CWRS!K$6/30</f>
        <v>213.3621347489316</v>
      </c>
      <c r="U95" s="16">
        <f t="shared" si="33"/>
        <v>-14752.926257749079</v>
      </c>
      <c r="V95" s="16">
        <f t="shared" si="34"/>
        <v>-37270.990598290555</v>
      </c>
      <c r="W95" s="16">
        <f t="shared" si="35"/>
        <v>0</v>
      </c>
      <c r="X95" s="16">
        <f t="shared" si="36"/>
        <v>-8697.3534728984141</v>
      </c>
      <c r="Y95" s="16">
        <f t="shared" si="37"/>
        <v>-20536.241485702045</v>
      </c>
      <c r="Z95" s="16">
        <f t="shared" si="38"/>
        <v>-14528.727158390126</v>
      </c>
      <c r="AA95" s="16">
        <f t="shared" si="39"/>
        <v>-36770.990598290555</v>
      </c>
      <c r="AB95" s="16">
        <f t="shared" si="40"/>
        <v>-18224.27489916356</v>
      </c>
      <c r="AC95" s="16">
        <f t="shared" si="41"/>
        <v>-18224.274899163549</v>
      </c>
      <c r="AD95" s="16">
        <f t="shared" si="42"/>
        <v>-18924.274899163553</v>
      </c>
      <c r="AE95" s="14">
        <f>IF([1]Sheet2!AJ94=999999,"NA",[1]Sheet2!AJ94)</f>
        <v>35</v>
      </c>
      <c r="AF95" s="14">
        <f>IF([1]Sheet2!AK94=999999,"NA",[1]Sheet2!AK94)</f>
        <v>0</v>
      </c>
      <c r="AG95" s="14" t="str">
        <f>IF([1]Sheet2!AL94=999999,"NA",[1]Sheet2!AL94)</f>
        <v>NA</v>
      </c>
      <c r="AH95" s="14">
        <f>IF([1]Sheet2!AM94=999999,"NA",[1]Sheet2!AM94)</f>
        <v>273</v>
      </c>
      <c r="AI95" s="14">
        <f>IF([1]Sheet2!AN94=999999,"NA",[1]Sheet2!AN94)</f>
        <v>273</v>
      </c>
      <c r="AJ95" s="14">
        <f>IF([1]Sheet2!AO94=999999,"NA",[1]Sheet2!AO94)</f>
        <v>273</v>
      </c>
      <c r="AK95" s="14">
        <f>IF([1]Sheet2!AP94=999999,"NA",[1]Sheet2!AP94)</f>
        <v>18</v>
      </c>
      <c r="AL95" s="14">
        <f>IF([1]Sheet2!AQ94=999999,"NA",[1]Sheet2!AQ94)</f>
        <v>149</v>
      </c>
      <c r="AM95" s="14">
        <f>IF([1]Sheet2!AR94=999999,"NA",[1]Sheet2!AR94)</f>
        <v>273</v>
      </c>
      <c r="AN95" s="14">
        <f>IF([1]Sheet2!AS94=999999,"NA",[1]Sheet2!AS94)</f>
        <v>205</v>
      </c>
      <c r="AO95" s="14">
        <f>[1]Sheet2!P94</f>
        <v>0</v>
      </c>
      <c r="AP95" s="14">
        <f>[1]Sheet2!Q94</f>
        <v>0</v>
      </c>
      <c r="AQ95" s="14">
        <f>[1]Sheet2!R94</f>
        <v>0</v>
      </c>
      <c r="AR95" s="14">
        <f>[1]Sheet2!S94</f>
        <v>0</v>
      </c>
      <c r="AS95" s="14">
        <f>[1]Sheet2!T94</f>
        <v>0</v>
      </c>
      <c r="AT95" s="14">
        <f>[1]Sheet2!U94</f>
        <v>0</v>
      </c>
      <c r="AU95" s="14">
        <f>[1]Sheet2!V94</f>
        <v>0</v>
      </c>
      <c r="AV95" s="14">
        <f>[1]Sheet2!W94</f>
        <v>0</v>
      </c>
      <c r="AW95" s="14">
        <f>[1]Sheet2!X94</f>
        <v>0</v>
      </c>
      <c r="AX95" s="14">
        <f>[1]Sheet2!Y94</f>
        <v>0</v>
      </c>
      <c r="AY95" s="16">
        <f>Demand_LP!B$6/30</f>
        <v>790.61612406517088</v>
      </c>
      <c r="AZ95" s="16">
        <f>Demand_LP!C$6/30</f>
        <v>816.46367521367517</v>
      </c>
      <c r="BA95" s="16">
        <f>Demand_LP!D$6/30</f>
        <v>346.63461538461536</v>
      </c>
      <c r="BB95" s="16">
        <f>Demand_LP!E$6/30</f>
        <v>795.48076923076928</v>
      </c>
      <c r="BC95" s="16">
        <f>Demand_LP!F$6/30</f>
        <v>472.52230168269227</v>
      </c>
      <c r="BD95" s="16">
        <f>Demand_LP!G$6/30</f>
        <v>790.61612406517088</v>
      </c>
      <c r="BE95" s="16">
        <f>Demand_LP!H$6/30</f>
        <v>816.46367521367517</v>
      </c>
      <c r="BF95" s="16">
        <f>Demand_LP!I$6/30</f>
        <v>472.52230168269227</v>
      </c>
      <c r="BG95" s="16">
        <f>Demand_LP!J$6/30</f>
        <v>472.52230168269227</v>
      </c>
      <c r="BH95" s="16">
        <f>Demand_LP!K$6/30</f>
        <v>472.52230168269227</v>
      </c>
      <c r="BI95" s="16" t="e">
        <f t="shared" si="43"/>
        <v>#VALUE!</v>
      </c>
      <c r="BJ95" s="16">
        <f t="shared" si="44"/>
        <v>-52249.470940170897</v>
      </c>
      <c r="BK95" s="16">
        <f t="shared" si="45"/>
        <v>-23467.234615384587</v>
      </c>
      <c r="BL95" s="16">
        <f t="shared" si="46"/>
        <v>-65397.508958130456</v>
      </c>
      <c r="BM95" s="16">
        <f t="shared" si="47"/>
        <v>-41387.360684994761</v>
      </c>
      <c r="BN95" s="16">
        <f t="shared" si="48"/>
        <v>-61979.455755108691</v>
      </c>
      <c r="BO95" s="16">
        <f t="shared" si="49"/>
        <v>-54607.050427350412</v>
      </c>
      <c r="BP95" s="16">
        <f t="shared" si="50"/>
        <v>-40845.044603365357</v>
      </c>
      <c r="BQ95" s="16">
        <f t="shared" si="51"/>
        <v>-37445.044603365379</v>
      </c>
      <c r="BR95" s="16">
        <f t="shared" si="52"/>
        <v>-38645.044603365364</v>
      </c>
      <c r="BS95" s="14">
        <f>IF([1]Sheet2!CA94=999999,"NA",[1]Sheet2!CA94)</f>
        <v>177833.95539663438</v>
      </c>
      <c r="BT95" s="14">
        <f>IF([1]Sheet2!CB94=999999,"NA",[1]Sheet2!CB94)</f>
        <v>195</v>
      </c>
      <c r="BU95" s="14">
        <f>IF([1]Sheet2!CC94=999999,"NA",[1]Sheet2!CC94)</f>
        <v>273</v>
      </c>
      <c r="BV95" s="14">
        <f>IF([1]Sheet2!CD94=999999,"NA",[1]Sheet2!CD94)</f>
        <v>273</v>
      </c>
      <c r="BW95" s="14">
        <f>IF([1]Sheet2!CE94=999999,"NA",[1]Sheet2!CE94)</f>
        <v>235</v>
      </c>
      <c r="BX95" s="14">
        <f>IF([1]Sheet2!CF94=999999,"NA",[1]Sheet2!CF94)</f>
        <v>273</v>
      </c>
      <c r="BY95" s="14">
        <f>IF([1]Sheet2!CG94=999999,"NA",[1]Sheet2!CG94)</f>
        <v>167</v>
      </c>
      <c r="BZ95" s="14">
        <f>IF([1]Sheet2!CH94=999999,"NA",[1]Sheet2!CH94)</f>
        <v>273</v>
      </c>
      <c r="CA95" s="14">
        <f>IF([1]Sheet2!CI94=999999,"NA",[1]Sheet2!CI94)</f>
        <v>273</v>
      </c>
      <c r="CB95" s="14">
        <f>IF([1]Sheet2!CJ94=999999,"NA",[1]Sheet2!CJ94)</f>
        <v>273</v>
      </c>
      <c r="CC95" s="14">
        <f>[1]Sheet2!BG94</f>
        <v>0</v>
      </c>
      <c r="CD95" s="14">
        <f>[1]Sheet2!BH94</f>
        <v>0</v>
      </c>
      <c r="CE95" s="14">
        <f>[1]Sheet2!BI94</f>
        <v>0</v>
      </c>
      <c r="CF95" s="14">
        <f>[1]Sheet2!BJ94</f>
        <v>0</v>
      </c>
      <c r="CG95" s="14">
        <f>[1]Sheet2!BK94</f>
        <v>0</v>
      </c>
      <c r="CH95" s="14">
        <f>[1]Sheet2!BL94</f>
        <v>0</v>
      </c>
      <c r="CI95" s="14">
        <f>[1]Sheet2!BM94</f>
        <v>0</v>
      </c>
      <c r="CJ95" s="14">
        <f>[1]Sheet2!BN94</f>
        <v>0</v>
      </c>
      <c r="CK95" s="14">
        <f>[1]Sheet2!BO94</f>
        <v>0</v>
      </c>
      <c r="CL95" s="14">
        <f>[1]Sheet2!BP94</f>
        <v>0</v>
      </c>
      <c r="CM95" s="16">
        <f>Demand_SW!B$6/30</f>
        <v>173.07692307692304</v>
      </c>
      <c r="CN95" s="16">
        <f>Demand_SW!C$6/30</f>
        <v>0</v>
      </c>
      <c r="CO95" s="16">
        <f>Demand_SW!D$6/30</f>
        <v>0</v>
      </c>
      <c r="CP95" s="16">
        <f>Demand_SW!E$6/30</f>
        <v>0</v>
      </c>
      <c r="CQ95" s="16">
        <f>Demand_SW!F$6/30</f>
        <v>0</v>
      </c>
      <c r="CR95" s="16">
        <f>Demand_SW!G$6/30</f>
        <v>173.07692307692304</v>
      </c>
      <c r="CS95" s="16">
        <f>Demand_SW!H$6/30</f>
        <v>0</v>
      </c>
      <c r="CT95" s="16">
        <f>Demand_SW!I$6/30</f>
        <v>0</v>
      </c>
      <c r="CU95" s="16">
        <f>Demand_SW!J$6/30</f>
        <v>0</v>
      </c>
      <c r="CV95" s="16">
        <f>Demand_SW!K$6/30</f>
        <v>0</v>
      </c>
      <c r="CW95" s="16">
        <f t="shared" si="53"/>
        <v>39383.076923076886</v>
      </c>
      <c r="CX95" s="16">
        <f t="shared" si="54"/>
        <v>-423.07692307692292</v>
      </c>
      <c r="CY95" s="16">
        <f t="shared" si="55"/>
        <v>0</v>
      </c>
      <c r="CZ95" s="16">
        <f t="shared" si="56"/>
        <v>0</v>
      </c>
      <c r="DA95" s="16">
        <f t="shared" si="57"/>
        <v>0</v>
      </c>
      <c r="DB95" s="16">
        <f t="shared" si="58"/>
        <v>-10146.153846153838</v>
      </c>
      <c r="DC95" s="16">
        <f t="shared" si="59"/>
        <v>-423.07692307692292</v>
      </c>
      <c r="DD95" s="16">
        <f t="shared" si="60"/>
        <v>0</v>
      </c>
      <c r="DE95" s="16">
        <f t="shared" si="61"/>
        <v>0</v>
      </c>
      <c r="DF95" s="16">
        <f t="shared" si="62"/>
        <v>0</v>
      </c>
      <c r="DG95" s="14">
        <f>IF([1]Sheet2!DR94=999999,"NA",[1]Sheet2!DR94)</f>
        <v>73103</v>
      </c>
      <c r="DH95" s="14">
        <f>IF([1]Sheet2!DS94=999999,"NA",[1]Sheet2!DS94)</f>
        <v>273</v>
      </c>
      <c r="DI95" s="14">
        <f>IF([1]Sheet2!DT94=999999,"NA",[1]Sheet2!DT94)</f>
        <v>273</v>
      </c>
      <c r="DJ95" s="14" t="str">
        <f>IF([1]Sheet2!DU94=999999,"NA",[1]Sheet2!DU94)</f>
        <v>NA</v>
      </c>
      <c r="DK95" s="14" t="str">
        <f>IF([1]Sheet2!DV94=999999,"NA",[1]Sheet2!DV94)</f>
        <v>NA</v>
      </c>
      <c r="DL95" s="14" t="str">
        <f>IF([1]Sheet2!DW94=999999,"NA",[1]Sheet2!DW94)</f>
        <v>NA</v>
      </c>
      <c r="DM95" s="14">
        <f>IF([1]Sheet2!DX94=999999,"NA",[1]Sheet2!DX94)</f>
        <v>273</v>
      </c>
      <c r="DN95" s="14">
        <f>IF([1]Sheet2!DY94=999999,"NA",[1]Sheet2!DY94)</f>
        <v>273</v>
      </c>
      <c r="DO95" s="14" t="str">
        <f>IF([1]Sheet2!DZ94=999999,"NA",[1]Sheet2!DZ94)</f>
        <v>NA</v>
      </c>
      <c r="DP95" s="14" t="str">
        <f>IF([1]Sheet2!EA94=999999,"NA",[1]Sheet2!EA94)</f>
        <v>NA</v>
      </c>
      <c r="DQ95" s="14">
        <f>[1]Sheet2!CX94</f>
        <v>0</v>
      </c>
      <c r="DR95" s="14">
        <f>[1]Sheet2!CY94</f>
        <v>0</v>
      </c>
      <c r="DS95" s="14">
        <f>[1]Sheet2!CZ94</f>
        <v>0</v>
      </c>
      <c r="DT95" s="14">
        <f>[1]Sheet2!DA94</f>
        <v>0</v>
      </c>
      <c r="DU95" s="14">
        <f>[1]Sheet2!DB94</f>
        <v>0</v>
      </c>
      <c r="DV95" s="14">
        <f>[1]Sheet2!DC94</f>
        <v>0</v>
      </c>
      <c r="DW95" s="14">
        <f>[1]Sheet2!DD94</f>
        <v>0</v>
      </c>
      <c r="DX95" s="14">
        <f>[1]Sheet2!DE94</f>
        <v>0</v>
      </c>
      <c r="DY95" s="14">
        <f>[1]Sheet2!DF94</f>
        <v>0</v>
      </c>
      <c r="DZ95" s="14">
        <f>[1]Sheet2!DG94</f>
        <v>0</v>
      </c>
    </row>
    <row r="96" spans="1:130" x14ac:dyDescent="0.25">
      <c r="A96" s="15">
        <v>43558</v>
      </c>
      <c r="B96" s="1"/>
      <c r="C96" s="1"/>
      <c r="D96" s="1"/>
      <c r="E96" s="14">
        <f>[1]Sheet2!N95</f>
        <v>0</v>
      </c>
      <c r="F96" s="14">
        <f>[1]Sheet2!BE95</f>
        <v>0</v>
      </c>
      <c r="G96" s="14">
        <f>[1]Sheet2!CV95</f>
        <v>346.15384615384608</v>
      </c>
      <c r="H96" s="1"/>
      <c r="I96" s="1"/>
      <c r="J96" s="1"/>
      <c r="K96" s="16">
        <f>Demand_CWRS!B$6/30</f>
        <v>136.96097796474356</v>
      </c>
      <c r="L96" s="16">
        <f>Demand_CWRS!C$6/30</f>
        <v>544.43376068376062</v>
      </c>
      <c r="M96" s="16">
        <f>Demand_CWRS!D$6/30</f>
        <v>0</v>
      </c>
      <c r="N96" s="16">
        <f>Demand_CWRS!E$6/30</f>
        <v>108.97435897435896</v>
      </c>
      <c r="O96" s="16">
        <f>Demand_CWRS!F$6/30</f>
        <v>213.3621347489316</v>
      </c>
      <c r="P96" s="16">
        <f>Demand_CWRS!G$6/30</f>
        <v>133.33333333333334</v>
      </c>
      <c r="Q96" s="16">
        <f>Demand_CWRS!H$6/30</f>
        <v>544.43376068376062</v>
      </c>
      <c r="R96" s="16">
        <f>Demand_CWRS!I$6/30</f>
        <v>213.3621347489316</v>
      </c>
      <c r="S96" s="16">
        <f>Demand_CWRS!J$6/30</f>
        <v>213.3621347489316</v>
      </c>
      <c r="T96" s="16">
        <f>Demand_CWRS!K$6/30</f>
        <v>213.3621347489316</v>
      </c>
      <c r="U96" s="16">
        <f t="shared" si="33"/>
        <v>-14889.887235713823</v>
      </c>
      <c r="V96" s="16">
        <f t="shared" si="34"/>
        <v>-37815.424358974313</v>
      </c>
      <c r="W96" s="16">
        <f t="shared" si="35"/>
        <v>0</v>
      </c>
      <c r="X96" s="16">
        <f t="shared" si="36"/>
        <v>-8806.3278318727735</v>
      </c>
      <c r="Y96" s="16">
        <f t="shared" si="37"/>
        <v>-20749.603620450976</v>
      </c>
      <c r="Z96" s="16">
        <f t="shared" si="38"/>
        <v>-14662.06049172346</v>
      </c>
      <c r="AA96" s="16">
        <f t="shared" si="39"/>
        <v>-37315.424358974313</v>
      </c>
      <c r="AB96" s="16">
        <f t="shared" si="40"/>
        <v>-18437.637033912491</v>
      </c>
      <c r="AC96" s="16">
        <f t="shared" si="41"/>
        <v>-18437.637033912481</v>
      </c>
      <c r="AD96" s="16">
        <f t="shared" si="42"/>
        <v>-19137.637033912484</v>
      </c>
      <c r="AE96" s="14">
        <f>IF([1]Sheet2!AJ95=999999,"NA",[1]Sheet2!AJ95)</f>
        <v>34</v>
      </c>
      <c r="AF96" s="14">
        <f>IF([1]Sheet2!AK95=999999,"NA",[1]Sheet2!AK95)</f>
        <v>0</v>
      </c>
      <c r="AG96" s="14" t="str">
        <f>IF([1]Sheet2!AL95=999999,"NA",[1]Sheet2!AL95)</f>
        <v>NA</v>
      </c>
      <c r="AH96" s="14">
        <f>IF([1]Sheet2!AM95=999999,"NA",[1]Sheet2!AM95)</f>
        <v>272</v>
      </c>
      <c r="AI96" s="14">
        <f>IF([1]Sheet2!AN95=999999,"NA",[1]Sheet2!AN95)</f>
        <v>272</v>
      </c>
      <c r="AJ96" s="14">
        <f>IF([1]Sheet2!AO95=999999,"NA",[1]Sheet2!AO95)</f>
        <v>272</v>
      </c>
      <c r="AK96" s="14">
        <f>IF([1]Sheet2!AP95=999999,"NA",[1]Sheet2!AP95)</f>
        <v>17</v>
      </c>
      <c r="AL96" s="14">
        <f>IF([1]Sheet2!AQ95=999999,"NA",[1]Sheet2!AQ95)</f>
        <v>148</v>
      </c>
      <c r="AM96" s="14">
        <f>IF([1]Sheet2!AR95=999999,"NA",[1]Sheet2!AR95)</f>
        <v>272</v>
      </c>
      <c r="AN96" s="14">
        <f>IF([1]Sheet2!AS95=999999,"NA",[1]Sheet2!AS95)</f>
        <v>204</v>
      </c>
      <c r="AO96" s="14">
        <f>[1]Sheet2!P95</f>
        <v>0</v>
      </c>
      <c r="AP96" s="14">
        <f>[1]Sheet2!Q95</f>
        <v>0</v>
      </c>
      <c r="AQ96" s="14">
        <f>[1]Sheet2!R95</f>
        <v>0</v>
      </c>
      <c r="AR96" s="14">
        <f>[1]Sheet2!S95</f>
        <v>0</v>
      </c>
      <c r="AS96" s="14">
        <f>[1]Sheet2!T95</f>
        <v>0</v>
      </c>
      <c r="AT96" s="14">
        <f>[1]Sheet2!U95</f>
        <v>0</v>
      </c>
      <c r="AU96" s="14">
        <f>[1]Sheet2!V95</f>
        <v>0</v>
      </c>
      <c r="AV96" s="14">
        <f>[1]Sheet2!W95</f>
        <v>0</v>
      </c>
      <c r="AW96" s="14">
        <f>[1]Sheet2!X95</f>
        <v>0</v>
      </c>
      <c r="AX96" s="14">
        <f>[1]Sheet2!Y95</f>
        <v>0</v>
      </c>
      <c r="AY96" s="16">
        <f>Demand_LP!B$6/30</f>
        <v>790.61612406517088</v>
      </c>
      <c r="AZ96" s="16">
        <f>Demand_LP!C$6/30</f>
        <v>816.46367521367517</v>
      </c>
      <c r="BA96" s="16">
        <f>Demand_LP!D$6/30</f>
        <v>346.63461538461536</v>
      </c>
      <c r="BB96" s="16">
        <f>Demand_LP!E$6/30</f>
        <v>795.48076923076928</v>
      </c>
      <c r="BC96" s="16">
        <f>Demand_LP!F$6/30</f>
        <v>472.52230168269227</v>
      </c>
      <c r="BD96" s="16">
        <f>Demand_LP!G$6/30</f>
        <v>790.61612406517088</v>
      </c>
      <c r="BE96" s="16">
        <f>Demand_LP!H$6/30</f>
        <v>816.46367521367517</v>
      </c>
      <c r="BF96" s="16">
        <f>Demand_LP!I$6/30</f>
        <v>472.52230168269227</v>
      </c>
      <c r="BG96" s="16">
        <f>Demand_LP!J$6/30</f>
        <v>472.52230168269227</v>
      </c>
      <c r="BH96" s="16">
        <f>Demand_LP!K$6/30</f>
        <v>472.52230168269227</v>
      </c>
      <c r="BI96" s="16" t="e">
        <f t="shared" si="43"/>
        <v>#VALUE!</v>
      </c>
      <c r="BJ96" s="16">
        <f t="shared" si="44"/>
        <v>-53065.934615384569</v>
      </c>
      <c r="BK96" s="16">
        <f t="shared" si="45"/>
        <v>-23813.869230769204</v>
      </c>
      <c r="BL96" s="16">
        <f t="shared" si="46"/>
        <v>-66192.98972736123</v>
      </c>
      <c r="BM96" s="16">
        <f t="shared" si="47"/>
        <v>-41859.882986677454</v>
      </c>
      <c r="BN96" s="16">
        <f t="shared" si="48"/>
        <v>-62770.071879173862</v>
      </c>
      <c r="BO96" s="16">
        <f t="shared" si="49"/>
        <v>-55423.514102564084</v>
      </c>
      <c r="BP96" s="16">
        <f t="shared" si="50"/>
        <v>-41317.56690504805</v>
      </c>
      <c r="BQ96" s="16">
        <f t="shared" si="51"/>
        <v>-37917.566905048072</v>
      </c>
      <c r="BR96" s="16">
        <f t="shared" si="52"/>
        <v>-39117.566905048057</v>
      </c>
      <c r="BS96" s="14">
        <f>IF([1]Sheet2!CA95=999999,"NA",[1]Sheet2!CA95)</f>
        <v>177361.4330949517</v>
      </c>
      <c r="BT96" s="14">
        <f>IF([1]Sheet2!CB95=999999,"NA",[1]Sheet2!CB95)</f>
        <v>194</v>
      </c>
      <c r="BU96" s="14">
        <f>IF([1]Sheet2!CC95=999999,"NA",[1]Sheet2!CC95)</f>
        <v>272</v>
      </c>
      <c r="BV96" s="14">
        <f>IF([1]Sheet2!CD95=999999,"NA",[1]Sheet2!CD95)</f>
        <v>272</v>
      </c>
      <c r="BW96" s="14">
        <f>IF([1]Sheet2!CE95=999999,"NA",[1]Sheet2!CE95)</f>
        <v>234</v>
      </c>
      <c r="BX96" s="14">
        <f>IF([1]Sheet2!CF95=999999,"NA",[1]Sheet2!CF95)</f>
        <v>272</v>
      </c>
      <c r="BY96" s="14">
        <f>IF([1]Sheet2!CG95=999999,"NA",[1]Sheet2!CG95)</f>
        <v>166</v>
      </c>
      <c r="BZ96" s="14">
        <f>IF([1]Sheet2!CH95=999999,"NA",[1]Sheet2!CH95)</f>
        <v>272</v>
      </c>
      <c r="CA96" s="14">
        <f>IF([1]Sheet2!CI95=999999,"NA",[1]Sheet2!CI95)</f>
        <v>272</v>
      </c>
      <c r="CB96" s="14">
        <f>IF([1]Sheet2!CJ95=999999,"NA",[1]Sheet2!CJ95)</f>
        <v>272</v>
      </c>
      <c r="CC96" s="14">
        <f>[1]Sheet2!BG95</f>
        <v>0</v>
      </c>
      <c r="CD96" s="14">
        <f>[1]Sheet2!BH95</f>
        <v>0</v>
      </c>
      <c r="CE96" s="14">
        <f>[1]Sheet2!BI95</f>
        <v>0</v>
      </c>
      <c r="CF96" s="14">
        <f>[1]Sheet2!BJ95</f>
        <v>0</v>
      </c>
      <c r="CG96" s="14">
        <f>[1]Sheet2!BK95</f>
        <v>0</v>
      </c>
      <c r="CH96" s="14">
        <f>[1]Sheet2!BL95</f>
        <v>0</v>
      </c>
      <c r="CI96" s="14">
        <f>[1]Sheet2!BM95</f>
        <v>0</v>
      </c>
      <c r="CJ96" s="14">
        <f>[1]Sheet2!BN95</f>
        <v>0</v>
      </c>
      <c r="CK96" s="14">
        <f>[1]Sheet2!BO95</f>
        <v>0</v>
      </c>
      <c r="CL96" s="14">
        <f>[1]Sheet2!BP95</f>
        <v>0</v>
      </c>
      <c r="CM96" s="16">
        <f>Demand_SW!B$6/30</f>
        <v>173.07692307692304</v>
      </c>
      <c r="CN96" s="16">
        <f>Demand_SW!C$6/30</f>
        <v>0</v>
      </c>
      <c r="CO96" s="16">
        <f>Demand_SW!D$6/30</f>
        <v>0</v>
      </c>
      <c r="CP96" s="16">
        <f>Demand_SW!E$6/30</f>
        <v>0</v>
      </c>
      <c r="CQ96" s="16">
        <f>Demand_SW!F$6/30</f>
        <v>0</v>
      </c>
      <c r="CR96" s="16">
        <f>Demand_SW!G$6/30</f>
        <v>173.07692307692304</v>
      </c>
      <c r="CS96" s="16">
        <f>Demand_SW!H$6/30</f>
        <v>0</v>
      </c>
      <c r="CT96" s="16">
        <f>Demand_SW!I$6/30</f>
        <v>0</v>
      </c>
      <c r="CU96" s="16">
        <f>Demand_SW!J$6/30</f>
        <v>0</v>
      </c>
      <c r="CV96" s="16">
        <f>Demand_SW!K$6/30</f>
        <v>0</v>
      </c>
      <c r="CW96" s="16">
        <f t="shared" si="53"/>
        <v>39209.999999999964</v>
      </c>
      <c r="CX96" s="16">
        <f t="shared" si="54"/>
        <v>-423.07692307692292</v>
      </c>
      <c r="CY96" s="16">
        <f t="shared" si="55"/>
        <v>0</v>
      </c>
      <c r="CZ96" s="16">
        <f t="shared" si="56"/>
        <v>0</v>
      </c>
      <c r="DA96" s="16">
        <f t="shared" si="57"/>
        <v>0</v>
      </c>
      <c r="DB96" s="16">
        <f t="shared" si="58"/>
        <v>-10319.230769230762</v>
      </c>
      <c r="DC96" s="16">
        <f t="shared" si="59"/>
        <v>-423.07692307692292</v>
      </c>
      <c r="DD96" s="16">
        <f t="shared" si="60"/>
        <v>0</v>
      </c>
      <c r="DE96" s="16">
        <f t="shared" si="61"/>
        <v>0</v>
      </c>
      <c r="DF96" s="16">
        <f t="shared" si="62"/>
        <v>0</v>
      </c>
      <c r="DG96" s="14">
        <f>IF([1]Sheet2!DR95=999999,"NA",[1]Sheet2!DR95)</f>
        <v>73103</v>
      </c>
      <c r="DH96" s="14">
        <f>IF([1]Sheet2!DS95=999999,"NA",[1]Sheet2!DS95)</f>
        <v>272</v>
      </c>
      <c r="DI96" s="14">
        <f>IF([1]Sheet2!DT95=999999,"NA",[1]Sheet2!DT95)</f>
        <v>272</v>
      </c>
      <c r="DJ96" s="14" t="str">
        <f>IF([1]Sheet2!DU95=999999,"NA",[1]Sheet2!DU95)</f>
        <v>NA</v>
      </c>
      <c r="DK96" s="14" t="str">
        <f>IF([1]Sheet2!DV95=999999,"NA",[1]Sheet2!DV95)</f>
        <v>NA</v>
      </c>
      <c r="DL96" s="14" t="str">
        <f>IF([1]Sheet2!DW95=999999,"NA",[1]Sheet2!DW95)</f>
        <v>NA</v>
      </c>
      <c r="DM96" s="14">
        <f>IF([1]Sheet2!DX95=999999,"NA",[1]Sheet2!DX95)</f>
        <v>272</v>
      </c>
      <c r="DN96" s="14">
        <f>IF([1]Sheet2!DY95=999999,"NA",[1]Sheet2!DY95)</f>
        <v>272</v>
      </c>
      <c r="DO96" s="14" t="str">
        <f>IF([1]Sheet2!DZ95=999999,"NA",[1]Sheet2!DZ95)</f>
        <v>NA</v>
      </c>
      <c r="DP96" s="14" t="str">
        <f>IF([1]Sheet2!EA95=999999,"NA",[1]Sheet2!EA95)</f>
        <v>NA</v>
      </c>
      <c r="DQ96" s="14">
        <f>[1]Sheet2!CX95</f>
        <v>0</v>
      </c>
      <c r="DR96" s="14">
        <f>[1]Sheet2!CY95</f>
        <v>0</v>
      </c>
      <c r="DS96" s="14">
        <f>[1]Sheet2!CZ95</f>
        <v>0</v>
      </c>
      <c r="DT96" s="14">
        <f>[1]Sheet2!DA95</f>
        <v>0</v>
      </c>
      <c r="DU96" s="14">
        <f>[1]Sheet2!DB95</f>
        <v>0</v>
      </c>
      <c r="DV96" s="14">
        <f>[1]Sheet2!DC95</f>
        <v>0</v>
      </c>
      <c r="DW96" s="14">
        <f>[1]Sheet2!DD95</f>
        <v>0</v>
      </c>
      <c r="DX96" s="14">
        <f>[1]Sheet2!DE95</f>
        <v>0</v>
      </c>
      <c r="DY96" s="14">
        <f>[1]Sheet2!DF95</f>
        <v>0</v>
      </c>
      <c r="DZ96" s="14">
        <f>[1]Sheet2!DG95</f>
        <v>0</v>
      </c>
    </row>
    <row r="97" spans="1:130" x14ac:dyDescent="0.25">
      <c r="A97" s="15">
        <v>43559</v>
      </c>
      <c r="B97" s="1"/>
      <c r="C97" s="1"/>
      <c r="D97" s="1"/>
      <c r="E97" s="14">
        <f>[1]Sheet2!N96</f>
        <v>0</v>
      </c>
      <c r="F97" s="14">
        <f>[1]Sheet2!BE96</f>
        <v>0</v>
      </c>
      <c r="G97" s="14">
        <f>[1]Sheet2!CV96</f>
        <v>346.15384615384608</v>
      </c>
      <c r="H97" s="1"/>
      <c r="I97" s="1"/>
      <c r="J97" s="1"/>
      <c r="K97" s="16">
        <f>Demand_CWRS!B$6/30</f>
        <v>136.96097796474356</v>
      </c>
      <c r="L97" s="16">
        <f>Demand_CWRS!C$6/30</f>
        <v>544.43376068376062</v>
      </c>
      <c r="M97" s="16">
        <f>Demand_CWRS!D$6/30</f>
        <v>0</v>
      </c>
      <c r="N97" s="16">
        <f>Demand_CWRS!E$6/30</f>
        <v>108.97435897435896</v>
      </c>
      <c r="O97" s="16">
        <f>Demand_CWRS!F$6/30</f>
        <v>213.3621347489316</v>
      </c>
      <c r="P97" s="16">
        <f>Demand_CWRS!G$6/30</f>
        <v>133.33333333333334</v>
      </c>
      <c r="Q97" s="16">
        <f>Demand_CWRS!H$6/30</f>
        <v>544.43376068376062</v>
      </c>
      <c r="R97" s="16">
        <f>Demand_CWRS!I$6/30</f>
        <v>213.3621347489316</v>
      </c>
      <c r="S97" s="16">
        <f>Demand_CWRS!J$6/30</f>
        <v>213.3621347489316</v>
      </c>
      <c r="T97" s="16">
        <f>Demand_CWRS!K$6/30</f>
        <v>213.3621347489316</v>
      </c>
      <c r="U97" s="16">
        <f t="shared" si="33"/>
        <v>-15026.848213678566</v>
      </c>
      <c r="V97" s="16">
        <f t="shared" si="34"/>
        <v>-38359.858119658071</v>
      </c>
      <c r="W97" s="16">
        <f t="shared" si="35"/>
        <v>0</v>
      </c>
      <c r="X97" s="16">
        <f t="shared" si="36"/>
        <v>-8915.3021908471328</v>
      </c>
      <c r="Y97" s="16">
        <f t="shared" si="37"/>
        <v>-20962.965755199908</v>
      </c>
      <c r="Z97" s="16">
        <f t="shared" si="38"/>
        <v>-14795.393825056794</v>
      </c>
      <c r="AA97" s="16">
        <f t="shared" si="39"/>
        <v>-37859.858119658071</v>
      </c>
      <c r="AB97" s="16">
        <f t="shared" si="40"/>
        <v>-18650.999168661423</v>
      </c>
      <c r="AC97" s="16">
        <f t="shared" si="41"/>
        <v>-18650.999168661412</v>
      </c>
      <c r="AD97" s="16">
        <f t="shared" si="42"/>
        <v>-19350.999168661416</v>
      </c>
      <c r="AE97" s="14">
        <f>IF([1]Sheet2!AJ96=999999,"NA",[1]Sheet2!AJ96)</f>
        <v>33</v>
      </c>
      <c r="AF97" s="14">
        <f>IF([1]Sheet2!AK96=999999,"NA",[1]Sheet2!AK96)</f>
        <v>0</v>
      </c>
      <c r="AG97" s="14" t="str">
        <f>IF([1]Sheet2!AL96=999999,"NA",[1]Sheet2!AL96)</f>
        <v>NA</v>
      </c>
      <c r="AH97" s="14">
        <f>IF([1]Sheet2!AM96=999999,"NA",[1]Sheet2!AM96)</f>
        <v>271</v>
      </c>
      <c r="AI97" s="14">
        <f>IF([1]Sheet2!AN96=999999,"NA",[1]Sheet2!AN96)</f>
        <v>271</v>
      </c>
      <c r="AJ97" s="14">
        <f>IF([1]Sheet2!AO96=999999,"NA",[1]Sheet2!AO96)</f>
        <v>271</v>
      </c>
      <c r="AK97" s="14">
        <f>IF([1]Sheet2!AP96=999999,"NA",[1]Sheet2!AP96)</f>
        <v>16</v>
      </c>
      <c r="AL97" s="14">
        <f>IF([1]Sheet2!AQ96=999999,"NA",[1]Sheet2!AQ96)</f>
        <v>147</v>
      </c>
      <c r="AM97" s="14">
        <f>IF([1]Sheet2!AR96=999999,"NA",[1]Sheet2!AR96)</f>
        <v>271</v>
      </c>
      <c r="AN97" s="14">
        <f>IF([1]Sheet2!AS96=999999,"NA",[1]Sheet2!AS96)</f>
        <v>203</v>
      </c>
      <c r="AO97" s="14">
        <f>[1]Sheet2!P96</f>
        <v>0</v>
      </c>
      <c r="AP97" s="14">
        <f>[1]Sheet2!Q96</f>
        <v>0</v>
      </c>
      <c r="AQ97" s="14">
        <f>[1]Sheet2!R96</f>
        <v>0</v>
      </c>
      <c r="AR97" s="14">
        <f>[1]Sheet2!S96</f>
        <v>0</v>
      </c>
      <c r="AS97" s="14">
        <f>[1]Sheet2!T96</f>
        <v>0</v>
      </c>
      <c r="AT97" s="14">
        <f>[1]Sheet2!U96</f>
        <v>0</v>
      </c>
      <c r="AU97" s="14">
        <f>[1]Sheet2!V96</f>
        <v>0</v>
      </c>
      <c r="AV97" s="14">
        <f>[1]Sheet2!W96</f>
        <v>0</v>
      </c>
      <c r="AW97" s="14">
        <f>[1]Sheet2!X96</f>
        <v>0</v>
      </c>
      <c r="AX97" s="14">
        <f>[1]Sheet2!Y96</f>
        <v>0</v>
      </c>
      <c r="AY97" s="16">
        <f>Demand_LP!B$6/30</f>
        <v>790.61612406517088</v>
      </c>
      <c r="AZ97" s="16">
        <f>Demand_LP!C$6/30</f>
        <v>816.46367521367517</v>
      </c>
      <c r="BA97" s="16">
        <f>Demand_LP!D$6/30</f>
        <v>346.63461538461536</v>
      </c>
      <c r="BB97" s="16">
        <f>Demand_LP!E$6/30</f>
        <v>795.48076923076928</v>
      </c>
      <c r="BC97" s="16">
        <f>Demand_LP!F$6/30</f>
        <v>472.52230168269227</v>
      </c>
      <c r="BD97" s="16">
        <f>Demand_LP!G$6/30</f>
        <v>790.61612406517088</v>
      </c>
      <c r="BE97" s="16">
        <f>Demand_LP!H$6/30</f>
        <v>816.46367521367517</v>
      </c>
      <c r="BF97" s="16">
        <f>Demand_LP!I$6/30</f>
        <v>472.52230168269227</v>
      </c>
      <c r="BG97" s="16">
        <f>Demand_LP!J$6/30</f>
        <v>472.52230168269227</v>
      </c>
      <c r="BH97" s="16">
        <f>Demand_LP!K$6/30</f>
        <v>472.52230168269227</v>
      </c>
      <c r="BI97" s="16" t="e">
        <f t="shared" si="43"/>
        <v>#VALUE!</v>
      </c>
      <c r="BJ97" s="16">
        <f t="shared" si="44"/>
        <v>-53882.398290598241</v>
      </c>
      <c r="BK97" s="16">
        <f t="shared" si="45"/>
        <v>-24160.503846153821</v>
      </c>
      <c r="BL97" s="16">
        <f t="shared" si="46"/>
        <v>-66988.470496591995</v>
      </c>
      <c r="BM97" s="16">
        <f t="shared" si="47"/>
        <v>-42332.405288360147</v>
      </c>
      <c r="BN97" s="16">
        <f t="shared" si="48"/>
        <v>-63560.688003239033</v>
      </c>
      <c r="BO97" s="16">
        <f t="shared" si="49"/>
        <v>-56239.977777777756</v>
      </c>
      <c r="BP97" s="16">
        <f t="shared" si="50"/>
        <v>-41790.089206730743</v>
      </c>
      <c r="BQ97" s="16">
        <f t="shared" si="51"/>
        <v>-38390.089206730765</v>
      </c>
      <c r="BR97" s="16">
        <f t="shared" si="52"/>
        <v>-39590.08920673075</v>
      </c>
      <c r="BS97" s="14">
        <f>IF([1]Sheet2!CA96=999999,"NA",[1]Sheet2!CA96)</f>
        <v>176888.91079326902</v>
      </c>
      <c r="BT97" s="14">
        <f>IF([1]Sheet2!CB96=999999,"NA",[1]Sheet2!CB96)</f>
        <v>193</v>
      </c>
      <c r="BU97" s="14">
        <f>IF([1]Sheet2!CC96=999999,"NA",[1]Sheet2!CC96)</f>
        <v>271</v>
      </c>
      <c r="BV97" s="14">
        <f>IF([1]Sheet2!CD96=999999,"NA",[1]Sheet2!CD96)</f>
        <v>271</v>
      </c>
      <c r="BW97" s="14">
        <f>IF([1]Sheet2!CE96=999999,"NA",[1]Sheet2!CE96)</f>
        <v>233</v>
      </c>
      <c r="BX97" s="14">
        <f>IF([1]Sheet2!CF96=999999,"NA",[1]Sheet2!CF96)</f>
        <v>271</v>
      </c>
      <c r="BY97" s="14">
        <f>IF([1]Sheet2!CG96=999999,"NA",[1]Sheet2!CG96)</f>
        <v>165</v>
      </c>
      <c r="BZ97" s="14">
        <f>IF([1]Sheet2!CH96=999999,"NA",[1]Sheet2!CH96)</f>
        <v>271</v>
      </c>
      <c r="CA97" s="14">
        <f>IF([1]Sheet2!CI96=999999,"NA",[1]Sheet2!CI96)</f>
        <v>271</v>
      </c>
      <c r="CB97" s="14">
        <f>IF([1]Sheet2!CJ96=999999,"NA",[1]Sheet2!CJ96)</f>
        <v>271</v>
      </c>
      <c r="CC97" s="14">
        <f>[1]Sheet2!BG96</f>
        <v>0</v>
      </c>
      <c r="CD97" s="14">
        <f>[1]Sheet2!BH96</f>
        <v>0</v>
      </c>
      <c r="CE97" s="14">
        <f>[1]Sheet2!BI96</f>
        <v>0</v>
      </c>
      <c r="CF97" s="14">
        <f>[1]Sheet2!BJ96</f>
        <v>0</v>
      </c>
      <c r="CG97" s="14">
        <f>[1]Sheet2!BK96</f>
        <v>0</v>
      </c>
      <c r="CH97" s="14">
        <f>[1]Sheet2!BL96</f>
        <v>0</v>
      </c>
      <c r="CI97" s="14">
        <f>[1]Sheet2!BM96</f>
        <v>0</v>
      </c>
      <c r="CJ97" s="14">
        <f>[1]Sheet2!BN96</f>
        <v>0</v>
      </c>
      <c r="CK97" s="14">
        <f>[1]Sheet2!BO96</f>
        <v>0</v>
      </c>
      <c r="CL97" s="14">
        <f>[1]Sheet2!BP96</f>
        <v>0</v>
      </c>
      <c r="CM97" s="16">
        <f>Demand_SW!B$6/30</f>
        <v>173.07692307692304</v>
      </c>
      <c r="CN97" s="16">
        <f>Demand_SW!C$6/30</f>
        <v>0</v>
      </c>
      <c r="CO97" s="16">
        <f>Demand_SW!D$6/30</f>
        <v>0</v>
      </c>
      <c r="CP97" s="16">
        <f>Demand_SW!E$6/30</f>
        <v>0</v>
      </c>
      <c r="CQ97" s="16">
        <f>Demand_SW!F$6/30</f>
        <v>0</v>
      </c>
      <c r="CR97" s="16">
        <f>Demand_SW!G$6/30</f>
        <v>173.07692307692304</v>
      </c>
      <c r="CS97" s="16">
        <f>Demand_SW!H$6/30</f>
        <v>0</v>
      </c>
      <c r="CT97" s="16">
        <f>Demand_SW!I$6/30</f>
        <v>0</v>
      </c>
      <c r="CU97" s="16">
        <f>Demand_SW!J$6/30</f>
        <v>0</v>
      </c>
      <c r="CV97" s="16">
        <f>Demand_SW!K$6/30</f>
        <v>0</v>
      </c>
      <c r="CW97" s="16">
        <f t="shared" si="53"/>
        <v>39036.923076923042</v>
      </c>
      <c r="CX97" s="16">
        <f t="shared" si="54"/>
        <v>-423.07692307692292</v>
      </c>
      <c r="CY97" s="16">
        <f t="shared" si="55"/>
        <v>0</v>
      </c>
      <c r="CZ97" s="16">
        <f t="shared" si="56"/>
        <v>0</v>
      </c>
      <c r="DA97" s="16">
        <f t="shared" si="57"/>
        <v>0</v>
      </c>
      <c r="DB97" s="16">
        <f t="shared" si="58"/>
        <v>-10492.307692307686</v>
      </c>
      <c r="DC97" s="16">
        <f t="shared" si="59"/>
        <v>-423.07692307692292</v>
      </c>
      <c r="DD97" s="16">
        <f t="shared" si="60"/>
        <v>0</v>
      </c>
      <c r="DE97" s="16">
        <f t="shared" si="61"/>
        <v>0</v>
      </c>
      <c r="DF97" s="16">
        <f t="shared" si="62"/>
        <v>0</v>
      </c>
      <c r="DG97" s="14">
        <f>IF([1]Sheet2!DR96=999999,"NA",[1]Sheet2!DR96)</f>
        <v>73103</v>
      </c>
      <c r="DH97" s="14">
        <f>IF([1]Sheet2!DS96=999999,"NA",[1]Sheet2!DS96)</f>
        <v>271</v>
      </c>
      <c r="DI97" s="14">
        <f>IF([1]Sheet2!DT96=999999,"NA",[1]Sheet2!DT96)</f>
        <v>271</v>
      </c>
      <c r="DJ97" s="14" t="str">
        <f>IF([1]Sheet2!DU96=999999,"NA",[1]Sheet2!DU96)</f>
        <v>NA</v>
      </c>
      <c r="DK97" s="14" t="str">
        <f>IF([1]Sheet2!DV96=999999,"NA",[1]Sheet2!DV96)</f>
        <v>NA</v>
      </c>
      <c r="DL97" s="14" t="str">
        <f>IF([1]Sheet2!DW96=999999,"NA",[1]Sheet2!DW96)</f>
        <v>NA</v>
      </c>
      <c r="DM97" s="14">
        <f>IF([1]Sheet2!DX96=999999,"NA",[1]Sheet2!DX96)</f>
        <v>271</v>
      </c>
      <c r="DN97" s="14">
        <f>IF([1]Sheet2!DY96=999999,"NA",[1]Sheet2!DY96)</f>
        <v>271</v>
      </c>
      <c r="DO97" s="14" t="str">
        <f>IF([1]Sheet2!DZ96=999999,"NA",[1]Sheet2!DZ96)</f>
        <v>NA</v>
      </c>
      <c r="DP97" s="14" t="str">
        <f>IF([1]Sheet2!EA96=999999,"NA",[1]Sheet2!EA96)</f>
        <v>NA</v>
      </c>
      <c r="DQ97" s="14">
        <f>[1]Sheet2!CX96</f>
        <v>0</v>
      </c>
      <c r="DR97" s="14">
        <f>[1]Sheet2!CY96</f>
        <v>0</v>
      </c>
      <c r="DS97" s="14">
        <f>[1]Sheet2!CZ96</f>
        <v>0</v>
      </c>
      <c r="DT97" s="14">
        <f>[1]Sheet2!DA96</f>
        <v>0</v>
      </c>
      <c r="DU97" s="14">
        <f>[1]Sheet2!DB96</f>
        <v>0</v>
      </c>
      <c r="DV97" s="14">
        <f>[1]Sheet2!DC96</f>
        <v>0</v>
      </c>
      <c r="DW97" s="14">
        <f>[1]Sheet2!DD96</f>
        <v>0</v>
      </c>
      <c r="DX97" s="14">
        <f>[1]Sheet2!DE96</f>
        <v>0</v>
      </c>
      <c r="DY97" s="14">
        <f>[1]Sheet2!DF96</f>
        <v>0</v>
      </c>
      <c r="DZ97" s="14">
        <f>[1]Sheet2!DG96</f>
        <v>0</v>
      </c>
    </row>
    <row r="98" spans="1:130" x14ac:dyDescent="0.25">
      <c r="A98" s="15">
        <v>43560</v>
      </c>
      <c r="B98" s="1"/>
      <c r="C98" s="1"/>
      <c r="D98" s="1"/>
      <c r="E98" s="14">
        <f>[1]Sheet2!N97</f>
        <v>0</v>
      </c>
      <c r="F98" s="14">
        <f>[1]Sheet2!BE97</f>
        <v>0</v>
      </c>
      <c r="G98" s="14">
        <f>[1]Sheet2!CV97</f>
        <v>346.15384615384608</v>
      </c>
      <c r="H98" s="1"/>
      <c r="I98" s="1"/>
      <c r="J98" s="1"/>
      <c r="K98" s="16">
        <f>Demand_CWRS!B$6/30</f>
        <v>136.96097796474356</v>
      </c>
      <c r="L98" s="16">
        <f>Demand_CWRS!C$6/30</f>
        <v>544.43376068376062</v>
      </c>
      <c r="M98" s="16">
        <f>Demand_CWRS!D$6/30</f>
        <v>0</v>
      </c>
      <c r="N98" s="16">
        <f>Demand_CWRS!E$6/30</f>
        <v>108.97435897435896</v>
      </c>
      <c r="O98" s="16">
        <f>Demand_CWRS!F$6/30</f>
        <v>213.3621347489316</v>
      </c>
      <c r="P98" s="16">
        <f>Demand_CWRS!G$6/30</f>
        <v>133.33333333333334</v>
      </c>
      <c r="Q98" s="16">
        <f>Demand_CWRS!H$6/30</f>
        <v>544.43376068376062</v>
      </c>
      <c r="R98" s="16">
        <f>Demand_CWRS!I$6/30</f>
        <v>213.3621347489316</v>
      </c>
      <c r="S98" s="16">
        <f>Demand_CWRS!J$6/30</f>
        <v>213.3621347489316</v>
      </c>
      <c r="T98" s="16">
        <f>Demand_CWRS!K$6/30</f>
        <v>213.3621347489316</v>
      </c>
      <c r="U98" s="16">
        <f t="shared" si="33"/>
        <v>-15163.80919164331</v>
      </c>
      <c r="V98" s="16">
        <f t="shared" si="34"/>
        <v>-38904.291880341829</v>
      </c>
      <c r="W98" s="16">
        <f t="shared" si="35"/>
        <v>0</v>
      </c>
      <c r="X98" s="16">
        <f t="shared" si="36"/>
        <v>-9024.2765498214922</v>
      </c>
      <c r="Y98" s="16">
        <f t="shared" si="37"/>
        <v>-21176.32788994884</v>
      </c>
      <c r="Z98" s="16">
        <f t="shared" si="38"/>
        <v>-14928.727158390127</v>
      </c>
      <c r="AA98" s="16">
        <f t="shared" si="39"/>
        <v>-38404.291880341829</v>
      </c>
      <c r="AB98" s="16">
        <f t="shared" si="40"/>
        <v>-18864.361303410355</v>
      </c>
      <c r="AC98" s="16">
        <f t="shared" si="41"/>
        <v>-18864.361303410344</v>
      </c>
      <c r="AD98" s="16">
        <f t="shared" si="42"/>
        <v>-19564.361303410347</v>
      </c>
      <c r="AE98" s="14">
        <f>IF([1]Sheet2!AJ97=999999,"NA",[1]Sheet2!AJ97)</f>
        <v>32</v>
      </c>
      <c r="AF98" s="14">
        <f>IF([1]Sheet2!AK97=999999,"NA",[1]Sheet2!AK97)</f>
        <v>0</v>
      </c>
      <c r="AG98" s="14" t="str">
        <f>IF([1]Sheet2!AL97=999999,"NA",[1]Sheet2!AL97)</f>
        <v>NA</v>
      </c>
      <c r="AH98" s="14">
        <f>IF([1]Sheet2!AM97=999999,"NA",[1]Sheet2!AM97)</f>
        <v>270</v>
      </c>
      <c r="AI98" s="14">
        <f>IF([1]Sheet2!AN97=999999,"NA",[1]Sheet2!AN97)</f>
        <v>270</v>
      </c>
      <c r="AJ98" s="14">
        <f>IF([1]Sheet2!AO97=999999,"NA",[1]Sheet2!AO97)</f>
        <v>270</v>
      </c>
      <c r="AK98" s="14">
        <f>IF([1]Sheet2!AP97=999999,"NA",[1]Sheet2!AP97)</f>
        <v>15</v>
      </c>
      <c r="AL98" s="14">
        <f>IF([1]Sheet2!AQ97=999999,"NA",[1]Sheet2!AQ97)</f>
        <v>146</v>
      </c>
      <c r="AM98" s="14">
        <f>IF([1]Sheet2!AR97=999999,"NA",[1]Sheet2!AR97)</f>
        <v>270</v>
      </c>
      <c r="AN98" s="14">
        <f>IF([1]Sheet2!AS97=999999,"NA",[1]Sheet2!AS97)</f>
        <v>202</v>
      </c>
      <c r="AO98" s="14">
        <f>[1]Sheet2!P97</f>
        <v>0</v>
      </c>
      <c r="AP98" s="14">
        <f>[1]Sheet2!Q97</f>
        <v>0</v>
      </c>
      <c r="AQ98" s="14">
        <f>[1]Sheet2!R97</f>
        <v>0</v>
      </c>
      <c r="AR98" s="14">
        <f>[1]Sheet2!S97</f>
        <v>0</v>
      </c>
      <c r="AS98" s="14">
        <f>[1]Sheet2!T97</f>
        <v>0</v>
      </c>
      <c r="AT98" s="14">
        <f>[1]Sheet2!U97</f>
        <v>0</v>
      </c>
      <c r="AU98" s="14">
        <f>[1]Sheet2!V97</f>
        <v>0</v>
      </c>
      <c r="AV98" s="14">
        <f>[1]Sheet2!W97</f>
        <v>0</v>
      </c>
      <c r="AW98" s="14">
        <f>[1]Sheet2!X97</f>
        <v>0</v>
      </c>
      <c r="AX98" s="14">
        <f>[1]Sheet2!Y97</f>
        <v>0</v>
      </c>
      <c r="AY98" s="16">
        <f>Demand_LP!B$6/30</f>
        <v>790.61612406517088</v>
      </c>
      <c r="AZ98" s="16">
        <f>Demand_LP!C$6/30</f>
        <v>816.46367521367517</v>
      </c>
      <c r="BA98" s="16">
        <f>Demand_LP!D$6/30</f>
        <v>346.63461538461536</v>
      </c>
      <c r="BB98" s="16">
        <f>Demand_LP!E$6/30</f>
        <v>795.48076923076928</v>
      </c>
      <c r="BC98" s="16">
        <f>Demand_LP!F$6/30</f>
        <v>472.52230168269227</v>
      </c>
      <c r="BD98" s="16">
        <f>Demand_LP!G$6/30</f>
        <v>790.61612406517088</v>
      </c>
      <c r="BE98" s="16">
        <f>Demand_LP!H$6/30</f>
        <v>816.46367521367517</v>
      </c>
      <c r="BF98" s="16">
        <f>Demand_LP!I$6/30</f>
        <v>472.52230168269227</v>
      </c>
      <c r="BG98" s="16">
        <f>Demand_LP!J$6/30</f>
        <v>472.52230168269227</v>
      </c>
      <c r="BH98" s="16">
        <f>Demand_LP!K$6/30</f>
        <v>472.52230168269227</v>
      </c>
      <c r="BI98" s="16" t="e">
        <f t="shared" si="43"/>
        <v>#VALUE!</v>
      </c>
      <c r="BJ98" s="16">
        <f t="shared" si="44"/>
        <v>-54698.861965811913</v>
      </c>
      <c r="BK98" s="16">
        <f t="shared" si="45"/>
        <v>-24507.138461538438</v>
      </c>
      <c r="BL98" s="16">
        <f t="shared" si="46"/>
        <v>-67783.951265822761</v>
      </c>
      <c r="BM98" s="16">
        <f t="shared" si="47"/>
        <v>-42804.92759004284</v>
      </c>
      <c r="BN98" s="16">
        <f t="shared" si="48"/>
        <v>-64351.304127304204</v>
      </c>
      <c r="BO98" s="16">
        <f t="shared" si="49"/>
        <v>-57056.441452991428</v>
      </c>
      <c r="BP98" s="16">
        <f t="shared" si="50"/>
        <v>-42262.611508413436</v>
      </c>
      <c r="BQ98" s="16">
        <f t="shared" si="51"/>
        <v>-38862.611508413458</v>
      </c>
      <c r="BR98" s="16">
        <f t="shared" si="52"/>
        <v>-40062.611508413444</v>
      </c>
      <c r="BS98" s="14">
        <f>IF([1]Sheet2!CA97=999999,"NA",[1]Sheet2!CA97)</f>
        <v>176416.38849158635</v>
      </c>
      <c r="BT98" s="14">
        <f>IF([1]Sheet2!CB97=999999,"NA",[1]Sheet2!CB97)</f>
        <v>192</v>
      </c>
      <c r="BU98" s="14">
        <f>IF([1]Sheet2!CC97=999999,"NA",[1]Sheet2!CC97)</f>
        <v>270</v>
      </c>
      <c r="BV98" s="14">
        <f>IF([1]Sheet2!CD97=999999,"NA",[1]Sheet2!CD97)</f>
        <v>270</v>
      </c>
      <c r="BW98" s="14">
        <f>IF([1]Sheet2!CE97=999999,"NA",[1]Sheet2!CE97)</f>
        <v>232</v>
      </c>
      <c r="BX98" s="14">
        <f>IF([1]Sheet2!CF97=999999,"NA",[1]Sheet2!CF97)</f>
        <v>270</v>
      </c>
      <c r="BY98" s="14">
        <f>IF([1]Sheet2!CG97=999999,"NA",[1]Sheet2!CG97)</f>
        <v>164</v>
      </c>
      <c r="BZ98" s="14">
        <f>IF([1]Sheet2!CH97=999999,"NA",[1]Sheet2!CH97)</f>
        <v>270</v>
      </c>
      <c r="CA98" s="14">
        <f>IF([1]Sheet2!CI97=999999,"NA",[1]Sheet2!CI97)</f>
        <v>270</v>
      </c>
      <c r="CB98" s="14">
        <f>IF([1]Sheet2!CJ97=999999,"NA",[1]Sheet2!CJ97)</f>
        <v>270</v>
      </c>
      <c r="CC98" s="14">
        <f>[1]Sheet2!BG97</f>
        <v>0</v>
      </c>
      <c r="CD98" s="14">
        <f>[1]Sheet2!BH97</f>
        <v>0</v>
      </c>
      <c r="CE98" s="14">
        <f>[1]Sheet2!BI97</f>
        <v>0</v>
      </c>
      <c r="CF98" s="14">
        <f>[1]Sheet2!BJ97</f>
        <v>0</v>
      </c>
      <c r="CG98" s="14">
        <f>[1]Sheet2!BK97</f>
        <v>0</v>
      </c>
      <c r="CH98" s="14">
        <f>[1]Sheet2!BL97</f>
        <v>0</v>
      </c>
      <c r="CI98" s="14">
        <f>[1]Sheet2!BM97</f>
        <v>0</v>
      </c>
      <c r="CJ98" s="14">
        <f>[1]Sheet2!BN97</f>
        <v>0</v>
      </c>
      <c r="CK98" s="14">
        <f>[1]Sheet2!BO97</f>
        <v>0</v>
      </c>
      <c r="CL98" s="14">
        <f>[1]Sheet2!BP97</f>
        <v>0</v>
      </c>
      <c r="CM98" s="16">
        <f>Demand_SW!B$6/30</f>
        <v>173.07692307692304</v>
      </c>
      <c r="CN98" s="16">
        <f>Demand_SW!C$6/30</f>
        <v>0</v>
      </c>
      <c r="CO98" s="16">
        <f>Demand_SW!D$6/30</f>
        <v>0</v>
      </c>
      <c r="CP98" s="16">
        <f>Demand_SW!E$6/30</f>
        <v>0</v>
      </c>
      <c r="CQ98" s="16">
        <f>Demand_SW!F$6/30</f>
        <v>0</v>
      </c>
      <c r="CR98" s="16">
        <f>Demand_SW!G$6/30</f>
        <v>173.07692307692304</v>
      </c>
      <c r="CS98" s="16">
        <f>Demand_SW!H$6/30</f>
        <v>0</v>
      </c>
      <c r="CT98" s="16">
        <f>Demand_SW!I$6/30</f>
        <v>0</v>
      </c>
      <c r="CU98" s="16">
        <f>Demand_SW!J$6/30</f>
        <v>0</v>
      </c>
      <c r="CV98" s="16">
        <f>Demand_SW!K$6/30</f>
        <v>0</v>
      </c>
      <c r="CW98" s="16">
        <f t="shared" si="53"/>
        <v>38863.84615384612</v>
      </c>
      <c r="CX98" s="16">
        <f t="shared" si="54"/>
        <v>-423.07692307692292</v>
      </c>
      <c r="CY98" s="16">
        <f t="shared" si="55"/>
        <v>0</v>
      </c>
      <c r="CZ98" s="16">
        <f t="shared" si="56"/>
        <v>0</v>
      </c>
      <c r="DA98" s="16">
        <f t="shared" si="57"/>
        <v>0</v>
      </c>
      <c r="DB98" s="16">
        <f t="shared" si="58"/>
        <v>-10665.38461538461</v>
      </c>
      <c r="DC98" s="16">
        <f t="shared" si="59"/>
        <v>-423.07692307692292</v>
      </c>
      <c r="DD98" s="16">
        <f t="shared" si="60"/>
        <v>0</v>
      </c>
      <c r="DE98" s="16">
        <f t="shared" si="61"/>
        <v>0</v>
      </c>
      <c r="DF98" s="16">
        <f t="shared" si="62"/>
        <v>0</v>
      </c>
      <c r="DG98" s="14">
        <f>IF([1]Sheet2!DR97=999999,"NA",[1]Sheet2!DR97)</f>
        <v>73103</v>
      </c>
      <c r="DH98" s="14">
        <f>IF([1]Sheet2!DS97=999999,"NA",[1]Sheet2!DS97)</f>
        <v>270</v>
      </c>
      <c r="DI98" s="14">
        <f>IF([1]Sheet2!DT97=999999,"NA",[1]Sheet2!DT97)</f>
        <v>270</v>
      </c>
      <c r="DJ98" s="14" t="str">
        <f>IF([1]Sheet2!DU97=999999,"NA",[1]Sheet2!DU97)</f>
        <v>NA</v>
      </c>
      <c r="DK98" s="14" t="str">
        <f>IF([1]Sheet2!DV97=999999,"NA",[1]Sheet2!DV97)</f>
        <v>NA</v>
      </c>
      <c r="DL98" s="14" t="str">
        <f>IF([1]Sheet2!DW97=999999,"NA",[1]Sheet2!DW97)</f>
        <v>NA</v>
      </c>
      <c r="DM98" s="14">
        <f>IF([1]Sheet2!DX97=999999,"NA",[1]Sheet2!DX97)</f>
        <v>270</v>
      </c>
      <c r="DN98" s="14">
        <f>IF([1]Sheet2!DY97=999999,"NA",[1]Sheet2!DY97)</f>
        <v>270</v>
      </c>
      <c r="DO98" s="14" t="str">
        <f>IF([1]Sheet2!DZ97=999999,"NA",[1]Sheet2!DZ97)</f>
        <v>NA</v>
      </c>
      <c r="DP98" s="14" t="str">
        <f>IF([1]Sheet2!EA97=999999,"NA",[1]Sheet2!EA97)</f>
        <v>NA</v>
      </c>
      <c r="DQ98" s="14">
        <f>[1]Sheet2!CX97</f>
        <v>0</v>
      </c>
      <c r="DR98" s="14">
        <f>[1]Sheet2!CY97</f>
        <v>0</v>
      </c>
      <c r="DS98" s="14">
        <f>[1]Sheet2!CZ97</f>
        <v>0</v>
      </c>
      <c r="DT98" s="14">
        <f>[1]Sheet2!DA97</f>
        <v>0</v>
      </c>
      <c r="DU98" s="14">
        <f>[1]Sheet2!DB97</f>
        <v>0</v>
      </c>
      <c r="DV98" s="14">
        <f>[1]Sheet2!DC97</f>
        <v>0</v>
      </c>
      <c r="DW98" s="14">
        <f>[1]Sheet2!DD97</f>
        <v>0</v>
      </c>
      <c r="DX98" s="14">
        <f>[1]Sheet2!DE97</f>
        <v>0</v>
      </c>
      <c r="DY98" s="14">
        <f>[1]Sheet2!DF97</f>
        <v>0</v>
      </c>
      <c r="DZ98" s="14">
        <f>[1]Sheet2!DG97</f>
        <v>0</v>
      </c>
    </row>
    <row r="99" spans="1:130" x14ac:dyDescent="0.25">
      <c r="A99" s="15">
        <v>43561</v>
      </c>
      <c r="B99" s="1"/>
      <c r="C99" s="1"/>
      <c r="D99" s="1"/>
      <c r="E99" s="14">
        <f>[1]Sheet2!N98</f>
        <v>0</v>
      </c>
      <c r="F99" s="14">
        <f>[1]Sheet2!BE98</f>
        <v>0</v>
      </c>
      <c r="G99" s="14">
        <f>[1]Sheet2!CV98</f>
        <v>346.15384615384608</v>
      </c>
      <c r="H99" s="1"/>
      <c r="I99" s="1"/>
      <c r="J99" s="1"/>
      <c r="K99" s="16">
        <f>Demand_CWRS!B$6/30</f>
        <v>136.96097796474356</v>
      </c>
      <c r="L99" s="16">
        <f>Demand_CWRS!C$6/30</f>
        <v>544.43376068376062</v>
      </c>
      <c r="M99" s="16">
        <f>Demand_CWRS!D$6/30</f>
        <v>0</v>
      </c>
      <c r="N99" s="16">
        <f>Demand_CWRS!E$6/30</f>
        <v>108.97435897435896</v>
      </c>
      <c r="O99" s="16">
        <f>Demand_CWRS!F$6/30</f>
        <v>213.3621347489316</v>
      </c>
      <c r="P99" s="16">
        <f>Demand_CWRS!G$6/30</f>
        <v>133.33333333333334</v>
      </c>
      <c r="Q99" s="16">
        <f>Demand_CWRS!H$6/30</f>
        <v>544.43376068376062</v>
      </c>
      <c r="R99" s="16">
        <f>Demand_CWRS!I$6/30</f>
        <v>213.3621347489316</v>
      </c>
      <c r="S99" s="16">
        <f>Demand_CWRS!J$6/30</f>
        <v>213.3621347489316</v>
      </c>
      <c r="T99" s="16">
        <f>Demand_CWRS!K$6/30</f>
        <v>213.3621347489316</v>
      </c>
      <c r="U99" s="16">
        <f t="shared" si="33"/>
        <v>-15300.770169608053</v>
      </c>
      <c r="V99" s="16">
        <f t="shared" si="34"/>
        <v>-39448.725641025587</v>
      </c>
      <c r="W99" s="16">
        <f t="shared" si="35"/>
        <v>0</v>
      </c>
      <c r="X99" s="16">
        <f t="shared" si="36"/>
        <v>-9133.2509087958515</v>
      </c>
      <c r="Y99" s="16">
        <f t="shared" si="37"/>
        <v>-21389.690024697771</v>
      </c>
      <c r="Z99" s="16">
        <f t="shared" si="38"/>
        <v>-15062.060491723461</v>
      </c>
      <c r="AA99" s="16">
        <f t="shared" si="39"/>
        <v>-38948.725641025587</v>
      </c>
      <c r="AB99" s="16">
        <f t="shared" si="40"/>
        <v>-19077.723438159286</v>
      </c>
      <c r="AC99" s="16">
        <f t="shared" si="41"/>
        <v>-19077.723438159275</v>
      </c>
      <c r="AD99" s="16">
        <f t="shared" si="42"/>
        <v>-19777.723438159279</v>
      </c>
      <c r="AE99" s="14">
        <f>IF([1]Sheet2!AJ98=999999,"NA",[1]Sheet2!AJ98)</f>
        <v>31</v>
      </c>
      <c r="AF99" s="14">
        <f>IF([1]Sheet2!AK98=999999,"NA",[1]Sheet2!AK98)</f>
        <v>0</v>
      </c>
      <c r="AG99" s="14" t="str">
        <f>IF([1]Sheet2!AL98=999999,"NA",[1]Sheet2!AL98)</f>
        <v>NA</v>
      </c>
      <c r="AH99" s="14">
        <f>IF([1]Sheet2!AM98=999999,"NA",[1]Sheet2!AM98)</f>
        <v>269</v>
      </c>
      <c r="AI99" s="14">
        <f>IF([1]Sheet2!AN98=999999,"NA",[1]Sheet2!AN98)</f>
        <v>269</v>
      </c>
      <c r="AJ99" s="14">
        <f>IF([1]Sheet2!AO98=999999,"NA",[1]Sheet2!AO98)</f>
        <v>269</v>
      </c>
      <c r="AK99" s="14">
        <f>IF([1]Sheet2!AP98=999999,"NA",[1]Sheet2!AP98)</f>
        <v>14</v>
      </c>
      <c r="AL99" s="14">
        <f>IF([1]Sheet2!AQ98=999999,"NA",[1]Sheet2!AQ98)</f>
        <v>145</v>
      </c>
      <c r="AM99" s="14">
        <f>IF([1]Sheet2!AR98=999999,"NA",[1]Sheet2!AR98)</f>
        <v>269</v>
      </c>
      <c r="AN99" s="14">
        <f>IF([1]Sheet2!AS98=999999,"NA",[1]Sheet2!AS98)</f>
        <v>201</v>
      </c>
      <c r="AO99" s="14">
        <f>[1]Sheet2!P98</f>
        <v>0</v>
      </c>
      <c r="AP99" s="14">
        <f>[1]Sheet2!Q98</f>
        <v>0</v>
      </c>
      <c r="AQ99" s="14">
        <f>[1]Sheet2!R98</f>
        <v>0</v>
      </c>
      <c r="AR99" s="14">
        <f>[1]Sheet2!S98</f>
        <v>0</v>
      </c>
      <c r="AS99" s="14">
        <f>[1]Sheet2!T98</f>
        <v>0</v>
      </c>
      <c r="AT99" s="14">
        <f>[1]Sheet2!U98</f>
        <v>0</v>
      </c>
      <c r="AU99" s="14">
        <f>[1]Sheet2!V98</f>
        <v>0</v>
      </c>
      <c r="AV99" s="14">
        <f>[1]Sheet2!W98</f>
        <v>0</v>
      </c>
      <c r="AW99" s="14">
        <f>[1]Sheet2!X98</f>
        <v>0</v>
      </c>
      <c r="AX99" s="14">
        <f>[1]Sheet2!Y98</f>
        <v>0</v>
      </c>
      <c r="AY99" s="16">
        <f>Demand_LP!B$6/30</f>
        <v>790.61612406517088</v>
      </c>
      <c r="AZ99" s="16">
        <f>Demand_LP!C$6/30</f>
        <v>816.46367521367517</v>
      </c>
      <c r="BA99" s="16">
        <f>Demand_LP!D$6/30</f>
        <v>346.63461538461536</v>
      </c>
      <c r="BB99" s="16">
        <f>Demand_LP!E$6/30</f>
        <v>795.48076923076928</v>
      </c>
      <c r="BC99" s="16">
        <f>Demand_LP!F$6/30</f>
        <v>472.52230168269227</v>
      </c>
      <c r="BD99" s="16">
        <f>Demand_LP!G$6/30</f>
        <v>790.61612406517088</v>
      </c>
      <c r="BE99" s="16">
        <f>Demand_LP!H$6/30</f>
        <v>816.46367521367517</v>
      </c>
      <c r="BF99" s="16">
        <f>Demand_LP!I$6/30</f>
        <v>472.52230168269227</v>
      </c>
      <c r="BG99" s="16">
        <f>Demand_LP!J$6/30</f>
        <v>472.52230168269227</v>
      </c>
      <c r="BH99" s="16">
        <f>Demand_LP!K$6/30</f>
        <v>472.52230168269227</v>
      </c>
      <c r="BI99" s="16" t="e">
        <f t="shared" si="43"/>
        <v>#VALUE!</v>
      </c>
      <c r="BJ99" s="16">
        <f t="shared" si="44"/>
        <v>-55515.325641025585</v>
      </c>
      <c r="BK99" s="16">
        <f t="shared" si="45"/>
        <v>-24853.773076923055</v>
      </c>
      <c r="BL99" s="16">
        <f t="shared" si="46"/>
        <v>-68579.432035053527</v>
      </c>
      <c r="BM99" s="16">
        <f t="shared" si="47"/>
        <v>-43277.449891725533</v>
      </c>
      <c r="BN99" s="16">
        <f t="shared" si="48"/>
        <v>-65141.920251369374</v>
      </c>
      <c r="BO99" s="16">
        <f t="shared" si="49"/>
        <v>-57872.9051282051</v>
      </c>
      <c r="BP99" s="16">
        <f t="shared" si="50"/>
        <v>-42735.133810096129</v>
      </c>
      <c r="BQ99" s="16">
        <f t="shared" si="51"/>
        <v>-39335.133810096151</v>
      </c>
      <c r="BR99" s="16">
        <f t="shared" si="52"/>
        <v>-40535.133810096137</v>
      </c>
      <c r="BS99" s="14">
        <f>IF([1]Sheet2!CA98=999999,"NA",[1]Sheet2!CA98)</f>
        <v>175943.86618990367</v>
      </c>
      <c r="BT99" s="14">
        <f>IF([1]Sheet2!CB98=999999,"NA",[1]Sheet2!CB98)</f>
        <v>191</v>
      </c>
      <c r="BU99" s="14">
        <f>IF([1]Sheet2!CC98=999999,"NA",[1]Sheet2!CC98)</f>
        <v>269</v>
      </c>
      <c r="BV99" s="14">
        <f>IF([1]Sheet2!CD98=999999,"NA",[1]Sheet2!CD98)</f>
        <v>269</v>
      </c>
      <c r="BW99" s="14">
        <f>IF([1]Sheet2!CE98=999999,"NA",[1]Sheet2!CE98)</f>
        <v>231</v>
      </c>
      <c r="BX99" s="14">
        <f>IF([1]Sheet2!CF98=999999,"NA",[1]Sheet2!CF98)</f>
        <v>269</v>
      </c>
      <c r="BY99" s="14">
        <f>IF([1]Sheet2!CG98=999999,"NA",[1]Sheet2!CG98)</f>
        <v>163</v>
      </c>
      <c r="BZ99" s="14">
        <f>IF([1]Sheet2!CH98=999999,"NA",[1]Sheet2!CH98)</f>
        <v>269</v>
      </c>
      <c r="CA99" s="14">
        <f>IF([1]Sheet2!CI98=999999,"NA",[1]Sheet2!CI98)</f>
        <v>269</v>
      </c>
      <c r="CB99" s="14">
        <f>IF([1]Sheet2!CJ98=999999,"NA",[1]Sheet2!CJ98)</f>
        <v>269</v>
      </c>
      <c r="CC99" s="14">
        <f>[1]Sheet2!BG98</f>
        <v>0</v>
      </c>
      <c r="CD99" s="14">
        <f>[1]Sheet2!BH98</f>
        <v>0</v>
      </c>
      <c r="CE99" s="14">
        <f>[1]Sheet2!BI98</f>
        <v>0</v>
      </c>
      <c r="CF99" s="14">
        <f>[1]Sheet2!BJ98</f>
        <v>0</v>
      </c>
      <c r="CG99" s="14">
        <f>[1]Sheet2!BK98</f>
        <v>0</v>
      </c>
      <c r="CH99" s="14">
        <f>[1]Sheet2!BL98</f>
        <v>0</v>
      </c>
      <c r="CI99" s="14">
        <f>[1]Sheet2!BM98</f>
        <v>0</v>
      </c>
      <c r="CJ99" s="14">
        <f>[1]Sheet2!BN98</f>
        <v>0</v>
      </c>
      <c r="CK99" s="14">
        <f>[1]Sheet2!BO98</f>
        <v>0</v>
      </c>
      <c r="CL99" s="14">
        <f>[1]Sheet2!BP98</f>
        <v>0</v>
      </c>
      <c r="CM99" s="16">
        <f>Demand_SW!B$6/30</f>
        <v>173.07692307692304</v>
      </c>
      <c r="CN99" s="16">
        <f>Demand_SW!C$6/30</f>
        <v>0</v>
      </c>
      <c r="CO99" s="16">
        <f>Demand_SW!D$6/30</f>
        <v>0</v>
      </c>
      <c r="CP99" s="16">
        <f>Demand_SW!E$6/30</f>
        <v>0</v>
      </c>
      <c r="CQ99" s="16">
        <f>Demand_SW!F$6/30</f>
        <v>0</v>
      </c>
      <c r="CR99" s="16">
        <f>Demand_SW!G$6/30</f>
        <v>173.07692307692304</v>
      </c>
      <c r="CS99" s="16">
        <f>Demand_SW!H$6/30</f>
        <v>0</v>
      </c>
      <c r="CT99" s="16">
        <f>Demand_SW!I$6/30</f>
        <v>0</v>
      </c>
      <c r="CU99" s="16">
        <f>Demand_SW!J$6/30</f>
        <v>0</v>
      </c>
      <c r="CV99" s="16">
        <f>Demand_SW!K$6/30</f>
        <v>0</v>
      </c>
      <c r="CW99" s="16">
        <f t="shared" si="53"/>
        <v>38690.769230769198</v>
      </c>
      <c r="CX99" s="16">
        <f t="shared" si="54"/>
        <v>-423.07692307692292</v>
      </c>
      <c r="CY99" s="16">
        <f t="shared" si="55"/>
        <v>0</v>
      </c>
      <c r="CZ99" s="16">
        <f t="shared" si="56"/>
        <v>0</v>
      </c>
      <c r="DA99" s="16">
        <f t="shared" si="57"/>
        <v>0</v>
      </c>
      <c r="DB99" s="16">
        <f t="shared" si="58"/>
        <v>-10838.461538461534</v>
      </c>
      <c r="DC99" s="16">
        <f t="shared" si="59"/>
        <v>-423.07692307692292</v>
      </c>
      <c r="DD99" s="16">
        <f t="shared" si="60"/>
        <v>0</v>
      </c>
      <c r="DE99" s="16">
        <f t="shared" si="61"/>
        <v>0</v>
      </c>
      <c r="DF99" s="16">
        <f t="shared" si="62"/>
        <v>0</v>
      </c>
      <c r="DG99" s="14">
        <f>IF([1]Sheet2!DR98=999999,"NA",[1]Sheet2!DR98)</f>
        <v>73103</v>
      </c>
      <c r="DH99" s="14">
        <f>IF([1]Sheet2!DS98=999999,"NA",[1]Sheet2!DS98)</f>
        <v>269</v>
      </c>
      <c r="DI99" s="14">
        <f>IF([1]Sheet2!DT98=999999,"NA",[1]Sheet2!DT98)</f>
        <v>269</v>
      </c>
      <c r="DJ99" s="14" t="str">
        <f>IF([1]Sheet2!DU98=999999,"NA",[1]Sheet2!DU98)</f>
        <v>NA</v>
      </c>
      <c r="DK99" s="14" t="str">
        <f>IF([1]Sheet2!DV98=999999,"NA",[1]Sheet2!DV98)</f>
        <v>NA</v>
      </c>
      <c r="DL99" s="14" t="str">
        <f>IF([1]Sheet2!DW98=999999,"NA",[1]Sheet2!DW98)</f>
        <v>NA</v>
      </c>
      <c r="DM99" s="14">
        <f>IF([1]Sheet2!DX98=999999,"NA",[1]Sheet2!DX98)</f>
        <v>269</v>
      </c>
      <c r="DN99" s="14">
        <f>IF([1]Sheet2!DY98=999999,"NA",[1]Sheet2!DY98)</f>
        <v>269</v>
      </c>
      <c r="DO99" s="14" t="str">
        <f>IF([1]Sheet2!DZ98=999999,"NA",[1]Sheet2!DZ98)</f>
        <v>NA</v>
      </c>
      <c r="DP99" s="14" t="str">
        <f>IF([1]Sheet2!EA98=999999,"NA",[1]Sheet2!EA98)</f>
        <v>NA</v>
      </c>
      <c r="DQ99" s="14">
        <f>[1]Sheet2!CX98</f>
        <v>0</v>
      </c>
      <c r="DR99" s="14">
        <f>[1]Sheet2!CY98</f>
        <v>0</v>
      </c>
      <c r="DS99" s="14">
        <f>[1]Sheet2!CZ98</f>
        <v>0</v>
      </c>
      <c r="DT99" s="14">
        <f>[1]Sheet2!DA98</f>
        <v>0</v>
      </c>
      <c r="DU99" s="14">
        <f>[1]Sheet2!DB98</f>
        <v>0</v>
      </c>
      <c r="DV99" s="14">
        <f>[1]Sheet2!DC98</f>
        <v>0</v>
      </c>
      <c r="DW99" s="14">
        <f>[1]Sheet2!DD98</f>
        <v>0</v>
      </c>
      <c r="DX99" s="14">
        <f>[1]Sheet2!DE98</f>
        <v>0</v>
      </c>
      <c r="DY99" s="14">
        <f>[1]Sheet2!DF98</f>
        <v>0</v>
      </c>
      <c r="DZ99" s="14">
        <f>[1]Sheet2!DG98</f>
        <v>0</v>
      </c>
    </row>
    <row r="100" spans="1:130" x14ac:dyDescent="0.25">
      <c r="A100" s="15">
        <v>43562</v>
      </c>
      <c r="B100" s="1"/>
      <c r="C100" s="1"/>
      <c r="D100" s="1"/>
      <c r="E100" s="14">
        <f>[1]Sheet2!N99</f>
        <v>0</v>
      </c>
      <c r="F100" s="14">
        <f>[1]Sheet2!BE99</f>
        <v>0</v>
      </c>
      <c r="G100" s="14">
        <f>[1]Sheet2!CV99</f>
        <v>346.15384615384608</v>
      </c>
      <c r="H100" s="1"/>
      <c r="I100" s="1"/>
      <c r="J100" s="1"/>
      <c r="K100" s="16">
        <f>Demand_CWRS!B$6/30</f>
        <v>136.96097796474356</v>
      </c>
      <c r="L100" s="16">
        <f>Demand_CWRS!C$6/30</f>
        <v>544.43376068376062</v>
      </c>
      <c r="M100" s="16">
        <f>Demand_CWRS!D$6/30</f>
        <v>0</v>
      </c>
      <c r="N100" s="16">
        <f>Demand_CWRS!E$6/30</f>
        <v>108.97435897435896</v>
      </c>
      <c r="O100" s="16">
        <f>Demand_CWRS!F$6/30</f>
        <v>213.3621347489316</v>
      </c>
      <c r="P100" s="16">
        <f>Demand_CWRS!G$6/30</f>
        <v>133.33333333333334</v>
      </c>
      <c r="Q100" s="16">
        <f>Demand_CWRS!H$6/30</f>
        <v>544.43376068376062</v>
      </c>
      <c r="R100" s="16">
        <f>Demand_CWRS!I$6/30</f>
        <v>213.3621347489316</v>
      </c>
      <c r="S100" s="16">
        <f>Demand_CWRS!J$6/30</f>
        <v>213.3621347489316</v>
      </c>
      <c r="T100" s="16">
        <f>Demand_CWRS!K$6/30</f>
        <v>213.3621347489316</v>
      </c>
      <c r="U100" s="16">
        <f t="shared" si="33"/>
        <v>-15437.731147572797</v>
      </c>
      <c r="V100" s="16">
        <f t="shared" si="34"/>
        <v>-39993.159401709345</v>
      </c>
      <c r="W100" s="16">
        <f t="shared" si="35"/>
        <v>0</v>
      </c>
      <c r="X100" s="16">
        <f t="shared" si="36"/>
        <v>-9242.2252677702108</v>
      </c>
      <c r="Y100" s="16">
        <f t="shared" si="37"/>
        <v>-21603.052159446703</v>
      </c>
      <c r="Z100" s="16">
        <f t="shared" si="38"/>
        <v>-15195.393825056795</v>
      </c>
      <c r="AA100" s="16">
        <f t="shared" si="39"/>
        <v>-39493.159401709345</v>
      </c>
      <c r="AB100" s="16">
        <f t="shared" si="40"/>
        <v>-19291.085572908218</v>
      </c>
      <c r="AC100" s="16">
        <f t="shared" si="41"/>
        <v>-19291.085572908207</v>
      </c>
      <c r="AD100" s="16">
        <f t="shared" si="42"/>
        <v>-19991.08557290821</v>
      </c>
      <c r="AE100" s="14">
        <f>IF([1]Sheet2!AJ99=999999,"NA",[1]Sheet2!AJ99)</f>
        <v>30</v>
      </c>
      <c r="AF100" s="14">
        <f>IF([1]Sheet2!AK99=999999,"NA",[1]Sheet2!AK99)</f>
        <v>0</v>
      </c>
      <c r="AG100" s="14" t="str">
        <f>IF([1]Sheet2!AL99=999999,"NA",[1]Sheet2!AL99)</f>
        <v>NA</v>
      </c>
      <c r="AH100" s="14">
        <f>IF([1]Sheet2!AM99=999999,"NA",[1]Sheet2!AM99)</f>
        <v>268</v>
      </c>
      <c r="AI100" s="14">
        <f>IF([1]Sheet2!AN99=999999,"NA",[1]Sheet2!AN99)</f>
        <v>268</v>
      </c>
      <c r="AJ100" s="14">
        <f>IF([1]Sheet2!AO99=999999,"NA",[1]Sheet2!AO99)</f>
        <v>268</v>
      </c>
      <c r="AK100" s="14">
        <f>IF([1]Sheet2!AP99=999999,"NA",[1]Sheet2!AP99)</f>
        <v>13</v>
      </c>
      <c r="AL100" s="14">
        <f>IF([1]Sheet2!AQ99=999999,"NA",[1]Sheet2!AQ99)</f>
        <v>144</v>
      </c>
      <c r="AM100" s="14">
        <f>IF([1]Sheet2!AR99=999999,"NA",[1]Sheet2!AR99)</f>
        <v>268</v>
      </c>
      <c r="AN100" s="14">
        <f>IF([1]Sheet2!AS99=999999,"NA",[1]Sheet2!AS99)</f>
        <v>200</v>
      </c>
      <c r="AO100" s="14">
        <f>[1]Sheet2!P99</f>
        <v>0</v>
      </c>
      <c r="AP100" s="14">
        <f>[1]Sheet2!Q99</f>
        <v>0</v>
      </c>
      <c r="AQ100" s="14">
        <f>[1]Sheet2!R99</f>
        <v>0</v>
      </c>
      <c r="AR100" s="14">
        <f>[1]Sheet2!S99</f>
        <v>0</v>
      </c>
      <c r="AS100" s="14">
        <f>[1]Sheet2!T99</f>
        <v>0</v>
      </c>
      <c r="AT100" s="14">
        <f>[1]Sheet2!U99</f>
        <v>0</v>
      </c>
      <c r="AU100" s="14">
        <f>[1]Sheet2!V99</f>
        <v>0</v>
      </c>
      <c r="AV100" s="14">
        <f>[1]Sheet2!W99</f>
        <v>0</v>
      </c>
      <c r="AW100" s="14">
        <f>[1]Sheet2!X99</f>
        <v>0</v>
      </c>
      <c r="AX100" s="14">
        <f>[1]Sheet2!Y99</f>
        <v>0</v>
      </c>
      <c r="AY100" s="16">
        <f>Demand_LP!B$6/30</f>
        <v>790.61612406517088</v>
      </c>
      <c r="AZ100" s="16">
        <f>Demand_LP!C$6/30</f>
        <v>816.46367521367517</v>
      </c>
      <c r="BA100" s="16">
        <f>Demand_LP!D$6/30</f>
        <v>346.63461538461536</v>
      </c>
      <c r="BB100" s="16">
        <f>Demand_LP!E$6/30</f>
        <v>795.48076923076928</v>
      </c>
      <c r="BC100" s="16">
        <f>Demand_LP!F$6/30</f>
        <v>472.52230168269227</v>
      </c>
      <c r="BD100" s="16">
        <f>Demand_LP!G$6/30</f>
        <v>790.61612406517088</v>
      </c>
      <c r="BE100" s="16">
        <f>Demand_LP!H$6/30</f>
        <v>816.46367521367517</v>
      </c>
      <c r="BF100" s="16">
        <f>Demand_LP!I$6/30</f>
        <v>472.52230168269227</v>
      </c>
      <c r="BG100" s="16">
        <f>Demand_LP!J$6/30</f>
        <v>472.52230168269227</v>
      </c>
      <c r="BH100" s="16">
        <f>Demand_LP!K$6/30</f>
        <v>472.52230168269227</v>
      </c>
      <c r="BI100" s="16" t="e">
        <f t="shared" si="43"/>
        <v>#VALUE!</v>
      </c>
      <c r="BJ100" s="16">
        <f t="shared" si="44"/>
        <v>-56331.789316239257</v>
      </c>
      <c r="BK100" s="16">
        <f t="shared" si="45"/>
        <v>-25200.407692307672</v>
      </c>
      <c r="BL100" s="16">
        <f t="shared" si="46"/>
        <v>-69374.912804284293</v>
      </c>
      <c r="BM100" s="16">
        <f t="shared" si="47"/>
        <v>-43749.972193408226</v>
      </c>
      <c r="BN100" s="16">
        <f t="shared" si="48"/>
        <v>-65932.536375434545</v>
      </c>
      <c r="BO100" s="16">
        <f t="shared" si="49"/>
        <v>-58689.368803418773</v>
      </c>
      <c r="BP100" s="16">
        <f t="shared" si="50"/>
        <v>-43207.656111778822</v>
      </c>
      <c r="BQ100" s="16">
        <f t="shared" si="51"/>
        <v>-39807.656111778844</v>
      </c>
      <c r="BR100" s="16">
        <f t="shared" si="52"/>
        <v>-41007.65611177883</v>
      </c>
      <c r="BS100" s="14">
        <f>IF([1]Sheet2!CA99=999999,"NA",[1]Sheet2!CA99)</f>
        <v>175471.34388822099</v>
      </c>
      <c r="BT100" s="14">
        <f>IF([1]Sheet2!CB99=999999,"NA",[1]Sheet2!CB99)</f>
        <v>190</v>
      </c>
      <c r="BU100" s="14">
        <f>IF([1]Sheet2!CC99=999999,"NA",[1]Sheet2!CC99)</f>
        <v>268</v>
      </c>
      <c r="BV100" s="14">
        <f>IF([1]Sheet2!CD99=999999,"NA",[1]Sheet2!CD99)</f>
        <v>268</v>
      </c>
      <c r="BW100" s="14">
        <f>IF([1]Sheet2!CE99=999999,"NA",[1]Sheet2!CE99)</f>
        <v>230</v>
      </c>
      <c r="BX100" s="14">
        <f>IF([1]Sheet2!CF99=999999,"NA",[1]Sheet2!CF99)</f>
        <v>268</v>
      </c>
      <c r="BY100" s="14">
        <f>IF([1]Sheet2!CG99=999999,"NA",[1]Sheet2!CG99)</f>
        <v>162</v>
      </c>
      <c r="BZ100" s="14">
        <f>IF([1]Sheet2!CH99=999999,"NA",[1]Sheet2!CH99)</f>
        <v>268</v>
      </c>
      <c r="CA100" s="14">
        <f>IF([1]Sheet2!CI99=999999,"NA",[1]Sheet2!CI99)</f>
        <v>268</v>
      </c>
      <c r="CB100" s="14">
        <f>IF([1]Sheet2!CJ99=999999,"NA",[1]Sheet2!CJ99)</f>
        <v>268</v>
      </c>
      <c r="CC100" s="14">
        <f>[1]Sheet2!BG99</f>
        <v>0</v>
      </c>
      <c r="CD100" s="14">
        <f>[1]Sheet2!BH99</f>
        <v>0</v>
      </c>
      <c r="CE100" s="14">
        <f>[1]Sheet2!BI99</f>
        <v>0</v>
      </c>
      <c r="CF100" s="14">
        <f>[1]Sheet2!BJ99</f>
        <v>0</v>
      </c>
      <c r="CG100" s="14">
        <f>[1]Sheet2!BK99</f>
        <v>0</v>
      </c>
      <c r="CH100" s="14">
        <f>[1]Sheet2!BL99</f>
        <v>0</v>
      </c>
      <c r="CI100" s="14">
        <f>[1]Sheet2!BM99</f>
        <v>0</v>
      </c>
      <c r="CJ100" s="14">
        <f>[1]Sheet2!BN99</f>
        <v>0</v>
      </c>
      <c r="CK100" s="14">
        <f>[1]Sheet2!BO99</f>
        <v>0</v>
      </c>
      <c r="CL100" s="14">
        <f>[1]Sheet2!BP99</f>
        <v>0</v>
      </c>
      <c r="CM100" s="16">
        <f>Demand_SW!B$6/30</f>
        <v>173.07692307692304</v>
      </c>
      <c r="CN100" s="16">
        <f>Demand_SW!C$6/30</f>
        <v>0</v>
      </c>
      <c r="CO100" s="16">
        <f>Demand_SW!D$6/30</f>
        <v>0</v>
      </c>
      <c r="CP100" s="16">
        <f>Demand_SW!E$6/30</f>
        <v>0</v>
      </c>
      <c r="CQ100" s="16">
        <f>Demand_SW!F$6/30</f>
        <v>0</v>
      </c>
      <c r="CR100" s="16">
        <f>Demand_SW!G$6/30</f>
        <v>173.07692307692304</v>
      </c>
      <c r="CS100" s="16">
        <f>Demand_SW!H$6/30</f>
        <v>0</v>
      </c>
      <c r="CT100" s="16">
        <f>Demand_SW!I$6/30</f>
        <v>0</v>
      </c>
      <c r="CU100" s="16">
        <f>Demand_SW!J$6/30</f>
        <v>0</v>
      </c>
      <c r="CV100" s="16">
        <f>Demand_SW!K$6/30</f>
        <v>0</v>
      </c>
      <c r="CW100" s="16">
        <f t="shared" si="53"/>
        <v>38517.692307692276</v>
      </c>
      <c r="CX100" s="16">
        <f t="shared" si="54"/>
        <v>-423.07692307692292</v>
      </c>
      <c r="CY100" s="16">
        <f t="shared" si="55"/>
        <v>0</v>
      </c>
      <c r="CZ100" s="16">
        <f t="shared" si="56"/>
        <v>0</v>
      </c>
      <c r="DA100" s="16">
        <f t="shared" si="57"/>
        <v>0</v>
      </c>
      <c r="DB100" s="16">
        <f t="shared" si="58"/>
        <v>-11011.538461538457</v>
      </c>
      <c r="DC100" s="16">
        <f t="shared" si="59"/>
        <v>-423.07692307692292</v>
      </c>
      <c r="DD100" s="16">
        <f t="shared" si="60"/>
        <v>0</v>
      </c>
      <c r="DE100" s="16">
        <f t="shared" si="61"/>
        <v>0</v>
      </c>
      <c r="DF100" s="16">
        <f t="shared" si="62"/>
        <v>0</v>
      </c>
      <c r="DG100" s="14">
        <f>IF([1]Sheet2!DR99=999999,"NA",[1]Sheet2!DR99)</f>
        <v>73103</v>
      </c>
      <c r="DH100" s="14">
        <f>IF([1]Sheet2!DS99=999999,"NA",[1]Sheet2!DS99)</f>
        <v>268</v>
      </c>
      <c r="DI100" s="14">
        <f>IF([1]Sheet2!DT99=999999,"NA",[1]Sheet2!DT99)</f>
        <v>268</v>
      </c>
      <c r="DJ100" s="14" t="str">
        <f>IF([1]Sheet2!DU99=999999,"NA",[1]Sheet2!DU99)</f>
        <v>NA</v>
      </c>
      <c r="DK100" s="14" t="str">
        <f>IF([1]Sheet2!DV99=999999,"NA",[1]Sheet2!DV99)</f>
        <v>NA</v>
      </c>
      <c r="DL100" s="14" t="str">
        <f>IF([1]Sheet2!DW99=999999,"NA",[1]Sheet2!DW99)</f>
        <v>NA</v>
      </c>
      <c r="DM100" s="14">
        <f>IF([1]Sheet2!DX99=999999,"NA",[1]Sheet2!DX99)</f>
        <v>268</v>
      </c>
      <c r="DN100" s="14">
        <f>IF([1]Sheet2!DY99=999999,"NA",[1]Sheet2!DY99)</f>
        <v>268</v>
      </c>
      <c r="DO100" s="14" t="str">
        <f>IF([1]Sheet2!DZ99=999999,"NA",[1]Sheet2!DZ99)</f>
        <v>NA</v>
      </c>
      <c r="DP100" s="14" t="str">
        <f>IF([1]Sheet2!EA99=999999,"NA",[1]Sheet2!EA99)</f>
        <v>NA</v>
      </c>
      <c r="DQ100" s="14">
        <f>[1]Sheet2!CX99</f>
        <v>0</v>
      </c>
      <c r="DR100" s="14">
        <f>[1]Sheet2!CY99</f>
        <v>0</v>
      </c>
      <c r="DS100" s="14">
        <f>[1]Sheet2!CZ99</f>
        <v>0</v>
      </c>
      <c r="DT100" s="14">
        <f>[1]Sheet2!DA99</f>
        <v>0</v>
      </c>
      <c r="DU100" s="14">
        <f>[1]Sheet2!DB99</f>
        <v>0</v>
      </c>
      <c r="DV100" s="14">
        <f>[1]Sheet2!DC99</f>
        <v>0</v>
      </c>
      <c r="DW100" s="14">
        <f>[1]Sheet2!DD99</f>
        <v>0</v>
      </c>
      <c r="DX100" s="14">
        <f>[1]Sheet2!DE99</f>
        <v>0</v>
      </c>
      <c r="DY100" s="14">
        <f>[1]Sheet2!DF99</f>
        <v>0</v>
      </c>
      <c r="DZ100" s="14">
        <f>[1]Sheet2!DG99</f>
        <v>0</v>
      </c>
    </row>
    <row r="101" spans="1:130" x14ac:dyDescent="0.25">
      <c r="A101" s="15">
        <v>43563</v>
      </c>
      <c r="B101" s="1"/>
      <c r="C101" s="1"/>
      <c r="D101" s="1"/>
      <c r="E101" s="14">
        <f>[1]Sheet2!N100</f>
        <v>0</v>
      </c>
      <c r="F101" s="14">
        <f>[1]Sheet2!BE100</f>
        <v>0</v>
      </c>
      <c r="G101" s="14">
        <f>[1]Sheet2!CV100</f>
        <v>346.15384615384608</v>
      </c>
      <c r="H101" s="1"/>
      <c r="I101" s="1"/>
      <c r="J101" s="1"/>
      <c r="K101" s="16">
        <f>Demand_CWRS!B$6/30</f>
        <v>136.96097796474356</v>
      </c>
      <c r="L101" s="16">
        <f>Demand_CWRS!C$6/30</f>
        <v>544.43376068376062</v>
      </c>
      <c r="M101" s="16">
        <f>Demand_CWRS!D$6/30</f>
        <v>0</v>
      </c>
      <c r="N101" s="16">
        <f>Demand_CWRS!E$6/30</f>
        <v>108.97435897435896</v>
      </c>
      <c r="O101" s="16">
        <f>Demand_CWRS!F$6/30</f>
        <v>213.3621347489316</v>
      </c>
      <c r="P101" s="16">
        <f>Demand_CWRS!G$6/30</f>
        <v>133.33333333333334</v>
      </c>
      <c r="Q101" s="16">
        <f>Demand_CWRS!H$6/30</f>
        <v>544.43376068376062</v>
      </c>
      <c r="R101" s="16">
        <f>Demand_CWRS!I$6/30</f>
        <v>213.3621347489316</v>
      </c>
      <c r="S101" s="16">
        <f>Demand_CWRS!J$6/30</f>
        <v>213.3621347489316</v>
      </c>
      <c r="T101" s="16">
        <f>Demand_CWRS!K$6/30</f>
        <v>213.3621347489316</v>
      </c>
      <c r="U101" s="16">
        <f t="shared" si="33"/>
        <v>-15574.69212553754</v>
      </c>
      <c r="V101" s="16">
        <f t="shared" si="34"/>
        <v>-40537.593162393103</v>
      </c>
      <c r="W101" s="16">
        <f t="shared" si="35"/>
        <v>0</v>
      </c>
      <c r="X101" s="16">
        <f t="shared" si="36"/>
        <v>-9351.1996267445702</v>
      </c>
      <c r="Y101" s="16">
        <f t="shared" si="37"/>
        <v>-21816.414294195634</v>
      </c>
      <c r="Z101" s="16">
        <f t="shared" si="38"/>
        <v>-15328.727158390129</v>
      </c>
      <c r="AA101" s="16">
        <f t="shared" si="39"/>
        <v>-40037.593162393103</v>
      </c>
      <c r="AB101" s="16">
        <f t="shared" si="40"/>
        <v>-19504.447707657149</v>
      </c>
      <c r="AC101" s="16">
        <f t="shared" si="41"/>
        <v>-19504.447707657138</v>
      </c>
      <c r="AD101" s="16">
        <f t="shared" si="42"/>
        <v>-20204.447707657142</v>
      </c>
      <c r="AE101" s="14">
        <f>IF([1]Sheet2!AJ100=999999,"NA",[1]Sheet2!AJ100)</f>
        <v>29</v>
      </c>
      <c r="AF101" s="14">
        <f>IF([1]Sheet2!AK100=999999,"NA",[1]Sheet2!AK100)</f>
        <v>0</v>
      </c>
      <c r="AG101" s="14" t="str">
        <f>IF([1]Sheet2!AL100=999999,"NA",[1]Sheet2!AL100)</f>
        <v>NA</v>
      </c>
      <c r="AH101" s="14">
        <f>IF([1]Sheet2!AM100=999999,"NA",[1]Sheet2!AM100)</f>
        <v>267</v>
      </c>
      <c r="AI101" s="14">
        <f>IF([1]Sheet2!AN100=999999,"NA",[1]Sheet2!AN100)</f>
        <v>267</v>
      </c>
      <c r="AJ101" s="14">
        <f>IF([1]Sheet2!AO100=999999,"NA",[1]Sheet2!AO100)</f>
        <v>267</v>
      </c>
      <c r="AK101" s="14">
        <f>IF([1]Sheet2!AP100=999999,"NA",[1]Sheet2!AP100)</f>
        <v>12</v>
      </c>
      <c r="AL101" s="14">
        <f>IF([1]Sheet2!AQ100=999999,"NA",[1]Sheet2!AQ100)</f>
        <v>143</v>
      </c>
      <c r="AM101" s="14">
        <f>IF([1]Sheet2!AR100=999999,"NA",[1]Sheet2!AR100)</f>
        <v>267</v>
      </c>
      <c r="AN101" s="14">
        <f>IF([1]Sheet2!AS100=999999,"NA",[1]Sheet2!AS100)</f>
        <v>199</v>
      </c>
      <c r="AO101" s="14">
        <f>[1]Sheet2!P100</f>
        <v>0</v>
      </c>
      <c r="AP101" s="14">
        <f>[1]Sheet2!Q100</f>
        <v>0</v>
      </c>
      <c r="AQ101" s="14">
        <f>[1]Sheet2!R100</f>
        <v>0</v>
      </c>
      <c r="AR101" s="14">
        <f>[1]Sheet2!S100</f>
        <v>0</v>
      </c>
      <c r="AS101" s="14">
        <f>[1]Sheet2!T100</f>
        <v>0</v>
      </c>
      <c r="AT101" s="14">
        <f>[1]Sheet2!U100</f>
        <v>0</v>
      </c>
      <c r="AU101" s="14">
        <f>[1]Sheet2!V100</f>
        <v>0</v>
      </c>
      <c r="AV101" s="14">
        <f>[1]Sheet2!W100</f>
        <v>0</v>
      </c>
      <c r="AW101" s="14">
        <f>[1]Sheet2!X100</f>
        <v>0</v>
      </c>
      <c r="AX101" s="14">
        <f>[1]Sheet2!Y100</f>
        <v>0</v>
      </c>
      <c r="AY101" s="16">
        <f>Demand_LP!B$6/30</f>
        <v>790.61612406517088</v>
      </c>
      <c r="AZ101" s="16">
        <f>Demand_LP!C$6/30</f>
        <v>816.46367521367517</v>
      </c>
      <c r="BA101" s="16">
        <f>Demand_LP!D$6/30</f>
        <v>346.63461538461536</v>
      </c>
      <c r="BB101" s="16">
        <f>Demand_LP!E$6/30</f>
        <v>795.48076923076928</v>
      </c>
      <c r="BC101" s="16">
        <f>Demand_LP!F$6/30</f>
        <v>472.52230168269227</v>
      </c>
      <c r="BD101" s="16">
        <f>Demand_LP!G$6/30</f>
        <v>790.61612406517088</v>
      </c>
      <c r="BE101" s="16">
        <f>Demand_LP!H$6/30</f>
        <v>816.46367521367517</v>
      </c>
      <c r="BF101" s="16">
        <f>Demand_LP!I$6/30</f>
        <v>472.52230168269227</v>
      </c>
      <c r="BG101" s="16">
        <f>Demand_LP!J$6/30</f>
        <v>472.52230168269227</v>
      </c>
      <c r="BH101" s="16">
        <f>Demand_LP!K$6/30</f>
        <v>472.52230168269227</v>
      </c>
      <c r="BI101" s="16" t="e">
        <f t="shared" si="43"/>
        <v>#VALUE!</v>
      </c>
      <c r="BJ101" s="16">
        <f t="shared" si="44"/>
        <v>-57148.25299145293</v>
      </c>
      <c r="BK101" s="16">
        <f t="shared" si="45"/>
        <v>-25547.042307692289</v>
      </c>
      <c r="BL101" s="16">
        <f t="shared" si="46"/>
        <v>-70170.393573515059</v>
      </c>
      <c r="BM101" s="16">
        <f t="shared" si="47"/>
        <v>-44222.494495090919</v>
      </c>
      <c r="BN101" s="16">
        <f t="shared" si="48"/>
        <v>-66723.152499499716</v>
      </c>
      <c r="BO101" s="16">
        <f t="shared" si="49"/>
        <v>-59505.832478632445</v>
      </c>
      <c r="BP101" s="16">
        <f t="shared" si="50"/>
        <v>-43680.178413461515</v>
      </c>
      <c r="BQ101" s="16">
        <f t="shared" si="51"/>
        <v>-40280.178413461537</v>
      </c>
      <c r="BR101" s="16">
        <f t="shared" si="52"/>
        <v>-41480.178413461523</v>
      </c>
      <c r="BS101" s="14">
        <f>IF([1]Sheet2!CA100=999999,"NA",[1]Sheet2!CA100)</f>
        <v>174998.82158653831</v>
      </c>
      <c r="BT101" s="14">
        <f>IF([1]Sheet2!CB100=999999,"NA",[1]Sheet2!CB100)</f>
        <v>189</v>
      </c>
      <c r="BU101" s="14">
        <f>IF([1]Sheet2!CC100=999999,"NA",[1]Sheet2!CC100)</f>
        <v>267</v>
      </c>
      <c r="BV101" s="14">
        <f>IF([1]Sheet2!CD100=999999,"NA",[1]Sheet2!CD100)</f>
        <v>267</v>
      </c>
      <c r="BW101" s="14">
        <f>IF([1]Sheet2!CE100=999999,"NA",[1]Sheet2!CE100)</f>
        <v>229</v>
      </c>
      <c r="BX101" s="14">
        <f>IF([1]Sheet2!CF100=999999,"NA",[1]Sheet2!CF100)</f>
        <v>267</v>
      </c>
      <c r="BY101" s="14">
        <f>IF([1]Sheet2!CG100=999999,"NA",[1]Sheet2!CG100)</f>
        <v>161</v>
      </c>
      <c r="BZ101" s="14">
        <f>IF([1]Sheet2!CH100=999999,"NA",[1]Sheet2!CH100)</f>
        <v>267</v>
      </c>
      <c r="CA101" s="14">
        <f>IF([1]Sheet2!CI100=999999,"NA",[1]Sheet2!CI100)</f>
        <v>267</v>
      </c>
      <c r="CB101" s="14">
        <f>IF([1]Sheet2!CJ100=999999,"NA",[1]Sheet2!CJ100)</f>
        <v>267</v>
      </c>
      <c r="CC101" s="14">
        <f>[1]Sheet2!BG100</f>
        <v>0</v>
      </c>
      <c r="CD101" s="14">
        <f>[1]Sheet2!BH100</f>
        <v>0</v>
      </c>
      <c r="CE101" s="14">
        <f>[1]Sheet2!BI100</f>
        <v>0</v>
      </c>
      <c r="CF101" s="14">
        <f>[1]Sheet2!BJ100</f>
        <v>0</v>
      </c>
      <c r="CG101" s="14">
        <f>[1]Sheet2!BK100</f>
        <v>0</v>
      </c>
      <c r="CH101" s="14">
        <f>[1]Sheet2!BL100</f>
        <v>0</v>
      </c>
      <c r="CI101" s="14">
        <f>[1]Sheet2!BM100</f>
        <v>0</v>
      </c>
      <c r="CJ101" s="14">
        <f>[1]Sheet2!BN100</f>
        <v>0</v>
      </c>
      <c r="CK101" s="14">
        <f>[1]Sheet2!BO100</f>
        <v>0</v>
      </c>
      <c r="CL101" s="14">
        <f>[1]Sheet2!BP100</f>
        <v>0</v>
      </c>
      <c r="CM101" s="16">
        <f>Demand_SW!B$6/30</f>
        <v>173.07692307692304</v>
      </c>
      <c r="CN101" s="16">
        <f>Demand_SW!C$6/30</f>
        <v>0</v>
      </c>
      <c r="CO101" s="16">
        <f>Demand_SW!D$6/30</f>
        <v>0</v>
      </c>
      <c r="CP101" s="16">
        <f>Demand_SW!E$6/30</f>
        <v>0</v>
      </c>
      <c r="CQ101" s="16">
        <f>Demand_SW!F$6/30</f>
        <v>0</v>
      </c>
      <c r="CR101" s="16">
        <f>Demand_SW!G$6/30</f>
        <v>173.07692307692304</v>
      </c>
      <c r="CS101" s="16">
        <f>Demand_SW!H$6/30</f>
        <v>0</v>
      </c>
      <c r="CT101" s="16">
        <f>Demand_SW!I$6/30</f>
        <v>0</v>
      </c>
      <c r="CU101" s="16">
        <f>Demand_SW!J$6/30</f>
        <v>0</v>
      </c>
      <c r="CV101" s="16">
        <f>Demand_SW!K$6/30</f>
        <v>0</v>
      </c>
      <c r="CW101" s="16">
        <f t="shared" si="53"/>
        <v>38344.615384615354</v>
      </c>
      <c r="CX101" s="16">
        <f t="shared" si="54"/>
        <v>-423.07692307692292</v>
      </c>
      <c r="CY101" s="16">
        <f t="shared" si="55"/>
        <v>0</v>
      </c>
      <c r="CZ101" s="16">
        <f t="shared" si="56"/>
        <v>0</v>
      </c>
      <c r="DA101" s="16">
        <f t="shared" si="57"/>
        <v>0</v>
      </c>
      <c r="DB101" s="16">
        <f t="shared" si="58"/>
        <v>-11184.615384615381</v>
      </c>
      <c r="DC101" s="16">
        <f t="shared" si="59"/>
        <v>-423.07692307692292</v>
      </c>
      <c r="DD101" s="16">
        <f t="shared" si="60"/>
        <v>0</v>
      </c>
      <c r="DE101" s="16">
        <f t="shared" si="61"/>
        <v>0</v>
      </c>
      <c r="DF101" s="16">
        <f t="shared" si="62"/>
        <v>0</v>
      </c>
      <c r="DG101" s="14">
        <f>IF([1]Sheet2!DR100=999999,"NA",[1]Sheet2!DR100)</f>
        <v>73103</v>
      </c>
      <c r="DH101" s="14">
        <f>IF([1]Sheet2!DS100=999999,"NA",[1]Sheet2!DS100)</f>
        <v>267</v>
      </c>
      <c r="DI101" s="14">
        <f>IF([1]Sheet2!DT100=999999,"NA",[1]Sheet2!DT100)</f>
        <v>267</v>
      </c>
      <c r="DJ101" s="14" t="str">
        <f>IF([1]Sheet2!DU100=999999,"NA",[1]Sheet2!DU100)</f>
        <v>NA</v>
      </c>
      <c r="DK101" s="14" t="str">
        <f>IF([1]Sheet2!DV100=999999,"NA",[1]Sheet2!DV100)</f>
        <v>NA</v>
      </c>
      <c r="DL101" s="14" t="str">
        <f>IF([1]Sheet2!DW100=999999,"NA",[1]Sheet2!DW100)</f>
        <v>NA</v>
      </c>
      <c r="DM101" s="14">
        <f>IF([1]Sheet2!DX100=999999,"NA",[1]Sheet2!DX100)</f>
        <v>267</v>
      </c>
      <c r="DN101" s="14">
        <f>IF([1]Sheet2!DY100=999999,"NA",[1]Sheet2!DY100)</f>
        <v>267</v>
      </c>
      <c r="DO101" s="14" t="str">
        <f>IF([1]Sheet2!DZ100=999999,"NA",[1]Sheet2!DZ100)</f>
        <v>NA</v>
      </c>
      <c r="DP101" s="14" t="str">
        <f>IF([1]Sheet2!EA100=999999,"NA",[1]Sheet2!EA100)</f>
        <v>NA</v>
      </c>
      <c r="DQ101" s="14">
        <f>[1]Sheet2!CX100</f>
        <v>0</v>
      </c>
      <c r="DR101" s="14">
        <f>[1]Sheet2!CY100</f>
        <v>0</v>
      </c>
      <c r="DS101" s="14">
        <f>[1]Sheet2!CZ100</f>
        <v>0</v>
      </c>
      <c r="DT101" s="14">
        <f>[1]Sheet2!DA100</f>
        <v>0</v>
      </c>
      <c r="DU101" s="14">
        <f>[1]Sheet2!DB100</f>
        <v>0</v>
      </c>
      <c r="DV101" s="14">
        <f>[1]Sheet2!DC100</f>
        <v>0</v>
      </c>
      <c r="DW101" s="14">
        <f>[1]Sheet2!DD100</f>
        <v>0</v>
      </c>
      <c r="DX101" s="14">
        <f>[1]Sheet2!DE100</f>
        <v>0</v>
      </c>
      <c r="DY101" s="14">
        <f>[1]Sheet2!DF100</f>
        <v>0</v>
      </c>
      <c r="DZ101" s="14">
        <f>[1]Sheet2!DG100</f>
        <v>0</v>
      </c>
    </row>
    <row r="102" spans="1:130" x14ac:dyDescent="0.25">
      <c r="A102" s="15">
        <v>43564</v>
      </c>
      <c r="B102" s="1"/>
      <c r="C102" s="1"/>
      <c r="D102" s="1"/>
      <c r="E102" s="14">
        <f>[1]Sheet2!N101</f>
        <v>0</v>
      </c>
      <c r="F102" s="14">
        <f>[1]Sheet2!BE101</f>
        <v>0</v>
      </c>
      <c r="G102" s="14">
        <f>[1]Sheet2!CV101</f>
        <v>346.15384615384608</v>
      </c>
      <c r="H102" s="1"/>
      <c r="I102" s="1"/>
      <c r="J102" s="1"/>
      <c r="K102" s="16">
        <f>Demand_CWRS!B$6/30</f>
        <v>136.96097796474356</v>
      </c>
      <c r="L102" s="16">
        <f>Demand_CWRS!C$6/30</f>
        <v>544.43376068376062</v>
      </c>
      <c r="M102" s="16">
        <f>Demand_CWRS!D$6/30</f>
        <v>0</v>
      </c>
      <c r="N102" s="16">
        <f>Demand_CWRS!E$6/30</f>
        <v>108.97435897435896</v>
      </c>
      <c r="O102" s="16">
        <f>Demand_CWRS!F$6/30</f>
        <v>213.3621347489316</v>
      </c>
      <c r="P102" s="16">
        <f>Demand_CWRS!G$6/30</f>
        <v>133.33333333333334</v>
      </c>
      <c r="Q102" s="16">
        <f>Demand_CWRS!H$6/30</f>
        <v>544.43376068376062</v>
      </c>
      <c r="R102" s="16">
        <f>Demand_CWRS!I$6/30</f>
        <v>213.3621347489316</v>
      </c>
      <c r="S102" s="16">
        <f>Demand_CWRS!J$6/30</f>
        <v>213.3621347489316</v>
      </c>
      <c r="T102" s="16">
        <f>Demand_CWRS!K$6/30</f>
        <v>213.3621347489316</v>
      </c>
      <c r="U102" s="16">
        <f t="shared" si="33"/>
        <v>-15711.653103502284</v>
      </c>
      <c r="V102" s="16">
        <f t="shared" si="34"/>
        <v>-41082.026923076861</v>
      </c>
      <c r="W102" s="16">
        <f t="shared" si="35"/>
        <v>0</v>
      </c>
      <c r="X102" s="16">
        <f t="shared" si="36"/>
        <v>-9460.1739857189295</v>
      </c>
      <c r="Y102" s="16">
        <f t="shared" si="37"/>
        <v>-22029.776428944566</v>
      </c>
      <c r="Z102" s="16">
        <f t="shared" si="38"/>
        <v>-15462.060491723463</v>
      </c>
      <c r="AA102" s="16">
        <f t="shared" si="39"/>
        <v>-40582.026923076861</v>
      </c>
      <c r="AB102" s="16">
        <f t="shared" si="40"/>
        <v>-19717.809842406081</v>
      </c>
      <c r="AC102" s="16">
        <f t="shared" si="41"/>
        <v>-19717.80984240607</v>
      </c>
      <c r="AD102" s="16">
        <f t="shared" si="42"/>
        <v>-20417.809842406074</v>
      </c>
      <c r="AE102" s="14">
        <f>IF([1]Sheet2!AJ101=999999,"NA",[1]Sheet2!AJ101)</f>
        <v>28</v>
      </c>
      <c r="AF102" s="14">
        <f>IF([1]Sheet2!AK101=999999,"NA",[1]Sheet2!AK101)</f>
        <v>0</v>
      </c>
      <c r="AG102" s="14" t="str">
        <f>IF([1]Sheet2!AL101=999999,"NA",[1]Sheet2!AL101)</f>
        <v>NA</v>
      </c>
      <c r="AH102" s="14">
        <f>IF([1]Sheet2!AM101=999999,"NA",[1]Sheet2!AM101)</f>
        <v>266</v>
      </c>
      <c r="AI102" s="14">
        <f>IF([1]Sheet2!AN101=999999,"NA",[1]Sheet2!AN101)</f>
        <v>266</v>
      </c>
      <c r="AJ102" s="14">
        <f>IF([1]Sheet2!AO101=999999,"NA",[1]Sheet2!AO101)</f>
        <v>266</v>
      </c>
      <c r="AK102" s="14">
        <f>IF([1]Sheet2!AP101=999999,"NA",[1]Sheet2!AP101)</f>
        <v>11</v>
      </c>
      <c r="AL102" s="14">
        <f>IF([1]Sheet2!AQ101=999999,"NA",[1]Sheet2!AQ101)</f>
        <v>142</v>
      </c>
      <c r="AM102" s="14">
        <f>IF([1]Sheet2!AR101=999999,"NA",[1]Sheet2!AR101)</f>
        <v>266</v>
      </c>
      <c r="AN102" s="14">
        <f>IF([1]Sheet2!AS101=999999,"NA",[1]Sheet2!AS101)</f>
        <v>198</v>
      </c>
      <c r="AO102" s="14">
        <f>[1]Sheet2!P101</f>
        <v>0</v>
      </c>
      <c r="AP102" s="14">
        <f>[1]Sheet2!Q101</f>
        <v>0</v>
      </c>
      <c r="AQ102" s="14">
        <f>[1]Sheet2!R101</f>
        <v>0</v>
      </c>
      <c r="AR102" s="14">
        <f>[1]Sheet2!S101</f>
        <v>0</v>
      </c>
      <c r="AS102" s="14">
        <f>[1]Sheet2!T101</f>
        <v>0</v>
      </c>
      <c r="AT102" s="14">
        <f>[1]Sheet2!U101</f>
        <v>0</v>
      </c>
      <c r="AU102" s="14">
        <f>[1]Sheet2!V101</f>
        <v>0</v>
      </c>
      <c r="AV102" s="14">
        <f>[1]Sheet2!W101</f>
        <v>0</v>
      </c>
      <c r="AW102" s="14">
        <f>[1]Sheet2!X101</f>
        <v>0</v>
      </c>
      <c r="AX102" s="14">
        <f>[1]Sheet2!Y101</f>
        <v>0</v>
      </c>
      <c r="AY102" s="16">
        <f>Demand_LP!B$6/30</f>
        <v>790.61612406517088</v>
      </c>
      <c r="AZ102" s="16">
        <f>Demand_LP!C$6/30</f>
        <v>816.46367521367517</v>
      </c>
      <c r="BA102" s="16">
        <f>Demand_LP!D$6/30</f>
        <v>346.63461538461536</v>
      </c>
      <c r="BB102" s="16">
        <f>Demand_LP!E$6/30</f>
        <v>795.48076923076928</v>
      </c>
      <c r="BC102" s="16">
        <f>Demand_LP!F$6/30</f>
        <v>472.52230168269227</v>
      </c>
      <c r="BD102" s="16">
        <f>Demand_LP!G$6/30</f>
        <v>790.61612406517088</v>
      </c>
      <c r="BE102" s="16">
        <f>Demand_LP!H$6/30</f>
        <v>816.46367521367517</v>
      </c>
      <c r="BF102" s="16">
        <f>Demand_LP!I$6/30</f>
        <v>472.52230168269227</v>
      </c>
      <c r="BG102" s="16">
        <f>Demand_LP!J$6/30</f>
        <v>472.52230168269227</v>
      </c>
      <c r="BH102" s="16">
        <f>Demand_LP!K$6/30</f>
        <v>472.52230168269227</v>
      </c>
      <c r="BI102" s="16" t="e">
        <f t="shared" si="43"/>
        <v>#VALUE!</v>
      </c>
      <c r="BJ102" s="16">
        <f t="shared" si="44"/>
        <v>-57964.716666666602</v>
      </c>
      <c r="BK102" s="16">
        <f t="shared" si="45"/>
        <v>-25893.676923076906</v>
      </c>
      <c r="BL102" s="16">
        <f t="shared" si="46"/>
        <v>-70965.874342745825</v>
      </c>
      <c r="BM102" s="16">
        <f t="shared" si="47"/>
        <v>-44695.016796773612</v>
      </c>
      <c r="BN102" s="16">
        <f t="shared" si="48"/>
        <v>-67513.768623564887</v>
      </c>
      <c r="BO102" s="16">
        <f t="shared" si="49"/>
        <v>-60322.296153846117</v>
      </c>
      <c r="BP102" s="16">
        <f t="shared" si="50"/>
        <v>-44152.700715144209</v>
      </c>
      <c r="BQ102" s="16">
        <f t="shared" si="51"/>
        <v>-40752.70071514423</v>
      </c>
      <c r="BR102" s="16">
        <f t="shared" si="52"/>
        <v>-41952.700715144216</v>
      </c>
      <c r="BS102" s="14">
        <f>IF([1]Sheet2!CA101=999999,"NA",[1]Sheet2!CA101)</f>
        <v>174526.29928485563</v>
      </c>
      <c r="BT102" s="14">
        <f>IF([1]Sheet2!CB101=999999,"NA",[1]Sheet2!CB101)</f>
        <v>188</v>
      </c>
      <c r="BU102" s="14">
        <f>IF([1]Sheet2!CC101=999999,"NA",[1]Sheet2!CC101)</f>
        <v>266</v>
      </c>
      <c r="BV102" s="14">
        <f>IF([1]Sheet2!CD101=999999,"NA",[1]Sheet2!CD101)</f>
        <v>266</v>
      </c>
      <c r="BW102" s="14">
        <f>IF([1]Sheet2!CE101=999999,"NA",[1]Sheet2!CE101)</f>
        <v>228</v>
      </c>
      <c r="BX102" s="14">
        <f>IF([1]Sheet2!CF101=999999,"NA",[1]Sheet2!CF101)</f>
        <v>266</v>
      </c>
      <c r="BY102" s="14">
        <f>IF([1]Sheet2!CG101=999999,"NA",[1]Sheet2!CG101)</f>
        <v>160</v>
      </c>
      <c r="BZ102" s="14">
        <f>IF([1]Sheet2!CH101=999999,"NA",[1]Sheet2!CH101)</f>
        <v>266</v>
      </c>
      <c r="CA102" s="14">
        <f>IF([1]Sheet2!CI101=999999,"NA",[1]Sheet2!CI101)</f>
        <v>266</v>
      </c>
      <c r="CB102" s="14">
        <f>IF([1]Sheet2!CJ101=999999,"NA",[1]Sheet2!CJ101)</f>
        <v>266</v>
      </c>
      <c r="CC102" s="14">
        <f>[1]Sheet2!BG101</f>
        <v>0</v>
      </c>
      <c r="CD102" s="14">
        <f>[1]Sheet2!BH101</f>
        <v>0</v>
      </c>
      <c r="CE102" s="14">
        <f>[1]Sheet2!BI101</f>
        <v>0</v>
      </c>
      <c r="CF102" s="14">
        <f>[1]Sheet2!BJ101</f>
        <v>0</v>
      </c>
      <c r="CG102" s="14">
        <f>[1]Sheet2!BK101</f>
        <v>0</v>
      </c>
      <c r="CH102" s="14">
        <f>[1]Sheet2!BL101</f>
        <v>0</v>
      </c>
      <c r="CI102" s="14">
        <f>[1]Sheet2!BM101</f>
        <v>0</v>
      </c>
      <c r="CJ102" s="14">
        <f>[1]Sheet2!BN101</f>
        <v>0</v>
      </c>
      <c r="CK102" s="14">
        <f>[1]Sheet2!BO101</f>
        <v>0</v>
      </c>
      <c r="CL102" s="14">
        <f>[1]Sheet2!BP101</f>
        <v>0</v>
      </c>
      <c r="CM102" s="16">
        <f>Demand_SW!B$6/30</f>
        <v>173.07692307692304</v>
      </c>
      <c r="CN102" s="16">
        <f>Demand_SW!C$6/30</f>
        <v>0</v>
      </c>
      <c r="CO102" s="16">
        <f>Demand_SW!D$6/30</f>
        <v>0</v>
      </c>
      <c r="CP102" s="16">
        <f>Demand_SW!E$6/30</f>
        <v>0</v>
      </c>
      <c r="CQ102" s="16">
        <f>Demand_SW!F$6/30</f>
        <v>0</v>
      </c>
      <c r="CR102" s="16">
        <f>Demand_SW!G$6/30</f>
        <v>173.07692307692304</v>
      </c>
      <c r="CS102" s="16">
        <f>Demand_SW!H$6/30</f>
        <v>0</v>
      </c>
      <c r="CT102" s="16">
        <f>Demand_SW!I$6/30</f>
        <v>0</v>
      </c>
      <c r="CU102" s="16">
        <f>Demand_SW!J$6/30</f>
        <v>0</v>
      </c>
      <c r="CV102" s="16">
        <f>Demand_SW!K$6/30</f>
        <v>0</v>
      </c>
      <c r="CW102" s="16">
        <f t="shared" si="53"/>
        <v>38171.538461538432</v>
      </c>
      <c r="CX102" s="16">
        <f t="shared" si="54"/>
        <v>-423.07692307692292</v>
      </c>
      <c r="CY102" s="16">
        <f t="shared" si="55"/>
        <v>0</v>
      </c>
      <c r="CZ102" s="16">
        <f t="shared" si="56"/>
        <v>0</v>
      </c>
      <c r="DA102" s="16">
        <f t="shared" si="57"/>
        <v>0</v>
      </c>
      <c r="DB102" s="16">
        <f t="shared" si="58"/>
        <v>-11357.692307692305</v>
      </c>
      <c r="DC102" s="16">
        <f t="shared" si="59"/>
        <v>-423.07692307692292</v>
      </c>
      <c r="DD102" s="16">
        <f t="shared" si="60"/>
        <v>0</v>
      </c>
      <c r="DE102" s="16">
        <f t="shared" si="61"/>
        <v>0</v>
      </c>
      <c r="DF102" s="16">
        <f t="shared" si="62"/>
        <v>0</v>
      </c>
      <c r="DG102" s="14">
        <f>IF([1]Sheet2!DR101=999999,"NA",[1]Sheet2!DR101)</f>
        <v>73103</v>
      </c>
      <c r="DH102" s="14">
        <f>IF([1]Sheet2!DS101=999999,"NA",[1]Sheet2!DS101)</f>
        <v>266</v>
      </c>
      <c r="DI102" s="14">
        <f>IF([1]Sheet2!DT101=999999,"NA",[1]Sheet2!DT101)</f>
        <v>266</v>
      </c>
      <c r="DJ102" s="14" t="str">
        <f>IF([1]Sheet2!DU101=999999,"NA",[1]Sheet2!DU101)</f>
        <v>NA</v>
      </c>
      <c r="DK102" s="14" t="str">
        <f>IF([1]Sheet2!DV101=999999,"NA",[1]Sheet2!DV101)</f>
        <v>NA</v>
      </c>
      <c r="DL102" s="14" t="str">
        <f>IF([1]Sheet2!DW101=999999,"NA",[1]Sheet2!DW101)</f>
        <v>NA</v>
      </c>
      <c r="DM102" s="14">
        <f>IF([1]Sheet2!DX101=999999,"NA",[1]Sheet2!DX101)</f>
        <v>266</v>
      </c>
      <c r="DN102" s="14">
        <f>IF([1]Sheet2!DY101=999999,"NA",[1]Sheet2!DY101)</f>
        <v>266</v>
      </c>
      <c r="DO102" s="14" t="str">
        <f>IF([1]Sheet2!DZ101=999999,"NA",[1]Sheet2!DZ101)</f>
        <v>NA</v>
      </c>
      <c r="DP102" s="14" t="str">
        <f>IF([1]Sheet2!EA101=999999,"NA",[1]Sheet2!EA101)</f>
        <v>NA</v>
      </c>
      <c r="DQ102" s="14">
        <f>[1]Sheet2!CX101</f>
        <v>0</v>
      </c>
      <c r="DR102" s="14">
        <f>[1]Sheet2!CY101</f>
        <v>0</v>
      </c>
      <c r="DS102" s="14">
        <f>[1]Sheet2!CZ101</f>
        <v>0</v>
      </c>
      <c r="DT102" s="14">
        <f>[1]Sheet2!DA101</f>
        <v>0</v>
      </c>
      <c r="DU102" s="14">
        <f>[1]Sheet2!DB101</f>
        <v>0</v>
      </c>
      <c r="DV102" s="14">
        <f>[1]Sheet2!DC101</f>
        <v>0</v>
      </c>
      <c r="DW102" s="14">
        <f>[1]Sheet2!DD101</f>
        <v>0</v>
      </c>
      <c r="DX102" s="14">
        <f>[1]Sheet2!DE101</f>
        <v>0</v>
      </c>
      <c r="DY102" s="14">
        <f>[1]Sheet2!DF101</f>
        <v>0</v>
      </c>
      <c r="DZ102" s="14">
        <f>[1]Sheet2!DG101</f>
        <v>0</v>
      </c>
    </row>
    <row r="103" spans="1:130" x14ac:dyDescent="0.25">
      <c r="A103" s="15">
        <v>43565</v>
      </c>
      <c r="B103" s="1"/>
      <c r="C103" s="1"/>
      <c r="D103" s="1"/>
      <c r="E103" s="14">
        <f>[1]Sheet2!N102</f>
        <v>0</v>
      </c>
      <c r="F103" s="14">
        <f>[1]Sheet2!BE102</f>
        <v>0</v>
      </c>
      <c r="G103" s="14">
        <f>[1]Sheet2!CV102</f>
        <v>346.15384615384608</v>
      </c>
      <c r="H103" s="1"/>
      <c r="I103" s="1"/>
      <c r="J103" s="1"/>
      <c r="K103" s="16">
        <f>Demand_CWRS!B$6/30</f>
        <v>136.96097796474356</v>
      </c>
      <c r="L103" s="16">
        <f>Demand_CWRS!C$6/30</f>
        <v>544.43376068376062</v>
      </c>
      <c r="M103" s="16">
        <f>Demand_CWRS!D$6/30</f>
        <v>0</v>
      </c>
      <c r="N103" s="16">
        <f>Demand_CWRS!E$6/30</f>
        <v>108.97435897435896</v>
      </c>
      <c r="O103" s="16">
        <f>Demand_CWRS!F$6/30</f>
        <v>213.3621347489316</v>
      </c>
      <c r="P103" s="16">
        <f>Demand_CWRS!G$6/30</f>
        <v>133.33333333333334</v>
      </c>
      <c r="Q103" s="16">
        <f>Demand_CWRS!H$6/30</f>
        <v>544.43376068376062</v>
      </c>
      <c r="R103" s="16">
        <f>Demand_CWRS!I$6/30</f>
        <v>213.3621347489316</v>
      </c>
      <c r="S103" s="16">
        <f>Demand_CWRS!J$6/30</f>
        <v>213.3621347489316</v>
      </c>
      <c r="T103" s="16">
        <f>Demand_CWRS!K$6/30</f>
        <v>213.3621347489316</v>
      </c>
      <c r="U103" s="16">
        <f t="shared" si="33"/>
        <v>-15848.614081467027</v>
      </c>
      <c r="V103" s="16">
        <f t="shared" si="34"/>
        <v>-41626.460683760619</v>
      </c>
      <c r="W103" s="16">
        <f t="shared" si="35"/>
        <v>0</v>
      </c>
      <c r="X103" s="16">
        <f t="shared" si="36"/>
        <v>-9569.1483446932889</v>
      </c>
      <c r="Y103" s="16">
        <f t="shared" si="37"/>
        <v>-22243.138563693497</v>
      </c>
      <c r="Z103" s="16">
        <f t="shared" si="38"/>
        <v>-15595.393825056797</v>
      </c>
      <c r="AA103" s="16">
        <f t="shared" si="39"/>
        <v>-41126.460683760619</v>
      </c>
      <c r="AB103" s="16">
        <f t="shared" si="40"/>
        <v>-19931.171977155012</v>
      </c>
      <c r="AC103" s="16">
        <f t="shared" si="41"/>
        <v>-19931.171977155002</v>
      </c>
      <c r="AD103" s="16">
        <f t="shared" si="42"/>
        <v>-20631.171977155005</v>
      </c>
      <c r="AE103" s="14">
        <f>IF([1]Sheet2!AJ102=999999,"NA",[1]Sheet2!AJ102)</f>
        <v>27</v>
      </c>
      <c r="AF103" s="14">
        <f>IF([1]Sheet2!AK102=999999,"NA",[1]Sheet2!AK102)</f>
        <v>0</v>
      </c>
      <c r="AG103" s="14" t="str">
        <f>IF([1]Sheet2!AL102=999999,"NA",[1]Sheet2!AL102)</f>
        <v>NA</v>
      </c>
      <c r="AH103" s="14">
        <f>IF([1]Sheet2!AM102=999999,"NA",[1]Sheet2!AM102)</f>
        <v>265</v>
      </c>
      <c r="AI103" s="14">
        <f>IF([1]Sheet2!AN102=999999,"NA",[1]Sheet2!AN102)</f>
        <v>265</v>
      </c>
      <c r="AJ103" s="14">
        <f>IF([1]Sheet2!AO102=999999,"NA",[1]Sheet2!AO102)</f>
        <v>265</v>
      </c>
      <c r="AK103" s="14">
        <f>IF([1]Sheet2!AP102=999999,"NA",[1]Sheet2!AP102)</f>
        <v>10</v>
      </c>
      <c r="AL103" s="14">
        <f>IF([1]Sheet2!AQ102=999999,"NA",[1]Sheet2!AQ102)</f>
        <v>141</v>
      </c>
      <c r="AM103" s="14">
        <f>IF([1]Sheet2!AR102=999999,"NA",[1]Sheet2!AR102)</f>
        <v>265</v>
      </c>
      <c r="AN103" s="14">
        <f>IF([1]Sheet2!AS102=999999,"NA",[1]Sheet2!AS102)</f>
        <v>197</v>
      </c>
      <c r="AO103" s="14">
        <f>[1]Sheet2!P102</f>
        <v>0</v>
      </c>
      <c r="AP103" s="14">
        <f>[1]Sheet2!Q102</f>
        <v>0</v>
      </c>
      <c r="AQ103" s="14">
        <f>[1]Sheet2!R102</f>
        <v>0</v>
      </c>
      <c r="AR103" s="14">
        <f>[1]Sheet2!S102</f>
        <v>0</v>
      </c>
      <c r="AS103" s="14">
        <f>[1]Sheet2!T102</f>
        <v>0</v>
      </c>
      <c r="AT103" s="14">
        <f>[1]Sheet2!U102</f>
        <v>0</v>
      </c>
      <c r="AU103" s="14">
        <f>[1]Sheet2!V102</f>
        <v>0</v>
      </c>
      <c r="AV103" s="14">
        <f>[1]Sheet2!W102</f>
        <v>0</v>
      </c>
      <c r="AW103" s="14">
        <f>[1]Sheet2!X102</f>
        <v>0</v>
      </c>
      <c r="AX103" s="14">
        <f>[1]Sheet2!Y102</f>
        <v>0</v>
      </c>
      <c r="AY103" s="16">
        <f>Demand_LP!B$6/30</f>
        <v>790.61612406517088</v>
      </c>
      <c r="AZ103" s="16">
        <f>Demand_LP!C$6/30</f>
        <v>816.46367521367517</v>
      </c>
      <c r="BA103" s="16">
        <f>Demand_LP!D$6/30</f>
        <v>346.63461538461536</v>
      </c>
      <c r="BB103" s="16">
        <f>Demand_LP!E$6/30</f>
        <v>795.48076923076928</v>
      </c>
      <c r="BC103" s="16">
        <f>Demand_LP!F$6/30</f>
        <v>472.52230168269227</v>
      </c>
      <c r="BD103" s="16">
        <f>Demand_LP!G$6/30</f>
        <v>790.61612406517088</v>
      </c>
      <c r="BE103" s="16">
        <f>Demand_LP!H$6/30</f>
        <v>816.46367521367517</v>
      </c>
      <c r="BF103" s="16">
        <f>Demand_LP!I$6/30</f>
        <v>472.52230168269227</v>
      </c>
      <c r="BG103" s="16">
        <f>Demand_LP!J$6/30</f>
        <v>472.52230168269227</v>
      </c>
      <c r="BH103" s="16">
        <f>Demand_LP!K$6/30</f>
        <v>472.52230168269227</v>
      </c>
      <c r="BI103" s="16" t="e">
        <f t="shared" si="43"/>
        <v>#VALUE!</v>
      </c>
      <c r="BJ103" s="16">
        <f t="shared" si="44"/>
        <v>-58781.180341880274</v>
      </c>
      <c r="BK103" s="16">
        <f t="shared" si="45"/>
        <v>-26240.311538461523</v>
      </c>
      <c r="BL103" s="16">
        <f t="shared" si="46"/>
        <v>-71761.355111976591</v>
      </c>
      <c r="BM103" s="16">
        <f t="shared" si="47"/>
        <v>-45167.539098456306</v>
      </c>
      <c r="BN103" s="16">
        <f t="shared" si="48"/>
        <v>-68304.384747630058</v>
      </c>
      <c r="BO103" s="16">
        <f t="shared" si="49"/>
        <v>-61138.759829059789</v>
      </c>
      <c r="BP103" s="16">
        <f t="shared" si="50"/>
        <v>-44625.223016826902</v>
      </c>
      <c r="BQ103" s="16">
        <f t="shared" si="51"/>
        <v>-41225.223016826923</v>
      </c>
      <c r="BR103" s="16">
        <f t="shared" si="52"/>
        <v>-42425.223016826909</v>
      </c>
      <c r="BS103" s="14">
        <f>IF([1]Sheet2!CA102=999999,"NA",[1]Sheet2!CA102)</f>
        <v>174053.77698317295</v>
      </c>
      <c r="BT103" s="14">
        <f>IF([1]Sheet2!CB102=999999,"NA",[1]Sheet2!CB102)</f>
        <v>187</v>
      </c>
      <c r="BU103" s="14">
        <f>IF([1]Sheet2!CC102=999999,"NA",[1]Sheet2!CC102)</f>
        <v>265</v>
      </c>
      <c r="BV103" s="14">
        <f>IF([1]Sheet2!CD102=999999,"NA",[1]Sheet2!CD102)</f>
        <v>265</v>
      </c>
      <c r="BW103" s="14">
        <f>IF([1]Sheet2!CE102=999999,"NA",[1]Sheet2!CE102)</f>
        <v>227</v>
      </c>
      <c r="BX103" s="14">
        <f>IF([1]Sheet2!CF102=999999,"NA",[1]Sheet2!CF102)</f>
        <v>265</v>
      </c>
      <c r="BY103" s="14">
        <f>IF([1]Sheet2!CG102=999999,"NA",[1]Sheet2!CG102)</f>
        <v>159</v>
      </c>
      <c r="BZ103" s="14">
        <f>IF([1]Sheet2!CH102=999999,"NA",[1]Sheet2!CH102)</f>
        <v>265</v>
      </c>
      <c r="CA103" s="14">
        <f>IF([1]Sheet2!CI102=999999,"NA",[1]Sheet2!CI102)</f>
        <v>265</v>
      </c>
      <c r="CB103" s="14">
        <f>IF([1]Sheet2!CJ102=999999,"NA",[1]Sheet2!CJ102)</f>
        <v>265</v>
      </c>
      <c r="CC103" s="14">
        <f>[1]Sheet2!BG102</f>
        <v>0</v>
      </c>
      <c r="CD103" s="14">
        <f>[1]Sheet2!BH102</f>
        <v>0</v>
      </c>
      <c r="CE103" s="14">
        <f>[1]Sheet2!BI102</f>
        <v>0</v>
      </c>
      <c r="CF103" s="14">
        <f>[1]Sheet2!BJ102</f>
        <v>0</v>
      </c>
      <c r="CG103" s="14">
        <f>[1]Sheet2!BK102</f>
        <v>0</v>
      </c>
      <c r="CH103" s="14">
        <f>[1]Sheet2!BL102</f>
        <v>0</v>
      </c>
      <c r="CI103" s="14">
        <f>[1]Sheet2!BM102</f>
        <v>0</v>
      </c>
      <c r="CJ103" s="14">
        <f>[1]Sheet2!BN102</f>
        <v>0</v>
      </c>
      <c r="CK103" s="14">
        <f>[1]Sheet2!BO102</f>
        <v>0</v>
      </c>
      <c r="CL103" s="14">
        <f>[1]Sheet2!BP102</f>
        <v>0</v>
      </c>
      <c r="CM103" s="16">
        <f>Demand_SW!B$6/30</f>
        <v>173.07692307692304</v>
      </c>
      <c r="CN103" s="16">
        <f>Demand_SW!C$6/30</f>
        <v>0</v>
      </c>
      <c r="CO103" s="16">
        <f>Demand_SW!D$6/30</f>
        <v>0</v>
      </c>
      <c r="CP103" s="16">
        <f>Demand_SW!E$6/30</f>
        <v>0</v>
      </c>
      <c r="CQ103" s="16">
        <f>Demand_SW!F$6/30</f>
        <v>0</v>
      </c>
      <c r="CR103" s="16">
        <f>Demand_SW!G$6/30</f>
        <v>173.07692307692304</v>
      </c>
      <c r="CS103" s="16">
        <f>Demand_SW!H$6/30</f>
        <v>0</v>
      </c>
      <c r="CT103" s="16">
        <f>Demand_SW!I$6/30</f>
        <v>0</v>
      </c>
      <c r="CU103" s="16">
        <f>Demand_SW!J$6/30</f>
        <v>0</v>
      </c>
      <c r="CV103" s="16">
        <f>Demand_SW!K$6/30</f>
        <v>0</v>
      </c>
      <c r="CW103" s="16">
        <f t="shared" si="53"/>
        <v>37998.46153846151</v>
      </c>
      <c r="CX103" s="16">
        <f t="shared" si="54"/>
        <v>-423.07692307692292</v>
      </c>
      <c r="CY103" s="16">
        <f t="shared" si="55"/>
        <v>0</v>
      </c>
      <c r="CZ103" s="16">
        <f t="shared" si="56"/>
        <v>0</v>
      </c>
      <c r="DA103" s="16">
        <f t="shared" si="57"/>
        <v>0</v>
      </c>
      <c r="DB103" s="16">
        <f t="shared" si="58"/>
        <v>-11530.769230769229</v>
      </c>
      <c r="DC103" s="16">
        <f t="shared" si="59"/>
        <v>-423.07692307692292</v>
      </c>
      <c r="DD103" s="16">
        <f t="shared" si="60"/>
        <v>0</v>
      </c>
      <c r="DE103" s="16">
        <f t="shared" si="61"/>
        <v>0</v>
      </c>
      <c r="DF103" s="16">
        <f t="shared" si="62"/>
        <v>0</v>
      </c>
      <c r="DG103" s="14">
        <f>IF([1]Sheet2!DR102=999999,"NA",[1]Sheet2!DR102)</f>
        <v>73103</v>
      </c>
      <c r="DH103" s="14">
        <f>IF([1]Sheet2!DS102=999999,"NA",[1]Sheet2!DS102)</f>
        <v>265</v>
      </c>
      <c r="DI103" s="14">
        <f>IF([1]Sheet2!DT102=999999,"NA",[1]Sheet2!DT102)</f>
        <v>265</v>
      </c>
      <c r="DJ103" s="14" t="str">
        <f>IF([1]Sheet2!DU102=999999,"NA",[1]Sheet2!DU102)</f>
        <v>NA</v>
      </c>
      <c r="DK103" s="14" t="str">
        <f>IF([1]Sheet2!DV102=999999,"NA",[1]Sheet2!DV102)</f>
        <v>NA</v>
      </c>
      <c r="DL103" s="14" t="str">
        <f>IF([1]Sheet2!DW102=999999,"NA",[1]Sheet2!DW102)</f>
        <v>NA</v>
      </c>
      <c r="DM103" s="14">
        <f>IF([1]Sheet2!DX102=999999,"NA",[1]Sheet2!DX102)</f>
        <v>265</v>
      </c>
      <c r="DN103" s="14">
        <f>IF([1]Sheet2!DY102=999999,"NA",[1]Sheet2!DY102)</f>
        <v>265</v>
      </c>
      <c r="DO103" s="14" t="str">
        <f>IF([1]Sheet2!DZ102=999999,"NA",[1]Sheet2!DZ102)</f>
        <v>NA</v>
      </c>
      <c r="DP103" s="14" t="str">
        <f>IF([1]Sheet2!EA102=999999,"NA",[1]Sheet2!EA102)</f>
        <v>NA</v>
      </c>
      <c r="DQ103" s="14">
        <f>[1]Sheet2!CX102</f>
        <v>0</v>
      </c>
      <c r="DR103" s="14">
        <f>[1]Sheet2!CY102</f>
        <v>0</v>
      </c>
      <c r="DS103" s="14">
        <f>[1]Sheet2!CZ102</f>
        <v>0</v>
      </c>
      <c r="DT103" s="14">
        <f>[1]Sheet2!DA102</f>
        <v>0</v>
      </c>
      <c r="DU103" s="14">
        <f>[1]Sheet2!DB102</f>
        <v>0</v>
      </c>
      <c r="DV103" s="14">
        <f>[1]Sheet2!DC102</f>
        <v>0</v>
      </c>
      <c r="DW103" s="14">
        <f>[1]Sheet2!DD102</f>
        <v>0</v>
      </c>
      <c r="DX103" s="14">
        <f>[1]Sheet2!DE102</f>
        <v>0</v>
      </c>
      <c r="DY103" s="14">
        <f>[1]Sheet2!DF102</f>
        <v>0</v>
      </c>
      <c r="DZ103" s="14">
        <f>[1]Sheet2!DG102</f>
        <v>0</v>
      </c>
    </row>
    <row r="104" spans="1:130" x14ac:dyDescent="0.25">
      <c r="A104" s="15">
        <v>43566</v>
      </c>
      <c r="B104" s="1"/>
      <c r="C104" s="1"/>
      <c r="D104" s="1"/>
      <c r="E104" s="14">
        <f>[1]Sheet2!N103</f>
        <v>0</v>
      </c>
      <c r="F104" s="14">
        <f>[1]Sheet2!BE103</f>
        <v>0</v>
      </c>
      <c r="G104" s="14">
        <f>[1]Sheet2!CV103</f>
        <v>346.15384615384608</v>
      </c>
      <c r="H104" s="1"/>
      <c r="I104" s="1"/>
      <c r="J104" s="1"/>
      <c r="K104" s="16">
        <f>Demand_CWRS!B$6/30</f>
        <v>136.96097796474356</v>
      </c>
      <c r="L104" s="16">
        <f>Demand_CWRS!C$6/30</f>
        <v>544.43376068376062</v>
      </c>
      <c r="M104" s="16">
        <f>Demand_CWRS!D$6/30</f>
        <v>0</v>
      </c>
      <c r="N104" s="16">
        <f>Demand_CWRS!E$6/30</f>
        <v>108.97435897435896</v>
      </c>
      <c r="O104" s="16">
        <f>Demand_CWRS!F$6/30</f>
        <v>213.3621347489316</v>
      </c>
      <c r="P104" s="16">
        <f>Demand_CWRS!G$6/30</f>
        <v>133.33333333333334</v>
      </c>
      <c r="Q104" s="16">
        <f>Demand_CWRS!H$6/30</f>
        <v>544.43376068376062</v>
      </c>
      <c r="R104" s="16">
        <f>Demand_CWRS!I$6/30</f>
        <v>213.3621347489316</v>
      </c>
      <c r="S104" s="16">
        <f>Demand_CWRS!J$6/30</f>
        <v>213.3621347489316</v>
      </c>
      <c r="T104" s="16">
        <f>Demand_CWRS!K$6/30</f>
        <v>213.3621347489316</v>
      </c>
      <c r="U104" s="16">
        <f t="shared" si="33"/>
        <v>-15985.575059431771</v>
      </c>
      <c r="V104" s="16">
        <f t="shared" si="34"/>
        <v>-42170.894444444377</v>
      </c>
      <c r="W104" s="16">
        <f t="shared" si="35"/>
        <v>0</v>
      </c>
      <c r="X104" s="16">
        <f t="shared" si="36"/>
        <v>-9678.1227036676482</v>
      </c>
      <c r="Y104" s="16">
        <f t="shared" si="37"/>
        <v>-22456.500698442429</v>
      </c>
      <c r="Z104" s="16">
        <f t="shared" si="38"/>
        <v>-15728.727158390131</v>
      </c>
      <c r="AA104" s="16">
        <f t="shared" si="39"/>
        <v>-41670.894444444377</v>
      </c>
      <c r="AB104" s="16">
        <f t="shared" si="40"/>
        <v>-20144.534111903944</v>
      </c>
      <c r="AC104" s="16">
        <f t="shared" si="41"/>
        <v>-20144.534111903933</v>
      </c>
      <c r="AD104" s="16">
        <f t="shared" si="42"/>
        <v>-20844.534111903937</v>
      </c>
      <c r="AE104" s="14">
        <f>IF([1]Sheet2!AJ103=999999,"NA",[1]Sheet2!AJ103)</f>
        <v>26</v>
      </c>
      <c r="AF104" s="14">
        <f>IF([1]Sheet2!AK103=999999,"NA",[1]Sheet2!AK103)</f>
        <v>0</v>
      </c>
      <c r="AG104" s="14" t="str">
        <f>IF([1]Sheet2!AL103=999999,"NA",[1]Sheet2!AL103)</f>
        <v>NA</v>
      </c>
      <c r="AH104" s="14">
        <f>IF([1]Sheet2!AM103=999999,"NA",[1]Sheet2!AM103)</f>
        <v>264</v>
      </c>
      <c r="AI104" s="14">
        <f>IF([1]Sheet2!AN103=999999,"NA",[1]Sheet2!AN103)</f>
        <v>264</v>
      </c>
      <c r="AJ104" s="14">
        <f>IF([1]Sheet2!AO103=999999,"NA",[1]Sheet2!AO103)</f>
        <v>264</v>
      </c>
      <c r="AK104" s="14">
        <f>IF([1]Sheet2!AP103=999999,"NA",[1]Sheet2!AP103)</f>
        <v>9</v>
      </c>
      <c r="AL104" s="14">
        <f>IF([1]Sheet2!AQ103=999999,"NA",[1]Sheet2!AQ103)</f>
        <v>140</v>
      </c>
      <c r="AM104" s="14">
        <f>IF([1]Sheet2!AR103=999999,"NA",[1]Sheet2!AR103)</f>
        <v>264</v>
      </c>
      <c r="AN104" s="14">
        <f>IF([1]Sheet2!AS103=999999,"NA",[1]Sheet2!AS103)</f>
        <v>196</v>
      </c>
      <c r="AO104" s="14">
        <f>[1]Sheet2!P103</f>
        <v>0</v>
      </c>
      <c r="AP104" s="14">
        <f>[1]Sheet2!Q103</f>
        <v>0</v>
      </c>
      <c r="AQ104" s="14">
        <f>[1]Sheet2!R103</f>
        <v>0</v>
      </c>
      <c r="AR104" s="14">
        <f>[1]Sheet2!S103</f>
        <v>0</v>
      </c>
      <c r="AS104" s="14">
        <f>[1]Sheet2!T103</f>
        <v>0</v>
      </c>
      <c r="AT104" s="14">
        <f>[1]Sheet2!U103</f>
        <v>0</v>
      </c>
      <c r="AU104" s="14">
        <f>[1]Sheet2!V103</f>
        <v>0</v>
      </c>
      <c r="AV104" s="14">
        <f>[1]Sheet2!W103</f>
        <v>0</v>
      </c>
      <c r="AW104" s="14">
        <f>[1]Sheet2!X103</f>
        <v>0</v>
      </c>
      <c r="AX104" s="14">
        <f>[1]Sheet2!Y103</f>
        <v>0</v>
      </c>
      <c r="AY104" s="16">
        <f>Demand_LP!B$6/30</f>
        <v>790.61612406517088</v>
      </c>
      <c r="AZ104" s="16">
        <f>Demand_LP!C$6/30</f>
        <v>816.46367521367517</v>
      </c>
      <c r="BA104" s="16">
        <f>Demand_LP!D$6/30</f>
        <v>346.63461538461536</v>
      </c>
      <c r="BB104" s="16">
        <f>Demand_LP!E$6/30</f>
        <v>795.48076923076928</v>
      </c>
      <c r="BC104" s="16">
        <f>Demand_LP!F$6/30</f>
        <v>472.52230168269227</v>
      </c>
      <c r="BD104" s="16">
        <f>Demand_LP!G$6/30</f>
        <v>790.61612406517088</v>
      </c>
      <c r="BE104" s="16">
        <f>Demand_LP!H$6/30</f>
        <v>816.46367521367517</v>
      </c>
      <c r="BF104" s="16">
        <f>Demand_LP!I$6/30</f>
        <v>472.52230168269227</v>
      </c>
      <c r="BG104" s="16">
        <f>Demand_LP!J$6/30</f>
        <v>472.52230168269227</v>
      </c>
      <c r="BH104" s="16">
        <f>Demand_LP!K$6/30</f>
        <v>472.52230168269227</v>
      </c>
      <c r="BI104" s="16" t="e">
        <f t="shared" si="43"/>
        <v>#VALUE!</v>
      </c>
      <c r="BJ104" s="16">
        <f t="shared" si="44"/>
        <v>-59597.644017093946</v>
      </c>
      <c r="BK104" s="16">
        <f t="shared" si="45"/>
        <v>-26586.94615384614</v>
      </c>
      <c r="BL104" s="16">
        <f t="shared" si="46"/>
        <v>-72556.835881207357</v>
      </c>
      <c r="BM104" s="16">
        <f t="shared" si="47"/>
        <v>-45640.061400138999</v>
      </c>
      <c r="BN104" s="16">
        <f t="shared" si="48"/>
        <v>-69095.000871695229</v>
      </c>
      <c r="BO104" s="16">
        <f t="shared" si="49"/>
        <v>-61955.223504273461</v>
      </c>
      <c r="BP104" s="16">
        <f t="shared" si="50"/>
        <v>-45097.745318509595</v>
      </c>
      <c r="BQ104" s="16">
        <f t="shared" si="51"/>
        <v>-41697.745318509616</v>
      </c>
      <c r="BR104" s="16">
        <f t="shared" si="52"/>
        <v>-42897.745318509602</v>
      </c>
      <c r="BS104" s="14">
        <f>IF([1]Sheet2!CA103=999999,"NA",[1]Sheet2!CA103)</f>
        <v>173581.25468149027</v>
      </c>
      <c r="BT104" s="14">
        <f>IF([1]Sheet2!CB103=999999,"NA",[1]Sheet2!CB103)</f>
        <v>186</v>
      </c>
      <c r="BU104" s="14">
        <f>IF([1]Sheet2!CC103=999999,"NA",[1]Sheet2!CC103)</f>
        <v>264</v>
      </c>
      <c r="BV104" s="14">
        <f>IF([1]Sheet2!CD103=999999,"NA",[1]Sheet2!CD103)</f>
        <v>264</v>
      </c>
      <c r="BW104" s="14">
        <f>IF([1]Sheet2!CE103=999999,"NA",[1]Sheet2!CE103)</f>
        <v>226</v>
      </c>
      <c r="BX104" s="14">
        <f>IF([1]Sheet2!CF103=999999,"NA",[1]Sheet2!CF103)</f>
        <v>264</v>
      </c>
      <c r="BY104" s="14">
        <f>IF([1]Sheet2!CG103=999999,"NA",[1]Sheet2!CG103)</f>
        <v>158</v>
      </c>
      <c r="BZ104" s="14">
        <f>IF([1]Sheet2!CH103=999999,"NA",[1]Sheet2!CH103)</f>
        <v>264</v>
      </c>
      <c r="CA104" s="14">
        <f>IF([1]Sheet2!CI103=999999,"NA",[1]Sheet2!CI103)</f>
        <v>264</v>
      </c>
      <c r="CB104" s="14">
        <f>IF([1]Sheet2!CJ103=999999,"NA",[1]Sheet2!CJ103)</f>
        <v>264</v>
      </c>
      <c r="CC104" s="14">
        <f>[1]Sheet2!BG103</f>
        <v>0</v>
      </c>
      <c r="CD104" s="14">
        <f>[1]Sheet2!BH103</f>
        <v>0</v>
      </c>
      <c r="CE104" s="14">
        <f>[1]Sheet2!BI103</f>
        <v>0</v>
      </c>
      <c r="CF104" s="14">
        <f>[1]Sheet2!BJ103</f>
        <v>0</v>
      </c>
      <c r="CG104" s="14">
        <f>[1]Sheet2!BK103</f>
        <v>0</v>
      </c>
      <c r="CH104" s="14">
        <f>[1]Sheet2!BL103</f>
        <v>0</v>
      </c>
      <c r="CI104" s="14">
        <f>[1]Sheet2!BM103</f>
        <v>0</v>
      </c>
      <c r="CJ104" s="14">
        <f>[1]Sheet2!BN103</f>
        <v>0</v>
      </c>
      <c r="CK104" s="14">
        <f>[1]Sheet2!BO103</f>
        <v>0</v>
      </c>
      <c r="CL104" s="14">
        <f>[1]Sheet2!BP103</f>
        <v>0</v>
      </c>
      <c r="CM104" s="16">
        <f>Demand_SW!B$6/30</f>
        <v>173.07692307692304</v>
      </c>
      <c r="CN104" s="16">
        <f>Demand_SW!C$6/30</f>
        <v>0</v>
      </c>
      <c r="CO104" s="16">
        <f>Demand_SW!D$6/30</f>
        <v>0</v>
      </c>
      <c r="CP104" s="16">
        <f>Demand_SW!E$6/30</f>
        <v>0</v>
      </c>
      <c r="CQ104" s="16">
        <f>Demand_SW!F$6/30</f>
        <v>0</v>
      </c>
      <c r="CR104" s="16">
        <f>Demand_SW!G$6/30</f>
        <v>173.07692307692304</v>
      </c>
      <c r="CS104" s="16">
        <f>Demand_SW!H$6/30</f>
        <v>0</v>
      </c>
      <c r="CT104" s="16">
        <f>Demand_SW!I$6/30</f>
        <v>0</v>
      </c>
      <c r="CU104" s="16">
        <f>Demand_SW!J$6/30</f>
        <v>0</v>
      </c>
      <c r="CV104" s="16">
        <f>Demand_SW!K$6/30</f>
        <v>0</v>
      </c>
      <c r="CW104" s="16">
        <f t="shared" si="53"/>
        <v>37825.384615384588</v>
      </c>
      <c r="CX104" s="16">
        <f t="shared" si="54"/>
        <v>-423.07692307692292</v>
      </c>
      <c r="CY104" s="16">
        <f t="shared" si="55"/>
        <v>0</v>
      </c>
      <c r="CZ104" s="16">
        <f t="shared" si="56"/>
        <v>0</v>
      </c>
      <c r="DA104" s="16">
        <f t="shared" si="57"/>
        <v>0</v>
      </c>
      <c r="DB104" s="16">
        <f t="shared" si="58"/>
        <v>-11703.846153846152</v>
      </c>
      <c r="DC104" s="16">
        <f t="shared" si="59"/>
        <v>-423.07692307692292</v>
      </c>
      <c r="DD104" s="16">
        <f t="shared" si="60"/>
        <v>0</v>
      </c>
      <c r="DE104" s="16">
        <f t="shared" si="61"/>
        <v>0</v>
      </c>
      <c r="DF104" s="16">
        <f t="shared" si="62"/>
        <v>0</v>
      </c>
      <c r="DG104" s="14">
        <f>IF([1]Sheet2!DR103=999999,"NA",[1]Sheet2!DR103)</f>
        <v>73103</v>
      </c>
      <c r="DH104" s="14">
        <f>IF([1]Sheet2!DS103=999999,"NA",[1]Sheet2!DS103)</f>
        <v>264</v>
      </c>
      <c r="DI104" s="14">
        <f>IF([1]Sheet2!DT103=999999,"NA",[1]Sheet2!DT103)</f>
        <v>264</v>
      </c>
      <c r="DJ104" s="14" t="str">
        <f>IF([1]Sheet2!DU103=999999,"NA",[1]Sheet2!DU103)</f>
        <v>NA</v>
      </c>
      <c r="DK104" s="14" t="str">
        <f>IF([1]Sheet2!DV103=999999,"NA",[1]Sheet2!DV103)</f>
        <v>NA</v>
      </c>
      <c r="DL104" s="14" t="str">
        <f>IF([1]Sheet2!DW103=999999,"NA",[1]Sheet2!DW103)</f>
        <v>NA</v>
      </c>
      <c r="DM104" s="14">
        <f>IF([1]Sheet2!DX103=999999,"NA",[1]Sheet2!DX103)</f>
        <v>264</v>
      </c>
      <c r="DN104" s="14">
        <f>IF([1]Sheet2!DY103=999999,"NA",[1]Sheet2!DY103)</f>
        <v>264</v>
      </c>
      <c r="DO104" s="14" t="str">
        <f>IF([1]Sheet2!DZ103=999999,"NA",[1]Sheet2!DZ103)</f>
        <v>NA</v>
      </c>
      <c r="DP104" s="14" t="str">
        <f>IF([1]Sheet2!EA103=999999,"NA",[1]Sheet2!EA103)</f>
        <v>NA</v>
      </c>
      <c r="DQ104" s="14">
        <f>[1]Sheet2!CX103</f>
        <v>0</v>
      </c>
      <c r="DR104" s="14">
        <f>[1]Sheet2!CY103</f>
        <v>0</v>
      </c>
      <c r="DS104" s="14">
        <f>[1]Sheet2!CZ103</f>
        <v>0</v>
      </c>
      <c r="DT104" s="14">
        <f>[1]Sheet2!DA103</f>
        <v>0</v>
      </c>
      <c r="DU104" s="14">
        <f>[1]Sheet2!DB103</f>
        <v>0</v>
      </c>
      <c r="DV104" s="14">
        <f>[1]Sheet2!DC103</f>
        <v>0</v>
      </c>
      <c r="DW104" s="14">
        <f>[1]Sheet2!DD103</f>
        <v>0</v>
      </c>
      <c r="DX104" s="14">
        <f>[1]Sheet2!DE103</f>
        <v>0</v>
      </c>
      <c r="DY104" s="14">
        <f>[1]Sheet2!DF103</f>
        <v>0</v>
      </c>
      <c r="DZ104" s="14">
        <f>[1]Sheet2!DG103</f>
        <v>0</v>
      </c>
    </row>
    <row r="105" spans="1:130" x14ac:dyDescent="0.25">
      <c r="A105" s="15">
        <v>43567</v>
      </c>
      <c r="B105" s="1"/>
      <c r="C105" s="1"/>
      <c r="D105" s="1"/>
      <c r="E105" s="14">
        <f>[1]Sheet2!N104</f>
        <v>0</v>
      </c>
      <c r="F105" s="14">
        <f>[1]Sheet2!BE104</f>
        <v>0</v>
      </c>
      <c r="G105" s="14">
        <f>[1]Sheet2!CV104</f>
        <v>346.15384615384608</v>
      </c>
      <c r="H105" s="1"/>
      <c r="I105" s="1"/>
      <c r="J105" s="1"/>
      <c r="K105" s="16">
        <f>Demand_CWRS!B$6/30</f>
        <v>136.96097796474356</v>
      </c>
      <c r="L105" s="16">
        <f>Demand_CWRS!C$6/30</f>
        <v>544.43376068376062</v>
      </c>
      <c r="M105" s="16">
        <f>Demand_CWRS!D$6/30</f>
        <v>0</v>
      </c>
      <c r="N105" s="16">
        <f>Demand_CWRS!E$6/30</f>
        <v>108.97435897435896</v>
      </c>
      <c r="O105" s="16">
        <f>Demand_CWRS!F$6/30</f>
        <v>213.3621347489316</v>
      </c>
      <c r="P105" s="16">
        <f>Demand_CWRS!G$6/30</f>
        <v>133.33333333333334</v>
      </c>
      <c r="Q105" s="16">
        <f>Demand_CWRS!H$6/30</f>
        <v>544.43376068376062</v>
      </c>
      <c r="R105" s="16">
        <f>Demand_CWRS!I$6/30</f>
        <v>213.3621347489316</v>
      </c>
      <c r="S105" s="16">
        <f>Demand_CWRS!J$6/30</f>
        <v>213.3621347489316</v>
      </c>
      <c r="T105" s="16">
        <f>Demand_CWRS!K$6/30</f>
        <v>213.3621347489316</v>
      </c>
      <c r="U105" s="16">
        <f t="shared" si="33"/>
        <v>-16122.536037396514</v>
      </c>
      <c r="V105" s="16">
        <f t="shared" si="34"/>
        <v>-42715.328205128135</v>
      </c>
      <c r="W105" s="16">
        <f t="shared" si="35"/>
        <v>0</v>
      </c>
      <c r="X105" s="16">
        <f t="shared" si="36"/>
        <v>-9787.0970626420076</v>
      </c>
      <c r="Y105" s="16">
        <f t="shared" si="37"/>
        <v>-22669.862833191361</v>
      </c>
      <c r="Z105" s="16">
        <f t="shared" si="38"/>
        <v>-15862.060491723465</v>
      </c>
      <c r="AA105" s="16">
        <f t="shared" si="39"/>
        <v>-42215.328205128135</v>
      </c>
      <c r="AB105" s="16">
        <f t="shared" si="40"/>
        <v>-20357.896246652876</v>
      </c>
      <c r="AC105" s="16">
        <f t="shared" si="41"/>
        <v>-20357.896246652865</v>
      </c>
      <c r="AD105" s="16">
        <f t="shared" si="42"/>
        <v>-21057.896246652868</v>
      </c>
      <c r="AE105" s="14">
        <f>IF([1]Sheet2!AJ104=999999,"NA",[1]Sheet2!AJ104)</f>
        <v>25</v>
      </c>
      <c r="AF105" s="14">
        <f>IF([1]Sheet2!AK104=999999,"NA",[1]Sheet2!AK104)</f>
        <v>0</v>
      </c>
      <c r="AG105" s="14" t="str">
        <f>IF([1]Sheet2!AL104=999999,"NA",[1]Sheet2!AL104)</f>
        <v>NA</v>
      </c>
      <c r="AH105" s="14">
        <f>IF([1]Sheet2!AM104=999999,"NA",[1]Sheet2!AM104)</f>
        <v>263</v>
      </c>
      <c r="AI105" s="14">
        <f>IF([1]Sheet2!AN104=999999,"NA",[1]Sheet2!AN104)</f>
        <v>263</v>
      </c>
      <c r="AJ105" s="14">
        <f>IF([1]Sheet2!AO104=999999,"NA",[1]Sheet2!AO104)</f>
        <v>263</v>
      </c>
      <c r="AK105" s="14">
        <f>IF([1]Sheet2!AP104=999999,"NA",[1]Sheet2!AP104)</f>
        <v>8</v>
      </c>
      <c r="AL105" s="14">
        <f>IF([1]Sheet2!AQ104=999999,"NA",[1]Sheet2!AQ104)</f>
        <v>139</v>
      </c>
      <c r="AM105" s="14">
        <f>IF([1]Sheet2!AR104=999999,"NA",[1]Sheet2!AR104)</f>
        <v>263</v>
      </c>
      <c r="AN105" s="14">
        <f>IF([1]Sheet2!AS104=999999,"NA",[1]Sheet2!AS104)</f>
        <v>195</v>
      </c>
      <c r="AO105" s="14">
        <f>[1]Sheet2!P104</f>
        <v>0</v>
      </c>
      <c r="AP105" s="14">
        <f>[1]Sheet2!Q104</f>
        <v>0</v>
      </c>
      <c r="AQ105" s="14">
        <f>[1]Sheet2!R104</f>
        <v>0</v>
      </c>
      <c r="AR105" s="14">
        <f>[1]Sheet2!S104</f>
        <v>0</v>
      </c>
      <c r="AS105" s="14">
        <f>[1]Sheet2!T104</f>
        <v>0</v>
      </c>
      <c r="AT105" s="14">
        <f>[1]Sheet2!U104</f>
        <v>0</v>
      </c>
      <c r="AU105" s="14">
        <f>[1]Sheet2!V104</f>
        <v>0</v>
      </c>
      <c r="AV105" s="14">
        <f>[1]Sheet2!W104</f>
        <v>0</v>
      </c>
      <c r="AW105" s="14">
        <f>[1]Sheet2!X104</f>
        <v>0</v>
      </c>
      <c r="AX105" s="14">
        <f>[1]Sheet2!Y104</f>
        <v>0</v>
      </c>
      <c r="AY105" s="16">
        <f>Demand_LP!B$6/30</f>
        <v>790.61612406517088</v>
      </c>
      <c r="AZ105" s="16">
        <f>Demand_LP!C$6/30</f>
        <v>816.46367521367517</v>
      </c>
      <c r="BA105" s="16">
        <f>Demand_LP!D$6/30</f>
        <v>346.63461538461536</v>
      </c>
      <c r="BB105" s="16">
        <f>Demand_LP!E$6/30</f>
        <v>795.48076923076928</v>
      </c>
      <c r="BC105" s="16">
        <f>Demand_LP!F$6/30</f>
        <v>472.52230168269227</v>
      </c>
      <c r="BD105" s="16">
        <f>Demand_LP!G$6/30</f>
        <v>790.61612406517088</v>
      </c>
      <c r="BE105" s="16">
        <f>Demand_LP!H$6/30</f>
        <v>816.46367521367517</v>
      </c>
      <c r="BF105" s="16">
        <f>Demand_LP!I$6/30</f>
        <v>472.52230168269227</v>
      </c>
      <c r="BG105" s="16">
        <f>Demand_LP!J$6/30</f>
        <v>472.52230168269227</v>
      </c>
      <c r="BH105" s="16">
        <f>Demand_LP!K$6/30</f>
        <v>472.52230168269227</v>
      </c>
      <c r="BI105" s="16" t="e">
        <f t="shared" si="43"/>
        <v>#VALUE!</v>
      </c>
      <c r="BJ105" s="16">
        <f t="shared" si="44"/>
        <v>-60414.107692307618</v>
      </c>
      <c r="BK105" s="16">
        <f t="shared" si="45"/>
        <v>-26933.580769230757</v>
      </c>
      <c r="BL105" s="16">
        <f t="shared" si="46"/>
        <v>-73352.316650438122</v>
      </c>
      <c r="BM105" s="16">
        <f t="shared" si="47"/>
        <v>-46112.583701821692</v>
      </c>
      <c r="BN105" s="16">
        <f t="shared" si="48"/>
        <v>-69885.6169957604</v>
      </c>
      <c r="BO105" s="16">
        <f t="shared" si="49"/>
        <v>-62771.687179487133</v>
      </c>
      <c r="BP105" s="16">
        <f t="shared" si="50"/>
        <v>-45570.267620192288</v>
      </c>
      <c r="BQ105" s="16">
        <f t="shared" si="51"/>
        <v>-42170.26762019231</v>
      </c>
      <c r="BR105" s="16">
        <f t="shared" si="52"/>
        <v>-43370.267620192295</v>
      </c>
      <c r="BS105" s="14">
        <f>IF([1]Sheet2!CA104=999999,"NA",[1]Sheet2!CA104)</f>
        <v>173108.7323798076</v>
      </c>
      <c r="BT105" s="14">
        <f>IF([1]Sheet2!CB104=999999,"NA",[1]Sheet2!CB104)</f>
        <v>185</v>
      </c>
      <c r="BU105" s="14">
        <f>IF([1]Sheet2!CC104=999999,"NA",[1]Sheet2!CC104)</f>
        <v>263</v>
      </c>
      <c r="BV105" s="14">
        <f>IF([1]Sheet2!CD104=999999,"NA",[1]Sheet2!CD104)</f>
        <v>263</v>
      </c>
      <c r="BW105" s="14">
        <f>IF([1]Sheet2!CE104=999999,"NA",[1]Sheet2!CE104)</f>
        <v>225</v>
      </c>
      <c r="BX105" s="14">
        <f>IF([1]Sheet2!CF104=999999,"NA",[1]Sheet2!CF104)</f>
        <v>263</v>
      </c>
      <c r="BY105" s="14">
        <f>IF([1]Sheet2!CG104=999999,"NA",[1]Sheet2!CG104)</f>
        <v>157</v>
      </c>
      <c r="BZ105" s="14">
        <f>IF([1]Sheet2!CH104=999999,"NA",[1]Sheet2!CH104)</f>
        <v>263</v>
      </c>
      <c r="CA105" s="14">
        <f>IF([1]Sheet2!CI104=999999,"NA",[1]Sheet2!CI104)</f>
        <v>263</v>
      </c>
      <c r="CB105" s="14">
        <f>IF([1]Sheet2!CJ104=999999,"NA",[1]Sheet2!CJ104)</f>
        <v>263</v>
      </c>
      <c r="CC105" s="14">
        <f>[1]Sheet2!BG104</f>
        <v>0</v>
      </c>
      <c r="CD105" s="14">
        <f>[1]Sheet2!BH104</f>
        <v>0</v>
      </c>
      <c r="CE105" s="14">
        <f>[1]Sheet2!BI104</f>
        <v>0</v>
      </c>
      <c r="CF105" s="14">
        <f>[1]Sheet2!BJ104</f>
        <v>0</v>
      </c>
      <c r="CG105" s="14">
        <f>[1]Sheet2!BK104</f>
        <v>0</v>
      </c>
      <c r="CH105" s="14">
        <f>[1]Sheet2!BL104</f>
        <v>0</v>
      </c>
      <c r="CI105" s="14">
        <f>[1]Sheet2!BM104</f>
        <v>0</v>
      </c>
      <c r="CJ105" s="14">
        <f>[1]Sheet2!BN104</f>
        <v>0</v>
      </c>
      <c r="CK105" s="14">
        <f>[1]Sheet2!BO104</f>
        <v>0</v>
      </c>
      <c r="CL105" s="14">
        <f>[1]Sheet2!BP104</f>
        <v>0</v>
      </c>
      <c r="CM105" s="16">
        <f>Demand_SW!B$6/30</f>
        <v>173.07692307692304</v>
      </c>
      <c r="CN105" s="16">
        <f>Demand_SW!C$6/30</f>
        <v>0</v>
      </c>
      <c r="CO105" s="16">
        <f>Demand_SW!D$6/30</f>
        <v>0</v>
      </c>
      <c r="CP105" s="16">
        <f>Demand_SW!E$6/30</f>
        <v>0</v>
      </c>
      <c r="CQ105" s="16">
        <f>Demand_SW!F$6/30</f>
        <v>0</v>
      </c>
      <c r="CR105" s="16">
        <f>Demand_SW!G$6/30</f>
        <v>173.07692307692304</v>
      </c>
      <c r="CS105" s="16">
        <f>Demand_SW!H$6/30</f>
        <v>0</v>
      </c>
      <c r="CT105" s="16">
        <f>Demand_SW!I$6/30</f>
        <v>0</v>
      </c>
      <c r="CU105" s="16">
        <f>Demand_SW!J$6/30</f>
        <v>0</v>
      </c>
      <c r="CV105" s="16">
        <f>Demand_SW!K$6/30</f>
        <v>0</v>
      </c>
      <c r="CW105" s="16">
        <f t="shared" si="53"/>
        <v>37652.307692307666</v>
      </c>
      <c r="CX105" s="16">
        <f t="shared" si="54"/>
        <v>-423.07692307692292</v>
      </c>
      <c r="CY105" s="16">
        <f t="shared" si="55"/>
        <v>0</v>
      </c>
      <c r="CZ105" s="16">
        <f t="shared" si="56"/>
        <v>0</v>
      </c>
      <c r="DA105" s="16">
        <f t="shared" si="57"/>
        <v>0</v>
      </c>
      <c r="DB105" s="16">
        <f t="shared" si="58"/>
        <v>-11876.923076923076</v>
      </c>
      <c r="DC105" s="16">
        <f t="shared" si="59"/>
        <v>-423.07692307692292</v>
      </c>
      <c r="DD105" s="16">
        <f t="shared" si="60"/>
        <v>0</v>
      </c>
      <c r="DE105" s="16">
        <f t="shared" si="61"/>
        <v>0</v>
      </c>
      <c r="DF105" s="16">
        <f t="shared" si="62"/>
        <v>0</v>
      </c>
      <c r="DG105" s="14">
        <f>IF([1]Sheet2!DR104=999999,"NA",[1]Sheet2!DR104)</f>
        <v>73103</v>
      </c>
      <c r="DH105" s="14">
        <f>IF([1]Sheet2!DS104=999999,"NA",[1]Sheet2!DS104)</f>
        <v>263</v>
      </c>
      <c r="DI105" s="14">
        <f>IF([1]Sheet2!DT104=999999,"NA",[1]Sheet2!DT104)</f>
        <v>263</v>
      </c>
      <c r="DJ105" s="14" t="str">
        <f>IF([1]Sheet2!DU104=999999,"NA",[1]Sheet2!DU104)</f>
        <v>NA</v>
      </c>
      <c r="DK105" s="14" t="str">
        <f>IF([1]Sheet2!DV104=999999,"NA",[1]Sheet2!DV104)</f>
        <v>NA</v>
      </c>
      <c r="DL105" s="14" t="str">
        <f>IF([1]Sheet2!DW104=999999,"NA",[1]Sheet2!DW104)</f>
        <v>NA</v>
      </c>
      <c r="DM105" s="14">
        <f>IF([1]Sheet2!DX104=999999,"NA",[1]Sheet2!DX104)</f>
        <v>263</v>
      </c>
      <c r="DN105" s="14">
        <f>IF([1]Sheet2!DY104=999999,"NA",[1]Sheet2!DY104)</f>
        <v>263</v>
      </c>
      <c r="DO105" s="14" t="str">
        <f>IF([1]Sheet2!DZ104=999999,"NA",[1]Sheet2!DZ104)</f>
        <v>NA</v>
      </c>
      <c r="DP105" s="14" t="str">
        <f>IF([1]Sheet2!EA104=999999,"NA",[1]Sheet2!EA104)</f>
        <v>NA</v>
      </c>
      <c r="DQ105" s="14">
        <f>[1]Sheet2!CX104</f>
        <v>0</v>
      </c>
      <c r="DR105" s="14">
        <f>[1]Sheet2!CY104</f>
        <v>0</v>
      </c>
      <c r="DS105" s="14">
        <f>[1]Sheet2!CZ104</f>
        <v>0</v>
      </c>
      <c r="DT105" s="14">
        <f>[1]Sheet2!DA104</f>
        <v>0</v>
      </c>
      <c r="DU105" s="14">
        <f>[1]Sheet2!DB104</f>
        <v>0</v>
      </c>
      <c r="DV105" s="14">
        <f>[1]Sheet2!DC104</f>
        <v>0</v>
      </c>
      <c r="DW105" s="14">
        <f>[1]Sheet2!DD104</f>
        <v>0</v>
      </c>
      <c r="DX105" s="14">
        <f>[1]Sheet2!DE104</f>
        <v>0</v>
      </c>
      <c r="DY105" s="14">
        <f>[1]Sheet2!DF104</f>
        <v>0</v>
      </c>
      <c r="DZ105" s="14">
        <f>[1]Sheet2!DG104</f>
        <v>0</v>
      </c>
    </row>
    <row r="106" spans="1:130" x14ac:dyDescent="0.25">
      <c r="A106" s="15">
        <v>43568</v>
      </c>
      <c r="B106" s="1"/>
      <c r="C106" s="1"/>
      <c r="D106" s="1"/>
      <c r="E106" s="14">
        <f>[1]Sheet2!N105</f>
        <v>0</v>
      </c>
      <c r="F106" s="14">
        <f>[1]Sheet2!BE105</f>
        <v>0</v>
      </c>
      <c r="G106" s="14">
        <f>[1]Sheet2!CV105</f>
        <v>346.15384615384608</v>
      </c>
      <c r="H106" s="1"/>
      <c r="I106" s="1"/>
      <c r="J106" s="1"/>
      <c r="K106" s="16">
        <f>Demand_CWRS!B$6/30</f>
        <v>136.96097796474356</v>
      </c>
      <c r="L106" s="16">
        <f>Demand_CWRS!C$6/30</f>
        <v>544.43376068376062</v>
      </c>
      <c r="M106" s="16">
        <f>Demand_CWRS!D$6/30</f>
        <v>0</v>
      </c>
      <c r="N106" s="16">
        <f>Demand_CWRS!E$6/30</f>
        <v>108.97435897435896</v>
      </c>
      <c r="O106" s="16">
        <f>Demand_CWRS!F$6/30</f>
        <v>213.3621347489316</v>
      </c>
      <c r="P106" s="16">
        <f>Demand_CWRS!G$6/30</f>
        <v>133.33333333333334</v>
      </c>
      <c r="Q106" s="16">
        <f>Demand_CWRS!H$6/30</f>
        <v>544.43376068376062</v>
      </c>
      <c r="R106" s="16">
        <f>Demand_CWRS!I$6/30</f>
        <v>213.3621347489316</v>
      </c>
      <c r="S106" s="16">
        <f>Demand_CWRS!J$6/30</f>
        <v>213.3621347489316</v>
      </c>
      <c r="T106" s="16">
        <f>Demand_CWRS!K$6/30</f>
        <v>213.3621347489316</v>
      </c>
      <c r="U106" s="16">
        <f t="shared" si="33"/>
        <v>-16259.497015361258</v>
      </c>
      <c r="V106" s="16">
        <f t="shared" si="34"/>
        <v>-43259.761965811893</v>
      </c>
      <c r="W106" s="16">
        <f t="shared" si="35"/>
        <v>0</v>
      </c>
      <c r="X106" s="16">
        <f t="shared" si="36"/>
        <v>-9896.0714216163669</v>
      </c>
      <c r="Y106" s="16">
        <f t="shared" si="37"/>
        <v>-22883.224967940292</v>
      </c>
      <c r="Z106" s="16">
        <f t="shared" si="38"/>
        <v>-15995.393825056799</v>
      </c>
      <c r="AA106" s="16">
        <f t="shared" si="39"/>
        <v>-42759.761965811893</v>
      </c>
      <c r="AB106" s="16">
        <f t="shared" si="40"/>
        <v>-20571.258381401807</v>
      </c>
      <c r="AC106" s="16">
        <f t="shared" si="41"/>
        <v>-20571.258381401796</v>
      </c>
      <c r="AD106" s="16">
        <f t="shared" si="42"/>
        <v>-21271.2583814018</v>
      </c>
      <c r="AE106" s="14">
        <f>IF([1]Sheet2!AJ105=999999,"NA",[1]Sheet2!AJ105)</f>
        <v>24</v>
      </c>
      <c r="AF106" s="14">
        <f>IF([1]Sheet2!AK105=999999,"NA",[1]Sheet2!AK105)</f>
        <v>0</v>
      </c>
      <c r="AG106" s="14" t="str">
        <f>IF([1]Sheet2!AL105=999999,"NA",[1]Sheet2!AL105)</f>
        <v>NA</v>
      </c>
      <c r="AH106" s="14">
        <f>IF([1]Sheet2!AM105=999999,"NA",[1]Sheet2!AM105)</f>
        <v>262</v>
      </c>
      <c r="AI106" s="14">
        <f>IF([1]Sheet2!AN105=999999,"NA",[1]Sheet2!AN105)</f>
        <v>262</v>
      </c>
      <c r="AJ106" s="14">
        <f>IF([1]Sheet2!AO105=999999,"NA",[1]Sheet2!AO105)</f>
        <v>262</v>
      </c>
      <c r="AK106" s="14">
        <f>IF([1]Sheet2!AP105=999999,"NA",[1]Sheet2!AP105)</f>
        <v>7</v>
      </c>
      <c r="AL106" s="14">
        <f>IF([1]Sheet2!AQ105=999999,"NA",[1]Sheet2!AQ105)</f>
        <v>138</v>
      </c>
      <c r="AM106" s="14">
        <f>IF([1]Sheet2!AR105=999999,"NA",[1]Sheet2!AR105)</f>
        <v>262</v>
      </c>
      <c r="AN106" s="14">
        <f>IF([1]Sheet2!AS105=999999,"NA",[1]Sheet2!AS105)</f>
        <v>194</v>
      </c>
      <c r="AO106" s="14">
        <f>[1]Sheet2!P105</f>
        <v>0</v>
      </c>
      <c r="AP106" s="14">
        <f>[1]Sheet2!Q105</f>
        <v>0</v>
      </c>
      <c r="AQ106" s="14">
        <f>[1]Sheet2!R105</f>
        <v>0</v>
      </c>
      <c r="AR106" s="14">
        <f>[1]Sheet2!S105</f>
        <v>0</v>
      </c>
      <c r="AS106" s="14">
        <f>[1]Sheet2!T105</f>
        <v>0</v>
      </c>
      <c r="AT106" s="14">
        <f>[1]Sheet2!U105</f>
        <v>0</v>
      </c>
      <c r="AU106" s="14">
        <f>[1]Sheet2!V105</f>
        <v>0</v>
      </c>
      <c r="AV106" s="14">
        <f>[1]Sheet2!W105</f>
        <v>0</v>
      </c>
      <c r="AW106" s="14">
        <f>[1]Sheet2!X105</f>
        <v>0</v>
      </c>
      <c r="AX106" s="14">
        <f>[1]Sheet2!Y105</f>
        <v>0</v>
      </c>
      <c r="AY106" s="16">
        <f>Demand_LP!B$6/30</f>
        <v>790.61612406517088</v>
      </c>
      <c r="AZ106" s="16">
        <f>Demand_LP!C$6/30</f>
        <v>816.46367521367517</v>
      </c>
      <c r="BA106" s="16">
        <f>Demand_LP!D$6/30</f>
        <v>346.63461538461536</v>
      </c>
      <c r="BB106" s="16">
        <f>Demand_LP!E$6/30</f>
        <v>795.48076923076928</v>
      </c>
      <c r="BC106" s="16">
        <f>Demand_LP!F$6/30</f>
        <v>472.52230168269227</v>
      </c>
      <c r="BD106" s="16">
        <f>Demand_LP!G$6/30</f>
        <v>790.61612406517088</v>
      </c>
      <c r="BE106" s="16">
        <f>Demand_LP!H$6/30</f>
        <v>816.46367521367517</v>
      </c>
      <c r="BF106" s="16">
        <f>Demand_LP!I$6/30</f>
        <v>472.52230168269227</v>
      </c>
      <c r="BG106" s="16">
        <f>Demand_LP!J$6/30</f>
        <v>472.52230168269227</v>
      </c>
      <c r="BH106" s="16">
        <f>Demand_LP!K$6/30</f>
        <v>472.52230168269227</v>
      </c>
      <c r="BI106" s="16" t="e">
        <f t="shared" si="43"/>
        <v>#VALUE!</v>
      </c>
      <c r="BJ106" s="16">
        <f t="shared" si="44"/>
        <v>-61230.57136752129</v>
      </c>
      <c r="BK106" s="16">
        <f t="shared" si="45"/>
        <v>-27280.215384615374</v>
      </c>
      <c r="BL106" s="16">
        <f t="shared" si="46"/>
        <v>-74147.797419668888</v>
      </c>
      <c r="BM106" s="16">
        <f t="shared" si="47"/>
        <v>-46585.106003504385</v>
      </c>
      <c r="BN106" s="16">
        <f t="shared" si="48"/>
        <v>-70676.233119825571</v>
      </c>
      <c r="BO106" s="16">
        <f t="shared" si="49"/>
        <v>-63588.150854700805</v>
      </c>
      <c r="BP106" s="16">
        <f t="shared" si="50"/>
        <v>-46042.789921874981</v>
      </c>
      <c r="BQ106" s="16">
        <f t="shared" si="51"/>
        <v>-42642.789921875003</v>
      </c>
      <c r="BR106" s="16">
        <f t="shared" si="52"/>
        <v>-43842.789921874988</v>
      </c>
      <c r="BS106" s="14">
        <f>IF([1]Sheet2!CA105=999999,"NA",[1]Sheet2!CA105)</f>
        <v>172636.21007812492</v>
      </c>
      <c r="BT106" s="14">
        <f>IF([1]Sheet2!CB105=999999,"NA",[1]Sheet2!CB105)</f>
        <v>184</v>
      </c>
      <c r="BU106" s="14">
        <f>IF([1]Sheet2!CC105=999999,"NA",[1]Sheet2!CC105)</f>
        <v>262</v>
      </c>
      <c r="BV106" s="14">
        <f>IF([1]Sheet2!CD105=999999,"NA",[1]Sheet2!CD105)</f>
        <v>262</v>
      </c>
      <c r="BW106" s="14">
        <f>IF([1]Sheet2!CE105=999999,"NA",[1]Sheet2!CE105)</f>
        <v>224</v>
      </c>
      <c r="BX106" s="14">
        <f>IF([1]Sheet2!CF105=999999,"NA",[1]Sheet2!CF105)</f>
        <v>262</v>
      </c>
      <c r="BY106" s="14">
        <f>IF([1]Sheet2!CG105=999999,"NA",[1]Sheet2!CG105)</f>
        <v>156</v>
      </c>
      <c r="BZ106" s="14">
        <f>IF([1]Sheet2!CH105=999999,"NA",[1]Sheet2!CH105)</f>
        <v>262</v>
      </c>
      <c r="CA106" s="14">
        <f>IF([1]Sheet2!CI105=999999,"NA",[1]Sheet2!CI105)</f>
        <v>262</v>
      </c>
      <c r="CB106" s="14">
        <f>IF([1]Sheet2!CJ105=999999,"NA",[1]Sheet2!CJ105)</f>
        <v>262</v>
      </c>
      <c r="CC106" s="14">
        <f>[1]Sheet2!BG105</f>
        <v>0</v>
      </c>
      <c r="CD106" s="14">
        <f>[1]Sheet2!BH105</f>
        <v>0</v>
      </c>
      <c r="CE106" s="14">
        <f>[1]Sheet2!BI105</f>
        <v>0</v>
      </c>
      <c r="CF106" s="14">
        <f>[1]Sheet2!BJ105</f>
        <v>0</v>
      </c>
      <c r="CG106" s="14">
        <f>[1]Sheet2!BK105</f>
        <v>0</v>
      </c>
      <c r="CH106" s="14">
        <f>[1]Sheet2!BL105</f>
        <v>0</v>
      </c>
      <c r="CI106" s="14">
        <f>[1]Sheet2!BM105</f>
        <v>0</v>
      </c>
      <c r="CJ106" s="14">
        <f>[1]Sheet2!BN105</f>
        <v>0</v>
      </c>
      <c r="CK106" s="14">
        <f>[1]Sheet2!BO105</f>
        <v>0</v>
      </c>
      <c r="CL106" s="14">
        <f>[1]Sheet2!BP105</f>
        <v>0</v>
      </c>
      <c r="CM106" s="16">
        <f>Demand_SW!B$6/30</f>
        <v>173.07692307692304</v>
      </c>
      <c r="CN106" s="16">
        <f>Demand_SW!C$6/30</f>
        <v>0</v>
      </c>
      <c r="CO106" s="16">
        <f>Demand_SW!D$6/30</f>
        <v>0</v>
      </c>
      <c r="CP106" s="16">
        <f>Demand_SW!E$6/30</f>
        <v>0</v>
      </c>
      <c r="CQ106" s="16">
        <f>Demand_SW!F$6/30</f>
        <v>0</v>
      </c>
      <c r="CR106" s="16">
        <f>Demand_SW!G$6/30</f>
        <v>173.07692307692304</v>
      </c>
      <c r="CS106" s="16">
        <f>Demand_SW!H$6/30</f>
        <v>0</v>
      </c>
      <c r="CT106" s="16">
        <f>Demand_SW!I$6/30</f>
        <v>0</v>
      </c>
      <c r="CU106" s="16">
        <f>Demand_SW!J$6/30</f>
        <v>0</v>
      </c>
      <c r="CV106" s="16">
        <f>Demand_SW!K$6/30</f>
        <v>0</v>
      </c>
      <c r="CW106" s="16">
        <f t="shared" si="53"/>
        <v>37479.230769230744</v>
      </c>
      <c r="CX106" s="16">
        <f t="shared" si="54"/>
        <v>-423.07692307692292</v>
      </c>
      <c r="CY106" s="16">
        <f t="shared" si="55"/>
        <v>0</v>
      </c>
      <c r="CZ106" s="16">
        <f t="shared" si="56"/>
        <v>0</v>
      </c>
      <c r="DA106" s="16">
        <f t="shared" si="57"/>
        <v>0</v>
      </c>
      <c r="DB106" s="16">
        <f t="shared" si="58"/>
        <v>-12050</v>
      </c>
      <c r="DC106" s="16">
        <f t="shared" si="59"/>
        <v>-423.07692307692292</v>
      </c>
      <c r="DD106" s="16">
        <f t="shared" si="60"/>
        <v>0</v>
      </c>
      <c r="DE106" s="16">
        <f t="shared" si="61"/>
        <v>0</v>
      </c>
      <c r="DF106" s="16">
        <f t="shared" si="62"/>
        <v>0</v>
      </c>
      <c r="DG106" s="14">
        <f>IF([1]Sheet2!DR105=999999,"NA",[1]Sheet2!DR105)</f>
        <v>73103</v>
      </c>
      <c r="DH106" s="14">
        <f>IF([1]Sheet2!DS105=999999,"NA",[1]Sheet2!DS105)</f>
        <v>262</v>
      </c>
      <c r="DI106" s="14">
        <f>IF([1]Sheet2!DT105=999999,"NA",[1]Sheet2!DT105)</f>
        <v>262</v>
      </c>
      <c r="DJ106" s="14" t="str">
        <f>IF([1]Sheet2!DU105=999999,"NA",[1]Sheet2!DU105)</f>
        <v>NA</v>
      </c>
      <c r="DK106" s="14" t="str">
        <f>IF([1]Sheet2!DV105=999999,"NA",[1]Sheet2!DV105)</f>
        <v>NA</v>
      </c>
      <c r="DL106" s="14" t="str">
        <f>IF([1]Sheet2!DW105=999999,"NA",[1]Sheet2!DW105)</f>
        <v>NA</v>
      </c>
      <c r="DM106" s="14">
        <f>IF([1]Sheet2!DX105=999999,"NA",[1]Sheet2!DX105)</f>
        <v>262</v>
      </c>
      <c r="DN106" s="14">
        <f>IF([1]Sheet2!DY105=999999,"NA",[1]Sheet2!DY105)</f>
        <v>262</v>
      </c>
      <c r="DO106" s="14" t="str">
        <f>IF([1]Sheet2!DZ105=999999,"NA",[1]Sheet2!DZ105)</f>
        <v>NA</v>
      </c>
      <c r="DP106" s="14" t="str">
        <f>IF([1]Sheet2!EA105=999999,"NA",[1]Sheet2!EA105)</f>
        <v>NA</v>
      </c>
      <c r="DQ106" s="14">
        <f>[1]Sheet2!CX105</f>
        <v>0</v>
      </c>
      <c r="DR106" s="14">
        <f>[1]Sheet2!CY105</f>
        <v>0</v>
      </c>
      <c r="DS106" s="14">
        <f>[1]Sheet2!CZ105</f>
        <v>0</v>
      </c>
      <c r="DT106" s="14">
        <f>[1]Sheet2!DA105</f>
        <v>0</v>
      </c>
      <c r="DU106" s="14">
        <f>[1]Sheet2!DB105</f>
        <v>0</v>
      </c>
      <c r="DV106" s="14">
        <f>[1]Sheet2!DC105</f>
        <v>0</v>
      </c>
      <c r="DW106" s="14">
        <f>[1]Sheet2!DD105</f>
        <v>0</v>
      </c>
      <c r="DX106" s="14">
        <f>[1]Sheet2!DE105</f>
        <v>0</v>
      </c>
      <c r="DY106" s="14">
        <f>[1]Sheet2!DF105</f>
        <v>0</v>
      </c>
      <c r="DZ106" s="14">
        <f>[1]Sheet2!DG105</f>
        <v>0</v>
      </c>
    </row>
    <row r="107" spans="1:130" x14ac:dyDescent="0.25">
      <c r="A107" s="15">
        <v>43569</v>
      </c>
      <c r="B107" s="1"/>
      <c r="C107" s="1"/>
      <c r="D107" s="1"/>
      <c r="E107" s="14">
        <f>[1]Sheet2!N106</f>
        <v>0</v>
      </c>
      <c r="F107" s="14">
        <f>[1]Sheet2!BE106</f>
        <v>0</v>
      </c>
      <c r="G107" s="14">
        <f>[1]Sheet2!CV106</f>
        <v>346.15384615384608</v>
      </c>
      <c r="H107" s="1"/>
      <c r="I107" s="1"/>
      <c r="J107" s="1"/>
      <c r="K107" s="16">
        <f>Demand_CWRS!B$6/30</f>
        <v>136.96097796474356</v>
      </c>
      <c r="L107" s="16">
        <f>Demand_CWRS!C$6/30</f>
        <v>544.43376068376062</v>
      </c>
      <c r="M107" s="16">
        <f>Demand_CWRS!D$6/30</f>
        <v>0</v>
      </c>
      <c r="N107" s="16">
        <f>Demand_CWRS!E$6/30</f>
        <v>108.97435897435896</v>
      </c>
      <c r="O107" s="16">
        <f>Demand_CWRS!F$6/30</f>
        <v>213.3621347489316</v>
      </c>
      <c r="P107" s="16">
        <f>Demand_CWRS!G$6/30</f>
        <v>133.33333333333334</v>
      </c>
      <c r="Q107" s="16">
        <f>Demand_CWRS!H$6/30</f>
        <v>544.43376068376062</v>
      </c>
      <c r="R107" s="16">
        <f>Demand_CWRS!I$6/30</f>
        <v>213.3621347489316</v>
      </c>
      <c r="S107" s="16">
        <f>Demand_CWRS!J$6/30</f>
        <v>213.3621347489316</v>
      </c>
      <c r="T107" s="16">
        <f>Demand_CWRS!K$6/30</f>
        <v>213.3621347489316</v>
      </c>
      <c r="U107" s="16">
        <f t="shared" si="33"/>
        <v>-16396.457993326003</v>
      </c>
      <c r="V107" s="16">
        <f t="shared" si="34"/>
        <v>-43804.195726495651</v>
      </c>
      <c r="W107" s="16">
        <f t="shared" si="35"/>
        <v>0</v>
      </c>
      <c r="X107" s="16">
        <f t="shared" si="36"/>
        <v>-10005.045780590726</v>
      </c>
      <c r="Y107" s="16">
        <f t="shared" si="37"/>
        <v>-23096.587102689224</v>
      </c>
      <c r="Z107" s="16">
        <f t="shared" si="38"/>
        <v>-16128.727158390133</v>
      </c>
      <c r="AA107" s="16">
        <f t="shared" si="39"/>
        <v>-43304.195726495651</v>
      </c>
      <c r="AB107" s="16">
        <f t="shared" si="40"/>
        <v>-20784.620516150739</v>
      </c>
      <c r="AC107" s="16">
        <f t="shared" si="41"/>
        <v>-20784.620516150728</v>
      </c>
      <c r="AD107" s="16">
        <f t="shared" si="42"/>
        <v>-21484.620516150731</v>
      </c>
      <c r="AE107" s="14">
        <f>IF([1]Sheet2!AJ106=999999,"NA",[1]Sheet2!AJ106)</f>
        <v>23</v>
      </c>
      <c r="AF107" s="14">
        <f>IF([1]Sheet2!AK106=999999,"NA",[1]Sheet2!AK106)</f>
        <v>0</v>
      </c>
      <c r="AG107" s="14" t="str">
        <f>IF([1]Sheet2!AL106=999999,"NA",[1]Sheet2!AL106)</f>
        <v>NA</v>
      </c>
      <c r="AH107" s="14">
        <f>IF([1]Sheet2!AM106=999999,"NA",[1]Sheet2!AM106)</f>
        <v>261</v>
      </c>
      <c r="AI107" s="14">
        <f>IF([1]Sheet2!AN106=999999,"NA",[1]Sheet2!AN106)</f>
        <v>261</v>
      </c>
      <c r="AJ107" s="14">
        <f>IF([1]Sheet2!AO106=999999,"NA",[1]Sheet2!AO106)</f>
        <v>261</v>
      </c>
      <c r="AK107" s="14">
        <f>IF([1]Sheet2!AP106=999999,"NA",[1]Sheet2!AP106)</f>
        <v>6</v>
      </c>
      <c r="AL107" s="14">
        <f>IF([1]Sheet2!AQ106=999999,"NA",[1]Sheet2!AQ106)</f>
        <v>137</v>
      </c>
      <c r="AM107" s="14">
        <f>IF([1]Sheet2!AR106=999999,"NA",[1]Sheet2!AR106)</f>
        <v>261</v>
      </c>
      <c r="AN107" s="14">
        <f>IF([1]Sheet2!AS106=999999,"NA",[1]Sheet2!AS106)</f>
        <v>193</v>
      </c>
      <c r="AO107" s="14">
        <f>[1]Sheet2!P106</f>
        <v>0</v>
      </c>
      <c r="AP107" s="14">
        <f>[1]Sheet2!Q106</f>
        <v>0</v>
      </c>
      <c r="AQ107" s="14">
        <f>[1]Sheet2!R106</f>
        <v>0</v>
      </c>
      <c r="AR107" s="14">
        <f>[1]Sheet2!S106</f>
        <v>0</v>
      </c>
      <c r="AS107" s="14">
        <f>[1]Sheet2!T106</f>
        <v>0</v>
      </c>
      <c r="AT107" s="14">
        <f>[1]Sheet2!U106</f>
        <v>0</v>
      </c>
      <c r="AU107" s="14">
        <f>[1]Sheet2!V106</f>
        <v>0</v>
      </c>
      <c r="AV107" s="14">
        <f>[1]Sheet2!W106</f>
        <v>0</v>
      </c>
      <c r="AW107" s="14">
        <f>[1]Sheet2!X106</f>
        <v>0</v>
      </c>
      <c r="AX107" s="14">
        <f>[1]Sheet2!Y106</f>
        <v>0</v>
      </c>
      <c r="AY107" s="16">
        <f>Demand_LP!B$6/30</f>
        <v>790.61612406517088</v>
      </c>
      <c r="AZ107" s="16">
        <f>Demand_LP!C$6/30</f>
        <v>816.46367521367517</v>
      </c>
      <c r="BA107" s="16">
        <f>Demand_LP!D$6/30</f>
        <v>346.63461538461536</v>
      </c>
      <c r="BB107" s="16">
        <f>Demand_LP!E$6/30</f>
        <v>795.48076923076928</v>
      </c>
      <c r="BC107" s="16">
        <f>Demand_LP!F$6/30</f>
        <v>472.52230168269227</v>
      </c>
      <c r="BD107" s="16">
        <f>Demand_LP!G$6/30</f>
        <v>790.61612406517088</v>
      </c>
      <c r="BE107" s="16">
        <f>Demand_LP!H$6/30</f>
        <v>816.46367521367517</v>
      </c>
      <c r="BF107" s="16">
        <f>Demand_LP!I$6/30</f>
        <v>472.52230168269227</v>
      </c>
      <c r="BG107" s="16">
        <f>Demand_LP!J$6/30</f>
        <v>472.52230168269227</v>
      </c>
      <c r="BH107" s="16">
        <f>Demand_LP!K$6/30</f>
        <v>472.52230168269227</v>
      </c>
      <c r="BI107" s="16" t="e">
        <f t="shared" si="43"/>
        <v>#VALUE!</v>
      </c>
      <c r="BJ107" s="16">
        <f t="shared" si="44"/>
        <v>-62047.035042734962</v>
      </c>
      <c r="BK107" s="16">
        <f t="shared" si="45"/>
        <v>-27626.849999999991</v>
      </c>
      <c r="BL107" s="16">
        <f t="shared" si="46"/>
        <v>-74943.278188899654</v>
      </c>
      <c r="BM107" s="16">
        <f t="shared" si="47"/>
        <v>-47057.628305187078</v>
      </c>
      <c r="BN107" s="16">
        <f t="shared" si="48"/>
        <v>-71466.849243890741</v>
      </c>
      <c r="BO107" s="16">
        <f t="shared" si="49"/>
        <v>-64404.614529914477</v>
      </c>
      <c r="BP107" s="16">
        <f t="shared" si="50"/>
        <v>-46515.312223557674</v>
      </c>
      <c r="BQ107" s="16">
        <f t="shared" si="51"/>
        <v>-43115.312223557696</v>
      </c>
      <c r="BR107" s="16">
        <f t="shared" si="52"/>
        <v>-44315.312223557681</v>
      </c>
      <c r="BS107" s="14">
        <f>IF([1]Sheet2!CA106=999999,"NA",[1]Sheet2!CA106)</f>
        <v>172163.68777644224</v>
      </c>
      <c r="BT107" s="14">
        <f>IF([1]Sheet2!CB106=999999,"NA",[1]Sheet2!CB106)</f>
        <v>183</v>
      </c>
      <c r="BU107" s="14">
        <f>IF([1]Sheet2!CC106=999999,"NA",[1]Sheet2!CC106)</f>
        <v>261</v>
      </c>
      <c r="BV107" s="14">
        <f>IF([1]Sheet2!CD106=999999,"NA",[1]Sheet2!CD106)</f>
        <v>261</v>
      </c>
      <c r="BW107" s="14">
        <f>IF([1]Sheet2!CE106=999999,"NA",[1]Sheet2!CE106)</f>
        <v>223</v>
      </c>
      <c r="BX107" s="14">
        <f>IF([1]Sheet2!CF106=999999,"NA",[1]Sheet2!CF106)</f>
        <v>261</v>
      </c>
      <c r="BY107" s="14">
        <f>IF([1]Sheet2!CG106=999999,"NA",[1]Sheet2!CG106)</f>
        <v>155</v>
      </c>
      <c r="BZ107" s="14">
        <f>IF([1]Sheet2!CH106=999999,"NA",[1]Sheet2!CH106)</f>
        <v>261</v>
      </c>
      <c r="CA107" s="14">
        <f>IF([1]Sheet2!CI106=999999,"NA",[1]Sheet2!CI106)</f>
        <v>261</v>
      </c>
      <c r="CB107" s="14">
        <f>IF([1]Sheet2!CJ106=999999,"NA",[1]Sheet2!CJ106)</f>
        <v>261</v>
      </c>
      <c r="CC107" s="14">
        <f>[1]Sheet2!BG106</f>
        <v>0</v>
      </c>
      <c r="CD107" s="14">
        <f>[1]Sheet2!BH106</f>
        <v>0</v>
      </c>
      <c r="CE107" s="14">
        <f>[1]Sheet2!BI106</f>
        <v>0</v>
      </c>
      <c r="CF107" s="14">
        <f>[1]Sheet2!BJ106</f>
        <v>0</v>
      </c>
      <c r="CG107" s="14">
        <f>[1]Sheet2!BK106</f>
        <v>0</v>
      </c>
      <c r="CH107" s="14">
        <f>[1]Sheet2!BL106</f>
        <v>0</v>
      </c>
      <c r="CI107" s="14">
        <f>[1]Sheet2!BM106</f>
        <v>0</v>
      </c>
      <c r="CJ107" s="14">
        <f>[1]Sheet2!BN106</f>
        <v>0</v>
      </c>
      <c r="CK107" s="14">
        <f>[1]Sheet2!BO106</f>
        <v>0</v>
      </c>
      <c r="CL107" s="14">
        <f>[1]Sheet2!BP106</f>
        <v>0</v>
      </c>
      <c r="CM107" s="16">
        <f>Demand_SW!B$6/30</f>
        <v>173.07692307692304</v>
      </c>
      <c r="CN107" s="16">
        <f>Demand_SW!C$6/30</f>
        <v>0</v>
      </c>
      <c r="CO107" s="16">
        <f>Demand_SW!D$6/30</f>
        <v>0</v>
      </c>
      <c r="CP107" s="16">
        <f>Demand_SW!E$6/30</f>
        <v>0</v>
      </c>
      <c r="CQ107" s="16">
        <f>Demand_SW!F$6/30</f>
        <v>0</v>
      </c>
      <c r="CR107" s="16">
        <f>Demand_SW!G$6/30</f>
        <v>173.07692307692304</v>
      </c>
      <c r="CS107" s="16">
        <f>Demand_SW!H$6/30</f>
        <v>0</v>
      </c>
      <c r="CT107" s="16">
        <f>Demand_SW!I$6/30</f>
        <v>0</v>
      </c>
      <c r="CU107" s="16">
        <f>Demand_SW!J$6/30</f>
        <v>0</v>
      </c>
      <c r="CV107" s="16">
        <f>Demand_SW!K$6/30</f>
        <v>0</v>
      </c>
      <c r="CW107" s="16">
        <f t="shared" si="53"/>
        <v>37306.153846153822</v>
      </c>
      <c r="CX107" s="16">
        <f t="shared" si="54"/>
        <v>-423.07692307692292</v>
      </c>
      <c r="CY107" s="16">
        <f t="shared" si="55"/>
        <v>0</v>
      </c>
      <c r="CZ107" s="16">
        <f t="shared" si="56"/>
        <v>0</v>
      </c>
      <c r="DA107" s="16">
        <f t="shared" si="57"/>
        <v>0</v>
      </c>
      <c r="DB107" s="16">
        <f t="shared" si="58"/>
        <v>-12223.076923076924</v>
      </c>
      <c r="DC107" s="16">
        <f t="shared" si="59"/>
        <v>-423.07692307692292</v>
      </c>
      <c r="DD107" s="16">
        <f t="shared" si="60"/>
        <v>0</v>
      </c>
      <c r="DE107" s="16">
        <f t="shared" si="61"/>
        <v>0</v>
      </c>
      <c r="DF107" s="16">
        <f t="shared" si="62"/>
        <v>0</v>
      </c>
      <c r="DG107" s="14">
        <f>IF([1]Sheet2!DR106=999999,"NA",[1]Sheet2!DR106)</f>
        <v>73103</v>
      </c>
      <c r="DH107" s="14">
        <f>IF([1]Sheet2!DS106=999999,"NA",[1]Sheet2!DS106)</f>
        <v>261</v>
      </c>
      <c r="DI107" s="14">
        <f>IF([1]Sheet2!DT106=999999,"NA",[1]Sheet2!DT106)</f>
        <v>261</v>
      </c>
      <c r="DJ107" s="14" t="str">
        <f>IF([1]Sheet2!DU106=999999,"NA",[1]Sheet2!DU106)</f>
        <v>NA</v>
      </c>
      <c r="DK107" s="14" t="str">
        <f>IF([1]Sheet2!DV106=999999,"NA",[1]Sheet2!DV106)</f>
        <v>NA</v>
      </c>
      <c r="DL107" s="14" t="str">
        <f>IF([1]Sheet2!DW106=999999,"NA",[1]Sheet2!DW106)</f>
        <v>NA</v>
      </c>
      <c r="DM107" s="14">
        <f>IF([1]Sheet2!DX106=999999,"NA",[1]Sheet2!DX106)</f>
        <v>261</v>
      </c>
      <c r="DN107" s="14">
        <f>IF([1]Sheet2!DY106=999999,"NA",[1]Sheet2!DY106)</f>
        <v>261</v>
      </c>
      <c r="DO107" s="14" t="str">
        <f>IF([1]Sheet2!DZ106=999999,"NA",[1]Sheet2!DZ106)</f>
        <v>NA</v>
      </c>
      <c r="DP107" s="14" t="str">
        <f>IF([1]Sheet2!EA106=999999,"NA",[1]Sheet2!EA106)</f>
        <v>NA</v>
      </c>
      <c r="DQ107" s="14">
        <f>[1]Sheet2!CX106</f>
        <v>0</v>
      </c>
      <c r="DR107" s="14">
        <f>[1]Sheet2!CY106</f>
        <v>0</v>
      </c>
      <c r="DS107" s="14">
        <f>[1]Sheet2!CZ106</f>
        <v>0</v>
      </c>
      <c r="DT107" s="14">
        <f>[1]Sheet2!DA106</f>
        <v>0</v>
      </c>
      <c r="DU107" s="14">
        <f>[1]Sheet2!DB106</f>
        <v>0</v>
      </c>
      <c r="DV107" s="14">
        <f>[1]Sheet2!DC106</f>
        <v>0</v>
      </c>
      <c r="DW107" s="14">
        <f>[1]Sheet2!DD106</f>
        <v>0</v>
      </c>
      <c r="DX107" s="14">
        <f>[1]Sheet2!DE106</f>
        <v>0</v>
      </c>
      <c r="DY107" s="14">
        <f>[1]Sheet2!DF106</f>
        <v>0</v>
      </c>
      <c r="DZ107" s="14">
        <f>[1]Sheet2!DG106</f>
        <v>0</v>
      </c>
    </row>
    <row r="108" spans="1:130" x14ac:dyDescent="0.25">
      <c r="A108" s="15">
        <v>43570</v>
      </c>
      <c r="B108" s="1"/>
      <c r="C108" s="1"/>
      <c r="D108" s="1"/>
      <c r="E108" s="14">
        <f>[1]Sheet2!N107</f>
        <v>0</v>
      </c>
      <c r="F108" s="14">
        <f>[1]Sheet2!BE107</f>
        <v>0</v>
      </c>
      <c r="G108" s="14">
        <f>[1]Sheet2!CV107</f>
        <v>346.15384615384608</v>
      </c>
      <c r="H108" s="1"/>
      <c r="I108" s="1"/>
      <c r="J108" s="1"/>
      <c r="K108" s="16">
        <f>Demand_CWRS!B$6/30</f>
        <v>136.96097796474356</v>
      </c>
      <c r="L108" s="16">
        <f>Demand_CWRS!C$6/30</f>
        <v>544.43376068376062</v>
      </c>
      <c r="M108" s="16">
        <f>Demand_CWRS!D$6/30</f>
        <v>0</v>
      </c>
      <c r="N108" s="16">
        <f>Demand_CWRS!E$6/30</f>
        <v>108.97435897435896</v>
      </c>
      <c r="O108" s="16">
        <f>Demand_CWRS!F$6/30</f>
        <v>213.3621347489316</v>
      </c>
      <c r="P108" s="16">
        <f>Demand_CWRS!G$6/30</f>
        <v>133.33333333333334</v>
      </c>
      <c r="Q108" s="16">
        <f>Demand_CWRS!H$6/30</f>
        <v>544.43376068376062</v>
      </c>
      <c r="R108" s="16">
        <f>Demand_CWRS!I$6/30</f>
        <v>213.3621347489316</v>
      </c>
      <c r="S108" s="16">
        <f>Demand_CWRS!J$6/30</f>
        <v>213.3621347489316</v>
      </c>
      <c r="T108" s="16">
        <f>Demand_CWRS!K$6/30</f>
        <v>213.3621347489316</v>
      </c>
      <c r="U108" s="16">
        <f t="shared" si="33"/>
        <v>-16533.418971290746</v>
      </c>
      <c r="V108" s="16">
        <f t="shared" si="34"/>
        <v>-44348.629487179409</v>
      </c>
      <c r="W108" s="16">
        <f t="shared" si="35"/>
        <v>0</v>
      </c>
      <c r="X108" s="16">
        <f t="shared" si="36"/>
        <v>-10114.020139565086</v>
      </c>
      <c r="Y108" s="16">
        <f t="shared" si="37"/>
        <v>-23309.949237438155</v>
      </c>
      <c r="Z108" s="16">
        <f t="shared" si="38"/>
        <v>-16262.060491723467</v>
      </c>
      <c r="AA108" s="16">
        <f t="shared" si="39"/>
        <v>-43848.629487179409</v>
      </c>
      <c r="AB108" s="16">
        <f t="shared" si="40"/>
        <v>-20997.98265089967</v>
      </c>
      <c r="AC108" s="16">
        <f t="shared" si="41"/>
        <v>-20997.982650899659</v>
      </c>
      <c r="AD108" s="16">
        <f t="shared" si="42"/>
        <v>-21697.982650899663</v>
      </c>
      <c r="AE108" s="14">
        <f>IF([1]Sheet2!AJ107=999999,"NA",[1]Sheet2!AJ107)</f>
        <v>22</v>
      </c>
      <c r="AF108" s="14">
        <f>IF([1]Sheet2!AK107=999999,"NA",[1]Sheet2!AK107)</f>
        <v>0</v>
      </c>
      <c r="AG108" s="14" t="str">
        <f>IF([1]Sheet2!AL107=999999,"NA",[1]Sheet2!AL107)</f>
        <v>NA</v>
      </c>
      <c r="AH108" s="14">
        <f>IF([1]Sheet2!AM107=999999,"NA",[1]Sheet2!AM107)</f>
        <v>260</v>
      </c>
      <c r="AI108" s="14">
        <f>IF([1]Sheet2!AN107=999999,"NA",[1]Sheet2!AN107)</f>
        <v>260</v>
      </c>
      <c r="AJ108" s="14">
        <f>IF([1]Sheet2!AO107=999999,"NA",[1]Sheet2!AO107)</f>
        <v>260</v>
      </c>
      <c r="AK108" s="14">
        <f>IF([1]Sheet2!AP107=999999,"NA",[1]Sheet2!AP107)</f>
        <v>5</v>
      </c>
      <c r="AL108" s="14">
        <f>IF([1]Sheet2!AQ107=999999,"NA",[1]Sheet2!AQ107)</f>
        <v>136</v>
      </c>
      <c r="AM108" s="14">
        <f>IF([1]Sheet2!AR107=999999,"NA",[1]Sheet2!AR107)</f>
        <v>260</v>
      </c>
      <c r="AN108" s="14">
        <f>IF([1]Sheet2!AS107=999999,"NA",[1]Sheet2!AS107)</f>
        <v>192</v>
      </c>
      <c r="AO108" s="14">
        <f>[1]Sheet2!P107</f>
        <v>0</v>
      </c>
      <c r="AP108" s="14">
        <f>[1]Sheet2!Q107</f>
        <v>0</v>
      </c>
      <c r="AQ108" s="14">
        <f>[1]Sheet2!R107</f>
        <v>0</v>
      </c>
      <c r="AR108" s="14">
        <f>[1]Sheet2!S107</f>
        <v>0</v>
      </c>
      <c r="AS108" s="14">
        <f>[1]Sheet2!T107</f>
        <v>0</v>
      </c>
      <c r="AT108" s="14">
        <f>[1]Sheet2!U107</f>
        <v>0</v>
      </c>
      <c r="AU108" s="14">
        <f>[1]Sheet2!V107</f>
        <v>0</v>
      </c>
      <c r="AV108" s="14">
        <f>[1]Sheet2!W107</f>
        <v>0</v>
      </c>
      <c r="AW108" s="14">
        <f>[1]Sheet2!X107</f>
        <v>0</v>
      </c>
      <c r="AX108" s="14">
        <f>[1]Sheet2!Y107</f>
        <v>0</v>
      </c>
      <c r="AY108" s="16">
        <f>Demand_LP!B$6/30</f>
        <v>790.61612406517088</v>
      </c>
      <c r="AZ108" s="16">
        <f>Demand_LP!C$6/30</f>
        <v>816.46367521367517</v>
      </c>
      <c r="BA108" s="16">
        <f>Demand_LP!D$6/30</f>
        <v>346.63461538461536</v>
      </c>
      <c r="BB108" s="16">
        <f>Demand_LP!E$6/30</f>
        <v>795.48076923076928</v>
      </c>
      <c r="BC108" s="16">
        <f>Demand_LP!F$6/30</f>
        <v>472.52230168269227</v>
      </c>
      <c r="BD108" s="16">
        <f>Demand_LP!G$6/30</f>
        <v>790.61612406517088</v>
      </c>
      <c r="BE108" s="16">
        <f>Demand_LP!H$6/30</f>
        <v>816.46367521367517</v>
      </c>
      <c r="BF108" s="16">
        <f>Demand_LP!I$6/30</f>
        <v>472.52230168269227</v>
      </c>
      <c r="BG108" s="16">
        <f>Demand_LP!J$6/30</f>
        <v>472.52230168269227</v>
      </c>
      <c r="BH108" s="16">
        <f>Demand_LP!K$6/30</f>
        <v>472.52230168269227</v>
      </c>
      <c r="BI108" s="16" t="e">
        <f t="shared" si="43"/>
        <v>#VALUE!</v>
      </c>
      <c r="BJ108" s="16">
        <f t="shared" si="44"/>
        <v>-62863.498717948634</v>
      </c>
      <c r="BK108" s="16">
        <f t="shared" si="45"/>
        <v>-27973.484615384608</v>
      </c>
      <c r="BL108" s="16">
        <f t="shared" si="46"/>
        <v>-75738.75895813042</v>
      </c>
      <c r="BM108" s="16">
        <f t="shared" si="47"/>
        <v>-47530.150606869771</v>
      </c>
      <c r="BN108" s="16">
        <f t="shared" si="48"/>
        <v>-72257.465367955912</v>
      </c>
      <c r="BO108" s="16">
        <f t="shared" si="49"/>
        <v>-65221.078205128149</v>
      </c>
      <c r="BP108" s="16">
        <f t="shared" si="50"/>
        <v>-46987.834525240367</v>
      </c>
      <c r="BQ108" s="16">
        <f t="shared" si="51"/>
        <v>-43587.834525240389</v>
      </c>
      <c r="BR108" s="16">
        <f t="shared" si="52"/>
        <v>-44787.834525240374</v>
      </c>
      <c r="BS108" s="14">
        <f>IF([1]Sheet2!CA107=999999,"NA",[1]Sheet2!CA107)</f>
        <v>171691.16547475956</v>
      </c>
      <c r="BT108" s="14">
        <f>IF([1]Sheet2!CB107=999999,"NA",[1]Sheet2!CB107)</f>
        <v>182</v>
      </c>
      <c r="BU108" s="14">
        <f>IF([1]Sheet2!CC107=999999,"NA",[1]Sheet2!CC107)</f>
        <v>260</v>
      </c>
      <c r="BV108" s="14">
        <f>IF([1]Sheet2!CD107=999999,"NA",[1]Sheet2!CD107)</f>
        <v>260</v>
      </c>
      <c r="BW108" s="14">
        <f>IF([1]Sheet2!CE107=999999,"NA",[1]Sheet2!CE107)</f>
        <v>222</v>
      </c>
      <c r="BX108" s="14">
        <f>IF([1]Sheet2!CF107=999999,"NA",[1]Sheet2!CF107)</f>
        <v>260</v>
      </c>
      <c r="BY108" s="14">
        <f>IF([1]Sheet2!CG107=999999,"NA",[1]Sheet2!CG107)</f>
        <v>154</v>
      </c>
      <c r="BZ108" s="14">
        <f>IF([1]Sheet2!CH107=999999,"NA",[1]Sheet2!CH107)</f>
        <v>260</v>
      </c>
      <c r="CA108" s="14">
        <f>IF([1]Sheet2!CI107=999999,"NA",[1]Sheet2!CI107)</f>
        <v>260</v>
      </c>
      <c r="CB108" s="14">
        <f>IF([1]Sheet2!CJ107=999999,"NA",[1]Sheet2!CJ107)</f>
        <v>260</v>
      </c>
      <c r="CC108" s="14">
        <f>[1]Sheet2!BG107</f>
        <v>0</v>
      </c>
      <c r="CD108" s="14">
        <f>[1]Sheet2!BH107</f>
        <v>0</v>
      </c>
      <c r="CE108" s="14">
        <f>[1]Sheet2!BI107</f>
        <v>0</v>
      </c>
      <c r="CF108" s="14">
        <f>[1]Sheet2!BJ107</f>
        <v>0</v>
      </c>
      <c r="CG108" s="14">
        <f>[1]Sheet2!BK107</f>
        <v>0</v>
      </c>
      <c r="CH108" s="14">
        <f>[1]Sheet2!BL107</f>
        <v>0</v>
      </c>
      <c r="CI108" s="14">
        <f>[1]Sheet2!BM107</f>
        <v>0</v>
      </c>
      <c r="CJ108" s="14">
        <f>[1]Sheet2!BN107</f>
        <v>0</v>
      </c>
      <c r="CK108" s="14">
        <f>[1]Sheet2!BO107</f>
        <v>0</v>
      </c>
      <c r="CL108" s="14">
        <f>[1]Sheet2!BP107</f>
        <v>0</v>
      </c>
      <c r="CM108" s="16">
        <f>Demand_SW!B$6/30</f>
        <v>173.07692307692304</v>
      </c>
      <c r="CN108" s="16">
        <f>Demand_SW!C$6/30</f>
        <v>0</v>
      </c>
      <c r="CO108" s="16">
        <f>Demand_SW!D$6/30</f>
        <v>0</v>
      </c>
      <c r="CP108" s="16">
        <f>Demand_SW!E$6/30</f>
        <v>0</v>
      </c>
      <c r="CQ108" s="16">
        <f>Demand_SW!F$6/30</f>
        <v>0</v>
      </c>
      <c r="CR108" s="16">
        <f>Demand_SW!G$6/30</f>
        <v>173.07692307692304</v>
      </c>
      <c r="CS108" s="16">
        <f>Demand_SW!H$6/30</f>
        <v>0</v>
      </c>
      <c r="CT108" s="16">
        <f>Demand_SW!I$6/30</f>
        <v>0</v>
      </c>
      <c r="CU108" s="16">
        <f>Demand_SW!J$6/30</f>
        <v>0</v>
      </c>
      <c r="CV108" s="16">
        <f>Demand_SW!K$6/30</f>
        <v>0</v>
      </c>
      <c r="CW108" s="16">
        <f t="shared" si="53"/>
        <v>37133.0769230769</v>
      </c>
      <c r="CX108" s="16">
        <f t="shared" si="54"/>
        <v>-423.07692307692292</v>
      </c>
      <c r="CY108" s="16">
        <f t="shared" si="55"/>
        <v>0</v>
      </c>
      <c r="CZ108" s="16">
        <f t="shared" si="56"/>
        <v>0</v>
      </c>
      <c r="DA108" s="16">
        <f t="shared" si="57"/>
        <v>0</v>
      </c>
      <c r="DB108" s="16">
        <f t="shared" si="58"/>
        <v>-12396.153846153848</v>
      </c>
      <c r="DC108" s="16">
        <f t="shared" si="59"/>
        <v>-423.07692307692292</v>
      </c>
      <c r="DD108" s="16">
        <f t="shared" si="60"/>
        <v>0</v>
      </c>
      <c r="DE108" s="16">
        <f t="shared" si="61"/>
        <v>0</v>
      </c>
      <c r="DF108" s="16">
        <f t="shared" si="62"/>
        <v>0</v>
      </c>
      <c r="DG108" s="14">
        <f>IF([1]Sheet2!DR107=999999,"NA",[1]Sheet2!DR107)</f>
        <v>73103</v>
      </c>
      <c r="DH108" s="14">
        <f>IF([1]Sheet2!DS107=999999,"NA",[1]Sheet2!DS107)</f>
        <v>260</v>
      </c>
      <c r="DI108" s="14">
        <f>IF([1]Sheet2!DT107=999999,"NA",[1]Sheet2!DT107)</f>
        <v>260</v>
      </c>
      <c r="DJ108" s="14" t="str">
        <f>IF([1]Sheet2!DU107=999999,"NA",[1]Sheet2!DU107)</f>
        <v>NA</v>
      </c>
      <c r="DK108" s="14" t="str">
        <f>IF([1]Sheet2!DV107=999999,"NA",[1]Sheet2!DV107)</f>
        <v>NA</v>
      </c>
      <c r="DL108" s="14" t="str">
        <f>IF([1]Sheet2!DW107=999999,"NA",[1]Sheet2!DW107)</f>
        <v>NA</v>
      </c>
      <c r="DM108" s="14">
        <f>IF([1]Sheet2!DX107=999999,"NA",[1]Sheet2!DX107)</f>
        <v>260</v>
      </c>
      <c r="DN108" s="14">
        <f>IF([1]Sheet2!DY107=999999,"NA",[1]Sheet2!DY107)</f>
        <v>260</v>
      </c>
      <c r="DO108" s="14" t="str">
        <f>IF([1]Sheet2!DZ107=999999,"NA",[1]Sheet2!DZ107)</f>
        <v>NA</v>
      </c>
      <c r="DP108" s="14" t="str">
        <f>IF([1]Sheet2!EA107=999999,"NA",[1]Sheet2!EA107)</f>
        <v>NA</v>
      </c>
      <c r="DQ108" s="14">
        <f>[1]Sheet2!CX107</f>
        <v>0</v>
      </c>
      <c r="DR108" s="14">
        <f>[1]Sheet2!CY107</f>
        <v>0</v>
      </c>
      <c r="DS108" s="14">
        <f>[1]Sheet2!CZ107</f>
        <v>0</v>
      </c>
      <c r="DT108" s="14">
        <f>[1]Sheet2!DA107</f>
        <v>0</v>
      </c>
      <c r="DU108" s="14">
        <f>[1]Sheet2!DB107</f>
        <v>0</v>
      </c>
      <c r="DV108" s="14">
        <f>[1]Sheet2!DC107</f>
        <v>0</v>
      </c>
      <c r="DW108" s="14">
        <f>[1]Sheet2!DD107</f>
        <v>0</v>
      </c>
      <c r="DX108" s="14">
        <f>[1]Sheet2!DE107</f>
        <v>0</v>
      </c>
      <c r="DY108" s="14">
        <f>[1]Sheet2!DF107</f>
        <v>0</v>
      </c>
      <c r="DZ108" s="14">
        <f>[1]Sheet2!DG107</f>
        <v>0</v>
      </c>
    </row>
    <row r="109" spans="1:130" x14ac:dyDescent="0.25">
      <c r="A109" s="15">
        <v>43571</v>
      </c>
      <c r="B109" s="1"/>
      <c r="C109" s="1"/>
      <c r="D109" s="1"/>
      <c r="E109" s="14">
        <f>[1]Sheet2!N108</f>
        <v>0</v>
      </c>
      <c r="F109" s="14">
        <f>[1]Sheet2!BE108</f>
        <v>0</v>
      </c>
      <c r="G109" s="14">
        <f>[1]Sheet2!CV108</f>
        <v>346.15384615384608</v>
      </c>
      <c r="H109" s="1"/>
      <c r="I109" s="1"/>
      <c r="J109" s="1"/>
      <c r="K109" s="16">
        <f>Demand_CWRS!B$6/30</f>
        <v>136.96097796474356</v>
      </c>
      <c r="L109" s="16">
        <f>Demand_CWRS!C$6/30</f>
        <v>544.43376068376062</v>
      </c>
      <c r="M109" s="16">
        <f>Demand_CWRS!D$6/30</f>
        <v>0</v>
      </c>
      <c r="N109" s="16">
        <f>Demand_CWRS!E$6/30</f>
        <v>108.97435897435896</v>
      </c>
      <c r="O109" s="16">
        <f>Demand_CWRS!F$6/30</f>
        <v>213.3621347489316</v>
      </c>
      <c r="P109" s="16">
        <f>Demand_CWRS!G$6/30</f>
        <v>133.33333333333334</v>
      </c>
      <c r="Q109" s="16">
        <f>Demand_CWRS!H$6/30</f>
        <v>544.43376068376062</v>
      </c>
      <c r="R109" s="16">
        <f>Demand_CWRS!I$6/30</f>
        <v>213.3621347489316</v>
      </c>
      <c r="S109" s="16">
        <f>Demand_CWRS!J$6/30</f>
        <v>213.3621347489316</v>
      </c>
      <c r="T109" s="16">
        <f>Demand_CWRS!K$6/30</f>
        <v>213.3621347489316</v>
      </c>
      <c r="U109" s="16">
        <f t="shared" si="33"/>
        <v>-16670.37994925549</v>
      </c>
      <c r="V109" s="16">
        <f t="shared" si="34"/>
        <v>-44893.063247863167</v>
      </c>
      <c r="W109" s="16">
        <f t="shared" si="35"/>
        <v>0</v>
      </c>
      <c r="X109" s="16">
        <f t="shared" si="36"/>
        <v>-10222.994498539445</v>
      </c>
      <c r="Y109" s="16">
        <f t="shared" si="37"/>
        <v>-23523.311372187087</v>
      </c>
      <c r="Z109" s="16">
        <f t="shared" si="38"/>
        <v>-16395.393825056799</v>
      </c>
      <c r="AA109" s="16">
        <f t="shared" si="39"/>
        <v>-44393.063247863167</v>
      </c>
      <c r="AB109" s="16">
        <f t="shared" si="40"/>
        <v>-21211.344785648602</v>
      </c>
      <c r="AC109" s="16">
        <f t="shared" si="41"/>
        <v>-21211.344785648591</v>
      </c>
      <c r="AD109" s="16">
        <f t="shared" si="42"/>
        <v>-21911.344785648595</v>
      </c>
      <c r="AE109" s="14">
        <f>IF([1]Sheet2!AJ108=999999,"NA",[1]Sheet2!AJ108)</f>
        <v>21</v>
      </c>
      <c r="AF109" s="14">
        <f>IF([1]Sheet2!AK108=999999,"NA",[1]Sheet2!AK108)</f>
        <v>0</v>
      </c>
      <c r="AG109" s="14" t="str">
        <f>IF([1]Sheet2!AL108=999999,"NA",[1]Sheet2!AL108)</f>
        <v>NA</v>
      </c>
      <c r="AH109" s="14">
        <f>IF([1]Sheet2!AM108=999999,"NA",[1]Sheet2!AM108)</f>
        <v>259</v>
      </c>
      <c r="AI109" s="14">
        <f>IF([1]Sheet2!AN108=999999,"NA",[1]Sheet2!AN108)</f>
        <v>259</v>
      </c>
      <c r="AJ109" s="14">
        <f>IF([1]Sheet2!AO108=999999,"NA",[1]Sheet2!AO108)</f>
        <v>259</v>
      </c>
      <c r="AK109" s="14">
        <f>IF([1]Sheet2!AP108=999999,"NA",[1]Sheet2!AP108)</f>
        <v>4</v>
      </c>
      <c r="AL109" s="14">
        <f>IF([1]Sheet2!AQ108=999999,"NA",[1]Sheet2!AQ108)</f>
        <v>135</v>
      </c>
      <c r="AM109" s="14">
        <f>IF([1]Sheet2!AR108=999999,"NA",[1]Sheet2!AR108)</f>
        <v>259</v>
      </c>
      <c r="AN109" s="14">
        <f>IF([1]Sheet2!AS108=999999,"NA",[1]Sheet2!AS108)</f>
        <v>191</v>
      </c>
      <c r="AO109" s="14">
        <f>[1]Sheet2!P108</f>
        <v>0</v>
      </c>
      <c r="AP109" s="14">
        <f>[1]Sheet2!Q108</f>
        <v>0</v>
      </c>
      <c r="AQ109" s="14">
        <f>[1]Sheet2!R108</f>
        <v>0</v>
      </c>
      <c r="AR109" s="14">
        <f>[1]Sheet2!S108</f>
        <v>0</v>
      </c>
      <c r="AS109" s="14">
        <f>[1]Sheet2!T108</f>
        <v>0</v>
      </c>
      <c r="AT109" s="14">
        <f>[1]Sheet2!U108</f>
        <v>0</v>
      </c>
      <c r="AU109" s="14">
        <f>[1]Sheet2!V108</f>
        <v>0</v>
      </c>
      <c r="AV109" s="14">
        <f>[1]Sheet2!W108</f>
        <v>0</v>
      </c>
      <c r="AW109" s="14">
        <f>[1]Sheet2!X108</f>
        <v>0</v>
      </c>
      <c r="AX109" s="14">
        <f>[1]Sheet2!Y108</f>
        <v>0</v>
      </c>
      <c r="AY109" s="16">
        <f>Demand_LP!B$6/30</f>
        <v>790.61612406517088</v>
      </c>
      <c r="AZ109" s="16">
        <f>Demand_LP!C$6/30</f>
        <v>816.46367521367517</v>
      </c>
      <c r="BA109" s="16">
        <f>Demand_LP!D$6/30</f>
        <v>346.63461538461536</v>
      </c>
      <c r="BB109" s="16">
        <f>Demand_LP!E$6/30</f>
        <v>795.48076923076928</v>
      </c>
      <c r="BC109" s="16">
        <f>Demand_LP!F$6/30</f>
        <v>472.52230168269227</v>
      </c>
      <c r="BD109" s="16">
        <f>Demand_LP!G$6/30</f>
        <v>790.61612406517088</v>
      </c>
      <c r="BE109" s="16">
        <f>Demand_LP!H$6/30</f>
        <v>816.46367521367517</v>
      </c>
      <c r="BF109" s="16">
        <f>Demand_LP!I$6/30</f>
        <v>472.52230168269227</v>
      </c>
      <c r="BG109" s="16">
        <f>Demand_LP!J$6/30</f>
        <v>472.52230168269227</v>
      </c>
      <c r="BH109" s="16">
        <f>Demand_LP!K$6/30</f>
        <v>472.52230168269227</v>
      </c>
      <c r="BI109" s="16" t="e">
        <f t="shared" si="43"/>
        <v>#VALUE!</v>
      </c>
      <c r="BJ109" s="16">
        <f t="shared" si="44"/>
        <v>-63679.962393162306</v>
      </c>
      <c r="BK109" s="16">
        <f t="shared" si="45"/>
        <v>-28320.119230769225</v>
      </c>
      <c r="BL109" s="16">
        <f t="shared" si="46"/>
        <v>-76534.239727361186</v>
      </c>
      <c r="BM109" s="16">
        <f t="shared" si="47"/>
        <v>-48002.672908552464</v>
      </c>
      <c r="BN109" s="16">
        <f t="shared" si="48"/>
        <v>-73048.081492021083</v>
      </c>
      <c r="BO109" s="16">
        <f t="shared" si="49"/>
        <v>-66037.541880341829</v>
      </c>
      <c r="BP109" s="16">
        <f t="shared" si="50"/>
        <v>-47460.35682692306</v>
      </c>
      <c r="BQ109" s="16">
        <f t="shared" si="51"/>
        <v>-44060.356826923082</v>
      </c>
      <c r="BR109" s="16">
        <f t="shared" si="52"/>
        <v>-45260.356826923067</v>
      </c>
      <c r="BS109" s="14">
        <f>IF([1]Sheet2!CA108=999999,"NA",[1]Sheet2!CA108)</f>
        <v>171218.64317307688</v>
      </c>
      <c r="BT109" s="14">
        <f>IF([1]Sheet2!CB108=999999,"NA",[1]Sheet2!CB108)</f>
        <v>181</v>
      </c>
      <c r="BU109" s="14">
        <f>IF([1]Sheet2!CC108=999999,"NA",[1]Sheet2!CC108)</f>
        <v>259</v>
      </c>
      <c r="BV109" s="14">
        <f>IF([1]Sheet2!CD108=999999,"NA",[1]Sheet2!CD108)</f>
        <v>259</v>
      </c>
      <c r="BW109" s="14">
        <f>IF([1]Sheet2!CE108=999999,"NA",[1]Sheet2!CE108)</f>
        <v>221</v>
      </c>
      <c r="BX109" s="14">
        <f>IF([1]Sheet2!CF108=999999,"NA",[1]Sheet2!CF108)</f>
        <v>259</v>
      </c>
      <c r="BY109" s="14">
        <f>IF([1]Sheet2!CG108=999999,"NA",[1]Sheet2!CG108)</f>
        <v>153</v>
      </c>
      <c r="BZ109" s="14">
        <f>IF([1]Sheet2!CH108=999999,"NA",[1]Sheet2!CH108)</f>
        <v>259</v>
      </c>
      <c r="CA109" s="14">
        <f>IF([1]Sheet2!CI108=999999,"NA",[1]Sheet2!CI108)</f>
        <v>259</v>
      </c>
      <c r="CB109" s="14">
        <f>IF([1]Sheet2!CJ108=999999,"NA",[1]Sheet2!CJ108)</f>
        <v>259</v>
      </c>
      <c r="CC109" s="14">
        <f>[1]Sheet2!BG108</f>
        <v>0</v>
      </c>
      <c r="CD109" s="14">
        <f>[1]Sheet2!BH108</f>
        <v>0</v>
      </c>
      <c r="CE109" s="14">
        <f>[1]Sheet2!BI108</f>
        <v>0</v>
      </c>
      <c r="CF109" s="14">
        <f>[1]Sheet2!BJ108</f>
        <v>0</v>
      </c>
      <c r="CG109" s="14">
        <f>[1]Sheet2!BK108</f>
        <v>0</v>
      </c>
      <c r="CH109" s="14">
        <f>[1]Sheet2!BL108</f>
        <v>0</v>
      </c>
      <c r="CI109" s="14">
        <f>[1]Sheet2!BM108</f>
        <v>0</v>
      </c>
      <c r="CJ109" s="14">
        <f>[1]Sheet2!BN108</f>
        <v>0</v>
      </c>
      <c r="CK109" s="14">
        <f>[1]Sheet2!BO108</f>
        <v>0</v>
      </c>
      <c r="CL109" s="14">
        <f>[1]Sheet2!BP108</f>
        <v>0</v>
      </c>
      <c r="CM109" s="16">
        <f>Demand_SW!B$6/30</f>
        <v>173.07692307692304</v>
      </c>
      <c r="CN109" s="16">
        <f>Demand_SW!C$6/30</f>
        <v>0</v>
      </c>
      <c r="CO109" s="16">
        <f>Demand_SW!D$6/30</f>
        <v>0</v>
      </c>
      <c r="CP109" s="16">
        <f>Demand_SW!E$6/30</f>
        <v>0</v>
      </c>
      <c r="CQ109" s="16">
        <f>Demand_SW!F$6/30</f>
        <v>0</v>
      </c>
      <c r="CR109" s="16">
        <f>Demand_SW!G$6/30</f>
        <v>173.07692307692304</v>
      </c>
      <c r="CS109" s="16">
        <f>Demand_SW!H$6/30</f>
        <v>0</v>
      </c>
      <c r="CT109" s="16">
        <f>Demand_SW!I$6/30</f>
        <v>0</v>
      </c>
      <c r="CU109" s="16">
        <f>Demand_SW!J$6/30</f>
        <v>0</v>
      </c>
      <c r="CV109" s="16">
        <f>Demand_SW!K$6/30</f>
        <v>0</v>
      </c>
      <c r="CW109" s="16">
        <f t="shared" si="53"/>
        <v>36959.999999999978</v>
      </c>
      <c r="CX109" s="16">
        <f t="shared" si="54"/>
        <v>-423.07692307692292</v>
      </c>
      <c r="CY109" s="16">
        <f t="shared" si="55"/>
        <v>0</v>
      </c>
      <c r="CZ109" s="16">
        <f t="shared" si="56"/>
        <v>0</v>
      </c>
      <c r="DA109" s="16">
        <f t="shared" si="57"/>
        <v>0</v>
      </c>
      <c r="DB109" s="16">
        <f t="shared" si="58"/>
        <v>-12569.230769230771</v>
      </c>
      <c r="DC109" s="16">
        <f t="shared" si="59"/>
        <v>-423.07692307692292</v>
      </c>
      <c r="DD109" s="16">
        <f t="shared" si="60"/>
        <v>0</v>
      </c>
      <c r="DE109" s="16">
        <f t="shared" si="61"/>
        <v>0</v>
      </c>
      <c r="DF109" s="16">
        <f t="shared" si="62"/>
        <v>0</v>
      </c>
      <c r="DG109" s="14">
        <f>IF([1]Sheet2!DR108=999999,"NA",[1]Sheet2!DR108)</f>
        <v>73103</v>
      </c>
      <c r="DH109" s="14">
        <f>IF([1]Sheet2!DS108=999999,"NA",[1]Sheet2!DS108)</f>
        <v>259</v>
      </c>
      <c r="DI109" s="14">
        <f>IF([1]Sheet2!DT108=999999,"NA",[1]Sheet2!DT108)</f>
        <v>259</v>
      </c>
      <c r="DJ109" s="14" t="str">
        <f>IF([1]Sheet2!DU108=999999,"NA",[1]Sheet2!DU108)</f>
        <v>NA</v>
      </c>
      <c r="DK109" s="14" t="str">
        <f>IF([1]Sheet2!DV108=999999,"NA",[1]Sheet2!DV108)</f>
        <v>NA</v>
      </c>
      <c r="DL109" s="14" t="str">
        <f>IF([1]Sheet2!DW108=999999,"NA",[1]Sheet2!DW108)</f>
        <v>NA</v>
      </c>
      <c r="DM109" s="14">
        <f>IF([1]Sheet2!DX108=999999,"NA",[1]Sheet2!DX108)</f>
        <v>259</v>
      </c>
      <c r="DN109" s="14">
        <f>IF([1]Sheet2!DY108=999999,"NA",[1]Sheet2!DY108)</f>
        <v>259</v>
      </c>
      <c r="DO109" s="14" t="str">
        <f>IF([1]Sheet2!DZ108=999999,"NA",[1]Sheet2!DZ108)</f>
        <v>NA</v>
      </c>
      <c r="DP109" s="14" t="str">
        <f>IF([1]Sheet2!EA108=999999,"NA",[1]Sheet2!EA108)</f>
        <v>NA</v>
      </c>
      <c r="DQ109" s="14">
        <f>[1]Sheet2!CX108</f>
        <v>0</v>
      </c>
      <c r="DR109" s="14">
        <f>[1]Sheet2!CY108</f>
        <v>0</v>
      </c>
      <c r="DS109" s="14">
        <f>[1]Sheet2!CZ108</f>
        <v>0</v>
      </c>
      <c r="DT109" s="14">
        <f>[1]Sheet2!DA108</f>
        <v>0</v>
      </c>
      <c r="DU109" s="14">
        <f>[1]Sheet2!DB108</f>
        <v>0</v>
      </c>
      <c r="DV109" s="14">
        <f>[1]Sheet2!DC108</f>
        <v>0</v>
      </c>
      <c r="DW109" s="14">
        <f>[1]Sheet2!DD108</f>
        <v>0</v>
      </c>
      <c r="DX109" s="14">
        <f>[1]Sheet2!DE108</f>
        <v>0</v>
      </c>
      <c r="DY109" s="14">
        <f>[1]Sheet2!DF108</f>
        <v>0</v>
      </c>
      <c r="DZ109" s="14">
        <f>[1]Sheet2!DG108</f>
        <v>0</v>
      </c>
    </row>
    <row r="110" spans="1:130" x14ac:dyDescent="0.25">
      <c r="A110" s="15">
        <v>43572</v>
      </c>
      <c r="B110" s="1"/>
      <c r="C110" s="1"/>
      <c r="D110" s="1"/>
      <c r="E110" s="14">
        <f>[1]Sheet2!N109</f>
        <v>0</v>
      </c>
      <c r="F110" s="14">
        <f>[1]Sheet2!BE109</f>
        <v>0</v>
      </c>
      <c r="G110" s="14">
        <f>[1]Sheet2!CV109</f>
        <v>346.15384615384608</v>
      </c>
      <c r="H110" s="1"/>
      <c r="I110" s="1"/>
      <c r="J110" s="1"/>
      <c r="K110" s="16">
        <f>Demand_CWRS!B$6/30</f>
        <v>136.96097796474356</v>
      </c>
      <c r="L110" s="16">
        <f>Demand_CWRS!C$6/30</f>
        <v>544.43376068376062</v>
      </c>
      <c r="M110" s="16">
        <f>Demand_CWRS!D$6/30</f>
        <v>0</v>
      </c>
      <c r="N110" s="16">
        <f>Demand_CWRS!E$6/30</f>
        <v>108.97435897435896</v>
      </c>
      <c r="O110" s="16">
        <f>Demand_CWRS!F$6/30</f>
        <v>213.3621347489316</v>
      </c>
      <c r="P110" s="16">
        <f>Demand_CWRS!G$6/30</f>
        <v>133.33333333333334</v>
      </c>
      <c r="Q110" s="16">
        <f>Demand_CWRS!H$6/30</f>
        <v>544.43376068376062</v>
      </c>
      <c r="R110" s="16">
        <f>Demand_CWRS!I$6/30</f>
        <v>213.3621347489316</v>
      </c>
      <c r="S110" s="16">
        <f>Demand_CWRS!J$6/30</f>
        <v>213.3621347489316</v>
      </c>
      <c r="T110" s="16">
        <f>Demand_CWRS!K$6/30</f>
        <v>213.3621347489316</v>
      </c>
      <c r="U110" s="16">
        <f t="shared" si="33"/>
        <v>-16807.340927220233</v>
      </c>
      <c r="V110" s="16">
        <f t="shared" si="34"/>
        <v>-45437.497008546925</v>
      </c>
      <c r="W110" s="16">
        <f t="shared" si="35"/>
        <v>0</v>
      </c>
      <c r="X110" s="16">
        <f t="shared" si="36"/>
        <v>-10331.968857513804</v>
      </c>
      <c r="Y110" s="16">
        <f t="shared" si="37"/>
        <v>-23736.673506936018</v>
      </c>
      <c r="Z110" s="16">
        <f t="shared" si="38"/>
        <v>-16528.727158390131</v>
      </c>
      <c r="AA110" s="16">
        <f t="shared" si="39"/>
        <v>-44937.497008546925</v>
      </c>
      <c r="AB110" s="16">
        <f t="shared" si="40"/>
        <v>-21424.706920397533</v>
      </c>
      <c r="AC110" s="16">
        <f t="shared" si="41"/>
        <v>-21424.706920397522</v>
      </c>
      <c r="AD110" s="16">
        <f t="shared" si="42"/>
        <v>-22124.706920397526</v>
      </c>
      <c r="AE110" s="14">
        <f>IF([1]Sheet2!AJ109=999999,"NA",[1]Sheet2!AJ109)</f>
        <v>20</v>
      </c>
      <c r="AF110" s="14">
        <f>IF([1]Sheet2!AK109=999999,"NA",[1]Sheet2!AK109)</f>
        <v>0</v>
      </c>
      <c r="AG110" s="14" t="str">
        <f>IF([1]Sheet2!AL109=999999,"NA",[1]Sheet2!AL109)</f>
        <v>NA</v>
      </c>
      <c r="AH110" s="14">
        <f>IF([1]Sheet2!AM109=999999,"NA",[1]Sheet2!AM109)</f>
        <v>258</v>
      </c>
      <c r="AI110" s="14">
        <f>IF([1]Sheet2!AN109=999999,"NA",[1]Sheet2!AN109)</f>
        <v>258</v>
      </c>
      <c r="AJ110" s="14">
        <f>IF([1]Sheet2!AO109=999999,"NA",[1]Sheet2!AO109)</f>
        <v>258</v>
      </c>
      <c r="AK110" s="14">
        <f>IF([1]Sheet2!AP109=999999,"NA",[1]Sheet2!AP109)</f>
        <v>3</v>
      </c>
      <c r="AL110" s="14">
        <f>IF([1]Sheet2!AQ109=999999,"NA",[1]Sheet2!AQ109)</f>
        <v>134</v>
      </c>
      <c r="AM110" s="14">
        <f>IF([1]Sheet2!AR109=999999,"NA",[1]Sheet2!AR109)</f>
        <v>258</v>
      </c>
      <c r="AN110" s="14">
        <f>IF([1]Sheet2!AS109=999999,"NA",[1]Sheet2!AS109)</f>
        <v>190</v>
      </c>
      <c r="AO110" s="14">
        <f>[1]Sheet2!P109</f>
        <v>0</v>
      </c>
      <c r="AP110" s="14">
        <f>[1]Sheet2!Q109</f>
        <v>0</v>
      </c>
      <c r="AQ110" s="14">
        <f>[1]Sheet2!R109</f>
        <v>0</v>
      </c>
      <c r="AR110" s="14">
        <f>[1]Sheet2!S109</f>
        <v>0</v>
      </c>
      <c r="AS110" s="14">
        <f>[1]Sheet2!T109</f>
        <v>0</v>
      </c>
      <c r="AT110" s="14">
        <f>[1]Sheet2!U109</f>
        <v>0</v>
      </c>
      <c r="AU110" s="14">
        <f>[1]Sheet2!V109</f>
        <v>0</v>
      </c>
      <c r="AV110" s="14">
        <f>[1]Sheet2!W109</f>
        <v>0</v>
      </c>
      <c r="AW110" s="14">
        <f>[1]Sheet2!X109</f>
        <v>0</v>
      </c>
      <c r="AX110" s="14">
        <f>[1]Sheet2!Y109</f>
        <v>0</v>
      </c>
      <c r="AY110" s="16">
        <f>Demand_LP!B$6/30</f>
        <v>790.61612406517088</v>
      </c>
      <c r="AZ110" s="16">
        <f>Demand_LP!C$6/30</f>
        <v>816.46367521367517</v>
      </c>
      <c r="BA110" s="16">
        <f>Demand_LP!D$6/30</f>
        <v>346.63461538461536</v>
      </c>
      <c r="BB110" s="16">
        <f>Demand_LP!E$6/30</f>
        <v>795.48076923076928</v>
      </c>
      <c r="BC110" s="16">
        <f>Demand_LP!F$6/30</f>
        <v>472.52230168269227</v>
      </c>
      <c r="BD110" s="16">
        <f>Demand_LP!G$6/30</f>
        <v>790.61612406517088</v>
      </c>
      <c r="BE110" s="16">
        <f>Demand_LP!H$6/30</f>
        <v>816.46367521367517</v>
      </c>
      <c r="BF110" s="16">
        <f>Demand_LP!I$6/30</f>
        <v>472.52230168269227</v>
      </c>
      <c r="BG110" s="16">
        <f>Demand_LP!J$6/30</f>
        <v>472.52230168269227</v>
      </c>
      <c r="BH110" s="16">
        <f>Demand_LP!K$6/30</f>
        <v>472.52230168269227</v>
      </c>
      <c r="BI110" s="16" t="e">
        <f t="shared" si="43"/>
        <v>#VALUE!</v>
      </c>
      <c r="BJ110" s="16">
        <f t="shared" si="44"/>
        <v>-64496.426068375979</v>
      </c>
      <c r="BK110" s="16">
        <f t="shared" si="45"/>
        <v>-28666.753846153842</v>
      </c>
      <c r="BL110" s="16">
        <f t="shared" si="46"/>
        <v>-77329.720496591952</v>
      </c>
      <c r="BM110" s="16">
        <f t="shared" si="47"/>
        <v>-48475.195210235157</v>
      </c>
      <c r="BN110" s="16">
        <f t="shared" si="48"/>
        <v>-73838.697616086254</v>
      </c>
      <c r="BO110" s="16">
        <f t="shared" si="49"/>
        <v>-66854.005555555501</v>
      </c>
      <c r="BP110" s="16">
        <f t="shared" si="50"/>
        <v>-47932.879128605753</v>
      </c>
      <c r="BQ110" s="16">
        <f t="shared" si="51"/>
        <v>-44532.879128605775</v>
      </c>
      <c r="BR110" s="16">
        <f t="shared" si="52"/>
        <v>-45732.87912860576</v>
      </c>
      <c r="BS110" s="14">
        <f>IF([1]Sheet2!CA109=999999,"NA",[1]Sheet2!CA109)</f>
        <v>170746.1208713942</v>
      </c>
      <c r="BT110" s="14">
        <f>IF([1]Sheet2!CB109=999999,"NA",[1]Sheet2!CB109)</f>
        <v>180</v>
      </c>
      <c r="BU110" s="14">
        <f>IF([1]Sheet2!CC109=999999,"NA",[1]Sheet2!CC109)</f>
        <v>258</v>
      </c>
      <c r="BV110" s="14">
        <f>IF([1]Sheet2!CD109=999999,"NA",[1]Sheet2!CD109)</f>
        <v>258</v>
      </c>
      <c r="BW110" s="14">
        <f>IF([1]Sheet2!CE109=999999,"NA",[1]Sheet2!CE109)</f>
        <v>220</v>
      </c>
      <c r="BX110" s="14">
        <f>IF([1]Sheet2!CF109=999999,"NA",[1]Sheet2!CF109)</f>
        <v>258</v>
      </c>
      <c r="BY110" s="14">
        <f>IF([1]Sheet2!CG109=999999,"NA",[1]Sheet2!CG109)</f>
        <v>152</v>
      </c>
      <c r="BZ110" s="14">
        <f>IF([1]Sheet2!CH109=999999,"NA",[1]Sheet2!CH109)</f>
        <v>258</v>
      </c>
      <c r="CA110" s="14">
        <f>IF([1]Sheet2!CI109=999999,"NA",[1]Sheet2!CI109)</f>
        <v>258</v>
      </c>
      <c r="CB110" s="14">
        <f>IF([1]Sheet2!CJ109=999999,"NA",[1]Sheet2!CJ109)</f>
        <v>258</v>
      </c>
      <c r="CC110" s="14">
        <f>[1]Sheet2!BG109</f>
        <v>0</v>
      </c>
      <c r="CD110" s="14">
        <f>[1]Sheet2!BH109</f>
        <v>0</v>
      </c>
      <c r="CE110" s="14">
        <f>[1]Sheet2!BI109</f>
        <v>0</v>
      </c>
      <c r="CF110" s="14">
        <f>[1]Sheet2!BJ109</f>
        <v>0</v>
      </c>
      <c r="CG110" s="14">
        <f>[1]Sheet2!BK109</f>
        <v>0</v>
      </c>
      <c r="CH110" s="14">
        <f>[1]Sheet2!BL109</f>
        <v>0</v>
      </c>
      <c r="CI110" s="14">
        <f>[1]Sheet2!BM109</f>
        <v>0</v>
      </c>
      <c r="CJ110" s="14">
        <f>[1]Sheet2!BN109</f>
        <v>0</v>
      </c>
      <c r="CK110" s="14">
        <f>[1]Sheet2!BO109</f>
        <v>0</v>
      </c>
      <c r="CL110" s="14">
        <f>[1]Sheet2!BP109</f>
        <v>0</v>
      </c>
      <c r="CM110" s="16">
        <f>Demand_SW!B$6/30</f>
        <v>173.07692307692304</v>
      </c>
      <c r="CN110" s="16">
        <f>Demand_SW!C$6/30</f>
        <v>0</v>
      </c>
      <c r="CO110" s="16">
        <f>Demand_SW!D$6/30</f>
        <v>0</v>
      </c>
      <c r="CP110" s="16">
        <f>Demand_SW!E$6/30</f>
        <v>0</v>
      </c>
      <c r="CQ110" s="16">
        <f>Demand_SW!F$6/30</f>
        <v>0</v>
      </c>
      <c r="CR110" s="16">
        <f>Demand_SW!G$6/30</f>
        <v>173.07692307692304</v>
      </c>
      <c r="CS110" s="16">
        <f>Demand_SW!H$6/30</f>
        <v>0</v>
      </c>
      <c r="CT110" s="16">
        <f>Demand_SW!I$6/30</f>
        <v>0</v>
      </c>
      <c r="CU110" s="16">
        <f>Demand_SW!J$6/30</f>
        <v>0</v>
      </c>
      <c r="CV110" s="16">
        <f>Demand_SW!K$6/30</f>
        <v>0</v>
      </c>
      <c r="CW110" s="16">
        <f t="shared" si="53"/>
        <v>36786.923076923056</v>
      </c>
      <c r="CX110" s="16">
        <f t="shared" si="54"/>
        <v>-423.07692307692292</v>
      </c>
      <c r="CY110" s="16">
        <f t="shared" si="55"/>
        <v>0</v>
      </c>
      <c r="CZ110" s="16">
        <f t="shared" si="56"/>
        <v>0</v>
      </c>
      <c r="DA110" s="16">
        <f t="shared" si="57"/>
        <v>0</v>
      </c>
      <c r="DB110" s="16">
        <f t="shared" si="58"/>
        <v>-12742.307692307695</v>
      </c>
      <c r="DC110" s="16">
        <f t="shared" si="59"/>
        <v>-423.07692307692292</v>
      </c>
      <c r="DD110" s="16">
        <f t="shared" si="60"/>
        <v>0</v>
      </c>
      <c r="DE110" s="16">
        <f t="shared" si="61"/>
        <v>0</v>
      </c>
      <c r="DF110" s="16">
        <f t="shared" si="62"/>
        <v>0</v>
      </c>
      <c r="DG110" s="14">
        <f>IF([1]Sheet2!DR109=999999,"NA",[1]Sheet2!DR109)</f>
        <v>73103</v>
      </c>
      <c r="DH110" s="14">
        <f>IF([1]Sheet2!DS109=999999,"NA",[1]Sheet2!DS109)</f>
        <v>258</v>
      </c>
      <c r="DI110" s="14">
        <f>IF([1]Sheet2!DT109=999999,"NA",[1]Sheet2!DT109)</f>
        <v>258</v>
      </c>
      <c r="DJ110" s="14" t="str">
        <f>IF([1]Sheet2!DU109=999999,"NA",[1]Sheet2!DU109)</f>
        <v>NA</v>
      </c>
      <c r="DK110" s="14" t="str">
        <f>IF([1]Sheet2!DV109=999999,"NA",[1]Sheet2!DV109)</f>
        <v>NA</v>
      </c>
      <c r="DL110" s="14" t="str">
        <f>IF([1]Sheet2!DW109=999999,"NA",[1]Sheet2!DW109)</f>
        <v>NA</v>
      </c>
      <c r="DM110" s="14">
        <f>IF([1]Sheet2!DX109=999999,"NA",[1]Sheet2!DX109)</f>
        <v>258</v>
      </c>
      <c r="DN110" s="14">
        <f>IF([1]Sheet2!DY109=999999,"NA",[1]Sheet2!DY109)</f>
        <v>258</v>
      </c>
      <c r="DO110" s="14" t="str">
        <f>IF([1]Sheet2!DZ109=999999,"NA",[1]Sheet2!DZ109)</f>
        <v>NA</v>
      </c>
      <c r="DP110" s="14" t="str">
        <f>IF([1]Sheet2!EA109=999999,"NA",[1]Sheet2!EA109)</f>
        <v>NA</v>
      </c>
      <c r="DQ110" s="14">
        <f>[1]Sheet2!CX109</f>
        <v>0</v>
      </c>
      <c r="DR110" s="14">
        <f>[1]Sheet2!CY109</f>
        <v>0</v>
      </c>
      <c r="DS110" s="14">
        <f>[1]Sheet2!CZ109</f>
        <v>0</v>
      </c>
      <c r="DT110" s="14">
        <f>[1]Sheet2!DA109</f>
        <v>0</v>
      </c>
      <c r="DU110" s="14">
        <f>[1]Sheet2!DB109</f>
        <v>0</v>
      </c>
      <c r="DV110" s="14">
        <f>[1]Sheet2!DC109</f>
        <v>0</v>
      </c>
      <c r="DW110" s="14">
        <f>[1]Sheet2!DD109</f>
        <v>0</v>
      </c>
      <c r="DX110" s="14">
        <f>[1]Sheet2!DE109</f>
        <v>0</v>
      </c>
      <c r="DY110" s="14">
        <f>[1]Sheet2!DF109</f>
        <v>0</v>
      </c>
      <c r="DZ110" s="14">
        <f>[1]Sheet2!DG109</f>
        <v>0</v>
      </c>
    </row>
    <row r="111" spans="1:130" x14ac:dyDescent="0.25">
      <c r="A111" s="15">
        <v>43573</v>
      </c>
      <c r="B111" s="1"/>
      <c r="C111" s="1"/>
      <c r="D111" s="1"/>
      <c r="E111" s="14">
        <f>[1]Sheet2!N110</f>
        <v>0</v>
      </c>
      <c r="F111" s="14">
        <f>[1]Sheet2!BE110</f>
        <v>0</v>
      </c>
      <c r="G111" s="14">
        <f>[1]Sheet2!CV110</f>
        <v>346.15384615384608</v>
      </c>
      <c r="H111" s="1"/>
      <c r="I111" s="1"/>
      <c r="J111" s="1"/>
      <c r="K111" s="16">
        <f>Demand_CWRS!B$6/30</f>
        <v>136.96097796474356</v>
      </c>
      <c r="L111" s="16">
        <f>Demand_CWRS!C$6/30</f>
        <v>544.43376068376062</v>
      </c>
      <c r="M111" s="16">
        <f>Demand_CWRS!D$6/30</f>
        <v>0</v>
      </c>
      <c r="N111" s="16">
        <f>Demand_CWRS!E$6/30</f>
        <v>108.97435897435896</v>
      </c>
      <c r="O111" s="16">
        <f>Demand_CWRS!F$6/30</f>
        <v>213.3621347489316</v>
      </c>
      <c r="P111" s="16">
        <f>Demand_CWRS!G$6/30</f>
        <v>133.33333333333334</v>
      </c>
      <c r="Q111" s="16">
        <f>Demand_CWRS!H$6/30</f>
        <v>544.43376068376062</v>
      </c>
      <c r="R111" s="16">
        <f>Demand_CWRS!I$6/30</f>
        <v>213.3621347489316</v>
      </c>
      <c r="S111" s="16">
        <f>Demand_CWRS!J$6/30</f>
        <v>213.3621347489316</v>
      </c>
      <c r="T111" s="16">
        <f>Demand_CWRS!K$6/30</f>
        <v>213.3621347489316</v>
      </c>
      <c r="U111" s="16">
        <f t="shared" si="33"/>
        <v>-16944.301905184977</v>
      </c>
      <c r="V111" s="16">
        <f t="shared" si="34"/>
        <v>-45981.930769230683</v>
      </c>
      <c r="W111" s="16">
        <f t="shared" si="35"/>
        <v>0</v>
      </c>
      <c r="X111" s="16">
        <f t="shared" si="36"/>
        <v>-10440.943216488164</v>
      </c>
      <c r="Y111" s="16">
        <f t="shared" si="37"/>
        <v>-23950.03564168495</v>
      </c>
      <c r="Z111" s="16">
        <f t="shared" si="38"/>
        <v>-16662.060491723463</v>
      </c>
      <c r="AA111" s="16">
        <f t="shared" si="39"/>
        <v>-45481.930769230683</v>
      </c>
      <c r="AB111" s="16">
        <f t="shared" si="40"/>
        <v>-21638.069055146465</v>
      </c>
      <c r="AC111" s="16">
        <f t="shared" si="41"/>
        <v>-21638.069055146454</v>
      </c>
      <c r="AD111" s="16">
        <f t="shared" si="42"/>
        <v>-22338.069055146458</v>
      </c>
      <c r="AE111" s="14">
        <f>IF([1]Sheet2!AJ110=999999,"NA",[1]Sheet2!AJ110)</f>
        <v>19</v>
      </c>
      <c r="AF111" s="14">
        <f>IF([1]Sheet2!AK110=999999,"NA",[1]Sheet2!AK110)</f>
        <v>0</v>
      </c>
      <c r="AG111" s="14" t="str">
        <f>IF([1]Sheet2!AL110=999999,"NA",[1]Sheet2!AL110)</f>
        <v>NA</v>
      </c>
      <c r="AH111" s="14">
        <f>IF([1]Sheet2!AM110=999999,"NA",[1]Sheet2!AM110)</f>
        <v>257</v>
      </c>
      <c r="AI111" s="14">
        <f>IF([1]Sheet2!AN110=999999,"NA",[1]Sheet2!AN110)</f>
        <v>257</v>
      </c>
      <c r="AJ111" s="14">
        <f>IF([1]Sheet2!AO110=999999,"NA",[1]Sheet2!AO110)</f>
        <v>257</v>
      </c>
      <c r="AK111" s="14">
        <f>IF([1]Sheet2!AP110=999999,"NA",[1]Sheet2!AP110)</f>
        <v>2</v>
      </c>
      <c r="AL111" s="14">
        <f>IF([1]Sheet2!AQ110=999999,"NA",[1]Sheet2!AQ110)</f>
        <v>133</v>
      </c>
      <c r="AM111" s="14">
        <f>IF([1]Sheet2!AR110=999999,"NA",[1]Sheet2!AR110)</f>
        <v>257</v>
      </c>
      <c r="AN111" s="14">
        <f>IF([1]Sheet2!AS110=999999,"NA",[1]Sheet2!AS110)</f>
        <v>189</v>
      </c>
      <c r="AO111" s="14">
        <f>[1]Sheet2!P110</f>
        <v>0</v>
      </c>
      <c r="AP111" s="14">
        <f>[1]Sheet2!Q110</f>
        <v>0</v>
      </c>
      <c r="AQ111" s="14">
        <f>[1]Sheet2!R110</f>
        <v>0</v>
      </c>
      <c r="AR111" s="14">
        <f>[1]Sheet2!S110</f>
        <v>0</v>
      </c>
      <c r="AS111" s="14">
        <f>[1]Sheet2!T110</f>
        <v>0</v>
      </c>
      <c r="AT111" s="14">
        <f>[1]Sheet2!U110</f>
        <v>0</v>
      </c>
      <c r="AU111" s="14">
        <f>[1]Sheet2!V110</f>
        <v>0</v>
      </c>
      <c r="AV111" s="14">
        <f>[1]Sheet2!W110</f>
        <v>0</v>
      </c>
      <c r="AW111" s="14">
        <f>[1]Sheet2!X110</f>
        <v>0</v>
      </c>
      <c r="AX111" s="14">
        <f>[1]Sheet2!Y110</f>
        <v>0</v>
      </c>
      <c r="AY111" s="16">
        <f>Demand_LP!B$6/30</f>
        <v>790.61612406517088</v>
      </c>
      <c r="AZ111" s="16">
        <f>Demand_LP!C$6/30</f>
        <v>816.46367521367517</v>
      </c>
      <c r="BA111" s="16">
        <f>Demand_LP!D$6/30</f>
        <v>346.63461538461536</v>
      </c>
      <c r="BB111" s="16">
        <f>Demand_LP!E$6/30</f>
        <v>795.48076923076928</v>
      </c>
      <c r="BC111" s="16">
        <f>Demand_LP!F$6/30</f>
        <v>472.52230168269227</v>
      </c>
      <c r="BD111" s="16">
        <f>Demand_LP!G$6/30</f>
        <v>790.61612406517088</v>
      </c>
      <c r="BE111" s="16">
        <f>Demand_LP!H$6/30</f>
        <v>816.46367521367517</v>
      </c>
      <c r="BF111" s="16">
        <f>Demand_LP!I$6/30</f>
        <v>472.52230168269227</v>
      </c>
      <c r="BG111" s="16">
        <f>Demand_LP!J$6/30</f>
        <v>472.52230168269227</v>
      </c>
      <c r="BH111" s="16">
        <f>Demand_LP!K$6/30</f>
        <v>472.52230168269227</v>
      </c>
      <c r="BI111" s="16" t="e">
        <f t="shared" si="43"/>
        <v>#VALUE!</v>
      </c>
      <c r="BJ111" s="16">
        <f t="shared" si="44"/>
        <v>-65312.889743589651</v>
      </c>
      <c r="BK111" s="16">
        <f t="shared" si="45"/>
        <v>-29013.38846153846</v>
      </c>
      <c r="BL111" s="16">
        <f t="shared" si="46"/>
        <v>-78125.201265822718</v>
      </c>
      <c r="BM111" s="16">
        <f t="shared" si="47"/>
        <v>-48947.71751191785</v>
      </c>
      <c r="BN111" s="16">
        <f t="shared" si="48"/>
        <v>-74629.313740151425</v>
      </c>
      <c r="BO111" s="16">
        <f t="shared" si="49"/>
        <v>-67670.469230769173</v>
      </c>
      <c r="BP111" s="16">
        <f t="shared" si="50"/>
        <v>-48405.401430288446</v>
      </c>
      <c r="BQ111" s="16">
        <f t="shared" si="51"/>
        <v>-45005.401430288468</v>
      </c>
      <c r="BR111" s="16">
        <f t="shared" si="52"/>
        <v>-46205.401430288453</v>
      </c>
      <c r="BS111" s="14">
        <f>IF([1]Sheet2!CA110=999999,"NA",[1]Sheet2!CA110)</f>
        <v>170273.59856971152</v>
      </c>
      <c r="BT111" s="14">
        <f>IF([1]Sheet2!CB110=999999,"NA",[1]Sheet2!CB110)</f>
        <v>179</v>
      </c>
      <c r="BU111" s="14">
        <f>IF([1]Sheet2!CC110=999999,"NA",[1]Sheet2!CC110)</f>
        <v>257</v>
      </c>
      <c r="BV111" s="14">
        <f>IF([1]Sheet2!CD110=999999,"NA",[1]Sheet2!CD110)</f>
        <v>257</v>
      </c>
      <c r="BW111" s="14">
        <f>IF([1]Sheet2!CE110=999999,"NA",[1]Sheet2!CE110)</f>
        <v>219</v>
      </c>
      <c r="BX111" s="14">
        <f>IF([1]Sheet2!CF110=999999,"NA",[1]Sheet2!CF110)</f>
        <v>257</v>
      </c>
      <c r="BY111" s="14">
        <f>IF([1]Sheet2!CG110=999999,"NA",[1]Sheet2!CG110)</f>
        <v>151</v>
      </c>
      <c r="BZ111" s="14">
        <f>IF([1]Sheet2!CH110=999999,"NA",[1]Sheet2!CH110)</f>
        <v>257</v>
      </c>
      <c r="CA111" s="14">
        <f>IF([1]Sheet2!CI110=999999,"NA",[1]Sheet2!CI110)</f>
        <v>257</v>
      </c>
      <c r="CB111" s="14">
        <f>IF([1]Sheet2!CJ110=999999,"NA",[1]Sheet2!CJ110)</f>
        <v>257</v>
      </c>
      <c r="CC111" s="14">
        <f>[1]Sheet2!BG110</f>
        <v>0</v>
      </c>
      <c r="CD111" s="14">
        <f>[1]Sheet2!BH110</f>
        <v>0</v>
      </c>
      <c r="CE111" s="14">
        <f>[1]Sheet2!BI110</f>
        <v>0</v>
      </c>
      <c r="CF111" s="14">
        <f>[1]Sheet2!BJ110</f>
        <v>0</v>
      </c>
      <c r="CG111" s="14">
        <f>[1]Sheet2!BK110</f>
        <v>0</v>
      </c>
      <c r="CH111" s="14">
        <f>[1]Sheet2!BL110</f>
        <v>0</v>
      </c>
      <c r="CI111" s="14">
        <f>[1]Sheet2!BM110</f>
        <v>0</v>
      </c>
      <c r="CJ111" s="14">
        <f>[1]Sheet2!BN110</f>
        <v>0</v>
      </c>
      <c r="CK111" s="14">
        <f>[1]Sheet2!BO110</f>
        <v>0</v>
      </c>
      <c r="CL111" s="14">
        <f>[1]Sheet2!BP110</f>
        <v>0</v>
      </c>
      <c r="CM111" s="16">
        <f>Demand_SW!B$6/30</f>
        <v>173.07692307692304</v>
      </c>
      <c r="CN111" s="16">
        <f>Demand_SW!C$6/30</f>
        <v>0</v>
      </c>
      <c r="CO111" s="16">
        <f>Demand_SW!D$6/30</f>
        <v>0</v>
      </c>
      <c r="CP111" s="16">
        <f>Demand_SW!E$6/30</f>
        <v>0</v>
      </c>
      <c r="CQ111" s="16">
        <f>Demand_SW!F$6/30</f>
        <v>0</v>
      </c>
      <c r="CR111" s="16">
        <f>Demand_SW!G$6/30</f>
        <v>173.07692307692304</v>
      </c>
      <c r="CS111" s="16">
        <f>Demand_SW!H$6/30</f>
        <v>0</v>
      </c>
      <c r="CT111" s="16">
        <f>Demand_SW!I$6/30</f>
        <v>0</v>
      </c>
      <c r="CU111" s="16">
        <f>Demand_SW!J$6/30</f>
        <v>0</v>
      </c>
      <c r="CV111" s="16">
        <f>Demand_SW!K$6/30</f>
        <v>0</v>
      </c>
      <c r="CW111" s="16">
        <f t="shared" si="53"/>
        <v>36613.846153846134</v>
      </c>
      <c r="CX111" s="16">
        <f t="shared" si="54"/>
        <v>-423.07692307692292</v>
      </c>
      <c r="CY111" s="16">
        <f t="shared" si="55"/>
        <v>0</v>
      </c>
      <c r="CZ111" s="16">
        <f t="shared" si="56"/>
        <v>0</v>
      </c>
      <c r="DA111" s="16">
        <f t="shared" si="57"/>
        <v>0</v>
      </c>
      <c r="DB111" s="16">
        <f t="shared" si="58"/>
        <v>-12915.384615384619</v>
      </c>
      <c r="DC111" s="16">
        <f t="shared" si="59"/>
        <v>-423.07692307692292</v>
      </c>
      <c r="DD111" s="16">
        <f t="shared" si="60"/>
        <v>0</v>
      </c>
      <c r="DE111" s="16">
        <f t="shared" si="61"/>
        <v>0</v>
      </c>
      <c r="DF111" s="16">
        <f t="shared" si="62"/>
        <v>0</v>
      </c>
      <c r="DG111" s="14">
        <f>IF([1]Sheet2!DR110=999999,"NA",[1]Sheet2!DR110)</f>
        <v>73103</v>
      </c>
      <c r="DH111" s="14">
        <f>IF([1]Sheet2!DS110=999999,"NA",[1]Sheet2!DS110)</f>
        <v>257</v>
      </c>
      <c r="DI111" s="14">
        <f>IF([1]Sheet2!DT110=999999,"NA",[1]Sheet2!DT110)</f>
        <v>257</v>
      </c>
      <c r="DJ111" s="14" t="str">
        <f>IF([1]Sheet2!DU110=999999,"NA",[1]Sheet2!DU110)</f>
        <v>NA</v>
      </c>
      <c r="DK111" s="14" t="str">
        <f>IF([1]Sheet2!DV110=999999,"NA",[1]Sheet2!DV110)</f>
        <v>NA</v>
      </c>
      <c r="DL111" s="14" t="str">
        <f>IF([1]Sheet2!DW110=999999,"NA",[1]Sheet2!DW110)</f>
        <v>NA</v>
      </c>
      <c r="DM111" s="14">
        <f>IF([1]Sheet2!DX110=999999,"NA",[1]Sheet2!DX110)</f>
        <v>257</v>
      </c>
      <c r="DN111" s="14">
        <f>IF([1]Sheet2!DY110=999999,"NA",[1]Sheet2!DY110)</f>
        <v>257</v>
      </c>
      <c r="DO111" s="14" t="str">
        <f>IF([1]Sheet2!DZ110=999999,"NA",[1]Sheet2!DZ110)</f>
        <v>NA</v>
      </c>
      <c r="DP111" s="14" t="str">
        <f>IF([1]Sheet2!EA110=999999,"NA",[1]Sheet2!EA110)</f>
        <v>NA</v>
      </c>
      <c r="DQ111" s="14">
        <f>[1]Sheet2!CX110</f>
        <v>0</v>
      </c>
      <c r="DR111" s="14">
        <f>[1]Sheet2!CY110</f>
        <v>0</v>
      </c>
      <c r="DS111" s="14">
        <f>[1]Sheet2!CZ110</f>
        <v>0</v>
      </c>
      <c r="DT111" s="14">
        <f>[1]Sheet2!DA110</f>
        <v>0</v>
      </c>
      <c r="DU111" s="14">
        <f>[1]Sheet2!DB110</f>
        <v>0</v>
      </c>
      <c r="DV111" s="14">
        <f>[1]Sheet2!DC110</f>
        <v>0</v>
      </c>
      <c r="DW111" s="14">
        <f>[1]Sheet2!DD110</f>
        <v>0</v>
      </c>
      <c r="DX111" s="14">
        <f>[1]Sheet2!DE110</f>
        <v>0</v>
      </c>
      <c r="DY111" s="14">
        <f>[1]Sheet2!DF110</f>
        <v>0</v>
      </c>
      <c r="DZ111" s="14">
        <f>[1]Sheet2!DG110</f>
        <v>0</v>
      </c>
    </row>
    <row r="112" spans="1:130" x14ac:dyDescent="0.25">
      <c r="A112" s="15">
        <v>43574</v>
      </c>
      <c r="B112" s="1"/>
      <c r="C112" s="1"/>
      <c r="D112" s="1"/>
      <c r="E112" s="14">
        <f>[1]Sheet2!N111</f>
        <v>0</v>
      </c>
      <c r="F112" s="14">
        <f>[1]Sheet2!BE111</f>
        <v>0</v>
      </c>
      <c r="G112" s="14">
        <f>[1]Sheet2!CV111</f>
        <v>346.15384615384608</v>
      </c>
      <c r="H112" s="1"/>
      <c r="I112" s="1"/>
      <c r="J112" s="1"/>
      <c r="K112" s="16">
        <f>Demand_CWRS!B$6/30</f>
        <v>136.96097796474356</v>
      </c>
      <c r="L112" s="16">
        <f>Demand_CWRS!C$6/30</f>
        <v>544.43376068376062</v>
      </c>
      <c r="M112" s="16">
        <f>Demand_CWRS!D$6/30</f>
        <v>0</v>
      </c>
      <c r="N112" s="16">
        <f>Demand_CWRS!E$6/30</f>
        <v>108.97435897435896</v>
      </c>
      <c r="O112" s="16">
        <f>Demand_CWRS!F$6/30</f>
        <v>213.3621347489316</v>
      </c>
      <c r="P112" s="16">
        <f>Demand_CWRS!G$6/30</f>
        <v>133.33333333333334</v>
      </c>
      <c r="Q112" s="16">
        <f>Demand_CWRS!H$6/30</f>
        <v>544.43376068376062</v>
      </c>
      <c r="R112" s="16">
        <f>Demand_CWRS!I$6/30</f>
        <v>213.3621347489316</v>
      </c>
      <c r="S112" s="16">
        <f>Demand_CWRS!J$6/30</f>
        <v>213.3621347489316</v>
      </c>
      <c r="T112" s="16">
        <f>Demand_CWRS!K$6/30</f>
        <v>213.3621347489316</v>
      </c>
      <c r="U112" s="16">
        <f t="shared" si="33"/>
        <v>-17081.26288314972</v>
      </c>
      <c r="V112" s="16">
        <f t="shared" si="34"/>
        <v>-46526.364529914441</v>
      </c>
      <c r="W112" s="16">
        <f t="shared" si="35"/>
        <v>0</v>
      </c>
      <c r="X112" s="16">
        <f t="shared" si="36"/>
        <v>-10549.917575462523</v>
      </c>
      <c r="Y112" s="16">
        <f t="shared" si="37"/>
        <v>-24163.397776433882</v>
      </c>
      <c r="Z112" s="16">
        <f t="shared" si="38"/>
        <v>-16795.393825056795</v>
      </c>
      <c r="AA112" s="16">
        <f t="shared" si="39"/>
        <v>-46026.364529914441</v>
      </c>
      <c r="AB112" s="16">
        <f t="shared" si="40"/>
        <v>-21851.431189895397</v>
      </c>
      <c r="AC112" s="16">
        <f t="shared" si="41"/>
        <v>-21851.431189895386</v>
      </c>
      <c r="AD112" s="16">
        <f t="shared" si="42"/>
        <v>-22551.431189895389</v>
      </c>
      <c r="AE112" s="14">
        <f>IF([1]Sheet2!AJ111=999999,"NA",[1]Sheet2!AJ111)</f>
        <v>18</v>
      </c>
      <c r="AF112" s="14">
        <f>IF([1]Sheet2!AK111=999999,"NA",[1]Sheet2!AK111)</f>
        <v>0</v>
      </c>
      <c r="AG112" s="14" t="str">
        <f>IF([1]Sheet2!AL111=999999,"NA",[1]Sheet2!AL111)</f>
        <v>NA</v>
      </c>
      <c r="AH112" s="14">
        <f>IF([1]Sheet2!AM111=999999,"NA",[1]Sheet2!AM111)</f>
        <v>256</v>
      </c>
      <c r="AI112" s="14">
        <f>IF([1]Sheet2!AN111=999999,"NA",[1]Sheet2!AN111)</f>
        <v>256</v>
      </c>
      <c r="AJ112" s="14">
        <f>IF([1]Sheet2!AO111=999999,"NA",[1]Sheet2!AO111)</f>
        <v>256</v>
      </c>
      <c r="AK112" s="14">
        <f>IF([1]Sheet2!AP111=999999,"NA",[1]Sheet2!AP111)</f>
        <v>1</v>
      </c>
      <c r="AL112" s="14">
        <f>IF([1]Sheet2!AQ111=999999,"NA",[1]Sheet2!AQ111)</f>
        <v>132</v>
      </c>
      <c r="AM112" s="14">
        <f>IF([1]Sheet2!AR111=999999,"NA",[1]Sheet2!AR111)</f>
        <v>256</v>
      </c>
      <c r="AN112" s="14">
        <f>IF([1]Sheet2!AS111=999999,"NA",[1]Sheet2!AS111)</f>
        <v>188</v>
      </c>
      <c r="AO112" s="14">
        <f>[1]Sheet2!P111</f>
        <v>0</v>
      </c>
      <c r="AP112" s="14">
        <f>[1]Sheet2!Q111</f>
        <v>0</v>
      </c>
      <c r="AQ112" s="14">
        <f>[1]Sheet2!R111</f>
        <v>0</v>
      </c>
      <c r="AR112" s="14">
        <f>[1]Sheet2!S111</f>
        <v>0</v>
      </c>
      <c r="AS112" s="14">
        <f>[1]Sheet2!T111</f>
        <v>0</v>
      </c>
      <c r="AT112" s="14">
        <f>[1]Sheet2!U111</f>
        <v>0</v>
      </c>
      <c r="AU112" s="14">
        <f>[1]Sheet2!V111</f>
        <v>0</v>
      </c>
      <c r="AV112" s="14">
        <f>[1]Sheet2!W111</f>
        <v>0</v>
      </c>
      <c r="AW112" s="14">
        <f>[1]Sheet2!X111</f>
        <v>0</v>
      </c>
      <c r="AX112" s="14">
        <f>[1]Sheet2!Y111</f>
        <v>0</v>
      </c>
      <c r="AY112" s="16">
        <f>Demand_LP!B$6/30</f>
        <v>790.61612406517088</v>
      </c>
      <c r="AZ112" s="16">
        <f>Demand_LP!C$6/30</f>
        <v>816.46367521367517</v>
      </c>
      <c r="BA112" s="16">
        <f>Demand_LP!D$6/30</f>
        <v>346.63461538461536</v>
      </c>
      <c r="BB112" s="16">
        <f>Demand_LP!E$6/30</f>
        <v>795.48076923076928</v>
      </c>
      <c r="BC112" s="16">
        <f>Demand_LP!F$6/30</f>
        <v>472.52230168269227</v>
      </c>
      <c r="BD112" s="16">
        <f>Demand_LP!G$6/30</f>
        <v>790.61612406517088</v>
      </c>
      <c r="BE112" s="16">
        <f>Demand_LP!H$6/30</f>
        <v>816.46367521367517</v>
      </c>
      <c r="BF112" s="16">
        <f>Demand_LP!I$6/30</f>
        <v>472.52230168269227</v>
      </c>
      <c r="BG112" s="16">
        <f>Demand_LP!J$6/30</f>
        <v>472.52230168269227</v>
      </c>
      <c r="BH112" s="16">
        <f>Demand_LP!K$6/30</f>
        <v>472.52230168269227</v>
      </c>
      <c r="BI112" s="16" t="e">
        <f t="shared" si="43"/>
        <v>#VALUE!</v>
      </c>
      <c r="BJ112" s="16">
        <f t="shared" si="44"/>
        <v>-66129.353418803323</v>
      </c>
      <c r="BK112" s="16">
        <f t="shared" si="45"/>
        <v>-29360.023076923077</v>
      </c>
      <c r="BL112" s="16">
        <f t="shared" si="46"/>
        <v>-78920.682035053484</v>
      </c>
      <c r="BM112" s="16">
        <f t="shared" si="47"/>
        <v>-49420.239813600543</v>
      </c>
      <c r="BN112" s="16">
        <f t="shared" si="48"/>
        <v>-75419.929864216596</v>
      </c>
      <c r="BO112" s="16">
        <f t="shared" si="49"/>
        <v>-68486.932905982845</v>
      </c>
      <c r="BP112" s="16">
        <f t="shared" si="50"/>
        <v>-48877.923731971139</v>
      </c>
      <c r="BQ112" s="16">
        <f t="shared" si="51"/>
        <v>-45477.923731971161</v>
      </c>
      <c r="BR112" s="16">
        <f t="shared" si="52"/>
        <v>-46677.923731971146</v>
      </c>
      <c r="BS112" s="14">
        <f>IF([1]Sheet2!CA111=999999,"NA",[1]Sheet2!CA111)</f>
        <v>169801.07626802885</v>
      </c>
      <c r="BT112" s="14">
        <f>IF([1]Sheet2!CB111=999999,"NA",[1]Sheet2!CB111)</f>
        <v>178</v>
      </c>
      <c r="BU112" s="14">
        <f>IF([1]Sheet2!CC111=999999,"NA",[1]Sheet2!CC111)</f>
        <v>256</v>
      </c>
      <c r="BV112" s="14">
        <f>IF([1]Sheet2!CD111=999999,"NA",[1]Sheet2!CD111)</f>
        <v>256</v>
      </c>
      <c r="BW112" s="14">
        <f>IF([1]Sheet2!CE111=999999,"NA",[1]Sheet2!CE111)</f>
        <v>218</v>
      </c>
      <c r="BX112" s="14">
        <f>IF([1]Sheet2!CF111=999999,"NA",[1]Sheet2!CF111)</f>
        <v>256</v>
      </c>
      <c r="BY112" s="14">
        <f>IF([1]Sheet2!CG111=999999,"NA",[1]Sheet2!CG111)</f>
        <v>150</v>
      </c>
      <c r="BZ112" s="14">
        <f>IF([1]Sheet2!CH111=999999,"NA",[1]Sheet2!CH111)</f>
        <v>256</v>
      </c>
      <c r="CA112" s="14">
        <f>IF([1]Sheet2!CI111=999999,"NA",[1]Sheet2!CI111)</f>
        <v>256</v>
      </c>
      <c r="CB112" s="14">
        <f>IF([1]Sheet2!CJ111=999999,"NA",[1]Sheet2!CJ111)</f>
        <v>256</v>
      </c>
      <c r="CC112" s="14">
        <f>[1]Sheet2!BG111</f>
        <v>0</v>
      </c>
      <c r="CD112" s="14">
        <f>[1]Sheet2!BH111</f>
        <v>0</v>
      </c>
      <c r="CE112" s="14">
        <f>[1]Sheet2!BI111</f>
        <v>0</v>
      </c>
      <c r="CF112" s="14">
        <f>[1]Sheet2!BJ111</f>
        <v>0</v>
      </c>
      <c r="CG112" s="14">
        <f>[1]Sheet2!BK111</f>
        <v>0</v>
      </c>
      <c r="CH112" s="14">
        <f>[1]Sheet2!BL111</f>
        <v>0</v>
      </c>
      <c r="CI112" s="14">
        <f>[1]Sheet2!BM111</f>
        <v>0</v>
      </c>
      <c r="CJ112" s="14">
        <f>[1]Sheet2!BN111</f>
        <v>0</v>
      </c>
      <c r="CK112" s="14">
        <f>[1]Sheet2!BO111</f>
        <v>0</v>
      </c>
      <c r="CL112" s="14">
        <f>[1]Sheet2!BP111</f>
        <v>0</v>
      </c>
      <c r="CM112" s="16">
        <f>Demand_SW!B$6/30</f>
        <v>173.07692307692304</v>
      </c>
      <c r="CN112" s="16">
        <f>Demand_SW!C$6/30</f>
        <v>0</v>
      </c>
      <c r="CO112" s="16">
        <f>Demand_SW!D$6/30</f>
        <v>0</v>
      </c>
      <c r="CP112" s="16">
        <f>Demand_SW!E$6/30</f>
        <v>0</v>
      </c>
      <c r="CQ112" s="16">
        <f>Demand_SW!F$6/30</f>
        <v>0</v>
      </c>
      <c r="CR112" s="16">
        <f>Demand_SW!G$6/30</f>
        <v>173.07692307692304</v>
      </c>
      <c r="CS112" s="16">
        <f>Demand_SW!H$6/30</f>
        <v>0</v>
      </c>
      <c r="CT112" s="16">
        <f>Demand_SW!I$6/30</f>
        <v>0</v>
      </c>
      <c r="CU112" s="16">
        <f>Demand_SW!J$6/30</f>
        <v>0</v>
      </c>
      <c r="CV112" s="16">
        <f>Demand_SW!K$6/30</f>
        <v>0</v>
      </c>
      <c r="CW112" s="16">
        <f t="shared" si="53"/>
        <v>36440.769230769212</v>
      </c>
      <c r="CX112" s="16">
        <f t="shared" si="54"/>
        <v>-423.07692307692292</v>
      </c>
      <c r="CY112" s="16">
        <f t="shared" si="55"/>
        <v>0</v>
      </c>
      <c r="CZ112" s="16">
        <f t="shared" si="56"/>
        <v>0</v>
      </c>
      <c r="DA112" s="16">
        <f t="shared" si="57"/>
        <v>0</v>
      </c>
      <c r="DB112" s="16">
        <f t="shared" si="58"/>
        <v>-13088.461538461543</v>
      </c>
      <c r="DC112" s="16">
        <f t="shared" si="59"/>
        <v>-423.07692307692292</v>
      </c>
      <c r="DD112" s="16">
        <f t="shared" si="60"/>
        <v>0</v>
      </c>
      <c r="DE112" s="16">
        <f t="shared" si="61"/>
        <v>0</v>
      </c>
      <c r="DF112" s="16">
        <f t="shared" si="62"/>
        <v>0</v>
      </c>
      <c r="DG112" s="14">
        <f>IF([1]Sheet2!DR111=999999,"NA",[1]Sheet2!DR111)</f>
        <v>73103</v>
      </c>
      <c r="DH112" s="14">
        <f>IF([1]Sheet2!DS111=999999,"NA",[1]Sheet2!DS111)</f>
        <v>256</v>
      </c>
      <c r="DI112" s="14">
        <f>IF([1]Sheet2!DT111=999999,"NA",[1]Sheet2!DT111)</f>
        <v>256</v>
      </c>
      <c r="DJ112" s="14" t="str">
        <f>IF([1]Sheet2!DU111=999999,"NA",[1]Sheet2!DU111)</f>
        <v>NA</v>
      </c>
      <c r="DK112" s="14" t="str">
        <f>IF([1]Sheet2!DV111=999999,"NA",[1]Sheet2!DV111)</f>
        <v>NA</v>
      </c>
      <c r="DL112" s="14" t="str">
        <f>IF([1]Sheet2!DW111=999999,"NA",[1]Sheet2!DW111)</f>
        <v>NA</v>
      </c>
      <c r="DM112" s="14">
        <f>IF([1]Sheet2!DX111=999999,"NA",[1]Sheet2!DX111)</f>
        <v>256</v>
      </c>
      <c r="DN112" s="14">
        <f>IF([1]Sheet2!DY111=999999,"NA",[1]Sheet2!DY111)</f>
        <v>256</v>
      </c>
      <c r="DO112" s="14" t="str">
        <f>IF([1]Sheet2!DZ111=999999,"NA",[1]Sheet2!DZ111)</f>
        <v>NA</v>
      </c>
      <c r="DP112" s="14" t="str">
        <f>IF([1]Sheet2!EA111=999999,"NA",[1]Sheet2!EA111)</f>
        <v>NA</v>
      </c>
      <c r="DQ112" s="14">
        <f>[1]Sheet2!CX111</f>
        <v>0</v>
      </c>
      <c r="DR112" s="14">
        <f>[1]Sheet2!CY111</f>
        <v>0</v>
      </c>
      <c r="DS112" s="14">
        <f>[1]Sheet2!CZ111</f>
        <v>0</v>
      </c>
      <c r="DT112" s="14">
        <f>[1]Sheet2!DA111</f>
        <v>0</v>
      </c>
      <c r="DU112" s="14">
        <f>[1]Sheet2!DB111</f>
        <v>0</v>
      </c>
      <c r="DV112" s="14">
        <f>[1]Sheet2!DC111</f>
        <v>0</v>
      </c>
      <c r="DW112" s="14">
        <f>[1]Sheet2!DD111</f>
        <v>0</v>
      </c>
      <c r="DX112" s="14">
        <f>[1]Sheet2!DE111</f>
        <v>0</v>
      </c>
      <c r="DY112" s="14">
        <f>[1]Sheet2!DF111</f>
        <v>0</v>
      </c>
      <c r="DZ112" s="14">
        <f>[1]Sheet2!DG111</f>
        <v>0</v>
      </c>
    </row>
    <row r="113" spans="1:130" x14ac:dyDescent="0.25">
      <c r="A113" s="15">
        <v>43575</v>
      </c>
      <c r="B113" s="1"/>
      <c r="C113" s="1"/>
      <c r="D113" s="1"/>
      <c r="E113" s="14">
        <f>[1]Sheet2!N112</f>
        <v>0</v>
      </c>
      <c r="F113" s="14">
        <f>[1]Sheet2!BE112</f>
        <v>0</v>
      </c>
      <c r="G113" s="14">
        <f>[1]Sheet2!CV112</f>
        <v>346.15384615384608</v>
      </c>
      <c r="H113" s="1"/>
      <c r="I113" s="1"/>
      <c r="J113" s="1"/>
      <c r="K113" s="16">
        <f>Demand_CWRS!B$6/30</f>
        <v>136.96097796474356</v>
      </c>
      <c r="L113" s="16">
        <f>Demand_CWRS!C$6/30</f>
        <v>544.43376068376062</v>
      </c>
      <c r="M113" s="16">
        <f>Demand_CWRS!D$6/30</f>
        <v>0</v>
      </c>
      <c r="N113" s="16">
        <f>Demand_CWRS!E$6/30</f>
        <v>108.97435897435896</v>
      </c>
      <c r="O113" s="16">
        <f>Demand_CWRS!F$6/30</f>
        <v>213.3621347489316</v>
      </c>
      <c r="P113" s="16">
        <f>Demand_CWRS!G$6/30</f>
        <v>133.33333333333334</v>
      </c>
      <c r="Q113" s="16">
        <f>Demand_CWRS!H$6/30</f>
        <v>544.43376068376062</v>
      </c>
      <c r="R113" s="16">
        <f>Demand_CWRS!I$6/30</f>
        <v>213.3621347489316</v>
      </c>
      <c r="S113" s="16">
        <f>Demand_CWRS!J$6/30</f>
        <v>213.3621347489316</v>
      </c>
      <c r="T113" s="16">
        <f>Demand_CWRS!K$6/30</f>
        <v>213.3621347489316</v>
      </c>
      <c r="U113" s="16">
        <f t="shared" si="33"/>
        <v>-17218.223861114464</v>
      </c>
      <c r="V113" s="16">
        <f t="shared" si="34"/>
        <v>-47070.798290598199</v>
      </c>
      <c r="W113" s="16">
        <f t="shared" si="35"/>
        <v>0</v>
      </c>
      <c r="X113" s="16">
        <f t="shared" si="36"/>
        <v>-10658.891934436882</v>
      </c>
      <c r="Y113" s="16">
        <f t="shared" si="37"/>
        <v>-24376.759911182813</v>
      </c>
      <c r="Z113" s="16">
        <f t="shared" si="38"/>
        <v>-16928.727158390127</v>
      </c>
      <c r="AA113" s="16">
        <f t="shared" si="39"/>
        <v>-46570.798290598199</v>
      </c>
      <c r="AB113" s="16">
        <f t="shared" si="40"/>
        <v>-22064.793324644328</v>
      </c>
      <c r="AC113" s="16">
        <f t="shared" si="41"/>
        <v>-22064.793324644317</v>
      </c>
      <c r="AD113" s="16">
        <f t="shared" si="42"/>
        <v>-22764.793324644321</v>
      </c>
      <c r="AE113" s="14">
        <f>IF([1]Sheet2!AJ112=999999,"NA",[1]Sheet2!AJ112)</f>
        <v>17</v>
      </c>
      <c r="AF113" s="14">
        <f>IF([1]Sheet2!AK112=999999,"NA",[1]Sheet2!AK112)</f>
        <v>0</v>
      </c>
      <c r="AG113" s="14" t="str">
        <f>IF([1]Sheet2!AL112=999999,"NA",[1]Sheet2!AL112)</f>
        <v>NA</v>
      </c>
      <c r="AH113" s="14">
        <f>IF([1]Sheet2!AM112=999999,"NA",[1]Sheet2!AM112)</f>
        <v>255</v>
      </c>
      <c r="AI113" s="14">
        <f>IF([1]Sheet2!AN112=999999,"NA",[1]Sheet2!AN112)</f>
        <v>255</v>
      </c>
      <c r="AJ113" s="14">
        <f>IF([1]Sheet2!AO112=999999,"NA",[1]Sheet2!AO112)</f>
        <v>255</v>
      </c>
      <c r="AK113" s="14">
        <f>IF([1]Sheet2!AP112=999999,"NA",[1]Sheet2!AP112)</f>
        <v>0</v>
      </c>
      <c r="AL113" s="14">
        <f>IF([1]Sheet2!AQ112=999999,"NA",[1]Sheet2!AQ112)</f>
        <v>131</v>
      </c>
      <c r="AM113" s="14">
        <f>IF([1]Sheet2!AR112=999999,"NA",[1]Sheet2!AR112)</f>
        <v>255</v>
      </c>
      <c r="AN113" s="14">
        <f>IF([1]Sheet2!AS112=999999,"NA",[1]Sheet2!AS112)</f>
        <v>187</v>
      </c>
      <c r="AO113" s="14">
        <f>[1]Sheet2!P112</f>
        <v>0</v>
      </c>
      <c r="AP113" s="14">
        <f>[1]Sheet2!Q112</f>
        <v>0</v>
      </c>
      <c r="AQ113" s="14">
        <f>[1]Sheet2!R112</f>
        <v>0</v>
      </c>
      <c r="AR113" s="14">
        <f>[1]Sheet2!S112</f>
        <v>0</v>
      </c>
      <c r="AS113" s="14">
        <f>[1]Sheet2!T112</f>
        <v>0</v>
      </c>
      <c r="AT113" s="14">
        <f>[1]Sheet2!U112</f>
        <v>0</v>
      </c>
      <c r="AU113" s="14">
        <f>[1]Sheet2!V112</f>
        <v>0</v>
      </c>
      <c r="AV113" s="14">
        <f>[1]Sheet2!W112</f>
        <v>0</v>
      </c>
      <c r="AW113" s="14">
        <f>[1]Sheet2!X112</f>
        <v>0</v>
      </c>
      <c r="AX113" s="14">
        <f>[1]Sheet2!Y112</f>
        <v>0</v>
      </c>
      <c r="AY113" s="16">
        <f>Demand_LP!B$6/30</f>
        <v>790.61612406517088</v>
      </c>
      <c r="AZ113" s="16">
        <f>Demand_LP!C$6/30</f>
        <v>816.46367521367517</v>
      </c>
      <c r="BA113" s="16">
        <f>Demand_LP!D$6/30</f>
        <v>346.63461538461536</v>
      </c>
      <c r="BB113" s="16">
        <f>Demand_LP!E$6/30</f>
        <v>795.48076923076928</v>
      </c>
      <c r="BC113" s="16">
        <f>Demand_LP!F$6/30</f>
        <v>472.52230168269227</v>
      </c>
      <c r="BD113" s="16">
        <f>Demand_LP!G$6/30</f>
        <v>790.61612406517088</v>
      </c>
      <c r="BE113" s="16">
        <f>Demand_LP!H$6/30</f>
        <v>816.46367521367517</v>
      </c>
      <c r="BF113" s="16">
        <f>Demand_LP!I$6/30</f>
        <v>472.52230168269227</v>
      </c>
      <c r="BG113" s="16">
        <f>Demand_LP!J$6/30</f>
        <v>472.52230168269227</v>
      </c>
      <c r="BH113" s="16">
        <f>Demand_LP!K$6/30</f>
        <v>472.52230168269227</v>
      </c>
      <c r="BI113" s="16" t="e">
        <f t="shared" si="43"/>
        <v>#VALUE!</v>
      </c>
      <c r="BJ113" s="16">
        <f t="shared" si="44"/>
        <v>-66945.817094016995</v>
      </c>
      <c r="BK113" s="16">
        <f t="shared" si="45"/>
        <v>-29706.657692307694</v>
      </c>
      <c r="BL113" s="16">
        <f t="shared" si="46"/>
        <v>-79716.162804284249</v>
      </c>
      <c r="BM113" s="16">
        <f t="shared" si="47"/>
        <v>-49892.762115283236</v>
      </c>
      <c r="BN113" s="16">
        <f t="shared" si="48"/>
        <v>-76210.545988281767</v>
      </c>
      <c r="BO113" s="16">
        <f t="shared" si="49"/>
        <v>-69303.396581196517</v>
      </c>
      <c r="BP113" s="16">
        <f t="shared" si="50"/>
        <v>-49350.446033653832</v>
      </c>
      <c r="BQ113" s="16">
        <f t="shared" si="51"/>
        <v>-45950.446033653854</v>
      </c>
      <c r="BR113" s="16">
        <f t="shared" si="52"/>
        <v>-47150.44603365384</v>
      </c>
      <c r="BS113" s="14">
        <f>IF([1]Sheet2!CA112=999999,"NA",[1]Sheet2!CA112)</f>
        <v>169328.55396634617</v>
      </c>
      <c r="BT113" s="14">
        <f>IF([1]Sheet2!CB112=999999,"NA",[1]Sheet2!CB112)</f>
        <v>177</v>
      </c>
      <c r="BU113" s="14">
        <f>IF([1]Sheet2!CC112=999999,"NA",[1]Sheet2!CC112)</f>
        <v>255</v>
      </c>
      <c r="BV113" s="14">
        <f>IF([1]Sheet2!CD112=999999,"NA",[1]Sheet2!CD112)</f>
        <v>255</v>
      </c>
      <c r="BW113" s="14">
        <f>IF([1]Sheet2!CE112=999999,"NA",[1]Sheet2!CE112)</f>
        <v>217</v>
      </c>
      <c r="BX113" s="14">
        <f>IF([1]Sheet2!CF112=999999,"NA",[1]Sheet2!CF112)</f>
        <v>255</v>
      </c>
      <c r="BY113" s="14">
        <f>IF([1]Sheet2!CG112=999999,"NA",[1]Sheet2!CG112)</f>
        <v>149</v>
      </c>
      <c r="BZ113" s="14">
        <f>IF([1]Sheet2!CH112=999999,"NA",[1]Sheet2!CH112)</f>
        <v>255</v>
      </c>
      <c r="CA113" s="14">
        <f>IF([1]Sheet2!CI112=999999,"NA",[1]Sheet2!CI112)</f>
        <v>255</v>
      </c>
      <c r="CB113" s="14">
        <f>IF([1]Sheet2!CJ112=999999,"NA",[1]Sheet2!CJ112)</f>
        <v>255</v>
      </c>
      <c r="CC113" s="14">
        <f>[1]Sheet2!BG112</f>
        <v>0</v>
      </c>
      <c r="CD113" s="14">
        <f>[1]Sheet2!BH112</f>
        <v>0</v>
      </c>
      <c r="CE113" s="14">
        <f>[1]Sheet2!BI112</f>
        <v>0</v>
      </c>
      <c r="CF113" s="14">
        <f>[1]Sheet2!BJ112</f>
        <v>0</v>
      </c>
      <c r="CG113" s="14">
        <f>[1]Sheet2!BK112</f>
        <v>0</v>
      </c>
      <c r="CH113" s="14">
        <f>[1]Sheet2!BL112</f>
        <v>0</v>
      </c>
      <c r="CI113" s="14">
        <f>[1]Sheet2!BM112</f>
        <v>0</v>
      </c>
      <c r="CJ113" s="14">
        <f>[1]Sheet2!BN112</f>
        <v>0</v>
      </c>
      <c r="CK113" s="14">
        <f>[1]Sheet2!BO112</f>
        <v>0</v>
      </c>
      <c r="CL113" s="14">
        <f>[1]Sheet2!BP112</f>
        <v>0</v>
      </c>
      <c r="CM113" s="16">
        <f>Demand_SW!B$6/30</f>
        <v>173.07692307692304</v>
      </c>
      <c r="CN113" s="16">
        <f>Demand_SW!C$6/30</f>
        <v>0</v>
      </c>
      <c r="CO113" s="16">
        <f>Demand_SW!D$6/30</f>
        <v>0</v>
      </c>
      <c r="CP113" s="16">
        <f>Demand_SW!E$6/30</f>
        <v>0</v>
      </c>
      <c r="CQ113" s="16">
        <f>Demand_SW!F$6/30</f>
        <v>0</v>
      </c>
      <c r="CR113" s="16">
        <f>Demand_SW!G$6/30</f>
        <v>173.07692307692304</v>
      </c>
      <c r="CS113" s="16">
        <f>Demand_SW!H$6/30</f>
        <v>0</v>
      </c>
      <c r="CT113" s="16">
        <f>Demand_SW!I$6/30</f>
        <v>0</v>
      </c>
      <c r="CU113" s="16">
        <f>Demand_SW!J$6/30</f>
        <v>0</v>
      </c>
      <c r="CV113" s="16">
        <f>Demand_SW!K$6/30</f>
        <v>0</v>
      </c>
      <c r="CW113" s="16">
        <f t="shared" si="53"/>
        <v>36267.69230769229</v>
      </c>
      <c r="CX113" s="16">
        <f t="shared" si="54"/>
        <v>-423.07692307692292</v>
      </c>
      <c r="CY113" s="16">
        <f t="shared" si="55"/>
        <v>0</v>
      </c>
      <c r="CZ113" s="16">
        <f t="shared" si="56"/>
        <v>0</v>
      </c>
      <c r="DA113" s="16">
        <f t="shared" si="57"/>
        <v>0</v>
      </c>
      <c r="DB113" s="16">
        <f t="shared" si="58"/>
        <v>-13261.538461538466</v>
      </c>
      <c r="DC113" s="16">
        <f t="shared" si="59"/>
        <v>-423.07692307692292</v>
      </c>
      <c r="DD113" s="16">
        <f t="shared" si="60"/>
        <v>0</v>
      </c>
      <c r="DE113" s="16">
        <f t="shared" si="61"/>
        <v>0</v>
      </c>
      <c r="DF113" s="16">
        <f t="shared" si="62"/>
        <v>0</v>
      </c>
      <c r="DG113" s="14">
        <f>IF([1]Sheet2!DR112=999999,"NA",[1]Sheet2!DR112)</f>
        <v>73103</v>
      </c>
      <c r="DH113" s="14">
        <f>IF([1]Sheet2!DS112=999999,"NA",[1]Sheet2!DS112)</f>
        <v>255</v>
      </c>
      <c r="DI113" s="14">
        <f>IF([1]Sheet2!DT112=999999,"NA",[1]Sheet2!DT112)</f>
        <v>255</v>
      </c>
      <c r="DJ113" s="14" t="str">
        <f>IF([1]Sheet2!DU112=999999,"NA",[1]Sheet2!DU112)</f>
        <v>NA</v>
      </c>
      <c r="DK113" s="14" t="str">
        <f>IF([1]Sheet2!DV112=999999,"NA",[1]Sheet2!DV112)</f>
        <v>NA</v>
      </c>
      <c r="DL113" s="14" t="str">
        <f>IF([1]Sheet2!DW112=999999,"NA",[1]Sheet2!DW112)</f>
        <v>NA</v>
      </c>
      <c r="DM113" s="14">
        <f>IF([1]Sheet2!DX112=999999,"NA",[1]Sheet2!DX112)</f>
        <v>255</v>
      </c>
      <c r="DN113" s="14">
        <f>IF([1]Sheet2!DY112=999999,"NA",[1]Sheet2!DY112)</f>
        <v>255</v>
      </c>
      <c r="DO113" s="14" t="str">
        <f>IF([1]Sheet2!DZ112=999999,"NA",[1]Sheet2!DZ112)</f>
        <v>NA</v>
      </c>
      <c r="DP113" s="14" t="str">
        <f>IF([1]Sheet2!EA112=999999,"NA",[1]Sheet2!EA112)</f>
        <v>NA</v>
      </c>
      <c r="DQ113" s="14">
        <f>[1]Sheet2!CX112</f>
        <v>0</v>
      </c>
      <c r="DR113" s="14">
        <f>[1]Sheet2!CY112</f>
        <v>0</v>
      </c>
      <c r="DS113" s="14">
        <f>[1]Sheet2!CZ112</f>
        <v>0</v>
      </c>
      <c r="DT113" s="14">
        <f>[1]Sheet2!DA112</f>
        <v>0</v>
      </c>
      <c r="DU113" s="14">
        <f>[1]Sheet2!DB112</f>
        <v>0</v>
      </c>
      <c r="DV113" s="14">
        <f>[1]Sheet2!DC112</f>
        <v>0</v>
      </c>
      <c r="DW113" s="14">
        <f>[1]Sheet2!DD112</f>
        <v>0</v>
      </c>
      <c r="DX113" s="14">
        <f>[1]Sheet2!DE112</f>
        <v>0</v>
      </c>
      <c r="DY113" s="14">
        <f>[1]Sheet2!DF112</f>
        <v>0</v>
      </c>
      <c r="DZ113" s="14">
        <f>[1]Sheet2!DG112</f>
        <v>0</v>
      </c>
    </row>
    <row r="114" spans="1:130" x14ac:dyDescent="0.25">
      <c r="A114" s="15">
        <v>43576</v>
      </c>
      <c r="B114" s="1"/>
      <c r="C114" s="1"/>
      <c r="D114" s="1"/>
      <c r="E114" s="14">
        <f>[1]Sheet2!N113</f>
        <v>0</v>
      </c>
      <c r="F114" s="14">
        <f>[1]Sheet2!BE113</f>
        <v>0</v>
      </c>
      <c r="G114" s="14">
        <f>[1]Sheet2!CV113</f>
        <v>346.15384615384608</v>
      </c>
      <c r="H114" s="1"/>
      <c r="I114" s="1"/>
      <c r="J114" s="1"/>
      <c r="K114" s="16">
        <f>Demand_CWRS!B$6/30</f>
        <v>136.96097796474356</v>
      </c>
      <c r="L114" s="16">
        <f>Demand_CWRS!C$6/30</f>
        <v>544.43376068376062</v>
      </c>
      <c r="M114" s="16">
        <f>Demand_CWRS!D$6/30</f>
        <v>0</v>
      </c>
      <c r="N114" s="16">
        <f>Demand_CWRS!E$6/30</f>
        <v>108.97435897435896</v>
      </c>
      <c r="O114" s="16">
        <f>Demand_CWRS!F$6/30</f>
        <v>213.3621347489316</v>
      </c>
      <c r="P114" s="16">
        <f>Demand_CWRS!G$6/30</f>
        <v>133.33333333333334</v>
      </c>
      <c r="Q114" s="16">
        <f>Demand_CWRS!H$6/30</f>
        <v>544.43376068376062</v>
      </c>
      <c r="R114" s="16">
        <f>Demand_CWRS!I$6/30</f>
        <v>213.3621347489316</v>
      </c>
      <c r="S114" s="16">
        <f>Demand_CWRS!J$6/30</f>
        <v>213.3621347489316</v>
      </c>
      <c r="T114" s="16">
        <f>Demand_CWRS!K$6/30</f>
        <v>213.3621347489316</v>
      </c>
      <c r="U114" s="16">
        <f t="shared" si="33"/>
        <v>-17355.184839079207</v>
      </c>
      <c r="V114" s="16">
        <f t="shared" si="34"/>
        <v>-47615.232051281957</v>
      </c>
      <c r="W114" s="16">
        <f t="shared" si="35"/>
        <v>0</v>
      </c>
      <c r="X114" s="16">
        <f t="shared" si="36"/>
        <v>-10767.866293411242</v>
      </c>
      <c r="Y114" s="16">
        <f t="shared" si="37"/>
        <v>-24590.122045931745</v>
      </c>
      <c r="Z114" s="16">
        <f t="shared" si="38"/>
        <v>-17062.06049172346</v>
      </c>
      <c r="AA114" s="16">
        <f t="shared" si="39"/>
        <v>-47115.232051281957</v>
      </c>
      <c r="AB114" s="16">
        <f t="shared" si="40"/>
        <v>-22278.15545939326</v>
      </c>
      <c r="AC114" s="16">
        <f t="shared" si="41"/>
        <v>-22278.155459393249</v>
      </c>
      <c r="AD114" s="16">
        <f t="shared" si="42"/>
        <v>-22978.155459393252</v>
      </c>
      <c r="AE114" s="14">
        <f>IF([1]Sheet2!AJ113=999999,"NA",[1]Sheet2!AJ113)</f>
        <v>16</v>
      </c>
      <c r="AF114" s="14">
        <f>IF([1]Sheet2!AK113=999999,"NA",[1]Sheet2!AK113)</f>
        <v>0</v>
      </c>
      <c r="AG114" s="14" t="str">
        <f>IF([1]Sheet2!AL113=999999,"NA",[1]Sheet2!AL113)</f>
        <v>NA</v>
      </c>
      <c r="AH114" s="14">
        <f>IF([1]Sheet2!AM113=999999,"NA",[1]Sheet2!AM113)</f>
        <v>254</v>
      </c>
      <c r="AI114" s="14">
        <f>IF([1]Sheet2!AN113=999999,"NA",[1]Sheet2!AN113)</f>
        <v>254</v>
      </c>
      <c r="AJ114" s="14">
        <f>IF([1]Sheet2!AO113=999999,"NA",[1]Sheet2!AO113)</f>
        <v>254</v>
      </c>
      <c r="AK114" s="14">
        <f>IF([1]Sheet2!AP113=999999,"NA",[1]Sheet2!AP113)</f>
        <v>0</v>
      </c>
      <c r="AL114" s="14">
        <f>IF([1]Sheet2!AQ113=999999,"NA",[1]Sheet2!AQ113)</f>
        <v>130</v>
      </c>
      <c r="AM114" s="14">
        <f>IF([1]Sheet2!AR113=999999,"NA",[1]Sheet2!AR113)</f>
        <v>254</v>
      </c>
      <c r="AN114" s="14">
        <f>IF([1]Sheet2!AS113=999999,"NA",[1]Sheet2!AS113)</f>
        <v>186</v>
      </c>
      <c r="AO114" s="14">
        <f>[1]Sheet2!P113</f>
        <v>0</v>
      </c>
      <c r="AP114" s="14">
        <f>[1]Sheet2!Q113</f>
        <v>0</v>
      </c>
      <c r="AQ114" s="14">
        <f>[1]Sheet2!R113</f>
        <v>0</v>
      </c>
      <c r="AR114" s="14">
        <f>[1]Sheet2!S113</f>
        <v>0</v>
      </c>
      <c r="AS114" s="14">
        <f>[1]Sheet2!T113</f>
        <v>0</v>
      </c>
      <c r="AT114" s="14">
        <f>[1]Sheet2!U113</f>
        <v>0</v>
      </c>
      <c r="AU114" s="14">
        <f>[1]Sheet2!V113</f>
        <v>0</v>
      </c>
      <c r="AV114" s="14">
        <f>[1]Sheet2!W113</f>
        <v>0</v>
      </c>
      <c r="AW114" s="14">
        <f>[1]Sheet2!X113</f>
        <v>0</v>
      </c>
      <c r="AX114" s="14">
        <f>[1]Sheet2!Y113</f>
        <v>0</v>
      </c>
      <c r="AY114" s="16">
        <f>Demand_LP!B$6/30</f>
        <v>790.61612406517088</v>
      </c>
      <c r="AZ114" s="16">
        <f>Demand_LP!C$6/30</f>
        <v>816.46367521367517</v>
      </c>
      <c r="BA114" s="16">
        <f>Demand_LP!D$6/30</f>
        <v>346.63461538461536</v>
      </c>
      <c r="BB114" s="16">
        <f>Demand_LP!E$6/30</f>
        <v>795.48076923076928</v>
      </c>
      <c r="BC114" s="16">
        <f>Demand_LP!F$6/30</f>
        <v>472.52230168269227</v>
      </c>
      <c r="BD114" s="16">
        <f>Demand_LP!G$6/30</f>
        <v>790.61612406517088</v>
      </c>
      <c r="BE114" s="16">
        <f>Demand_LP!H$6/30</f>
        <v>816.46367521367517</v>
      </c>
      <c r="BF114" s="16">
        <f>Demand_LP!I$6/30</f>
        <v>472.52230168269227</v>
      </c>
      <c r="BG114" s="16">
        <f>Demand_LP!J$6/30</f>
        <v>472.52230168269227</v>
      </c>
      <c r="BH114" s="16">
        <f>Demand_LP!K$6/30</f>
        <v>472.52230168269227</v>
      </c>
      <c r="BI114" s="16" t="e">
        <f t="shared" si="43"/>
        <v>#VALUE!</v>
      </c>
      <c r="BJ114" s="16">
        <f t="shared" si="44"/>
        <v>-67762.280769230667</v>
      </c>
      <c r="BK114" s="16">
        <f t="shared" si="45"/>
        <v>-30053.292307692311</v>
      </c>
      <c r="BL114" s="16">
        <f t="shared" si="46"/>
        <v>-80511.643573515015</v>
      </c>
      <c r="BM114" s="16">
        <f t="shared" si="47"/>
        <v>-50365.284416965929</v>
      </c>
      <c r="BN114" s="16">
        <f t="shared" si="48"/>
        <v>-77001.162112346938</v>
      </c>
      <c r="BO114" s="16">
        <f t="shared" si="49"/>
        <v>-70119.860256410189</v>
      </c>
      <c r="BP114" s="16">
        <f t="shared" si="50"/>
        <v>-49822.968335336525</v>
      </c>
      <c r="BQ114" s="16">
        <f t="shared" si="51"/>
        <v>-46422.968335336547</v>
      </c>
      <c r="BR114" s="16">
        <f t="shared" si="52"/>
        <v>-47622.968335336533</v>
      </c>
      <c r="BS114" s="14">
        <f>IF([1]Sheet2!CA113=999999,"NA",[1]Sheet2!CA113)</f>
        <v>168856.03166466349</v>
      </c>
      <c r="BT114" s="14">
        <f>IF([1]Sheet2!CB113=999999,"NA",[1]Sheet2!CB113)</f>
        <v>176</v>
      </c>
      <c r="BU114" s="14">
        <f>IF([1]Sheet2!CC113=999999,"NA",[1]Sheet2!CC113)</f>
        <v>254</v>
      </c>
      <c r="BV114" s="14">
        <f>IF([1]Sheet2!CD113=999999,"NA",[1]Sheet2!CD113)</f>
        <v>254</v>
      </c>
      <c r="BW114" s="14">
        <f>IF([1]Sheet2!CE113=999999,"NA",[1]Sheet2!CE113)</f>
        <v>216</v>
      </c>
      <c r="BX114" s="14">
        <f>IF([1]Sheet2!CF113=999999,"NA",[1]Sheet2!CF113)</f>
        <v>254</v>
      </c>
      <c r="BY114" s="14">
        <f>IF([1]Sheet2!CG113=999999,"NA",[1]Sheet2!CG113)</f>
        <v>148</v>
      </c>
      <c r="BZ114" s="14">
        <f>IF([1]Sheet2!CH113=999999,"NA",[1]Sheet2!CH113)</f>
        <v>254</v>
      </c>
      <c r="CA114" s="14">
        <f>IF([1]Sheet2!CI113=999999,"NA",[1]Sheet2!CI113)</f>
        <v>254</v>
      </c>
      <c r="CB114" s="14">
        <f>IF([1]Sheet2!CJ113=999999,"NA",[1]Sheet2!CJ113)</f>
        <v>254</v>
      </c>
      <c r="CC114" s="14">
        <f>[1]Sheet2!BG113</f>
        <v>0</v>
      </c>
      <c r="CD114" s="14">
        <f>[1]Sheet2!BH113</f>
        <v>0</v>
      </c>
      <c r="CE114" s="14">
        <f>[1]Sheet2!BI113</f>
        <v>0</v>
      </c>
      <c r="CF114" s="14">
        <f>[1]Sheet2!BJ113</f>
        <v>0</v>
      </c>
      <c r="CG114" s="14">
        <f>[1]Sheet2!BK113</f>
        <v>0</v>
      </c>
      <c r="CH114" s="14">
        <f>[1]Sheet2!BL113</f>
        <v>0</v>
      </c>
      <c r="CI114" s="14">
        <f>[1]Sheet2!BM113</f>
        <v>0</v>
      </c>
      <c r="CJ114" s="14">
        <f>[1]Sheet2!BN113</f>
        <v>0</v>
      </c>
      <c r="CK114" s="14">
        <f>[1]Sheet2!BO113</f>
        <v>0</v>
      </c>
      <c r="CL114" s="14">
        <f>[1]Sheet2!BP113</f>
        <v>0</v>
      </c>
      <c r="CM114" s="16">
        <f>Demand_SW!B$6/30</f>
        <v>173.07692307692304</v>
      </c>
      <c r="CN114" s="16">
        <f>Demand_SW!C$6/30</f>
        <v>0</v>
      </c>
      <c r="CO114" s="16">
        <f>Demand_SW!D$6/30</f>
        <v>0</v>
      </c>
      <c r="CP114" s="16">
        <f>Demand_SW!E$6/30</f>
        <v>0</v>
      </c>
      <c r="CQ114" s="16">
        <f>Demand_SW!F$6/30</f>
        <v>0</v>
      </c>
      <c r="CR114" s="16">
        <f>Demand_SW!G$6/30</f>
        <v>173.07692307692304</v>
      </c>
      <c r="CS114" s="16">
        <f>Demand_SW!H$6/30</f>
        <v>0</v>
      </c>
      <c r="CT114" s="16">
        <f>Demand_SW!I$6/30</f>
        <v>0</v>
      </c>
      <c r="CU114" s="16">
        <f>Demand_SW!J$6/30</f>
        <v>0</v>
      </c>
      <c r="CV114" s="16">
        <f>Demand_SW!K$6/30</f>
        <v>0</v>
      </c>
      <c r="CW114" s="16">
        <f t="shared" si="53"/>
        <v>36094.615384615368</v>
      </c>
      <c r="CX114" s="16">
        <f t="shared" si="54"/>
        <v>-423.07692307692292</v>
      </c>
      <c r="CY114" s="16">
        <f t="shared" si="55"/>
        <v>0</v>
      </c>
      <c r="CZ114" s="16">
        <f t="shared" si="56"/>
        <v>0</v>
      </c>
      <c r="DA114" s="16">
        <f t="shared" si="57"/>
        <v>0</v>
      </c>
      <c r="DB114" s="16">
        <f t="shared" si="58"/>
        <v>-13434.61538461539</v>
      </c>
      <c r="DC114" s="16">
        <f t="shared" si="59"/>
        <v>-423.07692307692292</v>
      </c>
      <c r="DD114" s="16">
        <f t="shared" si="60"/>
        <v>0</v>
      </c>
      <c r="DE114" s="16">
        <f t="shared" si="61"/>
        <v>0</v>
      </c>
      <c r="DF114" s="16">
        <f t="shared" si="62"/>
        <v>0</v>
      </c>
      <c r="DG114" s="14">
        <f>IF([1]Sheet2!DR113=999999,"NA",[1]Sheet2!DR113)</f>
        <v>73103</v>
      </c>
      <c r="DH114" s="14">
        <f>IF([1]Sheet2!DS113=999999,"NA",[1]Sheet2!DS113)</f>
        <v>254</v>
      </c>
      <c r="DI114" s="14">
        <f>IF([1]Sheet2!DT113=999999,"NA",[1]Sheet2!DT113)</f>
        <v>254</v>
      </c>
      <c r="DJ114" s="14" t="str">
        <f>IF([1]Sheet2!DU113=999999,"NA",[1]Sheet2!DU113)</f>
        <v>NA</v>
      </c>
      <c r="DK114" s="14" t="str">
        <f>IF([1]Sheet2!DV113=999999,"NA",[1]Sheet2!DV113)</f>
        <v>NA</v>
      </c>
      <c r="DL114" s="14" t="str">
        <f>IF([1]Sheet2!DW113=999999,"NA",[1]Sheet2!DW113)</f>
        <v>NA</v>
      </c>
      <c r="DM114" s="14">
        <f>IF([1]Sheet2!DX113=999999,"NA",[1]Sheet2!DX113)</f>
        <v>254</v>
      </c>
      <c r="DN114" s="14">
        <f>IF([1]Sheet2!DY113=999999,"NA",[1]Sheet2!DY113)</f>
        <v>254</v>
      </c>
      <c r="DO114" s="14" t="str">
        <f>IF([1]Sheet2!DZ113=999999,"NA",[1]Sheet2!DZ113)</f>
        <v>NA</v>
      </c>
      <c r="DP114" s="14" t="str">
        <f>IF([1]Sheet2!EA113=999999,"NA",[1]Sheet2!EA113)</f>
        <v>NA</v>
      </c>
      <c r="DQ114" s="14">
        <f>[1]Sheet2!CX113</f>
        <v>0</v>
      </c>
      <c r="DR114" s="14">
        <f>[1]Sheet2!CY113</f>
        <v>0</v>
      </c>
      <c r="DS114" s="14">
        <f>[1]Sheet2!CZ113</f>
        <v>0</v>
      </c>
      <c r="DT114" s="14">
        <f>[1]Sheet2!DA113</f>
        <v>0</v>
      </c>
      <c r="DU114" s="14">
        <f>[1]Sheet2!DB113</f>
        <v>0</v>
      </c>
      <c r="DV114" s="14">
        <f>[1]Sheet2!DC113</f>
        <v>0</v>
      </c>
      <c r="DW114" s="14">
        <f>[1]Sheet2!DD113</f>
        <v>0</v>
      </c>
      <c r="DX114" s="14">
        <f>[1]Sheet2!DE113</f>
        <v>0</v>
      </c>
      <c r="DY114" s="14">
        <f>[1]Sheet2!DF113</f>
        <v>0</v>
      </c>
      <c r="DZ114" s="14">
        <f>[1]Sheet2!DG113</f>
        <v>0</v>
      </c>
    </row>
    <row r="115" spans="1:130" x14ac:dyDescent="0.25">
      <c r="A115" s="15">
        <v>43577</v>
      </c>
      <c r="B115" s="1"/>
      <c r="C115" s="1"/>
      <c r="D115" s="1"/>
      <c r="E115" s="14">
        <f>[1]Sheet2!N114</f>
        <v>0</v>
      </c>
      <c r="F115" s="14">
        <f>[1]Sheet2!BE114</f>
        <v>0</v>
      </c>
      <c r="G115" s="14">
        <f>[1]Sheet2!CV114</f>
        <v>346.15384615384608</v>
      </c>
      <c r="H115" s="1"/>
      <c r="I115" s="1"/>
      <c r="J115" s="1"/>
      <c r="K115" s="16">
        <f>Demand_CWRS!B$6/30</f>
        <v>136.96097796474356</v>
      </c>
      <c r="L115" s="16">
        <f>Demand_CWRS!C$6/30</f>
        <v>544.43376068376062</v>
      </c>
      <c r="M115" s="16">
        <f>Demand_CWRS!D$6/30</f>
        <v>0</v>
      </c>
      <c r="N115" s="16">
        <f>Demand_CWRS!E$6/30</f>
        <v>108.97435897435896</v>
      </c>
      <c r="O115" s="16">
        <f>Demand_CWRS!F$6/30</f>
        <v>213.3621347489316</v>
      </c>
      <c r="P115" s="16">
        <f>Demand_CWRS!G$6/30</f>
        <v>133.33333333333334</v>
      </c>
      <c r="Q115" s="16">
        <f>Demand_CWRS!H$6/30</f>
        <v>544.43376068376062</v>
      </c>
      <c r="R115" s="16">
        <f>Demand_CWRS!I$6/30</f>
        <v>213.3621347489316</v>
      </c>
      <c r="S115" s="16">
        <f>Demand_CWRS!J$6/30</f>
        <v>213.3621347489316</v>
      </c>
      <c r="T115" s="16">
        <f>Demand_CWRS!K$6/30</f>
        <v>213.3621347489316</v>
      </c>
      <c r="U115" s="16">
        <f t="shared" si="33"/>
        <v>-17492.145817043951</v>
      </c>
      <c r="V115" s="16">
        <f t="shared" si="34"/>
        <v>-48159.665811965715</v>
      </c>
      <c r="W115" s="16">
        <f t="shared" si="35"/>
        <v>0</v>
      </c>
      <c r="X115" s="16">
        <f t="shared" si="36"/>
        <v>-10876.840652385601</v>
      </c>
      <c r="Y115" s="16">
        <f t="shared" si="37"/>
        <v>-24803.484180680676</v>
      </c>
      <c r="Z115" s="16">
        <f t="shared" si="38"/>
        <v>-17195.393825056792</v>
      </c>
      <c r="AA115" s="16">
        <f t="shared" si="39"/>
        <v>-47659.665811965715</v>
      </c>
      <c r="AB115" s="16">
        <f t="shared" si="40"/>
        <v>-22491.517594142191</v>
      </c>
      <c r="AC115" s="16">
        <f t="shared" si="41"/>
        <v>-22491.51759414218</v>
      </c>
      <c r="AD115" s="16">
        <f t="shared" si="42"/>
        <v>-23191.517594142184</v>
      </c>
      <c r="AE115" s="14">
        <f>IF([1]Sheet2!AJ114=999999,"NA",[1]Sheet2!AJ114)</f>
        <v>15</v>
      </c>
      <c r="AF115" s="14">
        <f>IF([1]Sheet2!AK114=999999,"NA",[1]Sheet2!AK114)</f>
        <v>0</v>
      </c>
      <c r="AG115" s="14" t="str">
        <f>IF([1]Sheet2!AL114=999999,"NA",[1]Sheet2!AL114)</f>
        <v>NA</v>
      </c>
      <c r="AH115" s="14">
        <f>IF([1]Sheet2!AM114=999999,"NA",[1]Sheet2!AM114)</f>
        <v>253</v>
      </c>
      <c r="AI115" s="14">
        <f>IF([1]Sheet2!AN114=999999,"NA",[1]Sheet2!AN114)</f>
        <v>253</v>
      </c>
      <c r="AJ115" s="14">
        <f>IF([1]Sheet2!AO114=999999,"NA",[1]Sheet2!AO114)</f>
        <v>253</v>
      </c>
      <c r="AK115" s="14">
        <f>IF([1]Sheet2!AP114=999999,"NA",[1]Sheet2!AP114)</f>
        <v>0</v>
      </c>
      <c r="AL115" s="14">
        <f>IF([1]Sheet2!AQ114=999999,"NA",[1]Sheet2!AQ114)</f>
        <v>129</v>
      </c>
      <c r="AM115" s="14">
        <f>IF([1]Sheet2!AR114=999999,"NA",[1]Sheet2!AR114)</f>
        <v>253</v>
      </c>
      <c r="AN115" s="14">
        <f>IF([1]Sheet2!AS114=999999,"NA",[1]Sheet2!AS114)</f>
        <v>185</v>
      </c>
      <c r="AO115" s="14">
        <f>[1]Sheet2!P114</f>
        <v>0</v>
      </c>
      <c r="AP115" s="14">
        <f>[1]Sheet2!Q114</f>
        <v>0</v>
      </c>
      <c r="AQ115" s="14">
        <f>[1]Sheet2!R114</f>
        <v>0</v>
      </c>
      <c r="AR115" s="14">
        <f>[1]Sheet2!S114</f>
        <v>0</v>
      </c>
      <c r="AS115" s="14">
        <f>[1]Sheet2!T114</f>
        <v>0</v>
      </c>
      <c r="AT115" s="14">
        <f>[1]Sheet2!U114</f>
        <v>0</v>
      </c>
      <c r="AU115" s="14">
        <f>[1]Sheet2!V114</f>
        <v>0</v>
      </c>
      <c r="AV115" s="14">
        <f>[1]Sheet2!W114</f>
        <v>0</v>
      </c>
      <c r="AW115" s="14">
        <f>[1]Sheet2!X114</f>
        <v>0</v>
      </c>
      <c r="AX115" s="14">
        <f>[1]Sheet2!Y114</f>
        <v>0</v>
      </c>
      <c r="AY115" s="16">
        <f>Demand_LP!B$6/30</f>
        <v>790.61612406517088</v>
      </c>
      <c r="AZ115" s="16">
        <f>Demand_LP!C$6/30</f>
        <v>816.46367521367517</v>
      </c>
      <c r="BA115" s="16">
        <f>Demand_LP!D$6/30</f>
        <v>346.63461538461536</v>
      </c>
      <c r="BB115" s="16">
        <f>Demand_LP!E$6/30</f>
        <v>795.48076923076928</v>
      </c>
      <c r="BC115" s="16">
        <f>Demand_LP!F$6/30</f>
        <v>472.52230168269227</v>
      </c>
      <c r="BD115" s="16">
        <f>Demand_LP!G$6/30</f>
        <v>790.61612406517088</v>
      </c>
      <c r="BE115" s="16">
        <f>Demand_LP!H$6/30</f>
        <v>816.46367521367517</v>
      </c>
      <c r="BF115" s="16">
        <f>Demand_LP!I$6/30</f>
        <v>472.52230168269227</v>
      </c>
      <c r="BG115" s="16">
        <f>Demand_LP!J$6/30</f>
        <v>472.52230168269227</v>
      </c>
      <c r="BH115" s="16">
        <f>Demand_LP!K$6/30</f>
        <v>472.52230168269227</v>
      </c>
      <c r="BI115" s="16" t="e">
        <f t="shared" si="43"/>
        <v>#VALUE!</v>
      </c>
      <c r="BJ115" s="16">
        <f t="shared" si="44"/>
        <v>-68578.744444444339</v>
      </c>
      <c r="BK115" s="16">
        <f t="shared" si="45"/>
        <v>-30399.926923076928</v>
      </c>
      <c r="BL115" s="16">
        <f t="shared" si="46"/>
        <v>-81307.124342745781</v>
      </c>
      <c r="BM115" s="16">
        <f t="shared" si="47"/>
        <v>-50837.806718648622</v>
      </c>
      <c r="BN115" s="16">
        <f t="shared" si="48"/>
        <v>-77791.778236412109</v>
      </c>
      <c r="BO115" s="16">
        <f t="shared" si="49"/>
        <v>-70936.323931623861</v>
      </c>
      <c r="BP115" s="16">
        <f t="shared" si="50"/>
        <v>-50295.490637019218</v>
      </c>
      <c r="BQ115" s="16">
        <f t="shared" si="51"/>
        <v>-46895.49063701924</v>
      </c>
      <c r="BR115" s="16">
        <f t="shared" si="52"/>
        <v>-48095.490637019226</v>
      </c>
      <c r="BS115" s="14">
        <f>IF([1]Sheet2!CA114=999999,"NA",[1]Sheet2!CA114)</f>
        <v>168383.50936298081</v>
      </c>
      <c r="BT115" s="14">
        <f>IF([1]Sheet2!CB114=999999,"NA",[1]Sheet2!CB114)</f>
        <v>175</v>
      </c>
      <c r="BU115" s="14">
        <f>IF([1]Sheet2!CC114=999999,"NA",[1]Sheet2!CC114)</f>
        <v>253</v>
      </c>
      <c r="BV115" s="14">
        <f>IF([1]Sheet2!CD114=999999,"NA",[1]Sheet2!CD114)</f>
        <v>253</v>
      </c>
      <c r="BW115" s="14">
        <f>IF([1]Sheet2!CE114=999999,"NA",[1]Sheet2!CE114)</f>
        <v>215</v>
      </c>
      <c r="BX115" s="14">
        <f>IF([1]Sheet2!CF114=999999,"NA",[1]Sheet2!CF114)</f>
        <v>253</v>
      </c>
      <c r="BY115" s="14">
        <f>IF([1]Sheet2!CG114=999999,"NA",[1]Sheet2!CG114)</f>
        <v>147</v>
      </c>
      <c r="BZ115" s="14">
        <f>IF([1]Sheet2!CH114=999999,"NA",[1]Sheet2!CH114)</f>
        <v>253</v>
      </c>
      <c r="CA115" s="14">
        <f>IF([1]Sheet2!CI114=999999,"NA",[1]Sheet2!CI114)</f>
        <v>253</v>
      </c>
      <c r="CB115" s="14">
        <f>IF([1]Sheet2!CJ114=999999,"NA",[1]Sheet2!CJ114)</f>
        <v>253</v>
      </c>
      <c r="CC115" s="14">
        <f>[1]Sheet2!BG114</f>
        <v>0</v>
      </c>
      <c r="CD115" s="14">
        <f>[1]Sheet2!BH114</f>
        <v>0</v>
      </c>
      <c r="CE115" s="14">
        <f>[1]Sheet2!BI114</f>
        <v>0</v>
      </c>
      <c r="CF115" s="14">
        <f>[1]Sheet2!BJ114</f>
        <v>0</v>
      </c>
      <c r="CG115" s="14">
        <f>[1]Sheet2!BK114</f>
        <v>0</v>
      </c>
      <c r="CH115" s="14">
        <f>[1]Sheet2!BL114</f>
        <v>0</v>
      </c>
      <c r="CI115" s="14">
        <f>[1]Sheet2!BM114</f>
        <v>0</v>
      </c>
      <c r="CJ115" s="14">
        <f>[1]Sheet2!BN114</f>
        <v>0</v>
      </c>
      <c r="CK115" s="14">
        <f>[1]Sheet2!BO114</f>
        <v>0</v>
      </c>
      <c r="CL115" s="14">
        <f>[1]Sheet2!BP114</f>
        <v>0</v>
      </c>
      <c r="CM115" s="16">
        <f>Demand_SW!B$6/30</f>
        <v>173.07692307692304</v>
      </c>
      <c r="CN115" s="16">
        <f>Demand_SW!C$6/30</f>
        <v>0</v>
      </c>
      <c r="CO115" s="16">
        <f>Demand_SW!D$6/30</f>
        <v>0</v>
      </c>
      <c r="CP115" s="16">
        <f>Demand_SW!E$6/30</f>
        <v>0</v>
      </c>
      <c r="CQ115" s="16">
        <f>Demand_SW!F$6/30</f>
        <v>0</v>
      </c>
      <c r="CR115" s="16">
        <f>Demand_SW!G$6/30</f>
        <v>173.07692307692304</v>
      </c>
      <c r="CS115" s="16">
        <f>Demand_SW!H$6/30</f>
        <v>0</v>
      </c>
      <c r="CT115" s="16">
        <f>Demand_SW!I$6/30</f>
        <v>0</v>
      </c>
      <c r="CU115" s="16">
        <f>Demand_SW!J$6/30</f>
        <v>0</v>
      </c>
      <c r="CV115" s="16">
        <f>Demand_SW!K$6/30</f>
        <v>0</v>
      </c>
      <c r="CW115" s="16">
        <f t="shared" si="53"/>
        <v>35921.538461538446</v>
      </c>
      <c r="CX115" s="16">
        <f t="shared" si="54"/>
        <v>-423.07692307692292</v>
      </c>
      <c r="CY115" s="16">
        <f t="shared" si="55"/>
        <v>0</v>
      </c>
      <c r="CZ115" s="16">
        <f t="shared" si="56"/>
        <v>0</v>
      </c>
      <c r="DA115" s="16">
        <f t="shared" si="57"/>
        <v>0</v>
      </c>
      <c r="DB115" s="16">
        <f t="shared" si="58"/>
        <v>-13607.692307692314</v>
      </c>
      <c r="DC115" s="16">
        <f t="shared" si="59"/>
        <v>-423.07692307692292</v>
      </c>
      <c r="DD115" s="16">
        <f t="shared" si="60"/>
        <v>0</v>
      </c>
      <c r="DE115" s="16">
        <f t="shared" si="61"/>
        <v>0</v>
      </c>
      <c r="DF115" s="16">
        <f t="shared" si="62"/>
        <v>0</v>
      </c>
      <c r="DG115" s="14">
        <f>IF([1]Sheet2!DR114=999999,"NA",[1]Sheet2!DR114)</f>
        <v>73103</v>
      </c>
      <c r="DH115" s="14">
        <f>IF([1]Sheet2!DS114=999999,"NA",[1]Sheet2!DS114)</f>
        <v>253</v>
      </c>
      <c r="DI115" s="14">
        <f>IF([1]Sheet2!DT114=999999,"NA",[1]Sheet2!DT114)</f>
        <v>253</v>
      </c>
      <c r="DJ115" s="14" t="str">
        <f>IF([1]Sheet2!DU114=999999,"NA",[1]Sheet2!DU114)</f>
        <v>NA</v>
      </c>
      <c r="DK115" s="14" t="str">
        <f>IF([1]Sheet2!DV114=999999,"NA",[1]Sheet2!DV114)</f>
        <v>NA</v>
      </c>
      <c r="DL115" s="14" t="str">
        <f>IF([1]Sheet2!DW114=999999,"NA",[1]Sheet2!DW114)</f>
        <v>NA</v>
      </c>
      <c r="DM115" s="14">
        <f>IF([1]Sheet2!DX114=999999,"NA",[1]Sheet2!DX114)</f>
        <v>253</v>
      </c>
      <c r="DN115" s="14">
        <f>IF([1]Sheet2!DY114=999999,"NA",[1]Sheet2!DY114)</f>
        <v>253</v>
      </c>
      <c r="DO115" s="14" t="str">
        <f>IF([1]Sheet2!DZ114=999999,"NA",[1]Sheet2!DZ114)</f>
        <v>NA</v>
      </c>
      <c r="DP115" s="14" t="str">
        <f>IF([1]Sheet2!EA114=999999,"NA",[1]Sheet2!EA114)</f>
        <v>NA</v>
      </c>
      <c r="DQ115" s="14">
        <f>[1]Sheet2!CX114</f>
        <v>0</v>
      </c>
      <c r="DR115" s="14">
        <f>[1]Sheet2!CY114</f>
        <v>0</v>
      </c>
      <c r="DS115" s="14">
        <f>[1]Sheet2!CZ114</f>
        <v>0</v>
      </c>
      <c r="DT115" s="14">
        <f>[1]Sheet2!DA114</f>
        <v>0</v>
      </c>
      <c r="DU115" s="14">
        <f>[1]Sheet2!DB114</f>
        <v>0</v>
      </c>
      <c r="DV115" s="14">
        <f>[1]Sheet2!DC114</f>
        <v>0</v>
      </c>
      <c r="DW115" s="14">
        <f>[1]Sheet2!DD114</f>
        <v>0</v>
      </c>
      <c r="DX115" s="14">
        <f>[1]Sheet2!DE114</f>
        <v>0</v>
      </c>
      <c r="DY115" s="14">
        <f>[1]Sheet2!DF114</f>
        <v>0</v>
      </c>
      <c r="DZ115" s="14">
        <f>[1]Sheet2!DG114</f>
        <v>0</v>
      </c>
    </row>
    <row r="116" spans="1:130" x14ac:dyDescent="0.25">
      <c r="A116" s="15">
        <v>43578</v>
      </c>
      <c r="B116" s="1"/>
      <c r="C116" s="1"/>
      <c r="D116" s="1"/>
      <c r="E116" s="14">
        <f>[1]Sheet2!N115</f>
        <v>0</v>
      </c>
      <c r="F116" s="14">
        <f>[1]Sheet2!BE115</f>
        <v>0</v>
      </c>
      <c r="G116" s="14">
        <f>[1]Sheet2!CV115</f>
        <v>346.15384615384608</v>
      </c>
      <c r="H116" s="1"/>
      <c r="I116" s="1"/>
      <c r="J116" s="1"/>
      <c r="K116" s="16">
        <f>Demand_CWRS!B$6/30</f>
        <v>136.96097796474356</v>
      </c>
      <c r="L116" s="16">
        <f>Demand_CWRS!C$6/30</f>
        <v>544.43376068376062</v>
      </c>
      <c r="M116" s="16">
        <f>Demand_CWRS!D$6/30</f>
        <v>0</v>
      </c>
      <c r="N116" s="16">
        <f>Demand_CWRS!E$6/30</f>
        <v>108.97435897435896</v>
      </c>
      <c r="O116" s="16">
        <f>Demand_CWRS!F$6/30</f>
        <v>213.3621347489316</v>
      </c>
      <c r="P116" s="16">
        <f>Demand_CWRS!G$6/30</f>
        <v>133.33333333333334</v>
      </c>
      <c r="Q116" s="16">
        <f>Demand_CWRS!H$6/30</f>
        <v>544.43376068376062</v>
      </c>
      <c r="R116" s="16">
        <f>Demand_CWRS!I$6/30</f>
        <v>213.3621347489316</v>
      </c>
      <c r="S116" s="16">
        <f>Demand_CWRS!J$6/30</f>
        <v>213.3621347489316</v>
      </c>
      <c r="T116" s="16">
        <f>Demand_CWRS!K$6/30</f>
        <v>213.3621347489316</v>
      </c>
      <c r="U116" s="16">
        <f t="shared" si="33"/>
        <v>-17629.106795008694</v>
      </c>
      <c r="V116" s="16">
        <f t="shared" si="34"/>
        <v>-48704.099572649473</v>
      </c>
      <c r="W116" s="16">
        <f t="shared" si="35"/>
        <v>0</v>
      </c>
      <c r="X116" s="16">
        <f t="shared" si="36"/>
        <v>-10985.81501135996</v>
      </c>
      <c r="Y116" s="16">
        <f t="shared" si="37"/>
        <v>-25016.846315429608</v>
      </c>
      <c r="Z116" s="16">
        <f t="shared" si="38"/>
        <v>-17328.727158390124</v>
      </c>
      <c r="AA116" s="16">
        <f t="shared" si="39"/>
        <v>-48204.099572649473</v>
      </c>
      <c r="AB116" s="16">
        <f t="shared" si="40"/>
        <v>-22704.879728891123</v>
      </c>
      <c r="AC116" s="16">
        <f t="shared" si="41"/>
        <v>-22704.879728891112</v>
      </c>
      <c r="AD116" s="16">
        <f t="shared" si="42"/>
        <v>-23404.879728891116</v>
      </c>
      <c r="AE116" s="14">
        <f>IF([1]Sheet2!AJ115=999999,"NA",[1]Sheet2!AJ115)</f>
        <v>14</v>
      </c>
      <c r="AF116" s="14">
        <f>IF([1]Sheet2!AK115=999999,"NA",[1]Sheet2!AK115)</f>
        <v>0</v>
      </c>
      <c r="AG116" s="14" t="str">
        <f>IF([1]Sheet2!AL115=999999,"NA",[1]Sheet2!AL115)</f>
        <v>NA</v>
      </c>
      <c r="AH116" s="14">
        <f>IF([1]Sheet2!AM115=999999,"NA",[1]Sheet2!AM115)</f>
        <v>252</v>
      </c>
      <c r="AI116" s="14">
        <f>IF([1]Sheet2!AN115=999999,"NA",[1]Sheet2!AN115)</f>
        <v>252</v>
      </c>
      <c r="AJ116" s="14">
        <f>IF([1]Sheet2!AO115=999999,"NA",[1]Sheet2!AO115)</f>
        <v>252</v>
      </c>
      <c r="AK116" s="14">
        <f>IF([1]Sheet2!AP115=999999,"NA",[1]Sheet2!AP115)</f>
        <v>0</v>
      </c>
      <c r="AL116" s="14">
        <f>IF([1]Sheet2!AQ115=999999,"NA",[1]Sheet2!AQ115)</f>
        <v>128</v>
      </c>
      <c r="AM116" s="14">
        <f>IF([1]Sheet2!AR115=999999,"NA",[1]Sheet2!AR115)</f>
        <v>252</v>
      </c>
      <c r="AN116" s="14">
        <f>IF([1]Sheet2!AS115=999999,"NA",[1]Sheet2!AS115)</f>
        <v>184</v>
      </c>
      <c r="AO116" s="14">
        <f>[1]Sheet2!P115</f>
        <v>0</v>
      </c>
      <c r="AP116" s="14">
        <f>[1]Sheet2!Q115</f>
        <v>0</v>
      </c>
      <c r="AQ116" s="14">
        <f>[1]Sheet2!R115</f>
        <v>0</v>
      </c>
      <c r="AR116" s="14">
        <f>[1]Sheet2!S115</f>
        <v>0</v>
      </c>
      <c r="AS116" s="14">
        <f>[1]Sheet2!T115</f>
        <v>0</v>
      </c>
      <c r="AT116" s="14">
        <f>[1]Sheet2!U115</f>
        <v>0</v>
      </c>
      <c r="AU116" s="14">
        <f>[1]Sheet2!V115</f>
        <v>0</v>
      </c>
      <c r="AV116" s="14">
        <f>[1]Sheet2!W115</f>
        <v>0</v>
      </c>
      <c r="AW116" s="14">
        <f>[1]Sheet2!X115</f>
        <v>0</v>
      </c>
      <c r="AX116" s="14">
        <f>[1]Sheet2!Y115</f>
        <v>0</v>
      </c>
      <c r="AY116" s="16">
        <f>Demand_LP!B$6/30</f>
        <v>790.61612406517088</v>
      </c>
      <c r="AZ116" s="16">
        <f>Demand_LP!C$6/30</f>
        <v>816.46367521367517</v>
      </c>
      <c r="BA116" s="16">
        <f>Demand_LP!D$6/30</f>
        <v>346.63461538461536</v>
      </c>
      <c r="BB116" s="16">
        <f>Demand_LP!E$6/30</f>
        <v>795.48076923076928</v>
      </c>
      <c r="BC116" s="16">
        <f>Demand_LP!F$6/30</f>
        <v>472.52230168269227</v>
      </c>
      <c r="BD116" s="16">
        <f>Demand_LP!G$6/30</f>
        <v>790.61612406517088</v>
      </c>
      <c r="BE116" s="16">
        <f>Demand_LP!H$6/30</f>
        <v>816.46367521367517</v>
      </c>
      <c r="BF116" s="16">
        <f>Demand_LP!I$6/30</f>
        <v>472.52230168269227</v>
      </c>
      <c r="BG116" s="16">
        <f>Demand_LP!J$6/30</f>
        <v>472.52230168269227</v>
      </c>
      <c r="BH116" s="16">
        <f>Demand_LP!K$6/30</f>
        <v>472.52230168269227</v>
      </c>
      <c r="BI116" s="16" t="e">
        <f t="shared" si="43"/>
        <v>#VALUE!</v>
      </c>
      <c r="BJ116" s="16">
        <f t="shared" si="44"/>
        <v>-69395.208119658011</v>
      </c>
      <c r="BK116" s="16">
        <f t="shared" si="45"/>
        <v>-30746.561538461545</v>
      </c>
      <c r="BL116" s="16">
        <f t="shared" si="46"/>
        <v>-82102.605111976547</v>
      </c>
      <c r="BM116" s="16">
        <f t="shared" si="47"/>
        <v>-51310.329020331315</v>
      </c>
      <c r="BN116" s="16">
        <f t="shared" si="48"/>
        <v>-78582.394360477279</v>
      </c>
      <c r="BO116" s="16">
        <f t="shared" si="49"/>
        <v>-71752.787606837534</v>
      </c>
      <c r="BP116" s="16">
        <f t="shared" si="50"/>
        <v>-50768.012938701911</v>
      </c>
      <c r="BQ116" s="16">
        <f t="shared" si="51"/>
        <v>-47368.012938701933</v>
      </c>
      <c r="BR116" s="16">
        <f t="shared" si="52"/>
        <v>-48568.012938701919</v>
      </c>
      <c r="BS116" s="14">
        <f>IF([1]Sheet2!CA115=999999,"NA",[1]Sheet2!CA115)</f>
        <v>167910.98706129813</v>
      </c>
      <c r="BT116" s="14">
        <f>IF([1]Sheet2!CB115=999999,"NA",[1]Sheet2!CB115)</f>
        <v>174</v>
      </c>
      <c r="BU116" s="14">
        <f>IF([1]Sheet2!CC115=999999,"NA",[1]Sheet2!CC115)</f>
        <v>252</v>
      </c>
      <c r="BV116" s="14">
        <f>IF([1]Sheet2!CD115=999999,"NA",[1]Sheet2!CD115)</f>
        <v>252</v>
      </c>
      <c r="BW116" s="14">
        <f>IF([1]Sheet2!CE115=999999,"NA",[1]Sheet2!CE115)</f>
        <v>214</v>
      </c>
      <c r="BX116" s="14">
        <f>IF([1]Sheet2!CF115=999999,"NA",[1]Sheet2!CF115)</f>
        <v>252</v>
      </c>
      <c r="BY116" s="14">
        <f>IF([1]Sheet2!CG115=999999,"NA",[1]Sheet2!CG115)</f>
        <v>146</v>
      </c>
      <c r="BZ116" s="14">
        <f>IF([1]Sheet2!CH115=999999,"NA",[1]Sheet2!CH115)</f>
        <v>252</v>
      </c>
      <c r="CA116" s="14">
        <f>IF([1]Sheet2!CI115=999999,"NA",[1]Sheet2!CI115)</f>
        <v>252</v>
      </c>
      <c r="CB116" s="14">
        <f>IF([1]Sheet2!CJ115=999999,"NA",[1]Sheet2!CJ115)</f>
        <v>252</v>
      </c>
      <c r="CC116" s="14">
        <f>[1]Sheet2!BG115</f>
        <v>0</v>
      </c>
      <c r="CD116" s="14">
        <f>[1]Sheet2!BH115</f>
        <v>0</v>
      </c>
      <c r="CE116" s="14">
        <f>[1]Sheet2!BI115</f>
        <v>0</v>
      </c>
      <c r="CF116" s="14">
        <f>[1]Sheet2!BJ115</f>
        <v>0</v>
      </c>
      <c r="CG116" s="14">
        <f>[1]Sheet2!BK115</f>
        <v>0</v>
      </c>
      <c r="CH116" s="14">
        <f>[1]Sheet2!BL115</f>
        <v>0</v>
      </c>
      <c r="CI116" s="14">
        <f>[1]Sheet2!BM115</f>
        <v>0</v>
      </c>
      <c r="CJ116" s="14">
        <f>[1]Sheet2!BN115</f>
        <v>0</v>
      </c>
      <c r="CK116" s="14">
        <f>[1]Sheet2!BO115</f>
        <v>0</v>
      </c>
      <c r="CL116" s="14">
        <f>[1]Sheet2!BP115</f>
        <v>0</v>
      </c>
      <c r="CM116" s="16">
        <f>Demand_SW!B$6/30</f>
        <v>173.07692307692304</v>
      </c>
      <c r="CN116" s="16">
        <f>Demand_SW!C$6/30</f>
        <v>0</v>
      </c>
      <c r="CO116" s="16">
        <f>Demand_SW!D$6/30</f>
        <v>0</v>
      </c>
      <c r="CP116" s="16">
        <f>Demand_SW!E$6/30</f>
        <v>0</v>
      </c>
      <c r="CQ116" s="16">
        <f>Demand_SW!F$6/30</f>
        <v>0</v>
      </c>
      <c r="CR116" s="16">
        <f>Demand_SW!G$6/30</f>
        <v>173.07692307692304</v>
      </c>
      <c r="CS116" s="16">
        <f>Demand_SW!H$6/30</f>
        <v>0</v>
      </c>
      <c r="CT116" s="16">
        <f>Demand_SW!I$6/30</f>
        <v>0</v>
      </c>
      <c r="CU116" s="16">
        <f>Demand_SW!J$6/30</f>
        <v>0</v>
      </c>
      <c r="CV116" s="16">
        <f>Demand_SW!K$6/30</f>
        <v>0</v>
      </c>
      <c r="CW116" s="16">
        <f t="shared" si="53"/>
        <v>35748.461538461524</v>
      </c>
      <c r="CX116" s="16">
        <f t="shared" si="54"/>
        <v>-423.07692307692292</v>
      </c>
      <c r="CY116" s="16">
        <f t="shared" si="55"/>
        <v>0</v>
      </c>
      <c r="CZ116" s="16">
        <f t="shared" si="56"/>
        <v>0</v>
      </c>
      <c r="DA116" s="16">
        <f t="shared" si="57"/>
        <v>0</v>
      </c>
      <c r="DB116" s="16">
        <f t="shared" si="58"/>
        <v>-13780.769230769238</v>
      </c>
      <c r="DC116" s="16">
        <f t="shared" si="59"/>
        <v>-423.07692307692292</v>
      </c>
      <c r="DD116" s="16">
        <f t="shared" si="60"/>
        <v>0</v>
      </c>
      <c r="DE116" s="16">
        <f t="shared" si="61"/>
        <v>0</v>
      </c>
      <c r="DF116" s="16">
        <f t="shared" si="62"/>
        <v>0</v>
      </c>
      <c r="DG116" s="14">
        <f>IF([1]Sheet2!DR115=999999,"NA",[1]Sheet2!DR115)</f>
        <v>73103</v>
      </c>
      <c r="DH116" s="14">
        <f>IF([1]Sheet2!DS115=999999,"NA",[1]Sheet2!DS115)</f>
        <v>252</v>
      </c>
      <c r="DI116" s="14">
        <f>IF([1]Sheet2!DT115=999999,"NA",[1]Sheet2!DT115)</f>
        <v>252</v>
      </c>
      <c r="DJ116" s="14" t="str">
        <f>IF([1]Sheet2!DU115=999999,"NA",[1]Sheet2!DU115)</f>
        <v>NA</v>
      </c>
      <c r="DK116" s="14" t="str">
        <f>IF([1]Sheet2!DV115=999999,"NA",[1]Sheet2!DV115)</f>
        <v>NA</v>
      </c>
      <c r="DL116" s="14" t="str">
        <f>IF([1]Sheet2!DW115=999999,"NA",[1]Sheet2!DW115)</f>
        <v>NA</v>
      </c>
      <c r="DM116" s="14">
        <f>IF([1]Sheet2!DX115=999999,"NA",[1]Sheet2!DX115)</f>
        <v>252</v>
      </c>
      <c r="DN116" s="14">
        <f>IF([1]Sheet2!DY115=999999,"NA",[1]Sheet2!DY115)</f>
        <v>252</v>
      </c>
      <c r="DO116" s="14" t="str">
        <f>IF([1]Sheet2!DZ115=999999,"NA",[1]Sheet2!DZ115)</f>
        <v>NA</v>
      </c>
      <c r="DP116" s="14" t="str">
        <f>IF([1]Sheet2!EA115=999999,"NA",[1]Sheet2!EA115)</f>
        <v>NA</v>
      </c>
      <c r="DQ116" s="14">
        <f>[1]Sheet2!CX115</f>
        <v>0</v>
      </c>
      <c r="DR116" s="14">
        <f>[1]Sheet2!CY115</f>
        <v>0</v>
      </c>
      <c r="DS116" s="14">
        <f>[1]Sheet2!CZ115</f>
        <v>0</v>
      </c>
      <c r="DT116" s="14">
        <f>[1]Sheet2!DA115</f>
        <v>0</v>
      </c>
      <c r="DU116" s="14">
        <f>[1]Sheet2!DB115</f>
        <v>0</v>
      </c>
      <c r="DV116" s="14">
        <f>[1]Sheet2!DC115</f>
        <v>0</v>
      </c>
      <c r="DW116" s="14">
        <f>[1]Sheet2!DD115</f>
        <v>0</v>
      </c>
      <c r="DX116" s="14">
        <f>[1]Sheet2!DE115</f>
        <v>0</v>
      </c>
      <c r="DY116" s="14">
        <f>[1]Sheet2!DF115</f>
        <v>0</v>
      </c>
      <c r="DZ116" s="14">
        <f>[1]Sheet2!DG115</f>
        <v>0</v>
      </c>
    </row>
    <row r="117" spans="1:130" x14ac:dyDescent="0.25">
      <c r="A117" s="15">
        <v>43579</v>
      </c>
      <c r="B117" s="1"/>
      <c r="C117" s="1"/>
      <c r="D117" s="1"/>
      <c r="E117" s="14">
        <f>[1]Sheet2!N116</f>
        <v>0</v>
      </c>
      <c r="F117" s="14">
        <f>[1]Sheet2!BE116</f>
        <v>0</v>
      </c>
      <c r="G117" s="14">
        <f>[1]Sheet2!CV116</f>
        <v>346.15384615384608</v>
      </c>
      <c r="H117" s="1"/>
      <c r="I117" s="1"/>
      <c r="J117" s="1"/>
      <c r="K117" s="16">
        <f>Demand_CWRS!B$6/30</f>
        <v>136.96097796474356</v>
      </c>
      <c r="L117" s="16">
        <f>Demand_CWRS!C$6/30</f>
        <v>544.43376068376062</v>
      </c>
      <c r="M117" s="16">
        <f>Demand_CWRS!D$6/30</f>
        <v>0</v>
      </c>
      <c r="N117" s="16">
        <f>Demand_CWRS!E$6/30</f>
        <v>108.97435897435896</v>
      </c>
      <c r="O117" s="16">
        <f>Demand_CWRS!F$6/30</f>
        <v>213.3621347489316</v>
      </c>
      <c r="P117" s="16">
        <f>Demand_CWRS!G$6/30</f>
        <v>133.33333333333334</v>
      </c>
      <c r="Q117" s="16">
        <f>Demand_CWRS!H$6/30</f>
        <v>544.43376068376062</v>
      </c>
      <c r="R117" s="16">
        <f>Demand_CWRS!I$6/30</f>
        <v>213.3621347489316</v>
      </c>
      <c r="S117" s="16">
        <f>Demand_CWRS!J$6/30</f>
        <v>213.3621347489316</v>
      </c>
      <c r="T117" s="16">
        <f>Demand_CWRS!K$6/30</f>
        <v>213.3621347489316</v>
      </c>
      <c r="U117" s="16">
        <f t="shared" si="33"/>
        <v>-17766.067772973438</v>
      </c>
      <c r="V117" s="16">
        <f t="shared" si="34"/>
        <v>-49248.533333333231</v>
      </c>
      <c r="W117" s="16">
        <f t="shared" si="35"/>
        <v>0</v>
      </c>
      <c r="X117" s="16">
        <f t="shared" si="36"/>
        <v>-11094.78937033432</v>
      </c>
      <c r="Y117" s="16">
        <f t="shared" si="37"/>
        <v>-25230.208450178539</v>
      </c>
      <c r="Z117" s="16">
        <f t="shared" si="38"/>
        <v>-17462.060491723456</v>
      </c>
      <c r="AA117" s="16">
        <f t="shared" si="39"/>
        <v>-48748.533333333231</v>
      </c>
      <c r="AB117" s="16">
        <f t="shared" si="40"/>
        <v>-22918.241863640054</v>
      </c>
      <c r="AC117" s="16">
        <f t="shared" si="41"/>
        <v>-22918.241863640043</v>
      </c>
      <c r="AD117" s="16">
        <f t="shared" si="42"/>
        <v>-23618.241863640047</v>
      </c>
      <c r="AE117" s="14">
        <f>IF([1]Sheet2!AJ116=999999,"NA",[1]Sheet2!AJ116)</f>
        <v>13</v>
      </c>
      <c r="AF117" s="14">
        <f>IF([1]Sheet2!AK116=999999,"NA",[1]Sheet2!AK116)</f>
        <v>0</v>
      </c>
      <c r="AG117" s="14" t="str">
        <f>IF([1]Sheet2!AL116=999999,"NA",[1]Sheet2!AL116)</f>
        <v>NA</v>
      </c>
      <c r="AH117" s="14">
        <f>IF([1]Sheet2!AM116=999999,"NA",[1]Sheet2!AM116)</f>
        <v>251</v>
      </c>
      <c r="AI117" s="14">
        <f>IF([1]Sheet2!AN116=999999,"NA",[1]Sheet2!AN116)</f>
        <v>251</v>
      </c>
      <c r="AJ117" s="14">
        <f>IF([1]Sheet2!AO116=999999,"NA",[1]Sheet2!AO116)</f>
        <v>251</v>
      </c>
      <c r="AK117" s="14">
        <f>IF([1]Sheet2!AP116=999999,"NA",[1]Sheet2!AP116)</f>
        <v>0</v>
      </c>
      <c r="AL117" s="14">
        <f>IF([1]Sheet2!AQ116=999999,"NA",[1]Sheet2!AQ116)</f>
        <v>127</v>
      </c>
      <c r="AM117" s="14">
        <f>IF([1]Sheet2!AR116=999999,"NA",[1]Sheet2!AR116)</f>
        <v>251</v>
      </c>
      <c r="AN117" s="14">
        <f>IF([1]Sheet2!AS116=999999,"NA",[1]Sheet2!AS116)</f>
        <v>183</v>
      </c>
      <c r="AO117" s="14">
        <f>[1]Sheet2!P116</f>
        <v>0</v>
      </c>
      <c r="AP117" s="14">
        <f>[1]Sheet2!Q116</f>
        <v>0</v>
      </c>
      <c r="AQ117" s="14">
        <f>[1]Sheet2!R116</f>
        <v>0</v>
      </c>
      <c r="AR117" s="14">
        <f>[1]Sheet2!S116</f>
        <v>0</v>
      </c>
      <c r="AS117" s="14">
        <f>[1]Sheet2!T116</f>
        <v>0</v>
      </c>
      <c r="AT117" s="14">
        <f>[1]Sheet2!U116</f>
        <v>0</v>
      </c>
      <c r="AU117" s="14">
        <f>[1]Sheet2!V116</f>
        <v>0</v>
      </c>
      <c r="AV117" s="14">
        <f>[1]Sheet2!W116</f>
        <v>0</v>
      </c>
      <c r="AW117" s="14">
        <f>[1]Sheet2!X116</f>
        <v>0</v>
      </c>
      <c r="AX117" s="14">
        <f>[1]Sheet2!Y116</f>
        <v>0</v>
      </c>
      <c r="AY117" s="16">
        <f>Demand_LP!B$6/30</f>
        <v>790.61612406517088</v>
      </c>
      <c r="AZ117" s="16">
        <f>Demand_LP!C$6/30</f>
        <v>816.46367521367517</v>
      </c>
      <c r="BA117" s="16">
        <f>Demand_LP!D$6/30</f>
        <v>346.63461538461536</v>
      </c>
      <c r="BB117" s="16">
        <f>Demand_LP!E$6/30</f>
        <v>795.48076923076928</v>
      </c>
      <c r="BC117" s="16">
        <f>Demand_LP!F$6/30</f>
        <v>472.52230168269227</v>
      </c>
      <c r="BD117" s="16">
        <f>Demand_LP!G$6/30</f>
        <v>790.61612406517088</v>
      </c>
      <c r="BE117" s="16">
        <f>Demand_LP!H$6/30</f>
        <v>816.46367521367517</v>
      </c>
      <c r="BF117" s="16">
        <f>Demand_LP!I$6/30</f>
        <v>472.52230168269227</v>
      </c>
      <c r="BG117" s="16">
        <f>Demand_LP!J$6/30</f>
        <v>472.52230168269227</v>
      </c>
      <c r="BH117" s="16">
        <f>Demand_LP!K$6/30</f>
        <v>472.52230168269227</v>
      </c>
      <c r="BI117" s="16" t="e">
        <f t="shared" si="43"/>
        <v>#VALUE!</v>
      </c>
      <c r="BJ117" s="16">
        <f t="shared" si="44"/>
        <v>-70211.671794871683</v>
      </c>
      <c r="BK117" s="16">
        <f t="shared" si="45"/>
        <v>-31093.196153846162</v>
      </c>
      <c r="BL117" s="16">
        <f t="shared" si="46"/>
        <v>-82898.085881207313</v>
      </c>
      <c r="BM117" s="16">
        <f t="shared" si="47"/>
        <v>-51782.851322014008</v>
      </c>
      <c r="BN117" s="16">
        <f t="shared" si="48"/>
        <v>-79373.01048454245</v>
      </c>
      <c r="BO117" s="16">
        <f t="shared" si="49"/>
        <v>-72569.251282051206</v>
      </c>
      <c r="BP117" s="16">
        <f t="shared" si="50"/>
        <v>-51240.535240384605</v>
      </c>
      <c r="BQ117" s="16">
        <f t="shared" si="51"/>
        <v>-47840.535240384626</v>
      </c>
      <c r="BR117" s="16">
        <f t="shared" si="52"/>
        <v>-49040.535240384612</v>
      </c>
      <c r="BS117" s="14">
        <f>IF([1]Sheet2!CA116=999999,"NA",[1]Sheet2!CA116)</f>
        <v>167438.46475961545</v>
      </c>
      <c r="BT117" s="14">
        <f>IF([1]Sheet2!CB116=999999,"NA",[1]Sheet2!CB116)</f>
        <v>173</v>
      </c>
      <c r="BU117" s="14">
        <f>IF([1]Sheet2!CC116=999999,"NA",[1]Sheet2!CC116)</f>
        <v>251</v>
      </c>
      <c r="BV117" s="14">
        <f>IF([1]Sheet2!CD116=999999,"NA",[1]Sheet2!CD116)</f>
        <v>251</v>
      </c>
      <c r="BW117" s="14">
        <f>IF([1]Sheet2!CE116=999999,"NA",[1]Sheet2!CE116)</f>
        <v>213</v>
      </c>
      <c r="BX117" s="14">
        <f>IF([1]Sheet2!CF116=999999,"NA",[1]Sheet2!CF116)</f>
        <v>251</v>
      </c>
      <c r="BY117" s="14">
        <f>IF([1]Sheet2!CG116=999999,"NA",[1]Sheet2!CG116)</f>
        <v>145</v>
      </c>
      <c r="BZ117" s="14">
        <f>IF([1]Sheet2!CH116=999999,"NA",[1]Sheet2!CH116)</f>
        <v>251</v>
      </c>
      <c r="CA117" s="14">
        <f>IF([1]Sheet2!CI116=999999,"NA",[1]Sheet2!CI116)</f>
        <v>251</v>
      </c>
      <c r="CB117" s="14">
        <f>IF([1]Sheet2!CJ116=999999,"NA",[1]Sheet2!CJ116)</f>
        <v>251</v>
      </c>
      <c r="CC117" s="14">
        <f>[1]Sheet2!BG116</f>
        <v>0</v>
      </c>
      <c r="CD117" s="14">
        <f>[1]Sheet2!BH116</f>
        <v>0</v>
      </c>
      <c r="CE117" s="14">
        <f>[1]Sheet2!BI116</f>
        <v>0</v>
      </c>
      <c r="CF117" s="14">
        <f>[1]Sheet2!BJ116</f>
        <v>0</v>
      </c>
      <c r="CG117" s="14">
        <f>[1]Sheet2!BK116</f>
        <v>0</v>
      </c>
      <c r="CH117" s="14">
        <f>[1]Sheet2!BL116</f>
        <v>0</v>
      </c>
      <c r="CI117" s="14">
        <f>[1]Sheet2!BM116</f>
        <v>0</v>
      </c>
      <c r="CJ117" s="14">
        <f>[1]Sheet2!BN116</f>
        <v>0</v>
      </c>
      <c r="CK117" s="14">
        <f>[1]Sheet2!BO116</f>
        <v>0</v>
      </c>
      <c r="CL117" s="14">
        <f>[1]Sheet2!BP116</f>
        <v>0</v>
      </c>
      <c r="CM117" s="16">
        <f>Demand_SW!B$6/30</f>
        <v>173.07692307692304</v>
      </c>
      <c r="CN117" s="16">
        <f>Demand_SW!C$6/30</f>
        <v>0</v>
      </c>
      <c r="CO117" s="16">
        <f>Demand_SW!D$6/30</f>
        <v>0</v>
      </c>
      <c r="CP117" s="16">
        <f>Demand_SW!E$6/30</f>
        <v>0</v>
      </c>
      <c r="CQ117" s="16">
        <f>Demand_SW!F$6/30</f>
        <v>0</v>
      </c>
      <c r="CR117" s="16">
        <f>Demand_SW!G$6/30</f>
        <v>173.07692307692304</v>
      </c>
      <c r="CS117" s="16">
        <f>Demand_SW!H$6/30</f>
        <v>0</v>
      </c>
      <c r="CT117" s="16">
        <f>Demand_SW!I$6/30</f>
        <v>0</v>
      </c>
      <c r="CU117" s="16">
        <f>Demand_SW!J$6/30</f>
        <v>0</v>
      </c>
      <c r="CV117" s="16">
        <f>Demand_SW!K$6/30</f>
        <v>0</v>
      </c>
      <c r="CW117" s="16">
        <f t="shared" si="53"/>
        <v>35575.384615384603</v>
      </c>
      <c r="CX117" s="16">
        <f t="shared" si="54"/>
        <v>-423.07692307692292</v>
      </c>
      <c r="CY117" s="16">
        <f t="shared" si="55"/>
        <v>0</v>
      </c>
      <c r="CZ117" s="16">
        <f t="shared" si="56"/>
        <v>0</v>
      </c>
      <c r="DA117" s="16">
        <f t="shared" si="57"/>
        <v>0</v>
      </c>
      <c r="DB117" s="16">
        <f t="shared" si="58"/>
        <v>-13953.846153846162</v>
      </c>
      <c r="DC117" s="16">
        <f t="shared" si="59"/>
        <v>-423.07692307692292</v>
      </c>
      <c r="DD117" s="16">
        <f t="shared" si="60"/>
        <v>0</v>
      </c>
      <c r="DE117" s="16">
        <f t="shared" si="61"/>
        <v>0</v>
      </c>
      <c r="DF117" s="16">
        <f t="shared" si="62"/>
        <v>0</v>
      </c>
      <c r="DG117" s="14">
        <f>IF([1]Sheet2!DR116=999999,"NA",[1]Sheet2!DR116)</f>
        <v>73103</v>
      </c>
      <c r="DH117" s="14">
        <f>IF([1]Sheet2!DS116=999999,"NA",[1]Sheet2!DS116)</f>
        <v>251</v>
      </c>
      <c r="DI117" s="14">
        <f>IF([1]Sheet2!DT116=999999,"NA",[1]Sheet2!DT116)</f>
        <v>251</v>
      </c>
      <c r="DJ117" s="14" t="str">
        <f>IF([1]Sheet2!DU116=999999,"NA",[1]Sheet2!DU116)</f>
        <v>NA</v>
      </c>
      <c r="DK117" s="14" t="str">
        <f>IF([1]Sheet2!DV116=999999,"NA",[1]Sheet2!DV116)</f>
        <v>NA</v>
      </c>
      <c r="DL117" s="14" t="str">
        <f>IF([1]Sheet2!DW116=999999,"NA",[1]Sheet2!DW116)</f>
        <v>NA</v>
      </c>
      <c r="DM117" s="14">
        <f>IF([1]Sheet2!DX116=999999,"NA",[1]Sheet2!DX116)</f>
        <v>251</v>
      </c>
      <c r="DN117" s="14">
        <f>IF([1]Sheet2!DY116=999999,"NA",[1]Sheet2!DY116)</f>
        <v>251</v>
      </c>
      <c r="DO117" s="14" t="str">
        <f>IF([1]Sheet2!DZ116=999999,"NA",[1]Sheet2!DZ116)</f>
        <v>NA</v>
      </c>
      <c r="DP117" s="14" t="str">
        <f>IF([1]Sheet2!EA116=999999,"NA",[1]Sheet2!EA116)</f>
        <v>NA</v>
      </c>
      <c r="DQ117" s="14">
        <f>[1]Sheet2!CX116</f>
        <v>0</v>
      </c>
      <c r="DR117" s="14">
        <f>[1]Sheet2!CY116</f>
        <v>0</v>
      </c>
      <c r="DS117" s="14">
        <f>[1]Sheet2!CZ116</f>
        <v>0</v>
      </c>
      <c r="DT117" s="14">
        <f>[1]Sheet2!DA116</f>
        <v>0</v>
      </c>
      <c r="DU117" s="14">
        <f>[1]Sheet2!DB116</f>
        <v>0</v>
      </c>
      <c r="DV117" s="14">
        <f>[1]Sheet2!DC116</f>
        <v>0</v>
      </c>
      <c r="DW117" s="14">
        <f>[1]Sheet2!DD116</f>
        <v>0</v>
      </c>
      <c r="DX117" s="14">
        <f>[1]Sheet2!DE116</f>
        <v>0</v>
      </c>
      <c r="DY117" s="14">
        <f>[1]Sheet2!DF116</f>
        <v>0</v>
      </c>
      <c r="DZ117" s="14">
        <f>[1]Sheet2!DG116</f>
        <v>0</v>
      </c>
    </row>
    <row r="118" spans="1:130" x14ac:dyDescent="0.25">
      <c r="A118" s="15">
        <v>43580</v>
      </c>
      <c r="B118" s="1"/>
      <c r="C118" s="1"/>
      <c r="D118" s="1"/>
      <c r="E118" s="14">
        <f>[1]Sheet2!N117</f>
        <v>0</v>
      </c>
      <c r="F118" s="14">
        <f>[1]Sheet2!BE117</f>
        <v>0</v>
      </c>
      <c r="G118" s="14">
        <f>[1]Sheet2!CV117</f>
        <v>346.15384615384608</v>
      </c>
      <c r="H118" s="1"/>
      <c r="I118" s="1"/>
      <c r="J118" s="1"/>
      <c r="K118" s="16">
        <f>Demand_CWRS!B$6/30</f>
        <v>136.96097796474356</v>
      </c>
      <c r="L118" s="16">
        <f>Demand_CWRS!C$6/30</f>
        <v>544.43376068376062</v>
      </c>
      <c r="M118" s="16">
        <f>Demand_CWRS!D$6/30</f>
        <v>0</v>
      </c>
      <c r="N118" s="16">
        <f>Demand_CWRS!E$6/30</f>
        <v>108.97435897435896</v>
      </c>
      <c r="O118" s="16">
        <f>Demand_CWRS!F$6/30</f>
        <v>213.3621347489316</v>
      </c>
      <c r="P118" s="16">
        <f>Demand_CWRS!G$6/30</f>
        <v>133.33333333333334</v>
      </c>
      <c r="Q118" s="16">
        <f>Demand_CWRS!H$6/30</f>
        <v>544.43376068376062</v>
      </c>
      <c r="R118" s="16">
        <f>Demand_CWRS!I$6/30</f>
        <v>213.3621347489316</v>
      </c>
      <c r="S118" s="16">
        <f>Demand_CWRS!J$6/30</f>
        <v>213.3621347489316</v>
      </c>
      <c r="T118" s="16">
        <f>Demand_CWRS!K$6/30</f>
        <v>213.3621347489316</v>
      </c>
      <c r="U118" s="16">
        <f t="shared" si="33"/>
        <v>-17903.028750938181</v>
      </c>
      <c r="V118" s="16">
        <f t="shared" si="34"/>
        <v>-49792.967094016989</v>
      </c>
      <c r="W118" s="16">
        <f t="shared" si="35"/>
        <v>0</v>
      </c>
      <c r="X118" s="16">
        <f t="shared" si="36"/>
        <v>-11203.763729308679</v>
      </c>
      <c r="Y118" s="16">
        <f t="shared" si="37"/>
        <v>-25443.570584927471</v>
      </c>
      <c r="Z118" s="16">
        <f t="shared" si="38"/>
        <v>-17595.393825056788</v>
      </c>
      <c r="AA118" s="16">
        <f t="shared" si="39"/>
        <v>-49292.967094016989</v>
      </c>
      <c r="AB118" s="16">
        <f t="shared" si="40"/>
        <v>-23131.603998388986</v>
      </c>
      <c r="AC118" s="16">
        <f t="shared" si="41"/>
        <v>-23131.603998388975</v>
      </c>
      <c r="AD118" s="16">
        <f t="shared" si="42"/>
        <v>-23831.603998388979</v>
      </c>
      <c r="AE118" s="14">
        <f>IF([1]Sheet2!AJ117=999999,"NA",[1]Sheet2!AJ117)</f>
        <v>12</v>
      </c>
      <c r="AF118" s="14">
        <f>IF([1]Sheet2!AK117=999999,"NA",[1]Sheet2!AK117)</f>
        <v>0</v>
      </c>
      <c r="AG118" s="14" t="str">
        <f>IF([1]Sheet2!AL117=999999,"NA",[1]Sheet2!AL117)</f>
        <v>NA</v>
      </c>
      <c r="AH118" s="14">
        <f>IF([1]Sheet2!AM117=999999,"NA",[1]Sheet2!AM117)</f>
        <v>250</v>
      </c>
      <c r="AI118" s="14">
        <f>IF([1]Sheet2!AN117=999999,"NA",[1]Sheet2!AN117)</f>
        <v>250</v>
      </c>
      <c r="AJ118" s="14">
        <f>IF([1]Sheet2!AO117=999999,"NA",[1]Sheet2!AO117)</f>
        <v>250</v>
      </c>
      <c r="AK118" s="14">
        <f>IF([1]Sheet2!AP117=999999,"NA",[1]Sheet2!AP117)</f>
        <v>0</v>
      </c>
      <c r="AL118" s="14">
        <f>IF([1]Sheet2!AQ117=999999,"NA",[1]Sheet2!AQ117)</f>
        <v>126</v>
      </c>
      <c r="AM118" s="14">
        <f>IF([1]Sheet2!AR117=999999,"NA",[1]Sheet2!AR117)</f>
        <v>250</v>
      </c>
      <c r="AN118" s="14">
        <f>IF([1]Sheet2!AS117=999999,"NA",[1]Sheet2!AS117)</f>
        <v>182</v>
      </c>
      <c r="AO118" s="14">
        <f>[1]Sheet2!P117</f>
        <v>0</v>
      </c>
      <c r="AP118" s="14">
        <f>[1]Sheet2!Q117</f>
        <v>0</v>
      </c>
      <c r="AQ118" s="14">
        <f>[1]Sheet2!R117</f>
        <v>0</v>
      </c>
      <c r="AR118" s="14">
        <f>[1]Sheet2!S117</f>
        <v>0</v>
      </c>
      <c r="AS118" s="14">
        <f>[1]Sheet2!T117</f>
        <v>0</v>
      </c>
      <c r="AT118" s="14">
        <f>[1]Sheet2!U117</f>
        <v>0</v>
      </c>
      <c r="AU118" s="14">
        <f>[1]Sheet2!V117</f>
        <v>0</v>
      </c>
      <c r="AV118" s="14">
        <f>[1]Sheet2!W117</f>
        <v>0</v>
      </c>
      <c r="AW118" s="14">
        <f>[1]Sheet2!X117</f>
        <v>0</v>
      </c>
      <c r="AX118" s="14">
        <f>[1]Sheet2!Y117</f>
        <v>0</v>
      </c>
      <c r="AY118" s="16">
        <f>Demand_LP!B$6/30</f>
        <v>790.61612406517088</v>
      </c>
      <c r="AZ118" s="16">
        <f>Demand_LP!C$6/30</f>
        <v>816.46367521367517</v>
      </c>
      <c r="BA118" s="16">
        <f>Demand_LP!D$6/30</f>
        <v>346.63461538461536</v>
      </c>
      <c r="BB118" s="16">
        <f>Demand_LP!E$6/30</f>
        <v>795.48076923076928</v>
      </c>
      <c r="BC118" s="16">
        <f>Demand_LP!F$6/30</f>
        <v>472.52230168269227</v>
      </c>
      <c r="BD118" s="16">
        <f>Demand_LP!G$6/30</f>
        <v>790.61612406517088</v>
      </c>
      <c r="BE118" s="16">
        <f>Demand_LP!H$6/30</f>
        <v>816.46367521367517</v>
      </c>
      <c r="BF118" s="16">
        <f>Demand_LP!I$6/30</f>
        <v>472.52230168269227</v>
      </c>
      <c r="BG118" s="16">
        <f>Demand_LP!J$6/30</f>
        <v>472.52230168269227</v>
      </c>
      <c r="BH118" s="16">
        <f>Demand_LP!K$6/30</f>
        <v>472.52230168269227</v>
      </c>
      <c r="BI118" s="16" t="e">
        <f t="shared" si="43"/>
        <v>#VALUE!</v>
      </c>
      <c r="BJ118" s="16">
        <f t="shared" si="44"/>
        <v>-71028.135470085355</v>
      </c>
      <c r="BK118" s="16">
        <f t="shared" si="45"/>
        <v>-31439.830769230779</v>
      </c>
      <c r="BL118" s="16">
        <f t="shared" si="46"/>
        <v>-83693.566650438079</v>
      </c>
      <c r="BM118" s="16">
        <f t="shared" si="47"/>
        <v>-52255.373623696702</v>
      </c>
      <c r="BN118" s="16">
        <f t="shared" si="48"/>
        <v>-80163.626608607621</v>
      </c>
      <c r="BO118" s="16">
        <f t="shared" si="49"/>
        <v>-73385.714957264878</v>
      </c>
      <c r="BP118" s="16">
        <f t="shared" si="50"/>
        <v>-51713.057542067298</v>
      </c>
      <c r="BQ118" s="16">
        <f t="shared" si="51"/>
        <v>-48313.057542067319</v>
      </c>
      <c r="BR118" s="16">
        <f t="shared" si="52"/>
        <v>-49513.057542067305</v>
      </c>
      <c r="BS118" s="14">
        <f>IF([1]Sheet2!CA117=999999,"NA",[1]Sheet2!CA117)</f>
        <v>166965.94245793278</v>
      </c>
      <c r="BT118" s="14">
        <f>IF([1]Sheet2!CB117=999999,"NA",[1]Sheet2!CB117)</f>
        <v>172</v>
      </c>
      <c r="BU118" s="14">
        <f>IF([1]Sheet2!CC117=999999,"NA",[1]Sheet2!CC117)</f>
        <v>250</v>
      </c>
      <c r="BV118" s="14">
        <f>IF([1]Sheet2!CD117=999999,"NA",[1]Sheet2!CD117)</f>
        <v>250</v>
      </c>
      <c r="BW118" s="14">
        <f>IF([1]Sheet2!CE117=999999,"NA",[1]Sheet2!CE117)</f>
        <v>212</v>
      </c>
      <c r="BX118" s="14">
        <f>IF([1]Sheet2!CF117=999999,"NA",[1]Sheet2!CF117)</f>
        <v>250</v>
      </c>
      <c r="BY118" s="14">
        <f>IF([1]Sheet2!CG117=999999,"NA",[1]Sheet2!CG117)</f>
        <v>144</v>
      </c>
      <c r="BZ118" s="14">
        <f>IF([1]Sheet2!CH117=999999,"NA",[1]Sheet2!CH117)</f>
        <v>250</v>
      </c>
      <c r="CA118" s="14">
        <f>IF([1]Sheet2!CI117=999999,"NA",[1]Sheet2!CI117)</f>
        <v>250</v>
      </c>
      <c r="CB118" s="14">
        <f>IF([1]Sheet2!CJ117=999999,"NA",[1]Sheet2!CJ117)</f>
        <v>250</v>
      </c>
      <c r="CC118" s="14">
        <f>[1]Sheet2!BG117</f>
        <v>0</v>
      </c>
      <c r="CD118" s="14">
        <f>[1]Sheet2!BH117</f>
        <v>0</v>
      </c>
      <c r="CE118" s="14">
        <f>[1]Sheet2!BI117</f>
        <v>0</v>
      </c>
      <c r="CF118" s="14">
        <f>[1]Sheet2!BJ117</f>
        <v>0</v>
      </c>
      <c r="CG118" s="14">
        <f>[1]Sheet2!BK117</f>
        <v>0</v>
      </c>
      <c r="CH118" s="14">
        <f>[1]Sheet2!BL117</f>
        <v>0</v>
      </c>
      <c r="CI118" s="14">
        <f>[1]Sheet2!BM117</f>
        <v>0</v>
      </c>
      <c r="CJ118" s="14">
        <f>[1]Sheet2!BN117</f>
        <v>0</v>
      </c>
      <c r="CK118" s="14">
        <f>[1]Sheet2!BO117</f>
        <v>0</v>
      </c>
      <c r="CL118" s="14">
        <f>[1]Sheet2!BP117</f>
        <v>0</v>
      </c>
      <c r="CM118" s="16">
        <f>Demand_SW!B$6/30</f>
        <v>173.07692307692304</v>
      </c>
      <c r="CN118" s="16">
        <f>Demand_SW!C$6/30</f>
        <v>0</v>
      </c>
      <c r="CO118" s="16">
        <f>Demand_SW!D$6/30</f>
        <v>0</v>
      </c>
      <c r="CP118" s="16">
        <f>Demand_SW!E$6/30</f>
        <v>0</v>
      </c>
      <c r="CQ118" s="16">
        <f>Demand_SW!F$6/30</f>
        <v>0</v>
      </c>
      <c r="CR118" s="16">
        <f>Demand_SW!G$6/30</f>
        <v>173.07692307692304</v>
      </c>
      <c r="CS118" s="16">
        <f>Demand_SW!H$6/30</f>
        <v>0</v>
      </c>
      <c r="CT118" s="16">
        <f>Demand_SW!I$6/30</f>
        <v>0</v>
      </c>
      <c r="CU118" s="16">
        <f>Demand_SW!J$6/30</f>
        <v>0</v>
      </c>
      <c r="CV118" s="16">
        <f>Demand_SW!K$6/30</f>
        <v>0</v>
      </c>
      <c r="CW118" s="16">
        <f t="shared" si="53"/>
        <v>35402.307692307681</v>
      </c>
      <c r="CX118" s="16">
        <f t="shared" si="54"/>
        <v>-423.07692307692292</v>
      </c>
      <c r="CY118" s="16">
        <f t="shared" si="55"/>
        <v>0</v>
      </c>
      <c r="CZ118" s="16">
        <f t="shared" si="56"/>
        <v>0</v>
      </c>
      <c r="DA118" s="16">
        <f t="shared" si="57"/>
        <v>0</v>
      </c>
      <c r="DB118" s="16">
        <f t="shared" si="58"/>
        <v>-14126.923076923085</v>
      </c>
      <c r="DC118" s="16">
        <f t="shared" si="59"/>
        <v>-423.07692307692292</v>
      </c>
      <c r="DD118" s="16">
        <f t="shared" si="60"/>
        <v>0</v>
      </c>
      <c r="DE118" s="16">
        <f t="shared" si="61"/>
        <v>0</v>
      </c>
      <c r="DF118" s="16">
        <f t="shared" si="62"/>
        <v>0</v>
      </c>
      <c r="DG118" s="14">
        <f>IF([1]Sheet2!DR117=999999,"NA",[1]Sheet2!DR117)</f>
        <v>73103</v>
      </c>
      <c r="DH118" s="14">
        <f>IF([1]Sheet2!DS117=999999,"NA",[1]Sheet2!DS117)</f>
        <v>250</v>
      </c>
      <c r="DI118" s="14">
        <f>IF([1]Sheet2!DT117=999999,"NA",[1]Sheet2!DT117)</f>
        <v>250</v>
      </c>
      <c r="DJ118" s="14" t="str">
        <f>IF([1]Sheet2!DU117=999999,"NA",[1]Sheet2!DU117)</f>
        <v>NA</v>
      </c>
      <c r="DK118" s="14" t="str">
        <f>IF([1]Sheet2!DV117=999999,"NA",[1]Sheet2!DV117)</f>
        <v>NA</v>
      </c>
      <c r="DL118" s="14" t="str">
        <f>IF([1]Sheet2!DW117=999999,"NA",[1]Sheet2!DW117)</f>
        <v>NA</v>
      </c>
      <c r="DM118" s="14">
        <f>IF([1]Sheet2!DX117=999999,"NA",[1]Sheet2!DX117)</f>
        <v>250</v>
      </c>
      <c r="DN118" s="14">
        <f>IF([1]Sheet2!DY117=999999,"NA",[1]Sheet2!DY117)</f>
        <v>250</v>
      </c>
      <c r="DO118" s="14" t="str">
        <f>IF([1]Sheet2!DZ117=999999,"NA",[1]Sheet2!DZ117)</f>
        <v>NA</v>
      </c>
      <c r="DP118" s="14" t="str">
        <f>IF([1]Sheet2!EA117=999999,"NA",[1]Sheet2!EA117)</f>
        <v>NA</v>
      </c>
      <c r="DQ118" s="14">
        <f>[1]Sheet2!CX117</f>
        <v>0</v>
      </c>
      <c r="DR118" s="14">
        <f>[1]Sheet2!CY117</f>
        <v>0</v>
      </c>
      <c r="DS118" s="14">
        <f>[1]Sheet2!CZ117</f>
        <v>0</v>
      </c>
      <c r="DT118" s="14">
        <f>[1]Sheet2!DA117</f>
        <v>0</v>
      </c>
      <c r="DU118" s="14">
        <f>[1]Sheet2!DB117</f>
        <v>0</v>
      </c>
      <c r="DV118" s="14">
        <f>[1]Sheet2!DC117</f>
        <v>0</v>
      </c>
      <c r="DW118" s="14">
        <f>[1]Sheet2!DD117</f>
        <v>0</v>
      </c>
      <c r="DX118" s="14">
        <f>[1]Sheet2!DE117</f>
        <v>0</v>
      </c>
      <c r="DY118" s="14">
        <f>[1]Sheet2!DF117</f>
        <v>0</v>
      </c>
      <c r="DZ118" s="14">
        <f>[1]Sheet2!DG117</f>
        <v>0</v>
      </c>
    </row>
    <row r="119" spans="1:130" x14ac:dyDescent="0.25">
      <c r="A119" s="15">
        <v>43581</v>
      </c>
      <c r="B119" s="1"/>
      <c r="C119" s="1"/>
      <c r="D119" s="1"/>
      <c r="E119" s="14">
        <f>[1]Sheet2!N118</f>
        <v>0</v>
      </c>
      <c r="F119" s="14">
        <f>[1]Sheet2!BE118</f>
        <v>0</v>
      </c>
      <c r="G119" s="14">
        <f>[1]Sheet2!CV118</f>
        <v>346.15384615384608</v>
      </c>
      <c r="H119" s="1"/>
      <c r="I119" s="1"/>
      <c r="J119" s="1"/>
      <c r="K119" s="16">
        <f>Demand_CWRS!B$6/30</f>
        <v>136.96097796474356</v>
      </c>
      <c r="L119" s="16">
        <f>Demand_CWRS!C$6/30</f>
        <v>544.43376068376062</v>
      </c>
      <c r="M119" s="16">
        <f>Demand_CWRS!D$6/30</f>
        <v>0</v>
      </c>
      <c r="N119" s="16">
        <f>Demand_CWRS!E$6/30</f>
        <v>108.97435897435896</v>
      </c>
      <c r="O119" s="16">
        <f>Demand_CWRS!F$6/30</f>
        <v>213.3621347489316</v>
      </c>
      <c r="P119" s="16">
        <f>Demand_CWRS!G$6/30</f>
        <v>133.33333333333334</v>
      </c>
      <c r="Q119" s="16">
        <f>Demand_CWRS!H$6/30</f>
        <v>544.43376068376062</v>
      </c>
      <c r="R119" s="16">
        <f>Demand_CWRS!I$6/30</f>
        <v>213.3621347489316</v>
      </c>
      <c r="S119" s="16">
        <f>Demand_CWRS!J$6/30</f>
        <v>213.3621347489316</v>
      </c>
      <c r="T119" s="16">
        <f>Demand_CWRS!K$6/30</f>
        <v>213.3621347489316</v>
      </c>
      <c r="U119" s="16">
        <f t="shared" si="33"/>
        <v>-18039.989728902925</v>
      </c>
      <c r="V119" s="16">
        <f t="shared" si="34"/>
        <v>-50337.400854700747</v>
      </c>
      <c r="W119" s="16">
        <f t="shared" si="35"/>
        <v>0</v>
      </c>
      <c r="X119" s="16">
        <f t="shared" si="36"/>
        <v>-11312.738088283038</v>
      </c>
      <c r="Y119" s="16">
        <f t="shared" si="37"/>
        <v>-25656.932719676402</v>
      </c>
      <c r="Z119" s="16">
        <f t="shared" si="38"/>
        <v>-17728.72715839012</v>
      </c>
      <c r="AA119" s="16">
        <f t="shared" si="39"/>
        <v>-49837.400854700747</v>
      </c>
      <c r="AB119" s="16">
        <f t="shared" si="40"/>
        <v>-23344.966133137917</v>
      </c>
      <c r="AC119" s="16">
        <f t="shared" si="41"/>
        <v>-23344.966133137907</v>
      </c>
      <c r="AD119" s="16">
        <f t="shared" si="42"/>
        <v>-24044.96613313791</v>
      </c>
      <c r="AE119" s="14">
        <f>IF([1]Sheet2!AJ118=999999,"NA",[1]Sheet2!AJ118)</f>
        <v>11</v>
      </c>
      <c r="AF119" s="14">
        <f>IF([1]Sheet2!AK118=999999,"NA",[1]Sheet2!AK118)</f>
        <v>0</v>
      </c>
      <c r="AG119" s="14" t="str">
        <f>IF([1]Sheet2!AL118=999999,"NA",[1]Sheet2!AL118)</f>
        <v>NA</v>
      </c>
      <c r="AH119" s="14">
        <f>IF([1]Sheet2!AM118=999999,"NA",[1]Sheet2!AM118)</f>
        <v>249</v>
      </c>
      <c r="AI119" s="14">
        <f>IF([1]Sheet2!AN118=999999,"NA",[1]Sheet2!AN118)</f>
        <v>249</v>
      </c>
      <c r="AJ119" s="14">
        <f>IF([1]Sheet2!AO118=999999,"NA",[1]Sheet2!AO118)</f>
        <v>249</v>
      </c>
      <c r="AK119" s="14">
        <f>IF([1]Sheet2!AP118=999999,"NA",[1]Sheet2!AP118)</f>
        <v>0</v>
      </c>
      <c r="AL119" s="14">
        <f>IF([1]Sheet2!AQ118=999999,"NA",[1]Sheet2!AQ118)</f>
        <v>125</v>
      </c>
      <c r="AM119" s="14">
        <f>IF([1]Sheet2!AR118=999999,"NA",[1]Sheet2!AR118)</f>
        <v>249</v>
      </c>
      <c r="AN119" s="14">
        <f>IF([1]Sheet2!AS118=999999,"NA",[1]Sheet2!AS118)</f>
        <v>181</v>
      </c>
      <c r="AO119" s="14">
        <f>[1]Sheet2!P118</f>
        <v>0</v>
      </c>
      <c r="AP119" s="14">
        <f>[1]Sheet2!Q118</f>
        <v>0</v>
      </c>
      <c r="AQ119" s="14">
        <f>[1]Sheet2!R118</f>
        <v>0</v>
      </c>
      <c r="AR119" s="14">
        <f>[1]Sheet2!S118</f>
        <v>0</v>
      </c>
      <c r="AS119" s="14">
        <f>[1]Sheet2!T118</f>
        <v>0</v>
      </c>
      <c r="AT119" s="14">
        <f>[1]Sheet2!U118</f>
        <v>0</v>
      </c>
      <c r="AU119" s="14">
        <f>[1]Sheet2!V118</f>
        <v>0</v>
      </c>
      <c r="AV119" s="14">
        <f>[1]Sheet2!W118</f>
        <v>0</v>
      </c>
      <c r="AW119" s="14">
        <f>[1]Sheet2!X118</f>
        <v>0</v>
      </c>
      <c r="AX119" s="14">
        <f>[1]Sheet2!Y118</f>
        <v>0</v>
      </c>
      <c r="AY119" s="16">
        <f>Demand_LP!B$6/30</f>
        <v>790.61612406517088</v>
      </c>
      <c r="AZ119" s="16">
        <f>Demand_LP!C$6/30</f>
        <v>816.46367521367517</v>
      </c>
      <c r="BA119" s="16">
        <f>Demand_LP!D$6/30</f>
        <v>346.63461538461536</v>
      </c>
      <c r="BB119" s="16">
        <f>Demand_LP!E$6/30</f>
        <v>795.48076923076928</v>
      </c>
      <c r="BC119" s="16">
        <f>Demand_LP!F$6/30</f>
        <v>472.52230168269227</v>
      </c>
      <c r="BD119" s="16">
        <f>Demand_LP!G$6/30</f>
        <v>790.61612406517088</v>
      </c>
      <c r="BE119" s="16">
        <f>Demand_LP!H$6/30</f>
        <v>816.46367521367517</v>
      </c>
      <c r="BF119" s="16">
        <f>Demand_LP!I$6/30</f>
        <v>472.52230168269227</v>
      </c>
      <c r="BG119" s="16">
        <f>Demand_LP!J$6/30</f>
        <v>472.52230168269227</v>
      </c>
      <c r="BH119" s="16">
        <f>Demand_LP!K$6/30</f>
        <v>472.52230168269227</v>
      </c>
      <c r="BI119" s="16" t="e">
        <f t="shared" si="43"/>
        <v>#VALUE!</v>
      </c>
      <c r="BJ119" s="16">
        <f t="shared" si="44"/>
        <v>-71844.599145299027</v>
      </c>
      <c r="BK119" s="16">
        <f t="shared" si="45"/>
        <v>-31786.465384615396</v>
      </c>
      <c r="BL119" s="16">
        <f t="shared" si="46"/>
        <v>-84489.047419668845</v>
      </c>
      <c r="BM119" s="16">
        <f t="shared" si="47"/>
        <v>-52727.895925379395</v>
      </c>
      <c r="BN119" s="16">
        <f t="shared" si="48"/>
        <v>-80954.242732672792</v>
      </c>
      <c r="BO119" s="16">
        <f t="shared" si="49"/>
        <v>-74202.17863247855</v>
      </c>
      <c r="BP119" s="16">
        <f t="shared" si="50"/>
        <v>-52185.579843749991</v>
      </c>
      <c r="BQ119" s="16">
        <f t="shared" si="51"/>
        <v>-48785.579843750013</v>
      </c>
      <c r="BR119" s="16">
        <f t="shared" si="52"/>
        <v>-49985.579843749998</v>
      </c>
      <c r="BS119" s="14">
        <f>IF([1]Sheet2!CA118=999999,"NA",[1]Sheet2!CA118)</f>
        <v>166493.4201562501</v>
      </c>
      <c r="BT119" s="14">
        <f>IF([1]Sheet2!CB118=999999,"NA",[1]Sheet2!CB118)</f>
        <v>171</v>
      </c>
      <c r="BU119" s="14">
        <f>IF([1]Sheet2!CC118=999999,"NA",[1]Sheet2!CC118)</f>
        <v>249</v>
      </c>
      <c r="BV119" s="14">
        <f>IF([1]Sheet2!CD118=999999,"NA",[1]Sheet2!CD118)</f>
        <v>249</v>
      </c>
      <c r="BW119" s="14">
        <f>IF([1]Sheet2!CE118=999999,"NA",[1]Sheet2!CE118)</f>
        <v>211</v>
      </c>
      <c r="BX119" s="14">
        <f>IF([1]Sheet2!CF118=999999,"NA",[1]Sheet2!CF118)</f>
        <v>249</v>
      </c>
      <c r="BY119" s="14">
        <f>IF([1]Sheet2!CG118=999999,"NA",[1]Sheet2!CG118)</f>
        <v>143</v>
      </c>
      <c r="BZ119" s="14">
        <f>IF([1]Sheet2!CH118=999999,"NA",[1]Sheet2!CH118)</f>
        <v>249</v>
      </c>
      <c r="CA119" s="14">
        <f>IF([1]Sheet2!CI118=999999,"NA",[1]Sheet2!CI118)</f>
        <v>249</v>
      </c>
      <c r="CB119" s="14">
        <f>IF([1]Sheet2!CJ118=999999,"NA",[1]Sheet2!CJ118)</f>
        <v>249</v>
      </c>
      <c r="CC119" s="14">
        <f>[1]Sheet2!BG118</f>
        <v>0</v>
      </c>
      <c r="CD119" s="14">
        <f>[1]Sheet2!BH118</f>
        <v>0</v>
      </c>
      <c r="CE119" s="14">
        <f>[1]Sheet2!BI118</f>
        <v>0</v>
      </c>
      <c r="CF119" s="14">
        <f>[1]Sheet2!BJ118</f>
        <v>0</v>
      </c>
      <c r="CG119" s="14">
        <f>[1]Sheet2!BK118</f>
        <v>0</v>
      </c>
      <c r="CH119" s="14">
        <f>[1]Sheet2!BL118</f>
        <v>0</v>
      </c>
      <c r="CI119" s="14">
        <f>[1]Sheet2!BM118</f>
        <v>0</v>
      </c>
      <c r="CJ119" s="14">
        <f>[1]Sheet2!BN118</f>
        <v>0</v>
      </c>
      <c r="CK119" s="14">
        <f>[1]Sheet2!BO118</f>
        <v>0</v>
      </c>
      <c r="CL119" s="14">
        <f>[1]Sheet2!BP118</f>
        <v>0</v>
      </c>
      <c r="CM119" s="16">
        <f>Demand_SW!B$6/30</f>
        <v>173.07692307692304</v>
      </c>
      <c r="CN119" s="16">
        <f>Demand_SW!C$6/30</f>
        <v>0</v>
      </c>
      <c r="CO119" s="16">
        <f>Demand_SW!D$6/30</f>
        <v>0</v>
      </c>
      <c r="CP119" s="16">
        <f>Demand_SW!E$6/30</f>
        <v>0</v>
      </c>
      <c r="CQ119" s="16">
        <f>Demand_SW!F$6/30</f>
        <v>0</v>
      </c>
      <c r="CR119" s="16">
        <f>Demand_SW!G$6/30</f>
        <v>173.07692307692304</v>
      </c>
      <c r="CS119" s="16">
        <f>Demand_SW!H$6/30</f>
        <v>0</v>
      </c>
      <c r="CT119" s="16">
        <f>Demand_SW!I$6/30</f>
        <v>0</v>
      </c>
      <c r="CU119" s="16">
        <f>Demand_SW!J$6/30</f>
        <v>0</v>
      </c>
      <c r="CV119" s="16">
        <f>Demand_SW!K$6/30</f>
        <v>0</v>
      </c>
      <c r="CW119" s="16">
        <f t="shared" si="53"/>
        <v>35229.230769230759</v>
      </c>
      <c r="CX119" s="16">
        <f t="shared" si="54"/>
        <v>-423.07692307692292</v>
      </c>
      <c r="CY119" s="16">
        <f t="shared" si="55"/>
        <v>0</v>
      </c>
      <c r="CZ119" s="16">
        <f t="shared" si="56"/>
        <v>0</v>
      </c>
      <c r="DA119" s="16">
        <f t="shared" si="57"/>
        <v>0</v>
      </c>
      <c r="DB119" s="16">
        <f t="shared" si="58"/>
        <v>-14300.000000000009</v>
      </c>
      <c r="DC119" s="16">
        <f t="shared" si="59"/>
        <v>-423.07692307692292</v>
      </c>
      <c r="DD119" s="16">
        <f t="shared" si="60"/>
        <v>0</v>
      </c>
      <c r="DE119" s="16">
        <f t="shared" si="61"/>
        <v>0</v>
      </c>
      <c r="DF119" s="16">
        <f t="shared" si="62"/>
        <v>0</v>
      </c>
      <c r="DG119" s="14">
        <f>IF([1]Sheet2!DR118=999999,"NA",[1]Sheet2!DR118)</f>
        <v>73103</v>
      </c>
      <c r="DH119" s="14">
        <f>IF([1]Sheet2!DS118=999999,"NA",[1]Sheet2!DS118)</f>
        <v>249</v>
      </c>
      <c r="DI119" s="14">
        <f>IF([1]Sheet2!DT118=999999,"NA",[1]Sheet2!DT118)</f>
        <v>249</v>
      </c>
      <c r="DJ119" s="14" t="str">
        <f>IF([1]Sheet2!DU118=999999,"NA",[1]Sheet2!DU118)</f>
        <v>NA</v>
      </c>
      <c r="DK119" s="14" t="str">
        <f>IF([1]Sheet2!DV118=999999,"NA",[1]Sheet2!DV118)</f>
        <v>NA</v>
      </c>
      <c r="DL119" s="14" t="str">
        <f>IF([1]Sheet2!DW118=999999,"NA",[1]Sheet2!DW118)</f>
        <v>NA</v>
      </c>
      <c r="DM119" s="14">
        <f>IF([1]Sheet2!DX118=999999,"NA",[1]Sheet2!DX118)</f>
        <v>249</v>
      </c>
      <c r="DN119" s="14">
        <f>IF([1]Sheet2!DY118=999999,"NA",[1]Sheet2!DY118)</f>
        <v>249</v>
      </c>
      <c r="DO119" s="14" t="str">
        <f>IF([1]Sheet2!DZ118=999999,"NA",[1]Sheet2!DZ118)</f>
        <v>NA</v>
      </c>
      <c r="DP119" s="14" t="str">
        <f>IF([1]Sheet2!EA118=999999,"NA",[1]Sheet2!EA118)</f>
        <v>NA</v>
      </c>
      <c r="DQ119" s="14">
        <f>[1]Sheet2!CX118</f>
        <v>0</v>
      </c>
      <c r="DR119" s="14">
        <f>[1]Sheet2!CY118</f>
        <v>0</v>
      </c>
      <c r="DS119" s="14">
        <f>[1]Sheet2!CZ118</f>
        <v>0</v>
      </c>
      <c r="DT119" s="14">
        <f>[1]Sheet2!DA118</f>
        <v>0</v>
      </c>
      <c r="DU119" s="14">
        <f>[1]Sheet2!DB118</f>
        <v>0</v>
      </c>
      <c r="DV119" s="14">
        <f>[1]Sheet2!DC118</f>
        <v>0</v>
      </c>
      <c r="DW119" s="14">
        <f>[1]Sheet2!DD118</f>
        <v>0</v>
      </c>
      <c r="DX119" s="14">
        <f>[1]Sheet2!DE118</f>
        <v>0</v>
      </c>
      <c r="DY119" s="14">
        <f>[1]Sheet2!DF118</f>
        <v>0</v>
      </c>
      <c r="DZ119" s="14">
        <f>[1]Sheet2!DG118</f>
        <v>0</v>
      </c>
    </row>
    <row r="120" spans="1:130" x14ac:dyDescent="0.25">
      <c r="A120" s="15">
        <v>43582</v>
      </c>
      <c r="B120" s="1"/>
      <c r="C120" s="1"/>
      <c r="D120" s="1"/>
      <c r="E120" s="14">
        <f>[1]Sheet2!N119</f>
        <v>0</v>
      </c>
      <c r="F120" s="14">
        <f>[1]Sheet2!BE119</f>
        <v>0</v>
      </c>
      <c r="G120" s="14">
        <f>[1]Sheet2!CV119</f>
        <v>346.15384615384608</v>
      </c>
      <c r="H120" s="1"/>
      <c r="I120" s="1"/>
      <c r="J120" s="1"/>
      <c r="K120" s="16">
        <f>Demand_CWRS!B$6/30</f>
        <v>136.96097796474356</v>
      </c>
      <c r="L120" s="16">
        <f>Demand_CWRS!C$6/30</f>
        <v>544.43376068376062</v>
      </c>
      <c r="M120" s="16">
        <f>Demand_CWRS!D$6/30</f>
        <v>0</v>
      </c>
      <c r="N120" s="16">
        <f>Demand_CWRS!E$6/30</f>
        <v>108.97435897435896</v>
      </c>
      <c r="O120" s="16">
        <f>Demand_CWRS!F$6/30</f>
        <v>213.3621347489316</v>
      </c>
      <c r="P120" s="16">
        <f>Demand_CWRS!G$6/30</f>
        <v>133.33333333333334</v>
      </c>
      <c r="Q120" s="16">
        <f>Demand_CWRS!H$6/30</f>
        <v>544.43376068376062</v>
      </c>
      <c r="R120" s="16">
        <f>Demand_CWRS!I$6/30</f>
        <v>213.3621347489316</v>
      </c>
      <c r="S120" s="16">
        <f>Demand_CWRS!J$6/30</f>
        <v>213.3621347489316</v>
      </c>
      <c r="T120" s="16">
        <f>Demand_CWRS!K$6/30</f>
        <v>213.3621347489316</v>
      </c>
      <c r="U120" s="16">
        <f t="shared" si="33"/>
        <v>-18176.950706867668</v>
      </c>
      <c r="V120" s="16">
        <f t="shared" si="34"/>
        <v>-50881.834615384505</v>
      </c>
      <c r="W120" s="16">
        <f t="shared" si="35"/>
        <v>0</v>
      </c>
      <c r="X120" s="16">
        <f t="shared" si="36"/>
        <v>-11421.712447257398</v>
      </c>
      <c r="Y120" s="16">
        <f t="shared" si="37"/>
        <v>-25870.294854425334</v>
      </c>
      <c r="Z120" s="16">
        <f t="shared" si="38"/>
        <v>-17862.060491723452</v>
      </c>
      <c r="AA120" s="16">
        <f t="shared" si="39"/>
        <v>-50381.834615384505</v>
      </c>
      <c r="AB120" s="16">
        <f t="shared" si="40"/>
        <v>-23558.328267886849</v>
      </c>
      <c r="AC120" s="16">
        <f t="shared" si="41"/>
        <v>-23558.328267886838</v>
      </c>
      <c r="AD120" s="16">
        <f t="shared" si="42"/>
        <v>-24258.328267886842</v>
      </c>
      <c r="AE120" s="14">
        <f>IF([1]Sheet2!AJ119=999999,"NA",[1]Sheet2!AJ119)</f>
        <v>10</v>
      </c>
      <c r="AF120" s="14">
        <f>IF([1]Sheet2!AK119=999999,"NA",[1]Sheet2!AK119)</f>
        <v>0</v>
      </c>
      <c r="AG120" s="14" t="str">
        <f>IF([1]Sheet2!AL119=999999,"NA",[1]Sheet2!AL119)</f>
        <v>NA</v>
      </c>
      <c r="AH120" s="14">
        <f>IF([1]Sheet2!AM119=999999,"NA",[1]Sheet2!AM119)</f>
        <v>248</v>
      </c>
      <c r="AI120" s="14">
        <f>IF([1]Sheet2!AN119=999999,"NA",[1]Sheet2!AN119)</f>
        <v>248</v>
      </c>
      <c r="AJ120" s="14">
        <f>IF([1]Sheet2!AO119=999999,"NA",[1]Sheet2!AO119)</f>
        <v>248</v>
      </c>
      <c r="AK120" s="14">
        <f>IF([1]Sheet2!AP119=999999,"NA",[1]Sheet2!AP119)</f>
        <v>0</v>
      </c>
      <c r="AL120" s="14">
        <f>IF([1]Sheet2!AQ119=999999,"NA",[1]Sheet2!AQ119)</f>
        <v>124</v>
      </c>
      <c r="AM120" s="14">
        <f>IF([1]Sheet2!AR119=999999,"NA",[1]Sheet2!AR119)</f>
        <v>248</v>
      </c>
      <c r="AN120" s="14">
        <f>IF([1]Sheet2!AS119=999999,"NA",[1]Sheet2!AS119)</f>
        <v>180</v>
      </c>
      <c r="AO120" s="14">
        <f>[1]Sheet2!P119</f>
        <v>0</v>
      </c>
      <c r="AP120" s="14">
        <f>[1]Sheet2!Q119</f>
        <v>0</v>
      </c>
      <c r="AQ120" s="14">
        <f>[1]Sheet2!R119</f>
        <v>0</v>
      </c>
      <c r="AR120" s="14">
        <f>[1]Sheet2!S119</f>
        <v>0</v>
      </c>
      <c r="AS120" s="14">
        <f>[1]Sheet2!T119</f>
        <v>0</v>
      </c>
      <c r="AT120" s="14">
        <f>[1]Sheet2!U119</f>
        <v>0</v>
      </c>
      <c r="AU120" s="14">
        <f>[1]Sheet2!V119</f>
        <v>0</v>
      </c>
      <c r="AV120" s="14">
        <f>[1]Sheet2!W119</f>
        <v>0</v>
      </c>
      <c r="AW120" s="14">
        <f>[1]Sheet2!X119</f>
        <v>0</v>
      </c>
      <c r="AX120" s="14">
        <f>[1]Sheet2!Y119</f>
        <v>0</v>
      </c>
      <c r="AY120" s="16">
        <f>Demand_LP!B$6/30</f>
        <v>790.61612406517088</v>
      </c>
      <c r="AZ120" s="16">
        <f>Demand_LP!C$6/30</f>
        <v>816.46367521367517</v>
      </c>
      <c r="BA120" s="16">
        <f>Demand_LP!D$6/30</f>
        <v>346.63461538461536</v>
      </c>
      <c r="BB120" s="16">
        <f>Demand_LP!E$6/30</f>
        <v>795.48076923076928</v>
      </c>
      <c r="BC120" s="16">
        <f>Demand_LP!F$6/30</f>
        <v>472.52230168269227</v>
      </c>
      <c r="BD120" s="16">
        <f>Demand_LP!G$6/30</f>
        <v>790.61612406517088</v>
      </c>
      <c r="BE120" s="16">
        <f>Demand_LP!H$6/30</f>
        <v>816.46367521367517</v>
      </c>
      <c r="BF120" s="16">
        <f>Demand_LP!I$6/30</f>
        <v>472.52230168269227</v>
      </c>
      <c r="BG120" s="16">
        <f>Demand_LP!J$6/30</f>
        <v>472.52230168269227</v>
      </c>
      <c r="BH120" s="16">
        <f>Demand_LP!K$6/30</f>
        <v>472.52230168269227</v>
      </c>
      <c r="BI120" s="16" t="e">
        <f t="shared" si="43"/>
        <v>#VALUE!</v>
      </c>
      <c r="BJ120" s="16">
        <f t="shared" si="44"/>
        <v>-72661.0628205127</v>
      </c>
      <c r="BK120" s="16">
        <f t="shared" si="45"/>
        <v>-32133.100000000013</v>
      </c>
      <c r="BL120" s="16">
        <f t="shared" si="46"/>
        <v>-85284.528188899611</v>
      </c>
      <c r="BM120" s="16">
        <f t="shared" si="47"/>
        <v>-53200.418227062088</v>
      </c>
      <c r="BN120" s="16">
        <f t="shared" si="48"/>
        <v>-81744.858856737963</v>
      </c>
      <c r="BO120" s="16">
        <f t="shared" si="49"/>
        <v>-75018.642307692222</v>
      </c>
      <c r="BP120" s="16">
        <f t="shared" si="50"/>
        <v>-52658.102145432684</v>
      </c>
      <c r="BQ120" s="16">
        <f t="shared" si="51"/>
        <v>-49258.102145432706</v>
      </c>
      <c r="BR120" s="16">
        <f t="shared" si="52"/>
        <v>-50458.102145432691</v>
      </c>
      <c r="BS120" s="14">
        <f>IF([1]Sheet2!CA119=999999,"NA",[1]Sheet2!CA119)</f>
        <v>166020.89785456742</v>
      </c>
      <c r="BT120" s="14">
        <f>IF([1]Sheet2!CB119=999999,"NA",[1]Sheet2!CB119)</f>
        <v>170</v>
      </c>
      <c r="BU120" s="14">
        <f>IF([1]Sheet2!CC119=999999,"NA",[1]Sheet2!CC119)</f>
        <v>248</v>
      </c>
      <c r="BV120" s="14">
        <f>IF([1]Sheet2!CD119=999999,"NA",[1]Sheet2!CD119)</f>
        <v>248</v>
      </c>
      <c r="BW120" s="14">
        <f>IF([1]Sheet2!CE119=999999,"NA",[1]Sheet2!CE119)</f>
        <v>210</v>
      </c>
      <c r="BX120" s="14">
        <f>IF([1]Sheet2!CF119=999999,"NA",[1]Sheet2!CF119)</f>
        <v>248</v>
      </c>
      <c r="BY120" s="14">
        <f>IF([1]Sheet2!CG119=999999,"NA",[1]Sheet2!CG119)</f>
        <v>142</v>
      </c>
      <c r="BZ120" s="14">
        <f>IF([1]Sheet2!CH119=999999,"NA",[1]Sheet2!CH119)</f>
        <v>248</v>
      </c>
      <c r="CA120" s="14">
        <f>IF([1]Sheet2!CI119=999999,"NA",[1]Sheet2!CI119)</f>
        <v>248</v>
      </c>
      <c r="CB120" s="14">
        <f>IF([1]Sheet2!CJ119=999999,"NA",[1]Sheet2!CJ119)</f>
        <v>248</v>
      </c>
      <c r="CC120" s="14">
        <f>[1]Sheet2!BG119</f>
        <v>0</v>
      </c>
      <c r="CD120" s="14">
        <f>[1]Sheet2!BH119</f>
        <v>0</v>
      </c>
      <c r="CE120" s="14">
        <f>[1]Sheet2!BI119</f>
        <v>0</v>
      </c>
      <c r="CF120" s="14">
        <f>[1]Sheet2!BJ119</f>
        <v>0</v>
      </c>
      <c r="CG120" s="14">
        <f>[1]Sheet2!BK119</f>
        <v>0</v>
      </c>
      <c r="CH120" s="14">
        <f>[1]Sheet2!BL119</f>
        <v>0</v>
      </c>
      <c r="CI120" s="14">
        <f>[1]Sheet2!BM119</f>
        <v>0</v>
      </c>
      <c r="CJ120" s="14">
        <f>[1]Sheet2!BN119</f>
        <v>0</v>
      </c>
      <c r="CK120" s="14">
        <f>[1]Sheet2!BO119</f>
        <v>0</v>
      </c>
      <c r="CL120" s="14">
        <f>[1]Sheet2!BP119</f>
        <v>0</v>
      </c>
      <c r="CM120" s="16">
        <f>Demand_SW!B$6/30</f>
        <v>173.07692307692304</v>
      </c>
      <c r="CN120" s="16">
        <f>Demand_SW!C$6/30</f>
        <v>0</v>
      </c>
      <c r="CO120" s="16">
        <f>Demand_SW!D$6/30</f>
        <v>0</v>
      </c>
      <c r="CP120" s="16">
        <f>Demand_SW!E$6/30</f>
        <v>0</v>
      </c>
      <c r="CQ120" s="16">
        <f>Demand_SW!F$6/30</f>
        <v>0</v>
      </c>
      <c r="CR120" s="16">
        <f>Demand_SW!G$6/30</f>
        <v>173.07692307692304</v>
      </c>
      <c r="CS120" s="16">
        <f>Demand_SW!H$6/30</f>
        <v>0</v>
      </c>
      <c r="CT120" s="16">
        <f>Demand_SW!I$6/30</f>
        <v>0</v>
      </c>
      <c r="CU120" s="16">
        <f>Demand_SW!J$6/30</f>
        <v>0</v>
      </c>
      <c r="CV120" s="16">
        <f>Demand_SW!K$6/30</f>
        <v>0</v>
      </c>
      <c r="CW120" s="16">
        <f t="shared" si="53"/>
        <v>35056.153846153837</v>
      </c>
      <c r="CX120" s="16">
        <f t="shared" si="54"/>
        <v>-423.07692307692292</v>
      </c>
      <c r="CY120" s="16">
        <f t="shared" si="55"/>
        <v>0</v>
      </c>
      <c r="CZ120" s="16">
        <f t="shared" si="56"/>
        <v>0</v>
      </c>
      <c r="DA120" s="16">
        <f t="shared" si="57"/>
        <v>0</v>
      </c>
      <c r="DB120" s="16">
        <f t="shared" si="58"/>
        <v>-14473.076923076933</v>
      </c>
      <c r="DC120" s="16">
        <f t="shared" si="59"/>
        <v>-423.07692307692292</v>
      </c>
      <c r="DD120" s="16">
        <f t="shared" si="60"/>
        <v>0</v>
      </c>
      <c r="DE120" s="16">
        <f t="shared" si="61"/>
        <v>0</v>
      </c>
      <c r="DF120" s="16">
        <f t="shared" si="62"/>
        <v>0</v>
      </c>
      <c r="DG120" s="14">
        <f>IF([1]Sheet2!DR119=999999,"NA",[1]Sheet2!DR119)</f>
        <v>73103</v>
      </c>
      <c r="DH120" s="14">
        <f>IF([1]Sheet2!DS119=999999,"NA",[1]Sheet2!DS119)</f>
        <v>248</v>
      </c>
      <c r="DI120" s="14">
        <f>IF([1]Sheet2!DT119=999999,"NA",[1]Sheet2!DT119)</f>
        <v>248</v>
      </c>
      <c r="DJ120" s="14" t="str">
        <f>IF([1]Sheet2!DU119=999999,"NA",[1]Sheet2!DU119)</f>
        <v>NA</v>
      </c>
      <c r="DK120" s="14" t="str">
        <f>IF([1]Sheet2!DV119=999999,"NA",[1]Sheet2!DV119)</f>
        <v>NA</v>
      </c>
      <c r="DL120" s="14" t="str">
        <f>IF([1]Sheet2!DW119=999999,"NA",[1]Sheet2!DW119)</f>
        <v>NA</v>
      </c>
      <c r="DM120" s="14">
        <f>IF([1]Sheet2!DX119=999999,"NA",[1]Sheet2!DX119)</f>
        <v>248</v>
      </c>
      <c r="DN120" s="14">
        <f>IF([1]Sheet2!DY119=999999,"NA",[1]Sheet2!DY119)</f>
        <v>248</v>
      </c>
      <c r="DO120" s="14" t="str">
        <f>IF([1]Sheet2!DZ119=999999,"NA",[1]Sheet2!DZ119)</f>
        <v>NA</v>
      </c>
      <c r="DP120" s="14" t="str">
        <f>IF([1]Sheet2!EA119=999999,"NA",[1]Sheet2!EA119)</f>
        <v>NA</v>
      </c>
      <c r="DQ120" s="14">
        <f>[1]Sheet2!CX119</f>
        <v>0</v>
      </c>
      <c r="DR120" s="14">
        <f>[1]Sheet2!CY119</f>
        <v>0</v>
      </c>
      <c r="DS120" s="14">
        <f>[1]Sheet2!CZ119</f>
        <v>0</v>
      </c>
      <c r="DT120" s="14">
        <f>[1]Sheet2!DA119</f>
        <v>0</v>
      </c>
      <c r="DU120" s="14">
        <f>[1]Sheet2!DB119</f>
        <v>0</v>
      </c>
      <c r="DV120" s="14">
        <f>[1]Sheet2!DC119</f>
        <v>0</v>
      </c>
      <c r="DW120" s="14">
        <f>[1]Sheet2!DD119</f>
        <v>0</v>
      </c>
      <c r="DX120" s="14">
        <f>[1]Sheet2!DE119</f>
        <v>0</v>
      </c>
      <c r="DY120" s="14">
        <f>[1]Sheet2!DF119</f>
        <v>0</v>
      </c>
      <c r="DZ120" s="14">
        <f>[1]Sheet2!DG119</f>
        <v>0</v>
      </c>
    </row>
    <row r="121" spans="1:130" x14ac:dyDescent="0.25">
      <c r="A121" s="15">
        <v>43583</v>
      </c>
      <c r="B121" s="1"/>
      <c r="C121" s="1"/>
      <c r="D121" s="1"/>
      <c r="E121" s="14">
        <f>[1]Sheet2!N120</f>
        <v>0</v>
      </c>
      <c r="F121" s="14">
        <f>[1]Sheet2!BE120</f>
        <v>0</v>
      </c>
      <c r="G121" s="14">
        <f>[1]Sheet2!CV120</f>
        <v>346.15384615384608</v>
      </c>
      <c r="H121" s="1"/>
      <c r="I121" s="1"/>
      <c r="J121" s="1"/>
      <c r="K121" s="16">
        <f>Demand_CWRS!B$6/30</f>
        <v>136.96097796474356</v>
      </c>
      <c r="L121" s="16">
        <f>Demand_CWRS!C$6/30</f>
        <v>544.43376068376062</v>
      </c>
      <c r="M121" s="16">
        <f>Demand_CWRS!D$6/30</f>
        <v>0</v>
      </c>
      <c r="N121" s="16">
        <f>Demand_CWRS!E$6/30</f>
        <v>108.97435897435896</v>
      </c>
      <c r="O121" s="16">
        <f>Demand_CWRS!F$6/30</f>
        <v>213.3621347489316</v>
      </c>
      <c r="P121" s="16">
        <f>Demand_CWRS!G$6/30</f>
        <v>133.33333333333334</v>
      </c>
      <c r="Q121" s="16">
        <f>Demand_CWRS!H$6/30</f>
        <v>544.43376068376062</v>
      </c>
      <c r="R121" s="16">
        <f>Demand_CWRS!I$6/30</f>
        <v>213.3621347489316</v>
      </c>
      <c r="S121" s="16">
        <f>Demand_CWRS!J$6/30</f>
        <v>213.3621347489316</v>
      </c>
      <c r="T121" s="16">
        <f>Demand_CWRS!K$6/30</f>
        <v>213.3621347489316</v>
      </c>
      <c r="U121" s="16">
        <f t="shared" si="33"/>
        <v>-18313.911684832412</v>
      </c>
      <c r="V121" s="16">
        <f t="shared" si="34"/>
        <v>-51426.268376068263</v>
      </c>
      <c r="W121" s="16">
        <f t="shared" si="35"/>
        <v>0</v>
      </c>
      <c r="X121" s="16">
        <f t="shared" si="36"/>
        <v>-11530.686806231757</v>
      </c>
      <c r="Y121" s="16">
        <f t="shared" si="37"/>
        <v>-26083.656989174266</v>
      </c>
      <c r="Z121" s="16">
        <f t="shared" si="38"/>
        <v>-17995.393825056784</v>
      </c>
      <c r="AA121" s="16">
        <f t="shared" si="39"/>
        <v>-50926.268376068263</v>
      </c>
      <c r="AB121" s="16">
        <f t="shared" si="40"/>
        <v>-23771.690402635781</v>
      </c>
      <c r="AC121" s="16">
        <f t="shared" si="41"/>
        <v>-23771.69040263577</v>
      </c>
      <c r="AD121" s="16">
        <f t="shared" si="42"/>
        <v>-24471.690402635773</v>
      </c>
      <c r="AE121" s="14">
        <f>IF([1]Sheet2!AJ120=999999,"NA",[1]Sheet2!AJ120)</f>
        <v>9</v>
      </c>
      <c r="AF121" s="14">
        <f>IF([1]Sheet2!AK120=999999,"NA",[1]Sheet2!AK120)</f>
        <v>0</v>
      </c>
      <c r="AG121" s="14" t="str">
        <f>IF([1]Sheet2!AL120=999999,"NA",[1]Sheet2!AL120)</f>
        <v>NA</v>
      </c>
      <c r="AH121" s="14">
        <f>IF([1]Sheet2!AM120=999999,"NA",[1]Sheet2!AM120)</f>
        <v>247</v>
      </c>
      <c r="AI121" s="14">
        <f>IF([1]Sheet2!AN120=999999,"NA",[1]Sheet2!AN120)</f>
        <v>247</v>
      </c>
      <c r="AJ121" s="14">
        <f>IF([1]Sheet2!AO120=999999,"NA",[1]Sheet2!AO120)</f>
        <v>247</v>
      </c>
      <c r="AK121" s="14">
        <f>IF([1]Sheet2!AP120=999999,"NA",[1]Sheet2!AP120)</f>
        <v>0</v>
      </c>
      <c r="AL121" s="14">
        <f>IF([1]Sheet2!AQ120=999999,"NA",[1]Sheet2!AQ120)</f>
        <v>123</v>
      </c>
      <c r="AM121" s="14">
        <f>IF([1]Sheet2!AR120=999999,"NA",[1]Sheet2!AR120)</f>
        <v>247</v>
      </c>
      <c r="AN121" s="14">
        <f>IF([1]Sheet2!AS120=999999,"NA",[1]Sheet2!AS120)</f>
        <v>179</v>
      </c>
      <c r="AO121" s="14">
        <f>[1]Sheet2!P120</f>
        <v>0</v>
      </c>
      <c r="AP121" s="14">
        <f>[1]Sheet2!Q120</f>
        <v>0</v>
      </c>
      <c r="AQ121" s="14">
        <f>[1]Sheet2!R120</f>
        <v>0</v>
      </c>
      <c r="AR121" s="14">
        <f>[1]Sheet2!S120</f>
        <v>0</v>
      </c>
      <c r="AS121" s="14">
        <f>[1]Sheet2!T120</f>
        <v>0</v>
      </c>
      <c r="AT121" s="14">
        <f>[1]Sheet2!U120</f>
        <v>0</v>
      </c>
      <c r="AU121" s="14">
        <f>[1]Sheet2!V120</f>
        <v>0</v>
      </c>
      <c r="AV121" s="14">
        <f>[1]Sheet2!W120</f>
        <v>0</v>
      </c>
      <c r="AW121" s="14">
        <f>[1]Sheet2!X120</f>
        <v>0</v>
      </c>
      <c r="AX121" s="14">
        <f>[1]Sheet2!Y120</f>
        <v>0</v>
      </c>
      <c r="AY121" s="16">
        <f>Demand_LP!B$6/30</f>
        <v>790.61612406517088</v>
      </c>
      <c r="AZ121" s="16">
        <f>Demand_LP!C$6/30</f>
        <v>816.46367521367517</v>
      </c>
      <c r="BA121" s="16">
        <f>Demand_LP!D$6/30</f>
        <v>346.63461538461536</v>
      </c>
      <c r="BB121" s="16">
        <f>Demand_LP!E$6/30</f>
        <v>795.48076923076928</v>
      </c>
      <c r="BC121" s="16">
        <f>Demand_LP!F$6/30</f>
        <v>472.52230168269227</v>
      </c>
      <c r="BD121" s="16">
        <f>Demand_LP!G$6/30</f>
        <v>790.61612406517088</v>
      </c>
      <c r="BE121" s="16">
        <f>Demand_LP!H$6/30</f>
        <v>816.46367521367517</v>
      </c>
      <c r="BF121" s="16">
        <f>Demand_LP!I$6/30</f>
        <v>472.52230168269227</v>
      </c>
      <c r="BG121" s="16">
        <f>Demand_LP!J$6/30</f>
        <v>472.52230168269227</v>
      </c>
      <c r="BH121" s="16">
        <f>Demand_LP!K$6/30</f>
        <v>472.52230168269227</v>
      </c>
      <c r="BI121" s="16" t="e">
        <f t="shared" si="43"/>
        <v>#VALUE!</v>
      </c>
      <c r="BJ121" s="16">
        <f t="shared" si="44"/>
        <v>-73477.526495726372</v>
      </c>
      <c r="BK121" s="16">
        <f t="shared" si="45"/>
        <v>-32479.73461538463</v>
      </c>
      <c r="BL121" s="16">
        <f t="shared" si="46"/>
        <v>-86080.008958130376</v>
      </c>
      <c r="BM121" s="16">
        <f t="shared" si="47"/>
        <v>-53672.940528744781</v>
      </c>
      <c r="BN121" s="16">
        <f t="shared" si="48"/>
        <v>-82535.474980803134</v>
      </c>
      <c r="BO121" s="16">
        <f t="shared" si="49"/>
        <v>-75835.105982905894</v>
      </c>
      <c r="BP121" s="16">
        <f t="shared" si="50"/>
        <v>-53130.624447115377</v>
      </c>
      <c r="BQ121" s="16">
        <f t="shared" si="51"/>
        <v>-49730.624447115399</v>
      </c>
      <c r="BR121" s="16">
        <f t="shared" si="52"/>
        <v>-50930.624447115384</v>
      </c>
      <c r="BS121" s="14">
        <f>IF([1]Sheet2!CA120=999999,"NA",[1]Sheet2!CA120)</f>
        <v>165548.37555288474</v>
      </c>
      <c r="BT121" s="14">
        <f>IF([1]Sheet2!CB120=999999,"NA",[1]Sheet2!CB120)</f>
        <v>169</v>
      </c>
      <c r="BU121" s="14">
        <f>IF([1]Sheet2!CC120=999999,"NA",[1]Sheet2!CC120)</f>
        <v>247</v>
      </c>
      <c r="BV121" s="14">
        <f>IF([1]Sheet2!CD120=999999,"NA",[1]Sheet2!CD120)</f>
        <v>247</v>
      </c>
      <c r="BW121" s="14">
        <f>IF([1]Sheet2!CE120=999999,"NA",[1]Sheet2!CE120)</f>
        <v>209</v>
      </c>
      <c r="BX121" s="14">
        <f>IF([1]Sheet2!CF120=999999,"NA",[1]Sheet2!CF120)</f>
        <v>247</v>
      </c>
      <c r="BY121" s="14">
        <f>IF([1]Sheet2!CG120=999999,"NA",[1]Sheet2!CG120)</f>
        <v>141</v>
      </c>
      <c r="BZ121" s="14">
        <f>IF([1]Sheet2!CH120=999999,"NA",[1]Sheet2!CH120)</f>
        <v>247</v>
      </c>
      <c r="CA121" s="14">
        <f>IF([1]Sheet2!CI120=999999,"NA",[1]Sheet2!CI120)</f>
        <v>247</v>
      </c>
      <c r="CB121" s="14">
        <f>IF([1]Sheet2!CJ120=999999,"NA",[1]Sheet2!CJ120)</f>
        <v>247</v>
      </c>
      <c r="CC121" s="14">
        <f>[1]Sheet2!BG120</f>
        <v>0</v>
      </c>
      <c r="CD121" s="14">
        <f>[1]Sheet2!BH120</f>
        <v>0</v>
      </c>
      <c r="CE121" s="14">
        <f>[1]Sheet2!BI120</f>
        <v>0</v>
      </c>
      <c r="CF121" s="14">
        <f>[1]Sheet2!BJ120</f>
        <v>0</v>
      </c>
      <c r="CG121" s="14">
        <f>[1]Sheet2!BK120</f>
        <v>0</v>
      </c>
      <c r="CH121" s="14">
        <f>[1]Sheet2!BL120</f>
        <v>0</v>
      </c>
      <c r="CI121" s="14">
        <f>[1]Sheet2!BM120</f>
        <v>0</v>
      </c>
      <c r="CJ121" s="14">
        <f>[1]Sheet2!BN120</f>
        <v>0</v>
      </c>
      <c r="CK121" s="14">
        <f>[1]Sheet2!BO120</f>
        <v>0</v>
      </c>
      <c r="CL121" s="14">
        <f>[1]Sheet2!BP120</f>
        <v>0</v>
      </c>
      <c r="CM121" s="16">
        <f>Demand_SW!B$6/30</f>
        <v>173.07692307692304</v>
      </c>
      <c r="CN121" s="16">
        <f>Demand_SW!C$6/30</f>
        <v>0</v>
      </c>
      <c r="CO121" s="16">
        <f>Demand_SW!D$6/30</f>
        <v>0</v>
      </c>
      <c r="CP121" s="16">
        <f>Demand_SW!E$6/30</f>
        <v>0</v>
      </c>
      <c r="CQ121" s="16">
        <f>Demand_SW!F$6/30</f>
        <v>0</v>
      </c>
      <c r="CR121" s="16">
        <f>Demand_SW!G$6/30</f>
        <v>173.07692307692304</v>
      </c>
      <c r="CS121" s="16">
        <f>Demand_SW!H$6/30</f>
        <v>0</v>
      </c>
      <c r="CT121" s="16">
        <f>Demand_SW!I$6/30</f>
        <v>0</v>
      </c>
      <c r="CU121" s="16">
        <f>Demand_SW!J$6/30</f>
        <v>0</v>
      </c>
      <c r="CV121" s="16">
        <f>Demand_SW!K$6/30</f>
        <v>0</v>
      </c>
      <c r="CW121" s="16">
        <f t="shared" si="53"/>
        <v>34883.076923076915</v>
      </c>
      <c r="CX121" s="16">
        <f t="shared" si="54"/>
        <v>-423.07692307692292</v>
      </c>
      <c r="CY121" s="16">
        <f t="shared" si="55"/>
        <v>0</v>
      </c>
      <c r="CZ121" s="16">
        <f t="shared" si="56"/>
        <v>0</v>
      </c>
      <c r="DA121" s="16">
        <f t="shared" si="57"/>
        <v>0</v>
      </c>
      <c r="DB121" s="16">
        <f t="shared" si="58"/>
        <v>-14646.153846153857</v>
      </c>
      <c r="DC121" s="16">
        <f t="shared" si="59"/>
        <v>-423.07692307692292</v>
      </c>
      <c r="DD121" s="16">
        <f t="shared" si="60"/>
        <v>0</v>
      </c>
      <c r="DE121" s="16">
        <f t="shared" si="61"/>
        <v>0</v>
      </c>
      <c r="DF121" s="16">
        <f t="shared" si="62"/>
        <v>0</v>
      </c>
      <c r="DG121" s="14">
        <f>IF([1]Sheet2!DR120=999999,"NA",[1]Sheet2!DR120)</f>
        <v>73103</v>
      </c>
      <c r="DH121" s="14">
        <f>IF([1]Sheet2!DS120=999999,"NA",[1]Sheet2!DS120)</f>
        <v>247</v>
      </c>
      <c r="DI121" s="14">
        <f>IF([1]Sheet2!DT120=999999,"NA",[1]Sheet2!DT120)</f>
        <v>247</v>
      </c>
      <c r="DJ121" s="14" t="str">
        <f>IF([1]Sheet2!DU120=999999,"NA",[1]Sheet2!DU120)</f>
        <v>NA</v>
      </c>
      <c r="DK121" s="14" t="str">
        <f>IF([1]Sheet2!DV120=999999,"NA",[1]Sheet2!DV120)</f>
        <v>NA</v>
      </c>
      <c r="DL121" s="14" t="str">
        <f>IF([1]Sheet2!DW120=999999,"NA",[1]Sheet2!DW120)</f>
        <v>NA</v>
      </c>
      <c r="DM121" s="14">
        <f>IF([1]Sheet2!DX120=999999,"NA",[1]Sheet2!DX120)</f>
        <v>247</v>
      </c>
      <c r="DN121" s="14">
        <f>IF([1]Sheet2!DY120=999999,"NA",[1]Sheet2!DY120)</f>
        <v>247</v>
      </c>
      <c r="DO121" s="14" t="str">
        <f>IF([1]Sheet2!DZ120=999999,"NA",[1]Sheet2!DZ120)</f>
        <v>NA</v>
      </c>
      <c r="DP121" s="14" t="str">
        <f>IF([1]Sheet2!EA120=999999,"NA",[1]Sheet2!EA120)</f>
        <v>NA</v>
      </c>
      <c r="DQ121" s="14">
        <f>[1]Sheet2!CX120</f>
        <v>0</v>
      </c>
      <c r="DR121" s="14">
        <f>[1]Sheet2!CY120</f>
        <v>0</v>
      </c>
      <c r="DS121" s="14">
        <f>[1]Sheet2!CZ120</f>
        <v>0</v>
      </c>
      <c r="DT121" s="14">
        <f>[1]Sheet2!DA120</f>
        <v>0</v>
      </c>
      <c r="DU121" s="14">
        <f>[1]Sheet2!DB120</f>
        <v>0</v>
      </c>
      <c r="DV121" s="14">
        <f>[1]Sheet2!DC120</f>
        <v>0</v>
      </c>
      <c r="DW121" s="14">
        <f>[1]Sheet2!DD120</f>
        <v>0</v>
      </c>
      <c r="DX121" s="14">
        <f>[1]Sheet2!DE120</f>
        <v>0</v>
      </c>
      <c r="DY121" s="14">
        <f>[1]Sheet2!DF120</f>
        <v>0</v>
      </c>
      <c r="DZ121" s="14">
        <f>[1]Sheet2!DG120</f>
        <v>0</v>
      </c>
    </row>
    <row r="122" spans="1:130" x14ac:dyDescent="0.25">
      <c r="A122" s="15">
        <v>43584</v>
      </c>
      <c r="B122" s="1"/>
      <c r="C122" s="1"/>
      <c r="D122" s="1"/>
      <c r="E122" s="14">
        <f>[1]Sheet2!N121</f>
        <v>0</v>
      </c>
      <c r="F122" s="14">
        <f>[1]Sheet2!BE121</f>
        <v>0</v>
      </c>
      <c r="G122" s="14">
        <f>[1]Sheet2!CV121</f>
        <v>346.15384615384608</v>
      </c>
      <c r="H122" s="1"/>
      <c r="I122" s="1"/>
      <c r="J122" s="1"/>
      <c r="K122" s="16">
        <f>Demand_CWRS!B$6/30</f>
        <v>136.96097796474356</v>
      </c>
      <c r="L122" s="16">
        <f>Demand_CWRS!C$6/30</f>
        <v>544.43376068376062</v>
      </c>
      <c r="M122" s="16">
        <f>Demand_CWRS!D$6/30</f>
        <v>0</v>
      </c>
      <c r="N122" s="16">
        <f>Demand_CWRS!E$6/30</f>
        <v>108.97435897435896</v>
      </c>
      <c r="O122" s="16">
        <f>Demand_CWRS!F$6/30</f>
        <v>213.3621347489316</v>
      </c>
      <c r="P122" s="16">
        <f>Demand_CWRS!G$6/30</f>
        <v>133.33333333333334</v>
      </c>
      <c r="Q122" s="16">
        <f>Demand_CWRS!H$6/30</f>
        <v>544.43376068376062</v>
      </c>
      <c r="R122" s="16">
        <f>Demand_CWRS!I$6/30</f>
        <v>213.3621347489316</v>
      </c>
      <c r="S122" s="16">
        <f>Demand_CWRS!J$6/30</f>
        <v>213.3621347489316</v>
      </c>
      <c r="T122" s="16">
        <f>Demand_CWRS!K$6/30</f>
        <v>213.3621347489316</v>
      </c>
      <c r="U122" s="16">
        <f t="shared" si="33"/>
        <v>-18450.872662797155</v>
      </c>
      <c r="V122" s="16">
        <f t="shared" si="34"/>
        <v>-51970.702136752021</v>
      </c>
      <c r="W122" s="16">
        <f t="shared" si="35"/>
        <v>0</v>
      </c>
      <c r="X122" s="16">
        <f t="shared" si="36"/>
        <v>-11639.661165206116</v>
      </c>
      <c r="Y122" s="16">
        <f t="shared" si="37"/>
        <v>-26297.019123923197</v>
      </c>
      <c r="Z122" s="16">
        <f t="shared" si="38"/>
        <v>-18128.727158390117</v>
      </c>
      <c r="AA122" s="16">
        <f t="shared" si="39"/>
        <v>-51470.702136752021</v>
      </c>
      <c r="AB122" s="16">
        <f t="shared" si="40"/>
        <v>-23985.052537384712</v>
      </c>
      <c r="AC122" s="16">
        <f t="shared" si="41"/>
        <v>-23985.052537384701</v>
      </c>
      <c r="AD122" s="16">
        <f t="shared" si="42"/>
        <v>-24685.052537384705</v>
      </c>
      <c r="AE122" s="14">
        <f>IF([1]Sheet2!AJ121=999999,"NA",[1]Sheet2!AJ121)</f>
        <v>8</v>
      </c>
      <c r="AF122" s="14">
        <f>IF([1]Sheet2!AK121=999999,"NA",[1]Sheet2!AK121)</f>
        <v>0</v>
      </c>
      <c r="AG122" s="14" t="str">
        <f>IF([1]Sheet2!AL121=999999,"NA",[1]Sheet2!AL121)</f>
        <v>NA</v>
      </c>
      <c r="AH122" s="14">
        <f>IF([1]Sheet2!AM121=999999,"NA",[1]Sheet2!AM121)</f>
        <v>246</v>
      </c>
      <c r="AI122" s="14">
        <f>IF([1]Sheet2!AN121=999999,"NA",[1]Sheet2!AN121)</f>
        <v>246</v>
      </c>
      <c r="AJ122" s="14">
        <f>IF([1]Sheet2!AO121=999999,"NA",[1]Sheet2!AO121)</f>
        <v>246</v>
      </c>
      <c r="AK122" s="14">
        <f>IF([1]Sheet2!AP121=999999,"NA",[1]Sheet2!AP121)</f>
        <v>0</v>
      </c>
      <c r="AL122" s="14">
        <f>IF([1]Sheet2!AQ121=999999,"NA",[1]Sheet2!AQ121)</f>
        <v>122</v>
      </c>
      <c r="AM122" s="14">
        <f>IF([1]Sheet2!AR121=999999,"NA",[1]Sheet2!AR121)</f>
        <v>246</v>
      </c>
      <c r="AN122" s="14">
        <f>IF([1]Sheet2!AS121=999999,"NA",[1]Sheet2!AS121)</f>
        <v>178</v>
      </c>
      <c r="AO122" s="14">
        <f>[1]Sheet2!P121</f>
        <v>0</v>
      </c>
      <c r="AP122" s="14">
        <f>[1]Sheet2!Q121</f>
        <v>0</v>
      </c>
      <c r="AQ122" s="14">
        <f>[1]Sheet2!R121</f>
        <v>0</v>
      </c>
      <c r="AR122" s="14">
        <f>[1]Sheet2!S121</f>
        <v>0</v>
      </c>
      <c r="AS122" s="14">
        <f>[1]Sheet2!T121</f>
        <v>0</v>
      </c>
      <c r="AT122" s="14">
        <f>[1]Sheet2!U121</f>
        <v>0</v>
      </c>
      <c r="AU122" s="14">
        <f>[1]Sheet2!V121</f>
        <v>0</v>
      </c>
      <c r="AV122" s="14">
        <f>[1]Sheet2!W121</f>
        <v>0</v>
      </c>
      <c r="AW122" s="14">
        <f>[1]Sheet2!X121</f>
        <v>0</v>
      </c>
      <c r="AX122" s="14">
        <f>[1]Sheet2!Y121</f>
        <v>0</v>
      </c>
      <c r="AY122" s="16">
        <f>Demand_LP!B$6/30</f>
        <v>790.61612406517088</v>
      </c>
      <c r="AZ122" s="16">
        <f>Demand_LP!C$6/30</f>
        <v>816.46367521367517</v>
      </c>
      <c r="BA122" s="16">
        <f>Demand_LP!D$6/30</f>
        <v>346.63461538461536</v>
      </c>
      <c r="BB122" s="16">
        <f>Demand_LP!E$6/30</f>
        <v>795.48076923076928</v>
      </c>
      <c r="BC122" s="16">
        <f>Demand_LP!F$6/30</f>
        <v>472.52230168269227</v>
      </c>
      <c r="BD122" s="16">
        <f>Demand_LP!G$6/30</f>
        <v>790.61612406517088</v>
      </c>
      <c r="BE122" s="16">
        <f>Demand_LP!H$6/30</f>
        <v>816.46367521367517</v>
      </c>
      <c r="BF122" s="16">
        <f>Demand_LP!I$6/30</f>
        <v>472.52230168269227</v>
      </c>
      <c r="BG122" s="16">
        <f>Demand_LP!J$6/30</f>
        <v>472.52230168269227</v>
      </c>
      <c r="BH122" s="16">
        <f>Demand_LP!K$6/30</f>
        <v>472.52230168269227</v>
      </c>
      <c r="BI122" s="16" t="e">
        <f t="shared" si="43"/>
        <v>#VALUE!</v>
      </c>
      <c r="BJ122" s="16">
        <f t="shared" si="44"/>
        <v>-74293.990170940044</v>
      </c>
      <c r="BK122" s="16">
        <f t="shared" si="45"/>
        <v>-32826.369230769247</v>
      </c>
      <c r="BL122" s="16">
        <f t="shared" si="46"/>
        <v>-86875.489727361142</v>
      </c>
      <c r="BM122" s="16">
        <f t="shared" si="47"/>
        <v>-54145.462830427474</v>
      </c>
      <c r="BN122" s="16">
        <f t="shared" si="48"/>
        <v>-83326.091104868305</v>
      </c>
      <c r="BO122" s="16">
        <f t="shared" si="49"/>
        <v>-76651.569658119566</v>
      </c>
      <c r="BP122" s="16">
        <f t="shared" si="50"/>
        <v>-53603.14674879807</v>
      </c>
      <c r="BQ122" s="16">
        <f t="shared" si="51"/>
        <v>-50203.146748798092</v>
      </c>
      <c r="BR122" s="16">
        <f t="shared" si="52"/>
        <v>-51403.146748798077</v>
      </c>
      <c r="BS122" s="14">
        <f>IF([1]Sheet2!CA121=999999,"NA",[1]Sheet2!CA121)</f>
        <v>165075.85325120206</v>
      </c>
      <c r="BT122" s="14">
        <f>IF([1]Sheet2!CB121=999999,"NA",[1]Sheet2!CB121)</f>
        <v>168</v>
      </c>
      <c r="BU122" s="14">
        <f>IF([1]Sheet2!CC121=999999,"NA",[1]Sheet2!CC121)</f>
        <v>246</v>
      </c>
      <c r="BV122" s="14">
        <f>IF([1]Sheet2!CD121=999999,"NA",[1]Sheet2!CD121)</f>
        <v>246</v>
      </c>
      <c r="BW122" s="14">
        <f>IF([1]Sheet2!CE121=999999,"NA",[1]Sheet2!CE121)</f>
        <v>208</v>
      </c>
      <c r="BX122" s="14">
        <f>IF([1]Sheet2!CF121=999999,"NA",[1]Sheet2!CF121)</f>
        <v>246</v>
      </c>
      <c r="BY122" s="14">
        <f>IF([1]Sheet2!CG121=999999,"NA",[1]Sheet2!CG121)</f>
        <v>140</v>
      </c>
      <c r="BZ122" s="14">
        <f>IF([1]Sheet2!CH121=999999,"NA",[1]Sheet2!CH121)</f>
        <v>246</v>
      </c>
      <c r="CA122" s="14">
        <f>IF([1]Sheet2!CI121=999999,"NA",[1]Sheet2!CI121)</f>
        <v>246</v>
      </c>
      <c r="CB122" s="14">
        <f>IF([1]Sheet2!CJ121=999999,"NA",[1]Sheet2!CJ121)</f>
        <v>246</v>
      </c>
      <c r="CC122" s="14">
        <f>[1]Sheet2!BG121</f>
        <v>0</v>
      </c>
      <c r="CD122" s="14">
        <f>[1]Sheet2!BH121</f>
        <v>0</v>
      </c>
      <c r="CE122" s="14">
        <f>[1]Sheet2!BI121</f>
        <v>0</v>
      </c>
      <c r="CF122" s="14">
        <f>[1]Sheet2!BJ121</f>
        <v>0</v>
      </c>
      <c r="CG122" s="14">
        <f>[1]Sheet2!BK121</f>
        <v>0</v>
      </c>
      <c r="CH122" s="14">
        <f>[1]Sheet2!BL121</f>
        <v>0</v>
      </c>
      <c r="CI122" s="14">
        <f>[1]Sheet2!BM121</f>
        <v>0</v>
      </c>
      <c r="CJ122" s="14">
        <f>[1]Sheet2!BN121</f>
        <v>0</v>
      </c>
      <c r="CK122" s="14">
        <f>[1]Sheet2!BO121</f>
        <v>0</v>
      </c>
      <c r="CL122" s="14">
        <f>[1]Sheet2!BP121</f>
        <v>0</v>
      </c>
      <c r="CM122" s="16">
        <f>Demand_SW!B$6/30</f>
        <v>173.07692307692304</v>
      </c>
      <c r="CN122" s="16">
        <f>Demand_SW!C$6/30</f>
        <v>0</v>
      </c>
      <c r="CO122" s="16">
        <f>Demand_SW!D$6/30</f>
        <v>0</v>
      </c>
      <c r="CP122" s="16">
        <f>Demand_SW!E$6/30</f>
        <v>0</v>
      </c>
      <c r="CQ122" s="16">
        <f>Demand_SW!F$6/30</f>
        <v>0</v>
      </c>
      <c r="CR122" s="16">
        <f>Demand_SW!G$6/30</f>
        <v>173.07692307692304</v>
      </c>
      <c r="CS122" s="16">
        <f>Demand_SW!H$6/30</f>
        <v>0</v>
      </c>
      <c r="CT122" s="16">
        <f>Demand_SW!I$6/30</f>
        <v>0</v>
      </c>
      <c r="CU122" s="16">
        <f>Demand_SW!J$6/30</f>
        <v>0</v>
      </c>
      <c r="CV122" s="16">
        <f>Demand_SW!K$6/30</f>
        <v>0</v>
      </c>
      <c r="CW122" s="16">
        <f t="shared" si="53"/>
        <v>34709.999999999993</v>
      </c>
      <c r="CX122" s="16">
        <f t="shared" si="54"/>
        <v>-423.07692307692292</v>
      </c>
      <c r="CY122" s="16">
        <f t="shared" si="55"/>
        <v>0</v>
      </c>
      <c r="CZ122" s="16">
        <f t="shared" si="56"/>
        <v>0</v>
      </c>
      <c r="DA122" s="16">
        <f t="shared" si="57"/>
        <v>0</v>
      </c>
      <c r="DB122" s="16">
        <f t="shared" si="58"/>
        <v>-14819.23076923078</v>
      </c>
      <c r="DC122" s="16">
        <f t="shared" si="59"/>
        <v>-423.07692307692292</v>
      </c>
      <c r="DD122" s="16">
        <f t="shared" si="60"/>
        <v>0</v>
      </c>
      <c r="DE122" s="16">
        <f t="shared" si="61"/>
        <v>0</v>
      </c>
      <c r="DF122" s="16">
        <f t="shared" si="62"/>
        <v>0</v>
      </c>
      <c r="DG122" s="14">
        <f>IF([1]Sheet2!DR121=999999,"NA",[1]Sheet2!DR121)</f>
        <v>73103</v>
      </c>
      <c r="DH122" s="14">
        <f>IF([1]Sheet2!DS121=999999,"NA",[1]Sheet2!DS121)</f>
        <v>246</v>
      </c>
      <c r="DI122" s="14">
        <f>IF([1]Sheet2!DT121=999999,"NA",[1]Sheet2!DT121)</f>
        <v>246</v>
      </c>
      <c r="DJ122" s="14" t="str">
        <f>IF([1]Sheet2!DU121=999999,"NA",[1]Sheet2!DU121)</f>
        <v>NA</v>
      </c>
      <c r="DK122" s="14" t="str">
        <f>IF([1]Sheet2!DV121=999999,"NA",[1]Sheet2!DV121)</f>
        <v>NA</v>
      </c>
      <c r="DL122" s="14" t="str">
        <f>IF([1]Sheet2!DW121=999999,"NA",[1]Sheet2!DW121)</f>
        <v>NA</v>
      </c>
      <c r="DM122" s="14">
        <f>IF([1]Sheet2!DX121=999999,"NA",[1]Sheet2!DX121)</f>
        <v>246</v>
      </c>
      <c r="DN122" s="14">
        <f>IF([1]Sheet2!DY121=999999,"NA",[1]Sheet2!DY121)</f>
        <v>246</v>
      </c>
      <c r="DO122" s="14" t="str">
        <f>IF([1]Sheet2!DZ121=999999,"NA",[1]Sheet2!DZ121)</f>
        <v>NA</v>
      </c>
      <c r="DP122" s="14" t="str">
        <f>IF([1]Sheet2!EA121=999999,"NA",[1]Sheet2!EA121)</f>
        <v>NA</v>
      </c>
      <c r="DQ122" s="14">
        <f>[1]Sheet2!CX121</f>
        <v>0</v>
      </c>
      <c r="DR122" s="14">
        <f>[1]Sheet2!CY121</f>
        <v>0</v>
      </c>
      <c r="DS122" s="14">
        <f>[1]Sheet2!CZ121</f>
        <v>0</v>
      </c>
      <c r="DT122" s="14">
        <f>[1]Sheet2!DA121</f>
        <v>0</v>
      </c>
      <c r="DU122" s="14">
        <f>[1]Sheet2!DB121</f>
        <v>0</v>
      </c>
      <c r="DV122" s="14">
        <f>[1]Sheet2!DC121</f>
        <v>0</v>
      </c>
      <c r="DW122" s="14">
        <f>[1]Sheet2!DD121</f>
        <v>0</v>
      </c>
      <c r="DX122" s="14">
        <f>[1]Sheet2!DE121</f>
        <v>0</v>
      </c>
      <c r="DY122" s="14">
        <f>[1]Sheet2!DF121</f>
        <v>0</v>
      </c>
      <c r="DZ122" s="14">
        <f>[1]Sheet2!DG121</f>
        <v>0</v>
      </c>
    </row>
    <row r="123" spans="1:130" x14ac:dyDescent="0.25">
      <c r="A123" s="15">
        <v>43585</v>
      </c>
      <c r="B123" s="1"/>
      <c r="C123" s="1"/>
      <c r="D123" s="1"/>
      <c r="E123" s="14">
        <f>[1]Sheet2!N122</f>
        <v>0</v>
      </c>
      <c r="F123" s="14">
        <f>[1]Sheet2!BE122</f>
        <v>0</v>
      </c>
      <c r="G123" s="14">
        <f>[1]Sheet2!CV122</f>
        <v>346.15384615384608</v>
      </c>
      <c r="H123" s="1"/>
      <c r="I123" s="1"/>
      <c r="J123" s="1"/>
      <c r="K123" s="16">
        <f>Demand_CWRS!B$6/30</f>
        <v>136.96097796474356</v>
      </c>
      <c r="L123" s="16">
        <f>Demand_CWRS!C$6/30</f>
        <v>544.43376068376062</v>
      </c>
      <c r="M123" s="16">
        <f>Demand_CWRS!D$6/30</f>
        <v>0</v>
      </c>
      <c r="N123" s="16">
        <f>Demand_CWRS!E$6/30</f>
        <v>108.97435897435896</v>
      </c>
      <c r="O123" s="16">
        <f>Demand_CWRS!F$6/30</f>
        <v>213.3621347489316</v>
      </c>
      <c r="P123" s="16">
        <f>Demand_CWRS!G$6/30</f>
        <v>133.33333333333334</v>
      </c>
      <c r="Q123" s="16">
        <f>Demand_CWRS!H$6/30</f>
        <v>544.43376068376062</v>
      </c>
      <c r="R123" s="16">
        <f>Demand_CWRS!I$6/30</f>
        <v>213.3621347489316</v>
      </c>
      <c r="S123" s="16">
        <f>Demand_CWRS!J$6/30</f>
        <v>213.3621347489316</v>
      </c>
      <c r="T123" s="16">
        <f>Demand_CWRS!K$6/30</f>
        <v>213.3621347489316</v>
      </c>
      <c r="U123" s="16">
        <f t="shared" si="33"/>
        <v>-18587.833640761899</v>
      </c>
      <c r="V123" s="16">
        <f t="shared" si="34"/>
        <v>-52515.135897435779</v>
      </c>
      <c r="W123" s="16">
        <f t="shared" si="35"/>
        <v>0</v>
      </c>
      <c r="X123" s="16">
        <f t="shared" si="36"/>
        <v>-11748.635524180476</v>
      </c>
      <c r="Y123" s="16">
        <f t="shared" si="37"/>
        <v>-26510.381258672129</v>
      </c>
      <c r="Z123" s="16">
        <f t="shared" si="38"/>
        <v>-18262.060491723449</v>
      </c>
      <c r="AA123" s="16">
        <f t="shared" si="39"/>
        <v>-52015.135897435779</v>
      </c>
      <c r="AB123" s="16">
        <f t="shared" si="40"/>
        <v>-24198.414672133644</v>
      </c>
      <c r="AC123" s="16">
        <f t="shared" si="41"/>
        <v>-24198.414672133633</v>
      </c>
      <c r="AD123" s="16">
        <f t="shared" si="42"/>
        <v>-24898.414672133636</v>
      </c>
      <c r="AE123" s="14">
        <f>IF([1]Sheet2!AJ122=999999,"NA",[1]Sheet2!AJ122)</f>
        <v>7</v>
      </c>
      <c r="AF123" s="14">
        <f>IF([1]Sheet2!AK122=999999,"NA",[1]Sheet2!AK122)</f>
        <v>0</v>
      </c>
      <c r="AG123" s="14" t="str">
        <f>IF([1]Sheet2!AL122=999999,"NA",[1]Sheet2!AL122)</f>
        <v>NA</v>
      </c>
      <c r="AH123" s="14">
        <f>IF([1]Sheet2!AM122=999999,"NA",[1]Sheet2!AM122)</f>
        <v>245</v>
      </c>
      <c r="AI123" s="14">
        <f>IF([1]Sheet2!AN122=999999,"NA",[1]Sheet2!AN122)</f>
        <v>245</v>
      </c>
      <c r="AJ123" s="14">
        <f>IF([1]Sheet2!AO122=999999,"NA",[1]Sheet2!AO122)</f>
        <v>245</v>
      </c>
      <c r="AK123" s="14">
        <f>IF([1]Sheet2!AP122=999999,"NA",[1]Sheet2!AP122)</f>
        <v>0</v>
      </c>
      <c r="AL123" s="14">
        <f>IF([1]Sheet2!AQ122=999999,"NA",[1]Sheet2!AQ122)</f>
        <v>121</v>
      </c>
      <c r="AM123" s="14">
        <f>IF([1]Sheet2!AR122=999999,"NA",[1]Sheet2!AR122)</f>
        <v>245</v>
      </c>
      <c r="AN123" s="14">
        <f>IF([1]Sheet2!AS122=999999,"NA",[1]Sheet2!AS122)</f>
        <v>177</v>
      </c>
      <c r="AO123" s="14">
        <f>[1]Sheet2!P122</f>
        <v>0</v>
      </c>
      <c r="AP123" s="14">
        <f>[1]Sheet2!Q122</f>
        <v>0</v>
      </c>
      <c r="AQ123" s="14">
        <f>[1]Sheet2!R122</f>
        <v>0</v>
      </c>
      <c r="AR123" s="14">
        <f>[1]Sheet2!S122</f>
        <v>0</v>
      </c>
      <c r="AS123" s="14">
        <f>[1]Sheet2!T122</f>
        <v>0</v>
      </c>
      <c r="AT123" s="14">
        <f>[1]Sheet2!U122</f>
        <v>0</v>
      </c>
      <c r="AU123" s="14">
        <f>[1]Sheet2!V122</f>
        <v>0</v>
      </c>
      <c r="AV123" s="14">
        <f>[1]Sheet2!W122</f>
        <v>0</v>
      </c>
      <c r="AW123" s="14">
        <f>[1]Sheet2!X122</f>
        <v>0</v>
      </c>
      <c r="AX123" s="14">
        <f>[1]Sheet2!Y122</f>
        <v>0</v>
      </c>
      <c r="AY123" s="16">
        <f>Demand_LP!B$6/30</f>
        <v>790.61612406517088</v>
      </c>
      <c r="AZ123" s="16">
        <f>Demand_LP!C$6/30</f>
        <v>816.46367521367517</v>
      </c>
      <c r="BA123" s="16">
        <f>Demand_LP!D$6/30</f>
        <v>346.63461538461536</v>
      </c>
      <c r="BB123" s="16">
        <f>Demand_LP!E$6/30</f>
        <v>795.48076923076928</v>
      </c>
      <c r="BC123" s="16">
        <f>Demand_LP!F$6/30</f>
        <v>472.52230168269227</v>
      </c>
      <c r="BD123" s="16">
        <f>Demand_LP!G$6/30</f>
        <v>790.61612406517088</v>
      </c>
      <c r="BE123" s="16">
        <f>Demand_LP!H$6/30</f>
        <v>816.46367521367517</v>
      </c>
      <c r="BF123" s="16">
        <f>Demand_LP!I$6/30</f>
        <v>472.52230168269227</v>
      </c>
      <c r="BG123" s="16">
        <f>Demand_LP!J$6/30</f>
        <v>472.52230168269227</v>
      </c>
      <c r="BH123" s="16">
        <f>Demand_LP!K$6/30</f>
        <v>472.52230168269227</v>
      </c>
      <c r="BI123" s="16" t="e">
        <f t="shared" si="43"/>
        <v>#VALUE!</v>
      </c>
      <c r="BJ123" s="16">
        <f t="shared" si="44"/>
        <v>-75110.453846153716</v>
      </c>
      <c r="BK123" s="16">
        <f t="shared" si="45"/>
        <v>-33173.003846153864</v>
      </c>
      <c r="BL123" s="16">
        <f t="shared" si="46"/>
        <v>-87670.970496591908</v>
      </c>
      <c r="BM123" s="16">
        <f t="shared" si="47"/>
        <v>-54617.985132110167</v>
      </c>
      <c r="BN123" s="16">
        <f t="shared" si="48"/>
        <v>-84116.707228933476</v>
      </c>
      <c r="BO123" s="16">
        <f t="shared" si="49"/>
        <v>-77468.033333333238</v>
      </c>
      <c r="BP123" s="16">
        <f t="shared" si="50"/>
        <v>-54075.669050480763</v>
      </c>
      <c r="BQ123" s="16">
        <f t="shared" si="51"/>
        <v>-50675.669050480785</v>
      </c>
      <c r="BR123" s="16">
        <f t="shared" si="52"/>
        <v>-51875.66905048077</v>
      </c>
      <c r="BS123" s="14">
        <f>IF([1]Sheet2!CA122=999999,"NA",[1]Sheet2!CA122)</f>
        <v>164603.33094951938</v>
      </c>
      <c r="BT123" s="14">
        <f>IF([1]Sheet2!CB122=999999,"NA",[1]Sheet2!CB122)</f>
        <v>167</v>
      </c>
      <c r="BU123" s="14">
        <f>IF([1]Sheet2!CC122=999999,"NA",[1]Sheet2!CC122)</f>
        <v>245</v>
      </c>
      <c r="BV123" s="14">
        <f>IF([1]Sheet2!CD122=999999,"NA",[1]Sheet2!CD122)</f>
        <v>245</v>
      </c>
      <c r="BW123" s="14">
        <f>IF([1]Sheet2!CE122=999999,"NA",[1]Sheet2!CE122)</f>
        <v>207</v>
      </c>
      <c r="BX123" s="14">
        <f>IF([1]Sheet2!CF122=999999,"NA",[1]Sheet2!CF122)</f>
        <v>245</v>
      </c>
      <c r="BY123" s="14">
        <f>IF([1]Sheet2!CG122=999999,"NA",[1]Sheet2!CG122)</f>
        <v>139</v>
      </c>
      <c r="BZ123" s="14">
        <f>IF([1]Sheet2!CH122=999999,"NA",[1]Sheet2!CH122)</f>
        <v>245</v>
      </c>
      <c r="CA123" s="14">
        <f>IF([1]Sheet2!CI122=999999,"NA",[1]Sheet2!CI122)</f>
        <v>245</v>
      </c>
      <c r="CB123" s="14">
        <f>IF([1]Sheet2!CJ122=999999,"NA",[1]Sheet2!CJ122)</f>
        <v>245</v>
      </c>
      <c r="CC123" s="14">
        <f>[1]Sheet2!BG122</f>
        <v>0</v>
      </c>
      <c r="CD123" s="14">
        <f>[1]Sheet2!BH122</f>
        <v>0</v>
      </c>
      <c r="CE123" s="14">
        <f>[1]Sheet2!BI122</f>
        <v>0</v>
      </c>
      <c r="CF123" s="14">
        <f>[1]Sheet2!BJ122</f>
        <v>0</v>
      </c>
      <c r="CG123" s="14">
        <f>[1]Sheet2!BK122</f>
        <v>0</v>
      </c>
      <c r="CH123" s="14">
        <f>[1]Sheet2!BL122</f>
        <v>0</v>
      </c>
      <c r="CI123" s="14">
        <f>[1]Sheet2!BM122</f>
        <v>0</v>
      </c>
      <c r="CJ123" s="14">
        <f>[1]Sheet2!BN122</f>
        <v>0</v>
      </c>
      <c r="CK123" s="14">
        <f>[1]Sheet2!BO122</f>
        <v>0</v>
      </c>
      <c r="CL123" s="14">
        <f>[1]Sheet2!BP122</f>
        <v>0</v>
      </c>
      <c r="CM123" s="16">
        <f>Demand_SW!B$6/30</f>
        <v>173.07692307692304</v>
      </c>
      <c r="CN123" s="16">
        <f>Demand_SW!C$6/30</f>
        <v>0</v>
      </c>
      <c r="CO123" s="16">
        <f>Demand_SW!D$6/30</f>
        <v>0</v>
      </c>
      <c r="CP123" s="16">
        <f>Demand_SW!E$6/30</f>
        <v>0</v>
      </c>
      <c r="CQ123" s="16">
        <f>Demand_SW!F$6/30</f>
        <v>0</v>
      </c>
      <c r="CR123" s="16">
        <f>Demand_SW!G$6/30</f>
        <v>173.07692307692304</v>
      </c>
      <c r="CS123" s="16">
        <f>Demand_SW!H$6/30</f>
        <v>0</v>
      </c>
      <c r="CT123" s="16">
        <f>Demand_SW!I$6/30</f>
        <v>0</v>
      </c>
      <c r="CU123" s="16">
        <f>Demand_SW!J$6/30</f>
        <v>0</v>
      </c>
      <c r="CV123" s="16">
        <f>Demand_SW!K$6/30</f>
        <v>0</v>
      </c>
      <c r="CW123" s="16">
        <f t="shared" si="53"/>
        <v>34536.923076923071</v>
      </c>
      <c r="CX123" s="16">
        <f t="shared" si="54"/>
        <v>-423.07692307692292</v>
      </c>
      <c r="CY123" s="16">
        <f t="shared" si="55"/>
        <v>0</v>
      </c>
      <c r="CZ123" s="16">
        <f t="shared" si="56"/>
        <v>0</v>
      </c>
      <c r="DA123" s="16">
        <f t="shared" si="57"/>
        <v>0</v>
      </c>
      <c r="DB123" s="16">
        <f t="shared" si="58"/>
        <v>-14992.307692307704</v>
      </c>
      <c r="DC123" s="16">
        <f t="shared" si="59"/>
        <v>-423.07692307692292</v>
      </c>
      <c r="DD123" s="16">
        <f t="shared" si="60"/>
        <v>0</v>
      </c>
      <c r="DE123" s="16">
        <f t="shared" si="61"/>
        <v>0</v>
      </c>
      <c r="DF123" s="16">
        <f t="shared" si="62"/>
        <v>0</v>
      </c>
      <c r="DG123" s="14">
        <f>IF([1]Sheet2!DR122=999999,"NA",[1]Sheet2!DR122)</f>
        <v>73103</v>
      </c>
      <c r="DH123" s="14">
        <f>IF([1]Sheet2!DS122=999999,"NA",[1]Sheet2!DS122)</f>
        <v>245</v>
      </c>
      <c r="DI123" s="14">
        <f>IF([1]Sheet2!DT122=999999,"NA",[1]Sheet2!DT122)</f>
        <v>245</v>
      </c>
      <c r="DJ123" s="14" t="str">
        <f>IF([1]Sheet2!DU122=999999,"NA",[1]Sheet2!DU122)</f>
        <v>NA</v>
      </c>
      <c r="DK123" s="14" t="str">
        <f>IF([1]Sheet2!DV122=999999,"NA",[1]Sheet2!DV122)</f>
        <v>NA</v>
      </c>
      <c r="DL123" s="14" t="str">
        <f>IF([1]Sheet2!DW122=999999,"NA",[1]Sheet2!DW122)</f>
        <v>NA</v>
      </c>
      <c r="DM123" s="14">
        <f>IF([1]Sheet2!DX122=999999,"NA",[1]Sheet2!DX122)</f>
        <v>245</v>
      </c>
      <c r="DN123" s="14">
        <f>IF([1]Sheet2!DY122=999999,"NA",[1]Sheet2!DY122)</f>
        <v>245</v>
      </c>
      <c r="DO123" s="14" t="str">
        <f>IF([1]Sheet2!DZ122=999999,"NA",[1]Sheet2!DZ122)</f>
        <v>NA</v>
      </c>
      <c r="DP123" s="14" t="str">
        <f>IF([1]Sheet2!EA122=999999,"NA",[1]Sheet2!EA122)</f>
        <v>NA</v>
      </c>
      <c r="DQ123" s="14">
        <f>[1]Sheet2!CX122</f>
        <v>0</v>
      </c>
      <c r="DR123" s="14">
        <f>[1]Sheet2!CY122</f>
        <v>0</v>
      </c>
      <c r="DS123" s="14">
        <f>[1]Sheet2!CZ122</f>
        <v>0</v>
      </c>
      <c r="DT123" s="14">
        <f>[1]Sheet2!DA122</f>
        <v>0</v>
      </c>
      <c r="DU123" s="14">
        <f>[1]Sheet2!DB122</f>
        <v>0</v>
      </c>
      <c r="DV123" s="14">
        <f>[1]Sheet2!DC122</f>
        <v>0</v>
      </c>
      <c r="DW123" s="14">
        <f>[1]Sheet2!DD122</f>
        <v>0</v>
      </c>
      <c r="DX123" s="14">
        <f>[1]Sheet2!DE122</f>
        <v>0</v>
      </c>
      <c r="DY123" s="14">
        <f>[1]Sheet2!DF122</f>
        <v>0</v>
      </c>
      <c r="DZ123" s="14">
        <f>[1]Sheet2!DG122</f>
        <v>0</v>
      </c>
    </row>
    <row r="124" spans="1:130" x14ac:dyDescent="0.25">
      <c r="A124" s="15">
        <v>43586</v>
      </c>
      <c r="B124" s="1"/>
      <c r="C124" s="1"/>
      <c r="D124" s="1"/>
      <c r="E124" s="14">
        <f>[1]Sheet2!N123</f>
        <v>0</v>
      </c>
      <c r="F124" s="14">
        <f>[1]Sheet2!BE123</f>
        <v>0</v>
      </c>
      <c r="G124" s="14">
        <f>[1]Sheet2!CV123</f>
        <v>245.6575682382134</v>
      </c>
      <c r="H124" s="1"/>
      <c r="I124" s="1"/>
      <c r="J124" s="1"/>
      <c r="K124" s="16">
        <f>Demand_CWRS!B$7/31</f>
        <v>129.8994219137717</v>
      </c>
      <c r="L124" s="16">
        <f>Demand_CWRS!C$7/31</f>
        <v>543.3829611248965</v>
      </c>
      <c r="M124" s="16">
        <f>Demand_CWRS!D$7/31</f>
        <v>0</v>
      </c>
      <c r="N124" s="16">
        <f>Demand_CWRS!E$7/31</f>
        <v>131.84491315136475</v>
      </c>
      <c r="O124" s="16">
        <f>Demand_CWRS!F$7/31</f>
        <v>232.12592522229113</v>
      </c>
      <c r="P124" s="16">
        <f>Demand_CWRS!G$7/31</f>
        <v>129.8994219137717</v>
      </c>
      <c r="Q124" s="16">
        <f>Demand_CWRS!H$7/31</f>
        <v>543.3829611248965</v>
      </c>
      <c r="R124" s="16">
        <f>Demand_CWRS!I$7/31</f>
        <v>232.12592522229113</v>
      </c>
      <c r="S124" s="16">
        <f>Demand_CWRS!J$7/31</f>
        <v>232.12592522229113</v>
      </c>
      <c r="T124" s="16">
        <f>Demand_CWRS!K$7/31</f>
        <v>232.12592522229113</v>
      </c>
      <c r="U124" s="16">
        <f t="shared" si="33"/>
        <v>-18717.73306267567</v>
      </c>
      <c r="V124" s="16">
        <f t="shared" si="34"/>
        <v>-53058.518858560674</v>
      </c>
      <c r="W124" s="16">
        <f t="shared" si="35"/>
        <v>0</v>
      </c>
      <c r="X124" s="16">
        <f t="shared" si="36"/>
        <v>-11880.48043733184</v>
      </c>
      <c r="Y124" s="16">
        <f t="shared" si="37"/>
        <v>-26742.50718389442</v>
      </c>
      <c r="Z124" s="16">
        <f t="shared" si="38"/>
        <v>-18391.95991363722</v>
      </c>
      <c r="AA124" s="16">
        <f t="shared" si="39"/>
        <v>-52558.518858560674</v>
      </c>
      <c r="AB124" s="16">
        <f t="shared" si="40"/>
        <v>-24430.540597355935</v>
      </c>
      <c r="AC124" s="16">
        <f t="shared" si="41"/>
        <v>-24430.540597355925</v>
      </c>
      <c r="AD124" s="16">
        <f t="shared" si="42"/>
        <v>-25130.540597355928</v>
      </c>
      <c r="AE124" s="14">
        <f>IF([1]Sheet2!AJ123=999999,"NA",[1]Sheet2!AJ123)</f>
        <v>6</v>
      </c>
      <c r="AF124" s="14">
        <f>IF([1]Sheet2!AK123=999999,"NA",[1]Sheet2!AK123)</f>
        <v>0</v>
      </c>
      <c r="AG124" s="14" t="str">
        <f>IF([1]Sheet2!AL123=999999,"NA",[1]Sheet2!AL123)</f>
        <v>NA</v>
      </c>
      <c r="AH124" s="14">
        <f>IF([1]Sheet2!AM123=999999,"NA",[1]Sheet2!AM123)</f>
        <v>244</v>
      </c>
      <c r="AI124" s="14">
        <f>IF([1]Sheet2!AN123=999999,"NA",[1]Sheet2!AN123)</f>
        <v>244</v>
      </c>
      <c r="AJ124" s="14">
        <f>IF([1]Sheet2!AO123=999999,"NA",[1]Sheet2!AO123)</f>
        <v>244</v>
      </c>
      <c r="AK124" s="14">
        <f>IF([1]Sheet2!AP123=999999,"NA",[1]Sheet2!AP123)</f>
        <v>0</v>
      </c>
      <c r="AL124" s="14">
        <f>IF([1]Sheet2!AQ123=999999,"NA",[1]Sheet2!AQ123)</f>
        <v>120</v>
      </c>
      <c r="AM124" s="14">
        <f>IF([1]Sheet2!AR123=999999,"NA",[1]Sheet2!AR123)</f>
        <v>244</v>
      </c>
      <c r="AN124" s="14">
        <f>IF([1]Sheet2!AS123=999999,"NA",[1]Sheet2!AS123)</f>
        <v>176</v>
      </c>
      <c r="AO124" s="14">
        <f>[1]Sheet2!P123</f>
        <v>0</v>
      </c>
      <c r="AP124" s="14">
        <f>[1]Sheet2!Q123</f>
        <v>0</v>
      </c>
      <c r="AQ124" s="14">
        <f>[1]Sheet2!R123</f>
        <v>0</v>
      </c>
      <c r="AR124" s="14">
        <f>[1]Sheet2!S123</f>
        <v>0</v>
      </c>
      <c r="AS124" s="14">
        <f>[1]Sheet2!T123</f>
        <v>0</v>
      </c>
      <c r="AT124" s="14">
        <f>[1]Sheet2!U123</f>
        <v>0</v>
      </c>
      <c r="AU124" s="14">
        <f>[1]Sheet2!V123</f>
        <v>0</v>
      </c>
      <c r="AV124" s="14">
        <f>[1]Sheet2!W123</f>
        <v>0</v>
      </c>
      <c r="AW124" s="14">
        <f>[1]Sheet2!X123</f>
        <v>0</v>
      </c>
      <c r="AX124" s="14">
        <f>[1]Sheet2!Y123</f>
        <v>0</v>
      </c>
      <c r="AY124" s="16">
        <f>Demand_LP!B$7/31</f>
        <v>855.82964911600493</v>
      </c>
      <c r="AZ124" s="16">
        <f>Demand_LP!C$7/31</f>
        <v>478.74276261373035</v>
      </c>
      <c r="BA124" s="16">
        <f>Demand_LP!D$7/31</f>
        <v>366.03598014888337</v>
      </c>
      <c r="BB124" s="16">
        <f>Demand_LP!E$7/31</f>
        <v>837.96277915632766</v>
      </c>
      <c r="BC124" s="16">
        <f>Demand_LP!F$7/31</f>
        <v>447.19049589019846</v>
      </c>
      <c r="BD124" s="16">
        <f>Demand_LP!G$7/31</f>
        <v>855.82964911600493</v>
      </c>
      <c r="BE124" s="16">
        <f>Demand_LP!H$7/31</f>
        <v>478.74276261373035</v>
      </c>
      <c r="BF124" s="16">
        <f>Demand_LP!I$7/31</f>
        <v>447.19049589019846</v>
      </c>
      <c r="BG124" s="16">
        <f>Demand_LP!J$7/31</f>
        <v>447.19049589019846</v>
      </c>
      <c r="BH124" s="16">
        <f>Demand_LP!K$7/31</f>
        <v>447.19049589019846</v>
      </c>
      <c r="BI124" s="16" t="e">
        <f t="shared" si="43"/>
        <v>#VALUE!</v>
      </c>
      <c r="BJ124" s="16">
        <f t="shared" si="44"/>
        <v>-75589.196608767452</v>
      </c>
      <c r="BK124" s="16">
        <f t="shared" si="45"/>
        <v>-33539.039826302745</v>
      </c>
      <c r="BL124" s="16">
        <f t="shared" si="46"/>
        <v>-88508.933275748233</v>
      </c>
      <c r="BM124" s="16">
        <f t="shared" si="47"/>
        <v>-55065.175628000368</v>
      </c>
      <c r="BN124" s="16">
        <f t="shared" si="48"/>
        <v>-84972.536878049475</v>
      </c>
      <c r="BO124" s="16">
        <f t="shared" si="49"/>
        <v>-77946.776095946974</v>
      </c>
      <c r="BP124" s="16">
        <f t="shared" si="50"/>
        <v>-54522.859546370964</v>
      </c>
      <c r="BQ124" s="16">
        <f t="shared" si="51"/>
        <v>-51122.859546370986</v>
      </c>
      <c r="BR124" s="16">
        <f t="shared" si="52"/>
        <v>-52322.859546370972</v>
      </c>
      <c r="BS124" s="14">
        <f>IF([1]Sheet2!CA123=999999,"NA",[1]Sheet2!CA123)</f>
        <v>164156.1404536292</v>
      </c>
      <c r="BT124" s="14">
        <f>IF([1]Sheet2!CB123=999999,"NA",[1]Sheet2!CB123)</f>
        <v>166</v>
      </c>
      <c r="BU124" s="14">
        <f>IF([1]Sheet2!CC123=999999,"NA",[1]Sheet2!CC123)</f>
        <v>244</v>
      </c>
      <c r="BV124" s="14">
        <f>IF([1]Sheet2!CD123=999999,"NA",[1]Sheet2!CD123)</f>
        <v>244</v>
      </c>
      <c r="BW124" s="14">
        <f>IF([1]Sheet2!CE123=999999,"NA",[1]Sheet2!CE123)</f>
        <v>206</v>
      </c>
      <c r="BX124" s="14">
        <f>IF([1]Sheet2!CF123=999999,"NA",[1]Sheet2!CF123)</f>
        <v>244</v>
      </c>
      <c r="BY124" s="14">
        <f>IF([1]Sheet2!CG123=999999,"NA",[1]Sheet2!CG123)</f>
        <v>138</v>
      </c>
      <c r="BZ124" s="14">
        <f>IF([1]Sheet2!CH123=999999,"NA",[1]Sheet2!CH123)</f>
        <v>244</v>
      </c>
      <c r="CA124" s="14">
        <f>IF([1]Sheet2!CI123=999999,"NA",[1]Sheet2!CI123)</f>
        <v>244</v>
      </c>
      <c r="CB124" s="14">
        <f>IF([1]Sheet2!CJ123=999999,"NA",[1]Sheet2!CJ123)</f>
        <v>244</v>
      </c>
      <c r="CC124" s="14">
        <f>[1]Sheet2!BG123</f>
        <v>0</v>
      </c>
      <c r="CD124" s="14">
        <f>[1]Sheet2!BH123</f>
        <v>0</v>
      </c>
      <c r="CE124" s="14">
        <f>[1]Sheet2!BI123</f>
        <v>0</v>
      </c>
      <c r="CF124" s="14">
        <f>[1]Sheet2!BJ123</f>
        <v>0</v>
      </c>
      <c r="CG124" s="14">
        <f>[1]Sheet2!BK123</f>
        <v>0</v>
      </c>
      <c r="CH124" s="14">
        <f>[1]Sheet2!BL123</f>
        <v>0</v>
      </c>
      <c r="CI124" s="14">
        <f>[1]Sheet2!BM123</f>
        <v>0</v>
      </c>
      <c r="CJ124" s="14">
        <f>[1]Sheet2!BN123</f>
        <v>0</v>
      </c>
      <c r="CK124" s="14">
        <f>[1]Sheet2!BO123</f>
        <v>0</v>
      </c>
      <c r="CL124" s="14">
        <f>[1]Sheet2!BP123</f>
        <v>0</v>
      </c>
      <c r="CM124" s="16">
        <f>Demand_SW!B$7/31</f>
        <v>122.8287841191067</v>
      </c>
      <c r="CN124" s="16">
        <f>Demand_SW!C$7/31</f>
        <v>0</v>
      </c>
      <c r="CO124" s="16">
        <f>Demand_SW!D$7/31</f>
        <v>0</v>
      </c>
      <c r="CP124" s="16">
        <f>Demand_SW!E$7/31</f>
        <v>0</v>
      </c>
      <c r="CQ124" s="16">
        <f>Demand_SW!F$7/31</f>
        <v>0</v>
      </c>
      <c r="CR124" s="16">
        <f>Demand_SW!G$7/31</f>
        <v>122.8287841191067</v>
      </c>
      <c r="CS124" s="16">
        <f>Demand_SW!H$7/31</f>
        <v>0</v>
      </c>
      <c r="CT124" s="16">
        <f>Demand_SW!I$7/31</f>
        <v>0</v>
      </c>
      <c r="CU124" s="16">
        <f>Demand_SW!J$7/31</f>
        <v>0</v>
      </c>
      <c r="CV124" s="16">
        <f>Demand_SW!K$7/31</f>
        <v>0</v>
      </c>
      <c r="CW124" s="16">
        <f t="shared" si="53"/>
        <v>34414.094292803966</v>
      </c>
      <c r="CX124" s="16">
        <f t="shared" si="54"/>
        <v>-423.07692307692292</v>
      </c>
      <c r="CY124" s="16">
        <f t="shared" si="55"/>
        <v>0</v>
      </c>
      <c r="CZ124" s="16">
        <f t="shared" si="56"/>
        <v>0</v>
      </c>
      <c r="DA124" s="16">
        <f t="shared" si="57"/>
        <v>0</v>
      </c>
      <c r="DB124" s="16">
        <f t="shared" si="58"/>
        <v>-15115.136476426811</v>
      </c>
      <c r="DC124" s="16">
        <f t="shared" si="59"/>
        <v>-423.07692307692292</v>
      </c>
      <c r="DD124" s="16">
        <f t="shared" si="60"/>
        <v>0</v>
      </c>
      <c r="DE124" s="16">
        <f t="shared" si="61"/>
        <v>0</v>
      </c>
      <c r="DF124" s="16">
        <f t="shared" si="62"/>
        <v>0</v>
      </c>
      <c r="DG124" s="14">
        <f>IF([1]Sheet2!DR123=999999,"NA",[1]Sheet2!DR123)</f>
        <v>73103</v>
      </c>
      <c r="DH124" s="14">
        <f>IF([1]Sheet2!DS123=999999,"NA",[1]Sheet2!DS123)</f>
        <v>244</v>
      </c>
      <c r="DI124" s="14">
        <f>IF([1]Sheet2!DT123=999999,"NA",[1]Sheet2!DT123)</f>
        <v>244</v>
      </c>
      <c r="DJ124" s="14" t="str">
        <f>IF([1]Sheet2!DU123=999999,"NA",[1]Sheet2!DU123)</f>
        <v>NA</v>
      </c>
      <c r="DK124" s="14" t="str">
        <f>IF([1]Sheet2!DV123=999999,"NA",[1]Sheet2!DV123)</f>
        <v>NA</v>
      </c>
      <c r="DL124" s="14" t="str">
        <f>IF([1]Sheet2!DW123=999999,"NA",[1]Sheet2!DW123)</f>
        <v>NA</v>
      </c>
      <c r="DM124" s="14">
        <f>IF([1]Sheet2!DX123=999999,"NA",[1]Sheet2!DX123)</f>
        <v>244</v>
      </c>
      <c r="DN124" s="14">
        <f>IF([1]Sheet2!DY123=999999,"NA",[1]Sheet2!DY123)</f>
        <v>244</v>
      </c>
      <c r="DO124" s="14" t="str">
        <f>IF([1]Sheet2!DZ123=999999,"NA",[1]Sheet2!DZ123)</f>
        <v>NA</v>
      </c>
      <c r="DP124" s="14" t="str">
        <f>IF([1]Sheet2!EA123=999999,"NA",[1]Sheet2!EA123)</f>
        <v>NA</v>
      </c>
      <c r="DQ124" s="14">
        <f>[1]Sheet2!CX123</f>
        <v>0</v>
      </c>
      <c r="DR124" s="14">
        <f>[1]Sheet2!CY123</f>
        <v>0</v>
      </c>
      <c r="DS124" s="14">
        <f>[1]Sheet2!CZ123</f>
        <v>0</v>
      </c>
      <c r="DT124" s="14">
        <f>[1]Sheet2!DA123</f>
        <v>0</v>
      </c>
      <c r="DU124" s="14">
        <f>[1]Sheet2!DB123</f>
        <v>0</v>
      </c>
      <c r="DV124" s="14">
        <f>[1]Sheet2!DC123</f>
        <v>0</v>
      </c>
      <c r="DW124" s="14">
        <f>[1]Sheet2!DD123</f>
        <v>0</v>
      </c>
      <c r="DX124" s="14">
        <f>[1]Sheet2!DE123</f>
        <v>0</v>
      </c>
      <c r="DY124" s="14">
        <f>[1]Sheet2!DF123</f>
        <v>0</v>
      </c>
      <c r="DZ124" s="14">
        <f>[1]Sheet2!DG123</f>
        <v>0</v>
      </c>
    </row>
    <row r="125" spans="1:130" x14ac:dyDescent="0.25">
      <c r="A125" s="15">
        <v>43587</v>
      </c>
      <c r="B125" s="1"/>
      <c r="C125" s="1"/>
      <c r="D125" s="1"/>
      <c r="E125" s="14">
        <f>[1]Sheet2!N124</f>
        <v>0</v>
      </c>
      <c r="F125" s="14">
        <f>[1]Sheet2!BE124</f>
        <v>0</v>
      </c>
      <c r="G125" s="14">
        <f>[1]Sheet2!CV124</f>
        <v>245.6575682382134</v>
      </c>
      <c r="H125" s="1"/>
      <c r="I125" s="1"/>
      <c r="J125" s="1"/>
      <c r="K125" s="16">
        <f>Demand_CWRS!B$7/31</f>
        <v>129.8994219137717</v>
      </c>
      <c r="L125" s="16">
        <f>Demand_CWRS!C$7/31</f>
        <v>543.3829611248965</v>
      </c>
      <c r="M125" s="16">
        <f>Demand_CWRS!D$7/31</f>
        <v>0</v>
      </c>
      <c r="N125" s="16">
        <f>Demand_CWRS!E$7/31</f>
        <v>131.84491315136475</v>
      </c>
      <c r="O125" s="16">
        <f>Demand_CWRS!F$7/31</f>
        <v>232.12592522229113</v>
      </c>
      <c r="P125" s="16">
        <f>Demand_CWRS!G$7/31</f>
        <v>129.8994219137717</v>
      </c>
      <c r="Q125" s="16">
        <f>Demand_CWRS!H$7/31</f>
        <v>543.3829611248965</v>
      </c>
      <c r="R125" s="16">
        <f>Demand_CWRS!I$7/31</f>
        <v>232.12592522229113</v>
      </c>
      <c r="S125" s="16">
        <f>Demand_CWRS!J$7/31</f>
        <v>232.12592522229113</v>
      </c>
      <c r="T125" s="16">
        <f>Demand_CWRS!K$7/31</f>
        <v>232.12592522229113</v>
      </c>
      <c r="U125" s="16">
        <f t="shared" si="33"/>
        <v>-18847.632484589441</v>
      </c>
      <c r="V125" s="16">
        <f t="shared" si="34"/>
        <v>-53601.901819685569</v>
      </c>
      <c r="W125" s="16">
        <f t="shared" si="35"/>
        <v>0</v>
      </c>
      <c r="X125" s="16">
        <f t="shared" si="36"/>
        <v>-12012.325350483205</v>
      </c>
      <c r="Y125" s="16">
        <f t="shared" si="37"/>
        <v>-26974.633109116712</v>
      </c>
      <c r="Z125" s="16">
        <f t="shared" si="38"/>
        <v>-18521.859335550991</v>
      </c>
      <c r="AA125" s="16">
        <f t="shared" si="39"/>
        <v>-53101.901819685569</v>
      </c>
      <c r="AB125" s="16">
        <f t="shared" si="40"/>
        <v>-24662.666522578227</v>
      </c>
      <c r="AC125" s="16">
        <f t="shared" si="41"/>
        <v>-24662.666522578216</v>
      </c>
      <c r="AD125" s="16">
        <f t="shared" si="42"/>
        <v>-25362.66652257822</v>
      </c>
      <c r="AE125" s="14">
        <f>IF([1]Sheet2!AJ124=999999,"NA",[1]Sheet2!AJ124)</f>
        <v>5</v>
      </c>
      <c r="AF125" s="14">
        <f>IF([1]Sheet2!AK124=999999,"NA",[1]Sheet2!AK124)</f>
        <v>0</v>
      </c>
      <c r="AG125" s="14" t="str">
        <f>IF([1]Sheet2!AL124=999999,"NA",[1]Sheet2!AL124)</f>
        <v>NA</v>
      </c>
      <c r="AH125" s="14">
        <f>IF([1]Sheet2!AM124=999999,"NA",[1]Sheet2!AM124)</f>
        <v>243</v>
      </c>
      <c r="AI125" s="14">
        <f>IF([1]Sheet2!AN124=999999,"NA",[1]Sheet2!AN124)</f>
        <v>243</v>
      </c>
      <c r="AJ125" s="14">
        <f>IF([1]Sheet2!AO124=999999,"NA",[1]Sheet2!AO124)</f>
        <v>243</v>
      </c>
      <c r="AK125" s="14">
        <f>IF([1]Sheet2!AP124=999999,"NA",[1]Sheet2!AP124)</f>
        <v>0</v>
      </c>
      <c r="AL125" s="14">
        <f>IF([1]Sheet2!AQ124=999999,"NA",[1]Sheet2!AQ124)</f>
        <v>119</v>
      </c>
      <c r="AM125" s="14">
        <f>IF([1]Sheet2!AR124=999999,"NA",[1]Sheet2!AR124)</f>
        <v>243</v>
      </c>
      <c r="AN125" s="14">
        <f>IF([1]Sheet2!AS124=999999,"NA",[1]Sheet2!AS124)</f>
        <v>175</v>
      </c>
      <c r="AO125" s="14">
        <f>[1]Sheet2!P124</f>
        <v>0</v>
      </c>
      <c r="AP125" s="14">
        <f>[1]Sheet2!Q124</f>
        <v>0</v>
      </c>
      <c r="AQ125" s="14">
        <f>[1]Sheet2!R124</f>
        <v>0</v>
      </c>
      <c r="AR125" s="14">
        <f>[1]Sheet2!S124</f>
        <v>0</v>
      </c>
      <c r="AS125" s="14">
        <f>[1]Sheet2!T124</f>
        <v>0</v>
      </c>
      <c r="AT125" s="14">
        <f>[1]Sheet2!U124</f>
        <v>0</v>
      </c>
      <c r="AU125" s="14">
        <f>[1]Sheet2!V124</f>
        <v>0</v>
      </c>
      <c r="AV125" s="14">
        <f>[1]Sheet2!W124</f>
        <v>0</v>
      </c>
      <c r="AW125" s="14">
        <f>[1]Sheet2!X124</f>
        <v>0</v>
      </c>
      <c r="AX125" s="14">
        <f>[1]Sheet2!Y124</f>
        <v>0</v>
      </c>
      <c r="AY125" s="16">
        <f>Demand_LP!B$7/31</f>
        <v>855.82964911600493</v>
      </c>
      <c r="AZ125" s="16">
        <f>Demand_LP!C$7/31</f>
        <v>478.74276261373035</v>
      </c>
      <c r="BA125" s="16">
        <f>Demand_LP!D$7/31</f>
        <v>366.03598014888337</v>
      </c>
      <c r="BB125" s="16">
        <f>Demand_LP!E$7/31</f>
        <v>837.96277915632766</v>
      </c>
      <c r="BC125" s="16">
        <f>Demand_LP!F$7/31</f>
        <v>447.19049589019846</v>
      </c>
      <c r="BD125" s="16">
        <f>Demand_LP!G$7/31</f>
        <v>855.82964911600493</v>
      </c>
      <c r="BE125" s="16">
        <f>Demand_LP!H$7/31</f>
        <v>478.74276261373035</v>
      </c>
      <c r="BF125" s="16">
        <f>Demand_LP!I$7/31</f>
        <v>447.19049589019846</v>
      </c>
      <c r="BG125" s="16">
        <f>Demand_LP!J$7/31</f>
        <v>447.19049589019846</v>
      </c>
      <c r="BH125" s="16">
        <f>Demand_LP!K$7/31</f>
        <v>447.19049589019846</v>
      </c>
      <c r="BI125" s="16" t="e">
        <f t="shared" si="43"/>
        <v>#VALUE!</v>
      </c>
      <c r="BJ125" s="16">
        <f t="shared" si="44"/>
        <v>-76067.939371381188</v>
      </c>
      <c r="BK125" s="16">
        <f t="shared" si="45"/>
        <v>-33905.075806451627</v>
      </c>
      <c r="BL125" s="16">
        <f t="shared" si="46"/>
        <v>-89346.896054904559</v>
      </c>
      <c r="BM125" s="16">
        <f t="shared" si="47"/>
        <v>-55512.36612389057</v>
      </c>
      <c r="BN125" s="16">
        <f t="shared" si="48"/>
        <v>-85828.366527165475</v>
      </c>
      <c r="BO125" s="16">
        <f t="shared" si="49"/>
        <v>-78425.51885856071</v>
      </c>
      <c r="BP125" s="16">
        <f t="shared" si="50"/>
        <v>-54970.050042261166</v>
      </c>
      <c r="BQ125" s="16">
        <f t="shared" si="51"/>
        <v>-51570.050042261188</v>
      </c>
      <c r="BR125" s="16">
        <f t="shared" si="52"/>
        <v>-52770.050042261173</v>
      </c>
      <c r="BS125" s="14">
        <f>IF([1]Sheet2!CA124=999999,"NA",[1]Sheet2!CA124)</f>
        <v>163708.94995773901</v>
      </c>
      <c r="BT125" s="14">
        <f>IF([1]Sheet2!CB124=999999,"NA",[1]Sheet2!CB124)</f>
        <v>165</v>
      </c>
      <c r="BU125" s="14">
        <f>IF([1]Sheet2!CC124=999999,"NA",[1]Sheet2!CC124)</f>
        <v>243</v>
      </c>
      <c r="BV125" s="14">
        <f>IF([1]Sheet2!CD124=999999,"NA",[1]Sheet2!CD124)</f>
        <v>243</v>
      </c>
      <c r="BW125" s="14">
        <f>IF([1]Sheet2!CE124=999999,"NA",[1]Sheet2!CE124)</f>
        <v>205</v>
      </c>
      <c r="BX125" s="14">
        <f>IF([1]Sheet2!CF124=999999,"NA",[1]Sheet2!CF124)</f>
        <v>243</v>
      </c>
      <c r="BY125" s="14">
        <f>IF([1]Sheet2!CG124=999999,"NA",[1]Sheet2!CG124)</f>
        <v>137</v>
      </c>
      <c r="BZ125" s="14">
        <f>IF([1]Sheet2!CH124=999999,"NA",[1]Sheet2!CH124)</f>
        <v>243</v>
      </c>
      <c r="CA125" s="14">
        <f>IF([1]Sheet2!CI124=999999,"NA",[1]Sheet2!CI124)</f>
        <v>243</v>
      </c>
      <c r="CB125" s="14">
        <f>IF([1]Sheet2!CJ124=999999,"NA",[1]Sheet2!CJ124)</f>
        <v>243</v>
      </c>
      <c r="CC125" s="14">
        <f>[1]Sheet2!BG124</f>
        <v>0</v>
      </c>
      <c r="CD125" s="14">
        <f>[1]Sheet2!BH124</f>
        <v>0</v>
      </c>
      <c r="CE125" s="14">
        <f>[1]Sheet2!BI124</f>
        <v>0</v>
      </c>
      <c r="CF125" s="14">
        <f>[1]Sheet2!BJ124</f>
        <v>0</v>
      </c>
      <c r="CG125" s="14">
        <f>[1]Sheet2!BK124</f>
        <v>0</v>
      </c>
      <c r="CH125" s="14">
        <f>[1]Sheet2!BL124</f>
        <v>0</v>
      </c>
      <c r="CI125" s="14">
        <f>[1]Sheet2!BM124</f>
        <v>0</v>
      </c>
      <c r="CJ125" s="14">
        <f>[1]Sheet2!BN124</f>
        <v>0</v>
      </c>
      <c r="CK125" s="14">
        <f>[1]Sheet2!BO124</f>
        <v>0</v>
      </c>
      <c r="CL125" s="14">
        <f>[1]Sheet2!BP124</f>
        <v>0</v>
      </c>
      <c r="CM125" s="16">
        <f>Demand_SW!B$7/31</f>
        <v>122.8287841191067</v>
      </c>
      <c r="CN125" s="16">
        <f>Demand_SW!C$7/31</f>
        <v>0</v>
      </c>
      <c r="CO125" s="16">
        <f>Demand_SW!D$7/31</f>
        <v>0</v>
      </c>
      <c r="CP125" s="16">
        <f>Demand_SW!E$7/31</f>
        <v>0</v>
      </c>
      <c r="CQ125" s="16">
        <f>Demand_SW!F$7/31</f>
        <v>0</v>
      </c>
      <c r="CR125" s="16">
        <f>Demand_SW!G$7/31</f>
        <v>122.8287841191067</v>
      </c>
      <c r="CS125" s="16">
        <f>Demand_SW!H$7/31</f>
        <v>0</v>
      </c>
      <c r="CT125" s="16">
        <f>Demand_SW!I$7/31</f>
        <v>0</v>
      </c>
      <c r="CU125" s="16">
        <f>Demand_SW!J$7/31</f>
        <v>0</v>
      </c>
      <c r="CV125" s="16">
        <f>Demand_SW!K$7/31</f>
        <v>0</v>
      </c>
      <c r="CW125" s="16">
        <f t="shared" si="53"/>
        <v>34291.265508684861</v>
      </c>
      <c r="CX125" s="16">
        <f t="shared" si="54"/>
        <v>-423.07692307692292</v>
      </c>
      <c r="CY125" s="16">
        <f t="shared" si="55"/>
        <v>0</v>
      </c>
      <c r="CZ125" s="16">
        <f t="shared" si="56"/>
        <v>0</v>
      </c>
      <c r="DA125" s="16">
        <f t="shared" si="57"/>
        <v>0</v>
      </c>
      <c r="DB125" s="16">
        <f t="shared" si="58"/>
        <v>-15237.965260545918</v>
      </c>
      <c r="DC125" s="16">
        <f t="shared" si="59"/>
        <v>-423.07692307692292</v>
      </c>
      <c r="DD125" s="16">
        <f t="shared" si="60"/>
        <v>0</v>
      </c>
      <c r="DE125" s="16">
        <f t="shared" si="61"/>
        <v>0</v>
      </c>
      <c r="DF125" s="16">
        <f t="shared" si="62"/>
        <v>0</v>
      </c>
      <c r="DG125" s="14">
        <f>IF([1]Sheet2!DR124=999999,"NA",[1]Sheet2!DR124)</f>
        <v>73103</v>
      </c>
      <c r="DH125" s="14">
        <f>IF([1]Sheet2!DS124=999999,"NA",[1]Sheet2!DS124)</f>
        <v>243</v>
      </c>
      <c r="DI125" s="14">
        <f>IF([1]Sheet2!DT124=999999,"NA",[1]Sheet2!DT124)</f>
        <v>243</v>
      </c>
      <c r="DJ125" s="14" t="str">
        <f>IF([1]Sheet2!DU124=999999,"NA",[1]Sheet2!DU124)</f>
        <v>NA</v>
      </c>
      <c r="DK125" s="14" t="str">
        <f>IF([1]Sheet2!DV124=999999,"NA",[1]Sheet2!DV124)</f>
        <v>NA</v>
      </c>
      <c r="DL125" s="14" t="str">
        <f>IF([1]Sheet2!DW124=999999,"NA",[1]Sheet2!DW124)</f>
        <v>NA</v>
      </c>
      <c r="DM125" s="14">
        <f>IF([1]Sheet2!DX124=999999,"NA",[1]Sheet2!DX124)</f>
        <v>243</v>
      </c>
      <c r="DN125" s="14">
        <f>IF([1]Sheet2!DY124=999999,"NA",[1]Sheet2!DY124)</f>
        <v>243</v>
      </c>
      <c r="DO125" s="14" t="str">
        <f>IF([1]Sheet2!DZ124=999999,"NA",[1]Sheet2!DZ124)</f>
        <v>NA</v>
      </c>
      <c r="DP125" s="14" t="str">
        <f>IF([1]Sheet2!EA124=999999,"NA",[1]Sheet2!EA124)</f>
        <v>NA</v>
      </c>
      <c r="DQ125" s="14">
        <f>[1]Sheet2!CX124</f>
        <v>0</v>
      </c>
      <c r="DR125" s="14">
        <f>[1]Sheet2!CY124</f>
        <v>0</v>
      </c>
      <c r="DS125" s="14">
        <f>[1]Sheet2!CZ124</f>
        <v>0</v>
      </c>
      <c r="DT125" s="14">
        <f>[1]Sheet2!DA124</f>
        <v>0</v>
      </c>
      <c r="DU125" s="14">
        <f>[1]Sheet2!DB124</f>
        <v>0</v>
      </c>
      <c r="DV125" s="14">
        <f>[1]Sheet2!DC124</f>
        <v>0</v>
      </c>
      <c r="DW125" s="14">
        <f>[1]Sheet2!DD124</f>
        <v>0</v>
      </c>
      <c r="DX125" s="14">
        <f>[1]Sheet2!DE124</f>
        <v>0</v>
      </c>
      <c r="DY125" s="14">
        <f>[1]Sheet2!DF124</f>
        <v>0</v>
      </c>
      <c r="DZ125" s="14">
        <f>[1]Sheet2!DG124</f>
        <v>0</v>
      </c>
    </row>
    <row r="126" spans="1:130" x14ac:dyDescent="0.25">
      <c r="A126" s="15">
        <v>43588</v>
      </c>
      <c r="B126" s="1"/>
      <c r="C126" s="1"/>
      <c r="D126" s="1"/>
      <c r="E126" s="14">
        <f>[1]Sheet2!N125</f>
        <v>0</v>
      </c>
      <c r="F126" s="14">
        <f>[1]Sheet2!BE125</f>
        <v>0</v>
      </c>
      <c r="G126" s="14">
        <f>[1]Sheet2!CV125</f>
        <v>245.6575682382134</v>
      </c>
      <c r="H126" s="1"/>
      <c r="I126" s="1"/>
      <c r="J126" s="1"/>
      <c r="K126" s="16">
        <f>Demand_CWRS!B$7/31</f>
        <v>129.8994219137717</v>
      </c>
      <c r="L126" s="16">
        <f>Demand_CWRS!C$7/31</f>
        <v>543.3829611248965</v>
      </c>
      <c r="M126" s="16">
        <f>Demand_CWRS!D$7/31</f>
        <v>0</v>
      </c>
      <c r="N126" s="16">
        <f>Demand_CWRS!E$7/31</f>
        <v>131.84491315136475</v>
      </c>
      <c r="O126" s="16">
        <f>Demand_CWRS!F$7/31</f>
        <v>232.12592522229113</v>
      </c>
      <c r="P126" s="16">
        <f>Demand_CWRS!G$7/31</f>
        <v>129.8994219137717</v>
      </c>
      <c r="Q126" s="16">
        <f>Demand_CWRS!H$7/31</f>
        <v>543.3829611248965</v>
      </c>
      <c r="R126" s="16">
        <f>Demand_CWRS!I$7/31</f>
        <v>232.12592522229113</v>
      </c>
      <c r="S126" s="16">
        <f>Demand_CWRS!J$7/31</f>
        <v>232.12592522229113</v>
      </c>
      <c r="T126" s="16">
        <f>Demand_CWRS!K$7/31</f>
        <v>232.12592522229113</v>
      </c>
      <c r="U126" s="16">
        <f t="shared" si="33"/>
        <v>-18977.531906503213</v>
      </c>
      <c r="V126" s="16">
        <f t="shared" si="34"/>
        <v>-54145.284780810463</v>
      </c>
      <c r="W126" s="16">
        <f t="shared" si="35"/>
        <v>0</v>
      </c>
      <c r="X126" s="16">
        <f t="shared" si="36"/>
        <v>-12144.170263634569</v>
      </c>
      <c r="Y126" s="16">
        <f t="shared" si="37"/>
        <v>-27206.759034339004</v>
      </c>
      <c r="Z126" s="16">
        <f t="shared" si="38"/>
        <v>-18651.758757464762</v>
      </c>
      <c r="AA126" s="16">
        <f t="shared" si="39"/>
        <v>-53645.284780810463</v>
      </c>
      <c r="AB126" s="16">
        <f t="shared" si="40"/>
        <v>-24894.792447800519</v>
      </c>
      <c r="AC126" s="16">
        <f t="shared" si="41"/>
        <v>-24894.792447800508</v>
      </c>
      <c r="AD126" s="16">
        <f t="shared" si="42"/>
        <v>-25594.792447800512</v>
      </c>
      <c r="AE126" s="14">
        <f>IF([1]Sheet2!AJ125=999999,"NA",[1]Sheet2!AJ125)</f>
        <v>4</v>
      </c>
      <c r="AF126" s="14">
        <f>IF([1]Sheet2!AK125=999999,"NA",[1]Sheet2!AK125)</f>
        <v>0</v>
      </c>
      <c r="AG126" s="14" t="str">
        <f>IF([1]Sheet2!AL125=999999,"NA",[1]Sheet2!AL125)</f>
        <v>NA</v>
      </c>
      <c r="AH126" s="14">
        <f>IF([1]Sheet2!AM125=999999,"NA",[1]Sheet2!AM125)</f>
        <v>242</v>
      </c>
      <c r="AI126" s="14">
        <f>IF([1]Sheet2!AN125=999999,"NA",[1]Sheet2!AN125)</f>
        <v>242</v>
      </c>
      <c r="AJ126" s="14">
        <f>IF([1]Sheet2!AO125=999999,"NA",[1]Sheet2!AO125)</f>
        <v>242</v>
      </c>
      <c r="AK126" s="14">
        <f>IF([1]Sheet2!AP125=999999,"NA",[1]Sheet2!AP125)</f>
        <v>0</v>
      </c>
      <c r="AL126" s="14">
        <f>IF([1]Sheet2!AQ125=999999,"NA",[1]Sheet2!AQ125)</f>
        <v>118</v>
      </c>
      <c r="AM126" s="14">
        <f>IF([1]Sheet2!AR125=999999,"NA",[1]Sheet2!AR125)</f>
        <v>242</v>
      </c>
      <c r="AN126" s="14">
        <f>IF([1]Sheet2!AS125=999999,"NA",[1]Sheet2!AS125)</f>
        <v>174</v>
      </c>
      <c r="AO126" s="14">
        <f>[1]Sheet2!P125</f>
        <v>0</v>
      </c>
      <c r="AP126" s="14">
        <f>[1]Sheet2!Q125</f>
        <v>0</v>
      </c>
      <c r="AQ126" s="14">
        <f>[1]Sheet2!R125</f>
        <v>0</v>
      </c>
      <c r="AR126" s="14">
        <f>[1]Sheet2!S125</f>
        <v>0</v>
      </c>
      <c r="AS126" s="14">
        <f>[1]Sheet2!T125</f>
        <v>0</v>
      </c>
      <c r="AT126" s="14">
        <f>[1]Sheet2!U125</f>
        <v>0</v>
      </c>
      <c r="AU126" s="14">
        <f>[1]Sheet2!V125</f>
        <v>0</v>
      </c>
      <c r="AV126" s="14">
        <f>[1]Sheet2!W125</f>
        <v>0</v>
      </c>
      <c r="AW126" s="14">
        <f>[1]Sheet2!X125</f>
        <v>0</v>
      </c>
      <c r="AX126" s="14">
        <f>[1]Sheet2!Y125</f>
        <v>0</v>
      </c>
      <c r="AY126" s="16">
        <f>Demand_LP!B$7/31</f>
        <v>855.82964911600493</v>
      </c>
      <c r="AZ126" s="16">
        <f>Demand_LP!C$7/31</f>
        <v>478.74276261373035</v>
      </c>
      <c r="BA126" s="16">
        <f>Demand_LP!D$7/31</f>
        <v>366.03598014888337</v>
      </c>
      <c r="BB126" s="16">
        <f>Demand_LP!E$7/31</f>
        <v>837.96277915632766</v>
      </c>
      <c r="BC126" s="16">
        <f>Demand_LP!F$7/31</f>
        <v>447.19049589019846</v>
      </c>
      <c r="BD126" s="16">
        <f>Demand_LP!G$7/31</f>
        <v>855.82964911600493</v>
      </c>
      <c r="BE126" s="16">
        <f>Demand_LP!H$7/31</f>
        <v>478.74276261373035</v>
      </c>
      <c r="BF126" s="16">
        <f>Demand_LP!I$7/31</f>
        <v>447.19049589019846</v>
      </c>
      <c r="BG126" s="16">
        <f>Demand_LP!J$7/31</f>
        <v>447.19049589019846</v>
      </c>
      <c r="BH126" s="16">
        <f>Demand_LP!K$7/31</f>
        <v>447.19049589019846</v>
      </c>
      <c r="BI126" s="16" t="e">
        <f t="shared" si="43"/>
        <v>#VALUE!</v>
      </c>
      <c r="BJ126" s="16">
        <f t="shared" si="44"/>
        <v>-76546.682133994924</v>
      </c>
      <c r="BK126" s="16">
        <f t="shared" si="45"/>
        <v>-34271.111786600508</v>
      </c>
      <c r="BL126" s="16">
        <f t="shared" si="46"/>
        <v>-90184.858834060884</v>
      </c>
      <c r="BM126" s="16">
        <f t="shared" si="47"/>
        <v>-55959.556619780771</v>
      </c>
      <c r="BN126" s="16">
        <f t="shared" si="48"/>
        <v>-86684.196176281475</v>
      </c>
      <c r="BO126" s="16">
        <f t="shared" si="49"/>
        <v>-78904.261621174446</v>
      </c>
      <c r="BP126" s="16">
        <f t="shared" si="50"/>
        <v>-55417.240538151367</v>
      </c>
      <c r="BQ126" s="16">
        <f t="shared" si="51"/>
        <v>-52017.240538151389</v>
      </c>
      <c r="BR126" s="16">
        <f t="shared" si="52"/>
        <v>-53217.240538151374</v>
      </c>
      <c r="BS126" s="14">
        <f>IF([1]Sheet2!CA125=999999,"NA",[1]Sheet2!CA125)</f>
        <v>163261.75946184882</v>
      </c>
      <c r="BT126" s="14">
        <f>IF([1]Sheet2!CB125=999999,"NA",[1]Sheet2!CB125)</f>
        <v>164</v>
      </c>
      <c r="BU126" s="14">
        <f>IF([1]Sheet2!CC125=999999,"NA",[1]Sheet2!CC125)</f>
        <v>242</v>
      </c>
      <c r="BV126" s="14">
        <f>IF([1]Sheet2!CD125=999999,"NA",[1]Sheet2!CD125)</f>
        <v>242</v>
      </c>
      <c r="BW126" s="14">
        <f>IF([1]Sheet2!CE125=999999,"NA",[1]Sheet2!CE125)</f>
        <v>204</v>
      </c>
      <c r="BX126" s="14">
        <f>IF([1]Sheet2!CF125=999999,"NA",[1]Sheet2!CF125)</f>
        <v>242</v>
      </c>
      <c r="BY126" s="14">
        <f>IF([1]Sheet2!CG125=999999,"NA",[1]Sheet2!CG125)</f>
        <v>136</v>
      </c>
      <c r="BZ126" s="14">
        <f>IF([1]Sheet2!CH125=999999,"NA",[1]Sheet2!CH125)</f>
        <v>242</v>
      </c>
      <c r="CA126" s="14">
        <f>IF([1]Sheet2!CI125=999999,"NA",[1]Sheet2!CI125)</f>
        <v>242</v>
      </c>
      <c r="CB126" s="14">
        <f>IF([1]Sheet2!CJ125=999999,"NA",[1]Sheet2!CJ125)</f>
        <v>242</v>
      </c>
      <c r="CC126" s="14">
        <f>[1]Sheet2!BG125</f>
        <v>0</v>
      </c>
      <c r="CD126" s="14">
        <f>[1]Sheet2!BH125</f>
        <v>0</v>
      </c>
      <c r="CE126" s="14">
        <f>[1]Sheet2!BI125</f>
        <v>0</v>
      </c>
      <c r="CF126" s="14">
        <f>[1]Sheet2!BJ125</f>
        <v>0</v>
      </c>
      <c r="CG126" s="14">
        <f>[1]Sheet2!BK125</f>
        <v>0</v>
      </c>
      <c r="CH126" s="14">
        <f>[1]Sheet2!BL125</f>
        <v>0</v>
      </c>
      <c r="CI126" s="14">
        <f>[1]Sheet2!BM125</f>
        <v>0</v>
      </c>
      <c r="CJ126" s="14">
        <f>[1]Sheet2!BN125</f>
        <v>0</v>
      </c>
      <c r="CK126" s="14">
        <f>[1]Sheet2!BO125</f>
        <v>0</v>
      </c>
      <c r="CL126" s="14">
        <f>[1]Sheet2!BP125</f>
        <v>0</v>
      </c>
      <c r="CM126" s="16">
        <f>Demand_SW!B$7/31</f>
        <v>122.8287841191067</v>
      </c>
      <c r="CN126" s="16">
        <f>Demand_SW!C$7/31</f>
        <v>0</v>
      </c>
      <c r="CO126" s="16">
        <f>Demand_SW!D$7/31</f>
        <v>0</v>
      </c>
      <c r="CP126" s="16">
        <f>Demand_SW!E$7/31</f>
        <v>0</v>
      </c>
      <c r="CQ126" s="16">
        <f>Demand_SW!F$7/31</f>
        <v>0</v>
      </c>
      <c r="CR126" s="16">
        <f>Demand_SW!G$7/31</f>
        <v>122.8287841191067</v>
      </c>
      <c r="CS126" s="16">
        <f>Demand_SW!H$7/31</f>
        <v>0</v>
      </c>
      <c r="CT126" s="16">
        <f>Demand_SW!I$7/31</f>
        <v>0</v>
      </c>
      <c r="CU126" s="16">
        <f>Demand_SW!J$7/31</f>
        <v>0</v>
      </c>
      <c r="CV126" s="16">
        <f>Demand_SW!K$7/31</f>
        <v>0</v>
      </c>
      <c r="CW126" s="16">
        <f t="shared" si="53"/>
        <v>34168.436724565756</v>
      </c>
      <c r="CX126" s="16">
        <f t="shared" si="54"/>
        <v>-423.07692307692292</v>
      </c>
      <c r="CY126" s="16">
        <f t="shared" si="55"/>
        <v>0</v>
      </c>
      <c r="CZ126" s="16">
        <f t="shared" si="56"/>
        <v>0</v>
      </c>
      <c r="DA126" s="16">
        <f t="shared" si="57"/>
        <v>0</v>
      </c>
      <c r="DB126" s="16">
        <f t="shared" si="58"/>
        <v>-15360.794044665025</v>
      </c>
      <c r="DC126" s="16">
        <f t="shared" si="59"/>
        <v>-423.07692307692292</v>
      </c>
      <c r="DD126" s="16">
        <f t="shared" si="60"/>
        <v>0</v>
      </c>
      <c r="DE126" s="16">
        <f t="shared" si="61"/>
        <v>0</v>
      </c>
      <c r="DF126" s="16">
        <f t="shared" si="62"/>
        <v>0</v>
      </c>
      <c r="DG126" s="14">
        <f>IF([1]Sheet2!DR125=999999,"NA",[1]Sheet2!DR125)</f>
        <v>73103</v>
      </c>
      <c r="DH126" s="14">
        <f>IF([1]Sheet2!DS125=999999,"NA",[1]Sheet2!DS125)</f>
        <v>242</v>
      </c>
      <c r="DI126" s="14">
        <f>IF([1]Sheet2!DT125=999999,"NA",[1]Sheet2!DT125)</f>
        <v>242</v>
      </c>
      <c r="DJ126" s="14" t="str">
        <f>IF([1]Sheet2!DU125=999999,"NA",[1]Sheet2!DU125)</f>
        <v>NA</v>
      </c>
      <c r="DK126" s="14" t="str">
        <f>IF([1]Sheet2!DV125=999999,"NA",[1]Sheet2!DV125)</f>
        <v>NA</v>
      </c>
      <c r="DL126" s="14" t="str">
        <f>IF([1]Sheet2!DW125=999999,"NA",[1]Sheet2!DW125)</f>
        <v>NA</v>
      </c>
      <c r="DM126" s="14">
        <f>IF([1]Sheet2!DX125=999999,"NA",[1]Sheet2!DX125)</f>
        <v>242</v>
      </c>
      <c r="DN126" s="14">
        <f>IF([1]Sheet2!DY125=999999,"NA",[1]Sheet2!DY125)</f>
        <v>242</v>
      </c>
      <c r="DO126" s="14" t="str">
        <f>IF([1]Sheet2!DZ125=999999,"NA",[1]Sheet2!DZ125)</f>
        <v>NA</v>
      </c>
      <c r="DP126" s="14" t="str">
        <f>IF([1]Sheet2!EA125=999999,"NA",[1]Sheet2!EA125)</f>
        <v>NA</v>
      </c>
      <c r="DQ126" s="14">
        <f>[1]Sheet2!CX125</f>
        <v>0</v>
      </c>
      <c r="DR126" s="14">
        <f>[1]Sheet2!CY125</f>
        <v>0</v>
      </c>
      <c r="DS126" s="14">
        <f>[1]Sheet2!CZ125</f>
        <v>0</v>
      </c>
      <c r="DT126" s="14">
        <f>[1]Sheet2!DA125</f>
        <v>0</v>
      </c>
      <c r="DU126" s="14">
        <f>[1]Sheet2!DB125</f>
        <v>0</v>
      </c>
      <c r="DV126" s="14">
        <f>[1]Sheet2!DC125</f>
        <v>0</v>
      </c>
      <c r="DW126" s="14">
        <f>[1]Sheet2!DD125</f>
        <v>0</v>
      </c>
      <c r="DX126" s="14">
        <f>[1]Sheet2!DE125</f>
        <v>0</v>
      </c>
      <c r="DY126" s="14">
        <f>[1]Sheet2!DF125</f>
        <v>0</v>
      </c>
      <c r="DZ126" s="14">
        <f>[1]Sheet2!DG125</f>
        <v>0</v>
      </c>
    </row>
    <row r="127" spans="1:130" x14ac:dyDescent="0.25">
      <c r="A127" s="15">
        <v>43589</v>
      </c>
      <c r="B127" s="1"/>
      <c r="C127" s="1"/>
      <c r="D127" s="1"/>
      <c r="E127" s="14">
        <f>[1]Sheet2!N126</f>
        <v>0</v>
      </c>
      <c r="F127" s="14">
        <f>[1]Sheet2!BE126</f>
        <v>0</v>
      </c>
      <c r="G127" s="14">
        <f>[1]Sheet2!CV126</f>
        <v>245.6575682382134</v>
      </c>
      <c r="H127" s="1"/>
      <c r="I127" s="1"/>
      <c r="J127" s="1"/>
      <c r="K127" s="16">
        <f>Demand_CWRS!B$7/31</f>
        <v>129.8994219137717</v>
      </c>
      <c r="L127" s="16">
        <f>Demand_CWRS!C$7/31</f>
        <v>543.3829611248965</v>
      </c>
      <c r="M127" s="16">
        <f>Demand_CWRS!D$7/31</f>
        <v>0</v>
      </c>
      <c r="N127" s="16">
        <f>Demand_CWRS!E$7/31</f>
        <v>131.84491315136475</v>
      </c>
      <c r="O127" s="16">
        <f>Demand_CWRS!F$7/31</f>
        <v>232.12592522229113</v>
      </c>
      <c r="P127" s="16">
        <f>Demand_CWRS!G$7/31</f>
        <v>129.8994219137717</v>
      </c>
      <c r="Q127" s="16">
        <f>Demand_CWRS!H$7/31</f>
        <v>543.3829611248965</v>
      </c>
      <c r="R127" s="16">
        <f>Demand_CWRS!I$7/31</f>
        <v>232.12592522229113</v>
      </c>
      <c r="S127" s="16">
        <f>Demand_CWRS!J$7/31</f>
        <v>232.12592522229113</v>
      </c>
      <c r="T127" s="16">
        <f>Demand_CWRS!K$7/31</f>
        <v>232.12592522229113</v>
      </c>
      <c r="U127" s="16">
        <f t="shared" si="33"/>
        <v>-19107.431328416984</v>
      </c>
      <c r="V127" s="16">
        <f t="shared" si="34"/>
        <v>-54688.667741935358</v>
      </c>
      <c r="W127" s="16">
        <f t="shared" si="35"/>
        <v>0</v>
      </c>
      <c r="X127" s="16">
        <f t="shared" si="36"/>
        <v>-12276.015176785933</v>
      </c>
      <c r="Y127" s="16">
        <f t="shared" si="37"/>
        <v>-27438.884959561296</v>
      </c>
      <c r="Z127" s="16">
        <f t="shared" si="38"/>
        <v>-18781.658179378534</v>
      </c>
      <c r="AA127" s="16">
        <f t="shared" si="39"/>
        <v>-54188.667741935358</v>
      </c>
      <c r="AB127" s="16">
        <f t="shared" si="40"/>
        <v>-25126.918373022811</v>
      </c>
      <c r="AC127" s="16">
        <f t="shared" si="41"/>
        <v>-25126.9183730228</v>
      </c>
      <c r="AD127" s="16">
        <f t="shared" si="42"/>
        <v>-25826.918373022803</v>
      </c>
      <c r="AE127" s="14">
        <f>IF([1]Sheet2!AJ126=999999,"NA",[1]Sheet2!AJ126)</f>
        <v>3</v>
      </c>
      <c r="AF127" s="14">
        <f>IF([1]Sheet2!AK126=999999,"NA",[1]Sheet2!AK126)</f>
        <v>0</v>
      </c>
      <c r="AG127" s="14" t="str">
        <f>IF([1]Sheet2!AL126=999999,"NA",[1]Sheet2!AL126)</f>
        <v>NA</v>
      </c>
      <c r="AH127" s="14">
        <f>IF([1]Sheet2!AM126=999999,"NA",[1]Sheet2!AM126)</f>
        <v>241</v>
      </c>
      <c r="AI127" s="14">
        <f>IF([1]Sheet2!AN126=999999,"NA",[1]Sheet2!AN126)</f>
        <v>241</v>
      </c>
      <c r="AJ127" s="14">
        <f>IF([1]Sheet2!AO126=999999,"NA",[1]Sheet2!AO126)</f>
        <v>241</v>
      </c>
      <c r="AK127" s="14">
        <f>IF([1]Sheet2!AP126=999999,"NA",[1]Sheet2!AP126)</f>
        <v>0</v>
      </c>
      <c r="AL127" s="14">
        <f>IF([1]Sheet2!AQ126=999999,"NA",[1]Sheet2!AQ126)</f>
        <v>117</v>
      </c>
      <c r="AM127" s="14">
        <f>IF([1]Sheet2!AR126=999999,"NA",[1]Sheet2!AR126)</f>
        <v>241</v>
      </c>
      <c r="AN127" s="14">
        <f>IF([1]Sheet2!AS126=999999,"NA",[1]Sheet2!AS126)</f>
        <v>173</v>
      </c>
      <c r="AO127" s="14">
        <f>[1]Sheet2!P126</f>
        <v>0</v>
      </c>
      <c r="AP127" s="14">
        <f>[1]Sheet2!Q126</f>
        <v>0</v>
      </c>
      <c r="AQ127" s="14">
        <f>[1]Sheet2!R126</f>
        <v>0</v>
      </c>
      <c r="AR127" s="14">
        <f>[1]Sheet2!S126</f>
        <v>0</v>
      </c>
      <c r="AS127" s="14">
        <f>[1]Sheet2!T126</f>
        <v>0</v>
      </c>
      <c r="AT127" s="14">
        <f>[1]Sheet2!U126</f>
        <v>0</v>
      </c>
      <c r="AU127" s="14">
        <f>[1]Sheet2!V126</f>
        <v>0</v>
      </c>
      <c r="AV127" s="14">
        <f>[1]Sheet2!W126</f>
        <v>0</v>
      </c>
      <c r="AW127" s="14">
        <f>[1]Sheet2!X126</f>
        <v>0</v>
      </c>
      <c r="AX127" s="14">
        <f>[1]Sheet2!Y126</f>
        <v>0</v>
      </c>
      <c r="AY127" s="16">
        <f>Demand_LP!B$7/31</f>
        <v>855.82964911600493</v>
      </c>
      <c r="AZ127" s="16">
        <f>Demand_LP!C$7/31</f>
        <v>478.74276261373035</v>
      </c>
      <c r="BA127" s="16">
        <f>Demand_LP!D$7/31</f>
        <v>366.03598014888337</v>
      </c>
      <c r="BB127" s="16">
        <f>Demand_LP!E$7/31</f>
        <v>837.96277915632766</v>
      </c>
      <c r="BC127" s="16">
        <f>Demand_LP!F$7/31</f>
        <v>447.19049589019846</v>
      </c>
      <c r="BD127" s="16">
        <f>Demand_LP!G$7/31</f>
        <v>855.82964911600493</v>
      </c>
      <c r="BE127" s="16">
        <f>Demand_LP!H$7/31</f>
        <v>478.74276261373035</v>
      </c>
      <c r="BF127" s="16">
        <f>Demand_LP!I$7/31</f>
        <v>447.19049589019846</v>
      </c>
      <c r="BG127" s="16">
        <f>Demand_LP!J$7/31</f>
        <v>447.19049589019846</v>
      </c>
      <c r="BH127" s="16">
        <f>Demand_LP!K$7/31</f>
        <v>447.19049589019846</v>
      </c>
      <c r="BI127" s="16" t="e">
        <f t="shared" si="43"/>
        <v>#VALUE!</v>
      </c>
      <c r="BJ127" s="16">
        <f t="shared" si="44"/>
        <v>-77025.42489660866</v>
      </c>
      <c r="BK127" s="16">
        <f t="shared" si="45"/>
        <v>-34637.147766749389</v>
      </c>
      <c r="BL127" s="16">
        <f t="shared" si="46"/>
        <v>-91022.821613217209</v>
      </c>
      <c r="BM127" s="16">
        <f t="shared" si="47"/>
        <v>-56406.747115670973</v>
      </c>
      <c r="BN127" s="16">
        <f t="shared" si="48"/>
        <v>-87540.025825397475</v>
      </c>
      <c r="BO127" s="16">
        <f t="shared" si="49"/>
        <v>-79383.004383788182</v>
      </c>
      <c r="BP127" s="16">
        <f t="shared" si="50"/>
        <v>-55864.431034041569</v>
      </c>
      <c r="BQ127" s="16">
        <f t="shared" si="51"/>
        <v>-52464.43103404159</v>
      </c>
      <c r="BR127" s="16">
        <f t="shared" si="52"/>
        <v>-53664.431034041576</v>
      </c>
      <c r="BS127" s="14">
        <f>IF([1]Sheet2!CA126=999999,"NA",[1]Sheet2!CA126)</f>
        <v>162814.56896595864</v>
      </c>
      <c r="BT127" s="14">
        <f>IF([1]Sheet2!CB126=999999,"NA",[1]Sheet2!CB126)</f>
        <v>163</v>
      </c>
      <c r="BU127" s="14">
        <f>IF([1]Sheet2!CC126=999999,"NA",[1]Sheet2!CC126)</f>
        <v>241</v>
      </c>
      <c r="BV127" s="14">
        <f>IF([1]Sheet2!CD126=999999,"NA",[1]Sheet2!CD126)</f>
        <v>241</v>
      </c>
      <c r="BW127" s="14">
        <f>IF([1]Sheet2!CE126=999999,"NA",[1]Sheet2!CE126)</f>
        <v>203</v>
      </c>
      <c r="BX127" s="14">
        <f>IF([1]Sheet2!CF126=999999,"NA",[1]Sheet2!CF126)</f>
        <v>241</v>
      </c>
      <c r="BY127" s="14">
        <f>IF([1]Sheet2!CG126=999999,"NA",[1]Sheet2!CG126)</f>
        <v>135</v>
      </c>
      <c r="BZ127" s="14">
        <f>IF([1]Sheet2!CH126=999999,"NA",[1]Sheet2!CH126)</f>
        <v>241</v>
      </c>
      <c r="CA127" s="14">
        <f>IF([1]Sheet2!CI126=999999,"NA",[1]Sheet2!CI126)</f>
        <v>241</v>
      </c>
      <c r="CB127" s="14">
        <f>IF([1]Sheet2!CJ126=999999,"NA",[1]Sheet2!CJ126)</f>
        <v>241</v>
      </c>
      <c r="CC127" s="14">
        <f>[1]Sheet2!BG126</f>
        <v>0</v>
      </c>
      <c r="CD127" s="14">
        <f>[1]Sheet2!BH126</f>
        <v>0</v>
      </c>
      <c r="CE127" s="14">
        <f>[1]Sheet2!BI126</f>
        <v>0</v>
      </c>
      <c r="CF127" s="14">
        <f>[1]Sheet2!BJ126</f>
        <v>0</v>
      </c>
      <c r="CG127" s="14">
        <f>[1]Sheet2!BK126</f>
        <v>0</v>
      </c>
      <c r="CH127" s="14">
        <f>[1]Sheet2!BL126</f>
        <v>0</v>
      </c>
      <c r="CI127" s="14">
        <f>[1]Sheet2!BM126</f>
        <v>0</v>
      </c>
      <c r="CJ127" s="14">
        <f>[1]Sheet2!BN126</f>
        <v>0</v>
      </c>
      <c r="CK127" s="14">
        <f>[1]Sheet2!BO126</f>
        <v>0</v>
      </c>
      <c r="CL127" s="14">
        <f>[1]Sheet2!BP126</f>
        <v>0</v>
      </c>
      <c r="CM127" s="16">
        <f>Demand_SW!B$7/31</f>
        <v>122.8287841191067</v>
      </c>
      <c r="CN127" s="16">
        <f>Demand_SW!C$7/31</f>
        <v>0</v>
      </c>
      <c r="CO127" s="16">
        <f>Demand_SW!D$7/31</f>
        <v>0</v>
      </c>
      <c r="CP127" s="16">
        <f>Demand_SW!E$7/31</f>
        <v>0</v>
      </c>
      <c r="CQ127" s="16">
        <f>Demand_SW!F$7/31</f>
        <v>0</v>
      </c>
      <c r="CR127" s="16">
        <f>Demand_SW!G$7/31</f>
        <v>122.8287841191067</v>
      </c>
      <c r="CS127" s="16">
        <f>Demand_SW!H$7/31</f>
        <v>0</v>
      </c>
      <c r="CT127" s="16">
        <f>Demand_SW!I$7/31</f>
        <v>0</v>
      </c>
      <c r="CU127" s="16">
        <f>Demand_SW!J$7/31</f>
        <v>0</v>
      </c>
      <c r="CV127" s="16">
        <f>Demand_SW!K$7/31</f>
        <v>0</v>
      </c>
      <c r="CW127" s="16">
        <f t="shared" si="53"/>
        <v>34045.607940446651</v>
      </c>
      <c r="CX127" s="16">
        <f t="shared" si="54"/>
        <v>-423.07692307692292</v>
      </c>
      <c r="CY127" s="16">
        <f t="shared" si="55"/>
        <v>0</v>
      </c>
      <c r="CZ127" s="16">
        <f t="shared" si="56"/>
        <v>0</v>
      </c>
      <c r="DA127" s="16">
        <f t="shared" si="57"/>
        <v>0</v>
      </c>
      <c r="DB127" s="16">
        <f t="shared" si="58"/>
        <v>-15483.622828784131</v>
      </c>
      <c r="DC127" s="16">
        <f t="shared" si="59"/>
        <v>-423.07692307692292</v>
      </c>
      <c r="DD127" s="16">
        <f t="shared" si="60"/>
        <v>0</v>
      </c>
      <c r="DE127" s="16">
        <f t="shared" si="61"/>
        <v>0</v>
      </c>
      <c r="DF127" s="16">
        <f t="shared" si="62"/>
        <v>0</v>
      </c>
      <c r="DG127" s="14">
        <f>IF([1]Sheet2!DR126=999999,"NA",[1]Sheet2!DR126)</f>
        <v>73103</v>
      </c>
      <c r="DH127" s="14">
        <f>IF([1]Sheet2!DS126=999999,"NA",[1]Sheet2!DS126)</f>
        <v>241</v>
      </c>
      <c r="DI127" s="14">
        <f>IF([1]Sheet2!DT126=999999,"NA",[1]Sheet2!DT126)</f>
        <v>241</v>
      </c>
      <c r="DJ127" s="14" t="str">
        <f>IF([1]Sheet2!DU126=999999,"NA",[1]Sheet2!DU126)</f>
        <v>NA</v>
      </c>
      <c r="DK127" s="14" t="str">
        <f>IF([1]Sheet2!DV126=999999,"NA",[1]Sheet2!DV126)</f>
        <v>NA</v>
      </c>
      <c r="DL127" s="14" t="str">
        <f>IF([1]Sheet2!DW126=999999,"NA",[1]Sheet2!DW126)</f>
        <v>NA</v>
      </c>
      <c r="DM127" s="14">
        <f>IF([1]Sheet2!DX126=999999,"NA",[1]Sheet2!DX126)</f>
        <v>241</v>
      </c>
      <c r="DN127" s="14">
        <f>IF([1]Sheet2!DY126=999999,"NA",[1]Sheet2!DY126)</f>
        <v>241</v>
      </c>
      <c r="DO127" s="14" t="str">
        <f>IF([1]Sheet2!DZ126=999999,"NA",[1]Sheet2!DZ126)</f>
        <v>NA</v>
      </c>
      <c r="DP127" s="14" t="str">
        <f>IF([1]Sheet2!EA126=999999,"NA",[1]Sheet2!EA126)</f>
        <v>NA</v>
      </c>
      <c r="DQ127" s="14">
        <f>[1]Sheet2!CX126</f>
        <v>0</v>
      </c>
      <c r="DR127" s="14">
        <f>[1]Sheet2!CY126</f>
        <v>0</v>
      </c>
      <c r="DS127" s="14">
        <f>[1]Sheet2!CZ126</f>
        <v>0</v>
      </c>
      <c r="DT127" s="14">
        <f>[1]Sheet2!DA126</f>
        <v>0</v>
      </c>
      <c r="DU127" s="14">
        <f>[1]Sheet2!DB126</f>
        <v>0</v>
      </c>
      <c r="DV127" s="14">
        <f>[1]Sheet2!DC126</f>
        <v>0</v>
      </c>
      <c r="DW127" s="14">
        <f>[1]Sheet2!DD126</f>
        <v>0</v>
      </c>
      <c r="DX127" s="14">
        <f>[1]Sheet2!DE126</f>
        <v>0</v>
      </c>
      <c r="DY127" s="14">
        <f>[1]Sheet2!DF126</f>
        <v>0</v>
      </c>
      <c r="DZ127" s="14">
        <f>[1]Sheet2!DG126</f>
        <v>0</v>
      </c>
    </row>
    <row r="128" spans="1:130" x14ac:dyDescent="0.25">
      <c r="A128" s="15">
        <v>43590</v>
      </c>
      <c r="B128" s="1"/>
      <c r="C128" s="1"/>
      <c r="D128" s="1"/>
      <c r="E128" s="14">
        <f>[1]Sheet2!N127</f>
        <v>0</v>
      </c>
      <c r="F128" s="14">
        <f>[1]Sheet2!BE127</f>
        <v>0</v>
      </c>
      <c r="G128" s="14">
        <f>[1]Sheet2!CV127</f>
        <v>245.6575682382134</v>
      </c>
      <c r="H128" s="1"/>
      <c r="I128" s="1"/>
      <c r="J128" s="1"/>
      <c r="K128" s="16">
        <f>Demand_CWRS!B$7/31</f>
        <v>129.8994219137717</v>
      </c>
      <c r="L128" s="16">
        <f>Demand_CWRS!C$7/31</f>
        <v>543.3829611248965</v>
      </c>
      <c r="M128" s="16">
        <f>Demand_CWRS!D$7/31</f>
        <v>0</v>
      </c>
      <c r="N128" s="16">
        <f>Demand_CWRS!E$7/31</f>
        <v>131.84491315136475</v>
      </c>
      <c r="O128" s="16">
        <f>Demand_CWRS!F$7/31</f>
        <v>232.12592522229113</v>
      </c>
      <c r="P128" s="16">
        <f>Demand_CWRS!G$7/31</f>
        <v>129.8994219137717</v>
      </c>
      <c r="Q128" s="16">
        <f>Demand_CWRS!H$7/31</f>
        <v>543.3829611248965</v>
      </c>
      <c r="R128" s="16">
        <f>Demand_CWRS!I$7/31</f>
        <v>232.12592522229113</v>
      </c>
      <c r="S128" s="16">
        <f>Demand_CWRS!J$7/31</f>
        <v>232.12592522229113</v>
      </c>
      <c r="T128" s="16">
        <f>Demand_CWRS!K$7/31</f>
        <v>232.12592522229113</v>
      </c>
      <c r="U128" s="16">
        <f t="shared" si="33"/>
        <v>-19237.330750330755</v>
      </c>
      <c r="V128" s="16">
        <f t="shared" si="34"/>
        <v>-55232.050703060253</v>
      </c>
      <c r="W128" s="16">
        <f t="shared" si="35"/>
        <v>0</v>
      </c>
      <c r="X128" s="16">
        <f t="shared" si="36"/>
        <v>-12407.860089937298</v>
      </c>
      <c r="Y128" s="16">
        <f t="shared" si="37"/>
        <v>-27671.010884783587</v>
      </c>
      <c r="Z128" s="16">
        <f t="shared" si="38"/>
        <v>-18911.557601292305</v>
      </c>
      <c r="AA128" s="16">
        <f t="shared" si="39"/>
        <v>-54732.050703060253</v>
      </c>
      <c r="AB128" s="16">
        <f t="shared" si="40"/>
        <v>-25359.044298245102</v>
      </c>
      <c r="AC128" s="16">
        <f t="shared" si="41"/>
        <v>-25359.044298245091</v>
      </c>
      <c r="AD128" s="16">
        <f t="shared" si="42"/>
        <v>-26059.044298245095</v>
      </c>
      <c r="AE128" s="14">
        <f>IF([1]Sheet2!AJ127=999999,"NA",[1]Sheet2!AJ127)</f>
        <v>2</v>
      </c>
      <c r="AF128" s="14">
        <f>IF([1]Sheet2!AK127=999999,"NA",[1]Sheet2!AK127)</f>
        <v>0</v>
      </c>
      <c r="AG128" s="14" t="str">
        <f>IF([1]Sheet2!AL127=999999,"NA",[1]Sheet2!AL127)</f>
        <v>NA</v>
      </c>
      <c r="AH128" s="14">
        <f>IF([1]Sheet2!AM127=999999,"NA",[1]Sheet2!AM127)</f>
        <v>240</v>
      </c>
      <c r="AI128" s="14">
        <f>IF([1]Sheet2!AN127=999999,"NA",[1]Sheet2!AN127)</f>
        <v>240</v>
      </c>
      <c r="AJ128" s="14">
        <f>IF([1]Sheet2!AO127=999999,"NA",[1]Sheet2!AO127)</f>
        <v>240</v>
      </c>
      <c r="AK128" s="14">
        <f>IF([1]Sheet2!AP127=999999,"NA",[1]Sheet2!AP127)</f>
        <v>0</v>
      </c>
      <c r="AL128" s="14">
        <f>IF([1]Sheet2!AQ127=999999,"NA",[1]Sheet2!AQ127)</f>
        <v>116</v>
      </c>
      <c r="AM128" s="14">
        <f>IF([1]Sheet2!AR127=999999,"NA",[1]Sheet2!AR127)</f>
        <v>240</v>
      </c>
      <c r="AN128" s="14">
        <f>IF([1]Sheet2!AS127=999999,"NA",[1]Sheet2!AS127)</f>
        <v>172</v>
      </c>
      <c r="AO128" s="14">
        <f>[1]Sheet2!P127</f>
        <v>0</v>
      </c>
      <c r="AP128" s="14">
        <f>[1]Sheet2!Q127</f>
        <v>0</v>
      </c>
      <c r="AQ128" s="14">
        <f>[1]Sheet2!R127</f>
        <v>0</v>
      </c>
      <c r="AR128" s="14">
        <f>[1]Sheet2!S127</f>
        <v>0</v>
      </c>
      <c r="AS128" s="14">
        <f>[1]Sheet2!T127</f>
        <v>0</v>
      </c>
      <c r="AT128" s="14">
        <f>[1]Sheet2!U127</f>
        <v>0</v>
      </c>
      <c r="AU128" s="14">
        <f>[1]Sheet2!V127</f>
        <v>0</v>
      </c>
      <c r="AV128" s="14">
        <f>[1]Sheet2!W127</f>
        <v>0</v>
      </c>
      <c r="AW128" s="14">
        <f>[1]Sheet2!X127</f>
        <v>0</v>
      </c>
      <c r="AX128" s="14">
        <f>[1]Sheet2!Y127</f>
        <v>0</v>
      </c>
      <c r="AY128" s="16">
        <f>Demand_LP!B$7/31</f>
        <v>855.82964911600493</v>
      </c>
      <c r="AZ128" s="16">
        <f>Demand_LP!C$7/31</f>
        <v>478.74276261373035</v>
      </c>
      <c r="BA128" s="16">
        <f>Demand_LP!D$7/31</f>
        <v>366.03598014888337</v>
      </c>
      <c r="BB128" s="16">
        <f>Demand_LP!E$7/31</f>
        <v>837.96277915632766</v>
      </c>
      <c r="BC128" s="16">
        <f>Demand_LP!F$7/31</f>
        <v>447.19049589019846</v>
      </c>
      <c r="BD128" s="16">
        <f>Demand_LP!G$7/31</f>
        <v>855.82964911600493</v>
      </c>
      <c r="BE128" s="16">
        <f>Demand_LP!H$7/31</f>
        <v>478.74276261373035</v>
      </c>
      <c r="BF128" s="16">
        <f>Demand_LP!I$7/31</f>
        <v>447.19049589019846</v>
      </c>
      <c r="BG128" s="16">
        <f>Demand_LP!J$7/31</f>
        <v>447.19049589019846</v>
      </c>
      <c r="BH128" s="16">
        <f>Demand_LP!K$7/31</f>
        <v>447.19049589019846</v>
      </c>
      <c r="BI128" s="16" t="e">
        <f t="shared" si="43"/>
        <v>#VALUE!</v>
      </c>
      <c r="BJ128" s="16">
        <f t="shared" si="44"/>
        <v>-77504.167659222396</v>
      </c>
      <c r="BK128" s="16">
        <f t="shared" si="45"/>
        <v>-35003.18374689827</v>
      </c>
      <c r="BL128" s="16">
        <f t="shared" si="46"/>
        <v>-91860.784392373535</v>
      </c>
      <c r="BM128" s="16">
        <f t="shared" si="47"/>
        <v>-56853.937611561174</v>
      </c>
      <c r="BN128" s="16">
        <f t="shared" si="48"/>
        <v>-88395.855474513475</v>
      </c>
      <c r="BO128" s="16">
        <f t="shared" si="49"/>
        <v>-79861.747146401918</v>
      </c>
      <c r="BP128" s="16">
        <f t="shared" si="50"/>
        <v>-56311.62152993177</v>
      </c>
      <c r="BQ128" s="16">
        <f t="shared" si="51"/>
        <v>-52911.621529931792</v>
      </c>
      <c r="BR128" s="16">
        <f t="shared" si="52"/>
        <v>-54111.621529931777</v>
      </c>
      <c r="BS128" s="14">
        <f>IF([1]Sheet2!CA127=999999,"NA",[1]Sheet2!CA127)</f>
        <v>162367.37847006845</v>
      </c>
      <c r="BT128" s="14">
        <f>IF([1]Sheet2!CB127=999999,"NA",[1]Sheet2!CB127)</f>
        <v>162</v>
      </c>
      <c r="BU128" s="14">
        <f>IF([1]Sheet2!CC127=999999,"NA",[1]Sheet2!CC127)</f>
        <v>240</v>
      </c>
      <c r="BV128" s="14">
        <f>IF([1]Sheet2!CD127=999999,"NA",[1]Sheet2!CD127)</f>
        <v>240</v>
      </c>
      <c r="BW128" s="14">
        <f>IF([1]Sheet2!CE127=999999,"NA",[1]Sheet2!CE127)</f>
        <v>202</v>
      </c>
      <c r="BX128" s="14">
        <f>IF([1]Sheet2!CF127=999999,"NA",[1]Sheet2!CF127)</f>
        <v>240</v>
      </c>
      <c r="BY128" s="14">
        <f>IF([1]Sheet2!CG127=999999,"NA",[1]Sheet2!CG127)</f>
        <v>134</v>
      </c>
      <c r="BZ128" s="14">
        <f>IF([1]Sheet2!CH127=999999,"NA",[1]Sheet2!CH127)</f>
        <v>240</v>
      </c>
      <c r="CA128" s="14">
        <f>IF([1]Sheet2!CI127=999999,"NA",[1]Sheet2!CI127)</f>
        <v>240</v>
      </c>
      <c r="CB128" s="14">
        <f>IF([1]Sheet2!CJ127=999999,"NA",[1]Sheet2!CJ127)</f>
        <v>240</v>
      </c>
      <c r="CC128" s="14">
        <f>[1]Sheet2!BG127</f>
        <v>0</v>
      </c>
      <c r="CD128" s="14">
        <f>[1]Sheet2!BH127</f>
        <v>0</v>
      </c>
      <c r="CE128" s="14">
        <f>[1]Sheet2!BI127</f>
        <v>0</v>
      </c>
      <c r="CF128" s="14">
        <f>[1]Sheet2!BJ127</f>
        <v>0</v>
      </c>
      <c r="CG128" s="14">
        <f>[1]Sheet2!BK127</f>
        <v>0</v>
      </c>
      <c r="CH128" s="14">
        <f>[1]Sheet2!BL127</f>
        <v>0</v>
      </c>
      <c r="CI128" s="14">
        <f>[1]Sheet2!BM127</f>
        <v>0</v>
      </c>
      <c r="CJ128" s="14">
        <f>[1]Sheet2!BN127</f>
        <v>0</v>
      </c>
      <c r="CK128" s="14">
        <f>[1]Sheet2!BO127</f>
        <v>0</v>
      </c>
      <c r="CL128" s="14">
        <f>[1]Sheet2!BP127</f>
        <v>0</v>
      </c>
      <c r="CM128" s="16">
        <f>Demand_SW!B$7/31</f>
        <v>122.8287841191067</v>
      </c>
      <c r="CN128" s="16">
        <f>Demand_SW!C$7/31</f>
        <v>0</v>
      </c>
      <c r="CO128" s="16">
        <f>Demand_SW!D$7/31</f>
        <v>0</v>
      </c>
      <c r="CP128" s="16">
        <f>Demand_SW!E$7/31</f>
        <v>0</v>
      </c>
      <c r="CQ128" s="16">
        <f>Demand_SW!F$7/31</f>
        <v>0</v>
      </c>
      <c r="CR128" s="16">
        <f>Demand_SW!G$7/31</f>
        <v>122.8287841191067</v>
      </c>
      <c r="CS128" s="16">
        <f>Demand_SW!H$7/31</f>
        <v>0</v>
      </c>
      <c r="CT128" s="16">
        <f>Demand_SW!I$7/31</f>
        <v>0</v>
      </c>
      <c r="CU128" s="16">
        <f>Demand_SW!J$7/31</f>
        <v>0</v>
      </c>
      <c r="CV128" s="16">
        <f>Demand_SW!K$7/31</f>
        <v>0</v>
      </c>
      <c r="CW128" s="16">
        <f t="shared" si="53"/>
        <v>33922.779156327546</v>
      </c>
      <c r="CX128" s="16">
        <f t="shared" si="54"/>
        <v>-423.07692307692292</v>
      </c>
      <c r="CY128" s="16">
        <f t="shared" si="55"/>
        <v>0</v>
      </c>
      <c r="CZ128" s="16">
        <f t="shared" si="56"/>
        <v>0</v>
      </c>
      <c r="DA128" s="16">
        <f t="shared" si="57"/>
        <v>0</v>
      </c>
      <c r="DB128" s="16">
        <f t="shared" si="58"/>
        <v>-15606.451612903238</v>
      </c>
      <c r="DC128" s="16">
        <f t="shared" si="59"/>
        <v>-423.07692307692292</v>
      </c>
      <c r="DD128" s="16">
        <f t="shared" si="60"/>
        <v>0</v>
      </c>
      <c r="DE128" s="16">
        <f t="shared" si="61"/>
        <v>0</v>
      </c>
      <c r="DF128" s="16">
        <f t="shared" si="62"/>
        <v>0</v>
      </c>
      <c r="DG128" s="14">
        <f>IF([1]Sheet2!DR127=999999,"NA",[1]Sheet2!DR127)</f>
        <v>73103</v>
      </c>
      <c r="DH128" s="14">
        <f>IF([1]Sheet2!DS127=999999,"NA",[1]Sheet2!DS127)</f>
        <v>240</v>
      </c>
      <c r="DI128" s="14">
        <f>IF([1]Sheet2!DT127=999999,"NA",[1]Sheet2!DT127)</f>
        <v>240</v>
      </c>
      <c r="DJ128" s="14" t="str">
        <f>IF([1]Sheet2!DU127=999999,"NA",[1]Sheet2!DU127)</f>
        <v>NA</v>
      </c>
      <c r="DK128" s="14" t="str">
        <f>IF([1]Sheet2!DV127=999999,"NA",[1]Sheet2!DV127)</f>
        <v>NA</v>
      </c>
      <c r="DL128" s="14" t="str">
        <f>IF([1]Sheet2!DW127=999999,"NA",[1]Sheet2!DW127)</f>
        <v>NA</v>
      </c>
      <c r="DM128" s="14">
        <f>IF([1]Sheet2!DX127=999999,"NA",[1]Sheet2!DX127)</f>
        <v>240</v>
      </c>
      <c r="DN128" s="14">
        <f>IF([1]Sheet2!DY127=999999,"NA",[1]Sheet2!DY127)</f>
        <v>240</v>
      </c>
      <c r="DO128" s="14" t="str">
        <f>IF([1]Sheet2!DZ127=999999,"NA",[1]Sheet2!DZ127)</f>
        <v>NA</v>
      </c>
      <c r="DP128" s="14" t="str">
        <f>IF([1]Sheet2!EA127=999999,"NA",[1]Sheet2!EA127)</f>
        <v>NA</v>
      </c>
      <c r="DQ128" s="14">
        <f>[1]Sheet2!CX127</f>
        <v>0</v>
      </c>
      <c r="DR128" s="14">
        <f>[1]Sheet2!CY127</f>
        <v>0</v>
      </c>
      <c r="DS128" s="14">
        <f>[1]Sheet2!CZ127</f>
        <v>0</v>
      </c>
      <c r="DT128" s="14">
        <f>[1]Sheet2!DA127</f>
        <v>0</v>
      </c>
      <c r="DU128" s="14">
        <f>[1]Sheet2!DB127</f>
        <v>0</v>
      </c>
      <c r="DV128" s="14">
        <f>[1]Sheet2!DC127</f>
        <v>0</v>
      </c>
      <c r="DW128" s="14">
        <f>[1]Sheet2!DD127</f>
        <v>0</v>
      </c>
      <c r="DX128" s="14">
        <f>[1]Sheet2!DE127</f>
        <v>0</v>
      </c>
      <c r="DY128" s="14">
        <f>[1]Sheet2!DF127</f>
        <v>0</v>
      </c>
      <c r="DZ128" s="14">
        <f>[1]Sheet2!DG127</f>
        <v>0</v>
      </c>
    </row>
    <row r="129" spans="1:130" x14ac:dyDescent="0.25">
      <c r="A129" s="15">
        <v>43591</v>
      </c>
      <c r="B129" s="1"/>
      <c r="C129" s="1"/>
      <c r="D129" s="1"/>
      <c r="E129" s="14">
        <f>[1]Sheet2!N128</f>
        <v>0</v>
      </c>
      <c r="F129" s="14">
        <f>[1]Sheet2!BE128</f>
        <v>0</v>
      </c>
      <c r="G129" s="14">
        <f>[1]Sheet2!CV128</f>
        <v>245.6575682382134</v>
      </c>
      <c r="H129" s="1"/>
      <c r="I129" s="1"/>
      <c r="J129" s="1"/>
      <c r="K129" s="16">
        <f>Demand_CWRS!B$7/31</f>
        <v>129.8994219137717</v>
      </c>
      <c r="L129" s="16">
        <f>Demand_CWRS!C$7/31</f>
        <v>543.3829611248965</v>
      </c>
      <c r="M129" s="16">
        <f>Demand_CWRS!D$7/31</f>
        <v>0</v>
      </c>
      <c r="N129" s="16">
        <f>Demand_CWRS!E$7/31</f>
        <v>131.84491315136475</v>
      </c>
      <c r="O129" s="16">
        <f>Demand_CWRS!F$7/31</f>
        <v>232.12592522229113</v>
      </c>
      <c r="P129" s="16">
        <f>Demand_CWRS!G$7/31</f>
        <v>129.8994219137717</v>
      </c>
      <c r="Q129" s="16">
        <f>Demand_CWRS!H$7/31</f>
        <v>543.3829611248965</v>
      </c>
      <c r="R129" s="16">
        <f>Demand_CWRS!I$7/31</f>
        <v>232.12592522229113</v>
      </c>
      <c r="S129" s="16">
        <f>Demand_CWRS!J$7/31</f>
        <v>232.12592522229113</v>
      </c>
      <c r="T129" s="16">
        <f>Demand_CWRS!K$7/31</f>
        <v>232.12592522229113</v>
      </c>
      <c r="U129" s="16">
        <f t="shared" si="33"/>
        <v>-19367.230172244526</v>
      </c>
      <c r="V129" s="16">
        <f t="shared" si="34"/>
        <v>-55775.433664185148</v>
      </c>
      <c r="W129" s="16">
        <f t="shared" si="35"/>
        <v>0</v>
      </c>
      <c r="X129" s="16">
        <f t="shared" si="36"/>
        <v>-12539.705003088662</v>
      </c>
      <c r="Y129" s="16">
        <f t="shared" si="37"/>
        <v>-27903.136810005879</v>
      </c>
      <c r="Z129" s="16">
        <f t="shared" si="38"/>
        <v>-19041.457023206076</v>
      </c>
      <c r="AA129" s="16">
        <f t="shared" si="39"/>
        <v>-55275.433664185148</v>
      </c>
      <c r="AB129" s="16">
        <f t="shared" si="40"/>
        <v>-25591.170223467394</v>
      </c>
      <c r="AC129" s="16">
        <f t="shared" si="41"/>
        <v>-25591.170223467383</v>
      </c>
      <c r="AD129" s="16">
        <f t="shared" si="42"/>
        <v>-26291.170223467387</v>
      </c>
      <c r="AE129" s="14">
        <f>IF([1]Sheet2!AJ128=999999,"NA",[1]Sheet2!AJ128)</f>
        <v>1</v>
      </c>
      <c r="AF129" s="14">
        <f>IF([1]Sheet2!AK128=999999,"NA",[1]Sheet2!AK128)</f>
        <v>0</v>
      </c>
      <c r="AG129" s="14" t="str">
        <f>IF([1]Sheet2!AL128=999999,"NA",[1]Sheet2!AL128)</f>
        <v>NA</v>
      </c>
      <c r="AH129" s="14">
        <f>IF([1]Sheet2!AM128=999999,"NA",[1]Sheet2!AM128)</f>
        <v>239</v>
      </c>
      <c r="AI129" s="14">
        <f>IF([1]Sheet2!AN128=999999,"NA",[1]Sheet2!AN128)</f>
        <v>239</v>
      </c>
      <c r="AJ129" s="14">
        <f>IF([1]Sheet2!AO128=999999,"NA",[1]Sheet2!AO128)</f>
        <v>239</v>
      </c>
      <c r="AK129" s="14">
        <f>IF([1]Sheet2!AP128=999999,"NA",[1]Sheet2!AP128)</f>
        <v>0</v>
      </c>
      <c r="AL129" s="14">
        <f>IF([1]Sheet2!AQ128=999999,"NA",[1]Sheet2!AQ128)</f>
        <v>115</v>
      </c>
      <c r="AM129" s="14">
        <f>IF([1]Sheet2!AR128=999999,"NA",[1]Sheet2!AR128)</f>
        <v>239</v>
      </c>
      <c r="AN129" s="14">
        <f>IF([1]Sheet2!AS128=999999,"NA",[1]Sheet2!AS128)</f>
        <v>171</v>
      </c>
      <c r="AO129" s="14">
        <f>[1]Sheet2!P128</f>
        <v>0</v>
      </c>
      <c r="AP129" s="14">
        <f>[1]Sheet2!Q128</f>
        <v>0</v>
      </c>
      <c r="AQ129" s="14">
        <f>[1]Sheet2!R128</f>
        <v>0</v>
      </c>
      <c r="AR129" s="14">
        <f>[1]Sheet2!S128</f>
        <v>0</v>
      </c>
      <c r="AS129" s="14">
        <f>[1]Sheet2!T128</f>
        <v>0</v>
      </c>
      <c r="AT129" s="14">
        <f>[1]Sheet2!U128</f>
        <v>0</v>
      </c>
      <c r="AU129" s="14">
        <f>[1]Sheet2!V128</f>
        <v>0</v>
      </c>
      <c r="AV129" s="14">
        <f>[1]Sheet2!W128</f>
        <v>0</v>
      </c>
      <c r="AW129" s="14">
        <f>[1]Sheet2!X128</f>
        <v>0</v>
      </c>
      <c r="AX129" s="14">
        <f>[1]Sheet2!Y128</f>
        <v>0</v>
      </c>
      <c r="AY129" s="16">
        <f>Demand_LP!B$7/31</f>
        <v>855.82964911600493</v>
      </c>
      <c r="AZ129" s="16">
        <f>Demand_LP!C$7/31</f>
        <v>478.74276261373035</v>
      </c>
      <c r="BA129" s="16">
        <f>Demand_LP!D$7/31</f>
        <v>366.03598014888337</v>
      </c>
      <c r="BB129" s="16">
        <f>Demand_LP!E$7/31</f>
        <v>837.96277915632766</v>
      </c>
      <c r="BC129" s="16">
        <f>Demand_LP!F$7/31</f>
        <v>447.19049589019846</v>
      </c>
      <c r="BD129" s="16">
        <f>Demand_LP!G$7/31</f>
        <v>855.82964911600493</v>
      </c>
      <c r="BE129" s="16">
        <f>Demand_LP!H$7/31</f>
        <v>478.74276261373035</v>
      </c>
      <c r="BF129" s="16">
        <f>Demand_LP!I$7/31</f>
        <v>447.19049589019846</v>
      </c>
      <c r="BG129" s="16">
        <f>Demand_LP!J$7/31</f>
        <v>447.19049589019846</v>
      </c>
      <c r="BH129" s="16">
        <f>Demand_LP!K$7/31</f>
        <v>447.19049589019846</v>
      </c>
      <c r="BI129" s="16" t="e">
        <f t="shared" si="43"/>
        <v>#VALUE!</v>
      </c>
      <c r="BJ129" s="16">
        <f t="shared" si="44"/>
        <v>-77982.910421836132</v>
      </c>
      <c r="BK129" s="16">
        <f t="shared" si="45"/>
        <v>-35369.219727047152</v>
      </c>
      <c r="BL129" s="16">
        <f t="shared" si="46"/>
        <v>-92698.74717152986</v>
      </c>
      <c r="BM129" s="16">
        <f t="shared" si="47"/>
        <v>-57301.128107451375</v>
      </c>
      <c r="BN129" s="16">
        <f t="shared" si="48"/>
        <v>-89251.685123629475</v>
      </c>
      <c r="BO129" s="16">
        <f t="shared" si="49"/>
        <v>-80340.489909015654</v>
      </c>
      <c r="BP129" s="16">
        <f t="shared" si="50"/>
        <v>-56758.812025821971</v>
      </c>
      <c r="BQ129" s="16">
        <f t="shared" si="51"/>
        <v>-53358.812025821993</v>
      </c>
      <c r="BR129" s="16">
        <f t="shared" si="52"/>
        <v>-54558.812025821979</v>
      </c>
      <c r="BS129" s="14">
        <f>IF([1]Sheet2!CA128=999999,"NA",[1]Sheet2!CA128)</f>
        <v>161920.18797417826</v>
      </c>
      <c r="BT129" s="14">
        <f>IF([1]Sheet2!CB128=999999,"NA",[1]Sheet2!CB128)</f>
        <v>161</v>
      </c>
      <c r="BU129" s="14">
        <f>IF([1]Sheet2!CC128=999999,"NA",[1]Sheet2!CC128)</f>
        <v>239</v>
      </c>
      <c r="BV129" s="14">
        <f>IF([1]Sheet2!CD128=999999,"NA",[1]Sheet2!CD128)</f>
        <v>239</v>
      </c>
      <c r="BW129" s="14">
        <f>IF([1]Sheet2!CE128=999999,"NA",[1]Sheet2!CE128)</f>
        <v>201</v>
      </c>
      <c r="BX129" s="14">
        <f>IF([1]Sheet2!CF128=999999,"NA",[1]Sheet2!CF128)</f>
        <v>239</v>
      </c>
      <c r="BY129" s="14">
        <f>IF([1]Sheet2!CG128=999999,"NA",[1]Sheet2!CG128)</f>
        <v>133</v>
      </c>
      <c r="BZ129" s="14">
        <f>IF([1]Sheet2!CH128=999999,"NA",[1]Sheet2!CH128)</f>
        <v>239</v>
      </c>
      <c r="CA129" s="14">
        <f>IF([1]Sheet2!CI128=999999,"NA",[1]Sheet2!CI128)</f>
        <v>239</v>
      </c>
      <c r="CB129" s="14">
        <f>IF([1]Sheet2!CJ128=999999,"NA",[1]Sheet2!CJ128)</f>
        <v>239</v>
      </c>
      <c r="CC129" s="14">
        <f>[1]Sheet2!BG128</f>
        <v>0</v>
      </c>
      <c r="CD129" s="14">
        <f>[1]Sheet2!BH128</f>
        <v>0</v>
      </c>
      <c r="CE129" s="14">
        <f>[1]Sheet2!BI128</f>
        <v>0</v>
      </c>
      <c r="CF129" s="14">
        <f>[1]Sheet2!BJ128</f>
        <v>0</v>
      </c>
      <c r="CG129" s="14">
        <f>[1]Sheet2!BK128</f>
        <v>0</v>
      </c>
      <c r="CH129" s="14">
        <f>[1]Sheet2!BL128</f>
        <v>0</v>
      </c>
      <c r="CI129" s="14">
        <f>[1]Sheet2!BM128</f>
        <v>0</v>
      </c>
      <c r="CJ129" s="14">
        <f>[1]Sheet2!BN128</f>
        <v>0</v>
      </c>
      <c r="CK129" s="14">
        <f>[1]Sheet2!BO128</f>
        <v>0</v>
      </c>
      <c r="CL129" s="14">
        <f>[1]Sheet2!BP128</f>
        <v>0</v>
      </c>
      <c r="CM129" s="16">
        <f>Demand_SW!B$7/31</f>
        <v>122.8287841191067</v>
      </c>
      <c r="CN129" s="16">
        <f>Demand_SW!C$7/31</f>
        <v>0</v>
      </c>
      <c r="CO129" s="16">
        <f>Demand_SW!D$7/31</f>
        <v>0</v>
      </c>
      <c r="CP129" s="16">
        <f>Demand_SW!E$7/31</f>
        <v>0</v>
      </c>
      <c r="CQ129" s="16">
        <f>Demand_SW!F$7/31</f>
        <v>0</v>
      </c>
      <c r="CR129" s="16">
        <f>Demand_SW!G$7/31</f>
        <v>122.8287841191067</v>
      </c>
      <c r="CS129" s="16">
        <f>Demand_SW!H$7/31</f>
        <v>0</v>
      </c>
      <c r="CT129" s="16">
        <f>Demand_SW!I$7/31</f>
        <v>0</v>
      </c>
      <c r="CU129" s="16">
        <f>Demand_SW!J$7/31</f>
        <v>0</v>
      </c>
      <c r="CV129" s="16">
        <f>Demand_SW!K$7/31</f>
        <v>0</v>
      </c>
      <c r="CW129" s="16">
        <f t="shared" si="53"/>
        <v>33799.950372208441</v>
      </c>
      <c r="CX129" s="16">
        <f t="shared" si="54"/>
        <v>-423.07692307692292</v>
      </c>
      <c r="CY129" s="16">
        <f t="shared" si="55"/>
        <v>0</v>
      </c>
      <c r="CZ129" s="16">
        <f t="shared" si="56"/>
        <v>0</v>
      </c>
      <c r="DA129" s="16">
        <f t="shared" si="57"/>
        <v>0</v>
      </c>
      <c r="DB129" s="16">
        <f t="shared" si="58"/>
        <v>-15729.280397022345</v>
      </c>
      <c r="DC129" s="16">
        <f t="shared" si="59"/>
        <v>-423.07692307692292</v>
      </c>
      <c r="DD129" s="16">
        <f t="shared" si="60"/>
        <v>0</v>
      </c>
      <c r="DE129" s="16">
        <f t="shared" si="61"/>
        <v>0</v>
      </c>
      <c r="DF129" s="16">
        <f t="shared" si="62"/>
        <v>0</v>
      </c>
      <c r="DG129" s="14">
        <f>IF([1]Sheet2!DR128=999999,"NA",[1]Sheet2!DR128)</f>
        <v>73103</v>
      </c>
      <c r="DH129" s="14">
        <f>IF([1]Sheet2!DS128=999999,"NA",[1]Sheet2!DS128)</f>
        <v>239</v>
      </c>
      <c r="DI129" s="14">
        <f>IF([1]Sheet2!DT128=999999,"NA",[1]Sheet2!DT128)</f>
        <v>239</v>
      </c>
      <c r="DJ129" s="14" t="str">
        <f>IF([1]Sheet2!DU128=999999,"NA",[1]Sheet2!DU128)</f>
        <v>NA</v>
      </c>
      <c r="DK129" s="14" t="str">
        <f>IF([1]Sheet2!DV128=999999,"NA",[1]Sheet2!DV128)</f>
        <v>NA</v>
      </c>
      <c r="DL129" s="14" t="str">
        <f>IF([1]Sheet2!DW128=999999,"NA",[1]Sheet2!DW128)</f>
        <v>NA</v>
      </c>
      <c r="DM129" s="14">
        <f>IF([1]Sheet2!DX128=999999,"NA",[1]Sheet2!DX128)</f>
        <v>239</v>
      </c>
      <c r="DN129" s="14">
        <f>IF([1]Sheet2!DY128=999999,"NA",[1]Sheet2!DY128)</f>
        <v>239</v>
      </c>
      <c r="DO129" s="14" t="str">
        <f>IF([1]Sheet2!DZ128=999999,"NA",[1]Sheet2!DZ128)</f>
        <v>NA</v>
      </c>
      <c r="DP129" s="14" t="str">
        <f>IF([1]Sheet2!EA128=999999,"NA",[1]Sheet2!EA128)</f>
        <v>NA</v>
      </c>
      <c r="DQ129" s="14">
        <f>[1]Sheet2!CX128</f>
        <v>0</v>
      </c>
      <c r="DR129" s="14">
        <f>[1]Sheet2!CY128</f>
        <v>0</v>
      </c>
      <c r="DS129" s="14">
        <f>[1]Sheet2!CZ128</f>
        <v>0</v>
      </c>
      <c r="DT129" s="14">
        <f>[1]Sheet2!DA128</f>
        <v>0</v>
      </c>
      <c r="DU129" s="14">
        <f>[1]Sheet2!DB128</f>
        <v>0</v>
      </c>
      <c r="DV129" s="14">
        <f>[1]Sheet2!DC128</f>
        <v>0</v>
      </c>
      <c r="DW129" s="14">
        <f>[1]Sheet2!DD128</f>
        <v>0</v>
      </c>
      <c r="DX129" s="14">
        <f>[1]Sheet2!DE128</f>
        <v>0</v>
      </c>
      <c r="DY129" s="14">
        <f>[1]Sheet2!DF128</f>
        <v>0</v>
      </c>
      <c r="DZ129" s="14">
        <f>[1]Sheet2!DG128</f>
        <v>0</v>
      </c>
    </row>
    <row r="130" spans="1:130" x14ac:dyDescent="0.25">
      <c r="A130" s="15">
        <v>43592</v>
      </c>
      <c r="B130" s="1"/>
      <c r="C130" s="1"/>
      <c r="D130" s="1"/>
      <c r="E130" s="14">
        <f>[1]Sheet2!N129</f>
        <v>0</v>
      </c>
      <c r="F130" s="14">
        <f>[1]Sheet2!BE129</f>
        <v>0</v>
      </c>
      <c r="G130" s="14">
        <f>[1]Sheet2!CV129</f>
        <v>245.6575682382134</v>
      </c>
      <c r="H130" s="1"/>
      <c r="I130" s="1"/>
      <c r="J130" s="1"/>
      <c r="K130" s="16">
        <f>Demand_CWRS!B$7/31</f>
        <v>129.8994219137717</v>
      </c>
      <c r="L130" s="16">
        <f>Demand_CWRS!C$7/31</f>
        <v>543.3829611248965</v>
      </c>
      <c r="M130" s="16">
        <f>Demand_CWRS!D$7/31</f>
        <v>0</v>
      </c>
      <c r="N130" s="16">
        <f>Demand_CWRS!E$7/31</f>
        <v>131.84491315136475</v>
      </c>
      <c r="O130" s="16">
        <f>Demand_CWRS!F$7/31</f>
        <v>232.12592522229113</v>
      </c>
      <c r="P130" s="16">
        <f>Demand_CWRS!G$7/31</f>
        <v>129.8994219137717</v>
      </c>
      <c r="Q130" s="16">
        <f>Demand_CWRS!H$7/31</f>
        <v>543.3829611248965</v>
      </c>
      <c r="R130" s="16">
        <f>Demand_CWRS!I$7/31</f>
        <v>232.12592522229113</v>
      </c>
      <c r="S130" s="16">
        <f>Demand_CWRS!J$7/31</f>
        <v>232.12592522229113</v>
      </c>
      <c r="T130" s="16">
        <f>Demand_CWRS!K$7/31</f>
        <v>232.12592522229113</v>
      </c>
      <c r="U130" s="16">
        <f t="shared" si="33"/>
        <v>-19497.129594158298</v>
      </c>
      <c r="V130" s="16">
        <f t="shared" si="34"/>
        <v>-56318.816625310043</v>
      </c>
      <c r="W130" s="16">
        <f t="shared" si="35"/>
        <v>0</v>
      </c>
      <c r="X130" s="16">
        <f t="shared" si="36"/>
        <v>-12671.549916240027</v>
      </c>
      <c r="Y130" s="16">
        <f t="shared" si="37"/>
        <v>-28135.262735228171</v>
      </c>
      <c r="Z130" s="16">
        <f t="shared" si="38"/>
        <v>-19171.356445119847</v>
      </c>
      <c r="AA130" s="16">
        <f t="shared" si="39"/>
        <v>-55818.816625310043</v>
      </c>
      <c r="AB130" s="16">
        <f t="shared" si="40"/>
        <v>-25823.296148689686</v>
      </c>
      <c r="AC130" s="16">
        <f t="shared" si="41"/>
        <v>-25823.296148689675</v>
      </c>
      <c r="AD130" s="16">
        <f t="shared" si="42"/>
        <v>-26523.296148689678</v>
      </c>
      <c r="AE130" s="14">
        <f>IF([1]Sheet2!AJ129=999999,"NA",[1]Sheet2!AJ129)</f>
        <v>0</v>
      </c>
      <c r="AF130" s="14">
        <f>IF([1]Sheet2!AK129=999999,"NA",[1]Sheet2!AK129)</f>
        <v>0</v>
      </c>
      <c r="AG130" s="14" t="str">
        <f>IF([1]Sheet2!AL129=999999,"NA",[1]Sheet2!AL129)</f>
        <v>NA</v>
      </c>
      <c r="AH130" s="14">
        <f>IF([1]Sheet2!AM129=999999,"NA",[1]Sheet2!AM129)</f>
        <v>238</v>
      </c>
      <c r="AI130" s="14">
        <f>IF([1]Sheet2!AN129=999999,"NA",[1]Sheet2!AN129)</f>
        <v>238</v>
      </c>
      <c r="AJ130" s="14">
        <f>IF([1]Sheet2!AO129=999999,"NA",[1]Sheet2!AO129)</f>
        <v>238</v>
      </c>
      <c r="AK130" s="14">
        <f>IF([1]Sheet2!AP129=999999,"NA",[1]Sheet2!AP129)</f>
        <v>0</v>
      </c>
      <c r="AL130" s="14">
        <f>IF([1]Sheet2!AQ129=999999,"NA",[1]Sheet2!AQ129)</f>
        <v>114</v>
      </c>
      <c r="AM130" s="14">
        <f>IF([1]Sheet2!AR129=999999,"NA",[1]Sheet2!AR129)</f>
        <v>238</v>
      </c>
      <c r="AN130" s="14">
        <f>IF([1]Sheet2!AS129=999999,"NA",[1]Sheet2!AS129)</f>
        <v>170</v>
      </c>
      <c r="AO130" s="14">
        <f>[1]Sheet2!P129</f>
        <v>0</v>
      </c>
      <c r="AP130" s="14">
        <f>[1]Sheet2!Q129</f>
        <v>0</v>
      </c>
      <c r="AQ130" s="14">
        <f>[1]Sheet2!R129</f>
        <v>0</v>
      </c>
      <c r="AR130" s="14">
        <f>[1]Sheet2!S129</f>
        <v>0</v>
      </c>
      <c r="AS130" s="14">
        <f>[1]Sheet2!T129</f>
        <v>0</v>
      </c>
      <c r="AT130" s="14">
        <f>[1]Sheet2!U129</f>
        <v>0</v>
      </c>
      <c r="AU130" s="14">
        <f>[1]Sheet2!V129</f>
        <v>0</v>
      </c>
      <c r="AV130" s="14">
        <f>[1]Sheet2!W129</f>
        <v>0</v>
      </c>
      <c r="AW130" s="14">
        <f>[1]Sheet2!X129</f>
        <v>0</v>
      </c>
      <c r="AX130" s="14">
        <f>[1]Sheet2!Y129</f>
        <v>0</v>
      </c>
      <c r="AY130" s="16">
        <f>Demand_LP!B$7/31</f>
        <v>855.82964911600493</v>
      </c>
      <c r="AZ130" s="16">
        <f>Demand_LP!C$7/31</f>
        <v>478.74276261373035</v>
      </c>
      <c r="BA130" s="16">
        <f>Demand_LP!D$7/31</f>
        <v>366.03598014888337</v>
      </c>
      <c r="BB130" s="16">
        <f>Demand_LP!E$7/31</f>
        <v>837.96277915632766</v>
      </c>
      <c r="BC130" s="16">
        <f>Demand_LP!F$7/31</f>
        <v>447.19049589019846</v>
      </c>
      <c r="BD130" s="16">
        <f>Demand_LP!G$7/31</f>
        <v>855.82964911600493</v>
      </c>
      <c r="BE130" s="16">
        <f>Demand_LP!H$7/31</f>
        <v>478.74276261373035</v>
      </c>
      <c r="BF130" s="16">
        <f>Demand_LP!I$7/31</f>
        <v>447.19049589019846</v>
      </c>
      <c r="BG130" s="16">
        <f>Demand_LP!J$7/31</f>
        <v>447.19049589019846</v>
      </c>
      <c r="BH130" s="16">
        <f>Demand_LP!K$7/31</f>
        <v>447.19049589019846</v>
      </c>
      <c r="BI130" s="16" t="e">
        <f t="shared" si="43"/>
        <v>#VALUE!</v>
      </c>
      <c r="BJ130" s="16">
        <f t="shared" si="44"/>
        <v>-78461.653184449868</v>
      </c>
      <c r="BK130" s="16">
        <f t="shared" si="45"/>
        <v>-35735.255707196033</v>
      </c>
      <c r="BL130" s="16">
        <f t="shared" si="46"/>
        <v>-93536.709950686185</v>
      </c>
      <c r="BM130" s="16">
        <f t="shared" si="47"/>
        <v>-57748.318603341577</v>
      </c>
      <c r="BN130" s="16">
        <f t="shared" si="48"/>
        <v>-90107.514772745475</v>
      </c>
      <c r="BO130" s="16">
        <f t="shared" si="49"/>
        <v>-80819.23267162939</v>
      </c>
      <c r="BP130" s="16">
        <f t="shared" si="50"/>
        <v>-57206.002521712173</v>
      </c>
      <c r="BQ130" s="16">
        <f t="shared" si="51"/>
        <v>-53806.002521712195</v>
      </c>
      <c r="BR130" s="16">
        <f t="shared" si="52"/>
        <v>-55006.00252171218</v>
      </c>
      <c r="BS130" s="14">
        <f>IF([1]Sheet2!CA129=999999,"NA",[1]Sheet2!CA129)</f>
        <v>161472.99747828807</v>
      </c>
      <c r="BT130" s="14">
        <f>IF([1]Sheet2!CB129=999999,"NA",[1]Sheet2!CB129)</f>
        <v>160</v>
      </c>
      <c r="BU130" s="14">
        <f>IF([1]Sheet2!CC129=999999,"NA",[1]Sheet2!CC129)</f>
        <v>238</v>
      </c>
      <c r="BV130" s="14">
        <f>IF([1]Sheet2!CD129=999999,"NA",[1]Sheet2!CD129)</f>
        <v>238</v>
      </c>
      <c r="BW130" s="14">
        <f>IF([1]Sheet2!CE129=999999,"NA",[1]Sheet2!CE129)</f>
        <v>200</v>
      </c>
      <c r="BX130" s="14">
        <f>IF([1]Sheet2!CF129=999999,"NA",[1]Sheet2!CF129)</f>
        <v>238</v>
      </c>
      <c r="BY130" s="14">
        <f>IF([1]Sheet2!CG129=999999,"NA",[1]Sheet2!CG129)</f>
        <v>132</v>
      </c>
      <c r="BZ130" s="14">
        <f>IF([1]Sheet2!CH129=999999,"NA",[1]Sheet2!CH129)</f>
        <v>238</v>
      </c>
      <c r="CA130" s="14">
        <f>IF([1]Sheet2!CI129=999999,"NA",[1]Sheet2!CI129)</f>
        <v>238</v>
      </c>
      <c r="CB130" s="14">
        <f>IF([1]Sheet2!CJ129=999999,"NA",[1]Sheet2!CJ129)</f>
        <v>238</v>
      </c>
      <c r="CC130" s="14">
        <f>[1]Sheet2!BG129</f>
        <v>0</v>
      </c>
      <c r="CD130" s="14">
        <f>[1]Sheet2!BH129</f>
        <v>0</v>
      </c>
      <c r="CE130" s="14">
        <f>[1]Sheet2!BI129</f>
        <v>0</v>
      </c>
      <c r="CF130" s="14">
        <f>[1]Sheet2!BJ129</f>
        <v>0</v>
      </c>
      <c r="CG130" s="14">
        <f>[1]Sheet2!BK129</f>
        <v>0</v>
      </c>
      <c r="CH130" s="14">
        <f>[1]Sheet2!BL129</f>
        <v>0</v>
      </c>
      <c r="CI130" s="14">
        <f>[1]Sheet2!BM129</f>
        <v>0</v>
      </c>
      <c r="CJ130" s="14">
        <f>[1]Sheet2!BN129</f>
        <v>0</v>
      </c>
      <c r="CK130" s="14">
        <f>[1]Sheet2!BO129</f>
        <v>0</v>
      </c>
      <c r="CL130" s="14">
        <f>[1]Sheet2!BP129</f>
        <v>0</v>
      </c>
      <c r="CM130" s="16">
        <f>Demand_SW!B$7/31</f>
        <v>122.8287841191067</v>
      </c>
      <c r="CN130" s="16">
        <f>Demand_SW!C$7/31</f>
        <v>0</v>
      </c>
      <c r="CO130" s="16">
        <f>Demand_SW!D$7/31</f>
        <v>0</v>
      </c>
      <c r="CP130" s="16">
        <f>Demand_SW!E$7/31</f>
        <v>0</v>
      </c>
      <c r="CQ130" s="16">
        <f>Demand_SW!F$7/31</f>
        <v>0</v>
      </c>
      <c r="CR130" s="16">
        <f>Demand_SW!G$7/31</f>
        <v>122.8287841191067</v>
      </c>
      <c r="CS130" s="16">
        <f>Demand_SW!H$7/31</f>
        <v>0</v>
      </c>
      <c r="CT130" s="16">
        <f>Demand_SW!I$7/31</f>
        <v>0</v>
      </c>
      <c r="CU130" s="16">
        <f>Demand_SW!J$7/31</f>
        <v>0</v>
      </c>
      <c r="CV130" s="16">
        <f>Demand_SW!K$7/31</f>
        <v>0</v>
      </c>
      <c r="CW130" s="16">
        <f t="shared" si="53"/>
        <v>33677.121588089336</v>
      </c>
      <c r="CX130" s="16">
        <f t="shared" si="54"/>
        <v>-423.07692307692292</v>
      </c>
      <c r="CY130" s="16">
        <f t="shared" si="55"/>
        <v>0</v>
      </c>
      <c r="CZ130" s="16">
        <f t="shared" si="56"/>
        <v>0</v>
      </c>
      <c r="DA130" s="16">
        <f t="shared" si="57"/>
        <v>0</v>
      </c>
      <c r="DB130" s="16">
        <f t="shared" si="58"/>
        <v>-15852.109181141452</v>
      </c>
      <c r="DC130" s="16">
        <f t="shared" si="59"/>
        <v>-423.07692307692292</v>
      </c>
      <c r="DD130" s="16">
        <f t="shared" si="60"/>
        <v>0</v>
      </c>
      <c r="DE130" s="16">
        <f t="shared" si="61"/>
        <v>0</v>
      </c>
      <c r="DF130" s="16">
        <f t="shared" si="62"/>
        <v>0</v>
      </c>
      <c r="DG130" s="14">
        <f>IF([1]Sheet2!DR129=999999,"NA",[1]Sheet2!DR129)</f>
        <v>73103</v>
      </c>
      <c r="DH130" s="14">
        <f>IF([1]Sheet2!DS129=999999,"NA",[1]Sheet2!DS129)</f>
        <v>238</v>
      </c>
      <c r="DI130" s="14">
        <f>IF([1]Sheet2!DT129=999999,"NA",[1]Sheet2!DT129)</f>
        <v>238</v>
      </c>
      <c r="DJ130" s="14" t="str">
        <f>IF([1]Sheet2!DU129=999999,"NA",[1]Sheet2!DU129)</f>
        <v>NA</v>
      </c>
      <c r="DK130" s="14" t="str">
        <f>IF([1]Sheet2!DV129=999999,"NA",[1]Sheet2!DV129)</f>
        <v>NA</v>
      </c>
      <c r="DL130" s="14" t="str">
        <f>IF([1]Sheet2!DW129=999999,"NA",[1]Sheet2!DW129)</f>
        <v>NA</v>
      </c>
      <c r="DM130" s="14">
        <f>IF([1]Sheet2!DX129=999999,"NA",[1]Sheet2!DX129)</f>
        <v>238</v>
      </c>
      <c r="DN130" s="14">
        <f>IF([1]Sheet2!DY129=999999,"NA",[1]Sheet2!DY129)</f>
        <v>238</v>
      </c>
      <c r="DO130" s="14" t="str">
        <f>IF([1]Sheet2!DZ129=999999,"NA",[1]Sheet2!DZ129)</f>
        <v>NA</v>
      </c>
      <c r="DP130" s="14" t="str">
        <f>IF([1]Sheet2!EA129=999999,"NA",[1]Sheet2!EA129)</f>
        <v>NA</v>
      </c>
      <c r="DQ130" s="14">
        <f>[1]Sheet2!CX129</f>
        <v>0</v>
      </c>
      <c r="DR130" s="14">
        <f>[1]Sheet2!CY129</f>
        <v>0</v>
      </c>
      <c r="DS130" s="14">
        <f>[1]Sheet2!CZ129</f>
        <v>0</v>
      </c>
      <c r="DT130" s="14">
        <f>[1]Sheet2!DA129</f>
        <v>0</v>
      </c>
      <c r="DU130" s="14">
        <f>[1]Sheet2!DB129</f>
        <v>0</v>
      </c>
      <c r="DV130" s="14">
        <f>[1]Sheet2!DC129</f>
        <v>0</v>
      </c>
      <c r="DW130" s="14">
        <f>[1]Sheet2!DD129</f>
        <v>0</v>
      </c>
      <c r="DX130" s="14">
        <f>[1]Sheet2!DE129</f>
        <v>0</v>
      </c>
      <c r="DY130" s="14">
        <f>[1]Sheet2!DF129</f>
        <v>0</v>
      </c>
      <c r="DZ130" s="14">
        <f>[1]Sheet2!DG129</f>
        <v>0</v>
      </c>
    </row>
    <row r="131" spans="1:130" x14ac:dyDescent="0.25">
      <c r="A131" s="15">
        <v>43593</v>
      </c>
      <c r="B131" s="1"/>
      <c r="C131" s="1"/>
      <c r="D131" s="1"/>
      <c r="E131" s="14">
        <f>[1]Sheet2!N130</f>
        <v>0</v>
      </c>
      <c r="F131" s="14">
        <f>[1]Sheet2!BE130</f>
        <v>0</v>
      </c>
      <c r="G131" s="14">
        <f>[1]Sheet2!CV130</f>
        <v>245.6575682382134</v>
      </c>
      <c r="H131" s="1"/>
      <c r="I131" s="1"/>
      <c r="J131" s="1"/>
      <c r="K131" s="16">
        <f>Demand_CWRS!B$7/31</f>
        <v>129.8994219137717</v>
      </c>
      <c r="L131" s="16">
        <f>Demand_CWRS!C$7/31</f>
        <v>543.3829611248965</v>
      </c>
      <c r="M131" s="16">
        <f>Demand_CWRS!D$7/31</f>
        <v>0</v>
      </c>
      <c r="N131" s="16">
        <f>Demand_CWRS!E$7/31</f>
        <v>131.84491315136475</v>
      </c>
      <c r="O131" s="16">
        <f>Demand_CWRS!F$7/31</f>
        <v>232.12592522229113</v>
      </c>
      <c r="P131" s="16">
        <f>Demand_CWRS!G$7/31</f>
        <v>129.8994219137717</v>
      </c>
      <c r="Q131" s="16">
        <f>Demand_CWRS!H$7/31</f>
        <v>543.3829611248965</v>
      </c>
      <c r="R131" s="16">
        <f>Demand_CWRS!I$7/31</f>
        <v>232.12592522229113</v>
      </c>
      <c r="S131" s="16">
        <f>Demand_CWRS!J$7/31</f>
        <v>232.12592522229113</v>
      </c>
      <c r="T131" s="16">
        <f>Demand_CWRS!K$7/31</f>
        <v>232.12592522229113</v>
      </c>
      <c r="U131" s="16">
        <f t="shared" si="33"/>
        <v>-19627.029016072069</v>
      </c>
      <c r="V131" s="16">
        <f t="shared" si="34"/>
        <v>-56862.199586434937</v>
      </c>
      <c r="W131" s="16">
        <f t="shared" si="35"/>
        <v>0</v>
      </c>
      <c r="X131" s="16">
        <f t="shared" si="36"/>
        <v>-12803.394829391391</v>
      </c>
      <c r="Y131" s="16">
        <f t="shared" si="37"/>
        <v>-28367.388660450462</v>
      </c>
      <c r="Z131" s="16">
        <f t="shared" si="38"/>
        <v>-19301.255867033618</v>
      </c>
      <c r="AA131" s="16">
        <f t="shared" si="39"/>
        <v>-56362.199586434937</v>
      </c>
      <c r="AB131" s="16">
        <f t="shared" si="40"/>
        <v>-26055.422073911977</v>
      </c>
      <c r="AC131" s="16">
        <f t="shared" si="41"/>
        <v>-26055.422073911966</v>
      </c>
      <c r="AD131" s="16">
        <f t="shared" si="42"/>
        <v>-26755.42207391197</v>
      </c>
      <c r="AE131" s="14">
        <f>IF([1]Sheet2!AJ130=999999,"NA",[1]Sheet2!AJ130)</f>
        <v>0</v>
      </c>
      <c r="AF131" s="14">
        <f>IF([1]Sheet2!AK130=999999,"NA",[1]Sheet2!AK130)</f>
        <v>0</v>
      </c>
      <c r="AG131" s="14" t="str">
        <f>IF([1]Sheet2!AL130=999999,"NA",[1]Sheet2!AL130)</f>
        <v>NA</v>
      </c>
      <c r="AH131" s="14">
        <f>IF([1]Sheet2!AM130=999999,"NA",[1]Sheet2!AM130)</f>
        <v>237</v>
      </c>
      <c r="AI131" s="14">
        <f>IF([1]Sheet2!AN130=999999,"NA",[1]Sheet2!AN130)</f>
        <v>237</v>
      </c>
      <c r="AJ131" s="14">
        <f>IF([1]Sheet2!AO130=999999,"NA",[1]Sheet2!AO130)</f>
        <v>237</v>
      </c>
      <c r="AK131" s="14">
        <f>IF([1]Sheet2!AP130=999999,"NA",[1]Sheet2!AP130)</f>
        <v>0</v>
      </c>
      <c r="AL131" s="14">
        <f>IF([1]Sheet2!AQ130=999999,"NA",[1]Sheet2!AQ130)</f>
        <v>113</v>
      </c>
      <c r="AM131" s="14">
        <f>IF([1]Sheet2!AR130=999999,"NA",[1]Sheet2!AR130)</f>
        <v>237</v>
      </c>
      <c r="AN131" s="14">
        <f>IF([1]Sheet2!AS130=999999,"NA",[1]Sheet2!AS130)</f>
        <v>169</v>
      </c>
      <c r="AO131" s="14">
        <f>[1]Sheet2!P130</f>
        <v>0</v>
      </c>
      <c r="AP131" s="14">
        <f>[1]Sheet2!Q130</f>
        <v>0</v>
      </c>
      <c r="AQ131" s="14">
        <f>[1]Sheet2!R130</f>
        <v>0</v>
      </c>
      <c r="AR131" s="14">
        <f>[1]Sheet2!S130</f>
        <v>0</v>
      </c>
      <c r="AS131" s="14">
        <f>[1]Sheet2!T130</f>
        <v>0</v>
      </c>
      <c r="AT131" s="14">
        <f>[1]Sheet2!U130</f>
        <v>0</v>
      </c>
      <c r="AU131" s="14">
        <f>[1]Sheet2!V130</f>
        <v>0</v>
      </c>
      <c r="AV131" s="14">
        <f>[1]Sheet2!W130</f>
        <v>0</v>
      </c>
      <c r="AW131" s="14">
        <f>[1]Sheet2!X130</f>
        <v>0</v>
      </c>
      <c r="AX131" s="14">
        <f>[1]Sheet2!Y130</f>
        <v>0</v>
      </c>
      <c r="AY131" s="16">
        <f>Demand_LP!B$7/31</f>
        <v>855.82964911600493</v>
      </c>
      <c r="AZ131" s="16">
        <f>Demand_LP!C$7/31</f>
        <v>478.74276261373035</v>
      </c>
      <c r="BA131" s="16">
        <f>Demand_LP!D$7/31</f>
        <v>366.03598014888337</v>
      </c>
      <c r="BB131" s="16">
        <f>Demand_LP!E$7/31</f>
        <v>837.96277915632766</v>
      </c>
      <c r="BC131" s="16">
        <f>Demand_LP!F$7/31</f>
        <v>447.19049589019846</v>
      </c>
      <c r="BD131" s="16">
        <f>Demand_LP!G$7/31</f>
        <v>855.82964911600493</v>
      </c>
      <c r="BE131" s="16">
        <f>Demand_LP!H$7/31</f>
        <v>478.74276261373035</v>
      </c>
      <c r="BF131" s="16">
        <f>Demand_LP!I$7/31</f>
        <v>447.19049589019846</v>
      </c>
      <c r="BG131" s="16">
        <f>Demand_LP!J$7/31</f>
        <v>447.19049589019846</v>
      </c>
      <c r="BH131" s="16">
        <f>Demand_LP!K$7/31</f>
        <v>447.19049589019846</v>
      </c>
      <c r="BI131" s="16" t="e">
        <f t="shared" si="43"/>
        <v>#VALUE!</v>
      </c>
      <c r="BJ131" s="16">
        <f t="shared" si="44"/>
        <v>-78940.395947063604</v>
      </c>
      <c r="BK131" s="16">
        <f t="shared" si="45"/>
        <v>-36101.291687344914</v>
      </c>
      <c r="BL131" s="16">
        <f t="shared" si="46"/>
        <v>-94374.67272984251</v>
      </c>
      <c r="BM131" s="16">
        <f t="shared" si="47"/>
        <v>-58195.509099231778</v>
      </c>
      <c r="BN131" s="16">
        <f t="shared" si="48"/>
        <v>-90963.344421861475</v>
      </c>
      <c r="BO131" s="16">
        <f t="shared" si="49"/>
        <v>-81297.975434243126</v>
      </c>
      <c r="BP131" s="16">
        <f t="shared" si="50"/>
        <v>-57653.193017602374</v>
      </c>
      <c r="BQ131" s="16">
        <f t="shared" si="51"/>
        <v>-54253.193017602396</v>
      </c>
      <c r="BR131" s="16">
        <f t="shared" si="52"/>
        <v>-55453.193017602382</v>
      </c>
      <c r="BS131" s="14">
        <f>IF([1]Sheet2!CA130=999999,"NA",[1]Sheet2!CA130)</f>
        <v>161025.80698239789</v>
      </c>
      <c r="BT131" s="14">
        <f>IF([1]Sheet2!CB130=999999,"NA",[1]Sheet2!CB130)</f>
        <v>159</v>
      </c>
      <c r="BU131" s="14">
        <f>IF([1]Sheet2!CC130=999999,"NA",[1]Sheet2!CC130)</f>
        <v>237</v>
      </c>
      <c r="BV131" s="14">
        <f>IF([1]Sheet2!CD130=999999,"NA",[1]Sheet2!CD130)</f>
        <v>237</v>
      </c>
      <c r="BW131" s="14">
        <f>IF([1]Sheet2!CE130=999999,"NA",[1]Sheet2!CE130)</f>
        <v>199</v>
      </c>
      <c r="BX131" s="14">
        <f>IF([1]Sheet2!CF130=999999,"NA",[1]Sheet2!CF130)</f>
        <v>237</v>
      </c>
      <c r="BY131" s="14">
        <f>IF([1]Sheet2!CG130=999999,"NA",[1]Sheet2!CG130)</f>
        <v>131</v>
      </c>
      <c r="BZ131" s="14">
        <f>IF([1]Sheet2!CH130=999999,"NA",[1]Sheet2!CH130)</f>
        <v>237</v>
      </c>
      <c r="CA131" s="14">
        <f>IF([1]Sheet2!CI130=999999,"NA",[1]Sheet2!CI130)</f>
        <v>237</v>
      </c>
      <c r="CB131" s="14">
        <f>IF([1]Sheet2!CJ130=999999,"NA",[1]Sheet2!CJ130)</f>
        <v>237</v>
      </c>
      <c r="CC131" s="14">
        <f>[1]Sheet2!BG130</f>
        <v>0</v>
      </c>
      <c r="CD131" s="14">
        <f>[1]Sheet2!BH130</f>
        <v>0</v>
      </c>
      <c r="CE131" s="14">
        <f>[1]Sheet2!BI130</f>
        <v>0</v>
      </c>
      <c r="CF131" s="14">
        <f>[1]Sheet2!BJ130</f>
        <v>0</v>
      </c>
      <c r="CG131" s="14">
        <f>[1]Sheet2!BK130</f>
        <v>0</v>
      </c>
      <c r="CH131" s="14">
        <f>[1]Sheet2!BL130</f>
        <v>0</v>
      </c>
      <c r="CI131" s="14">
        <f>[1]Sheet2!BM130</f>
        <v>0</v>
      </c>
      <c r="CJ131" s="14">
        <f>[1]Sheet2!BN130</f>
        <v>0</v>
      </c>
      <c r="CK131" s="14">
        <f>[1]Sheet2!BO130</f>
        <v>0</v>
      </c>
      <c r="CL131" s="14">
        <f>[1]Sheet2!BP130</f>
        <v>0</v>
      </c>
      <c r="CM131" s="16">
        <f>Demand_SW!B$7/31</f>
        <v>122.8287841191067</v>
      </c>
      <c r="CN131" s="16">
        <f>Demand_SW!C$7/31</f>
        <v>0</v>
      </c>
      <c r="CO131" s="16">
        <f>Demand_SW!D$7/31</f>
        <v>0</v>
      </c>
      <c r="CP131" s="16">
        <f>Demand_SW!E$7/31</f>
        <v>0</v>
      </c>
      <c r="CQ131" s="16">
        <f>Demand_SW!F$7/31</f>
        <v>0</v>
      </c>
      <c r="CR131" s="16">
        <f>Demand_SW!G$7/31</f>
        <v>122.8287841191067</v>
      </c>
      <c r="CS131" s="16">
        <f>Demand_SW!H$7/31</f>
        <v>0</v>
      </c>
      <c r="CT131" s="16">
        <f>Demand_SW!I$7/31</f>
        <v>0</v>
      </c>
      <c r="CU131" s="16">
        <f>Demand_SW!J$7/31</f>
        <v>0</v>
      </c>
      <c r="CV131" s="16">
        <f>Demand_SW!K$7/31</f>
        <v>0</v>
      </c>
      <c r="CW131" s="16">
        <f t="shared" si="53"/>
        <v>33554.292803970231</v>
      </c>
      <c r="CX131" s="16">
        <f t="shared" si="54"/>
        <v>-423.07692307692292</v>
      </c>
      <c r="CY131" s="16">
        <f t="shared" si="55"/>
        <v>0</v>
      </c>
      <c r="CZ131" s="16">
        <f t="shared" si="56"/>
        <v>0</v>
      </c>
      <c r="DA131" s="16">
        <f t="shared" si="57"/>
        <v>0</v>
      </c>
      <c r="DB131" s="16">
        <f t="shared" si="58"/>
        <v>-15974.937965260558</v>
      </c>
      <c r="DC131" s="16">
        <f t="shared" si="59"/>
        <v>-423.07692307692292</v>
      </c>
      <c r="DD131" s="16">
        <f t="shared" si="60"/>
        <v>0</v>
      </c>
      <c r="DE131" s="16">
        <f t="shared" si="61"/>
        <v>0</v>
      </c>
      <c r="DF131" s="16">
        <f t="shared" si="62"/>
        <v>0</v>
      </c>
      <c r="DG131" s="14">
        <f>IF([1]Sheet2!DR130=999999,"NA",[1]Sheet2!DR130)</f>
        <v>73103</v>
      </c>
      <c r="DH131" s="14">
        <f>IF([1]Sheet2!DS130=999999,"NA",[1]Sheet2!DS130)</f>
        <v>237</v>
      </c>
      <c r="DI131" s="14">
        <f>IF([1]Sheet2!DT130=999999,"NA",[1]Sheet2!DT130)</f>
        <v>237</v>
      </c>
      <c r="DJ131" s="14" t="str">
        <f>IF([1]Sheet2!DU130=999999,"NA",[1]Sheet2!DU130)</f>
        <v>NA</v>
      </c>
      <c r="DK131" s="14" t="str">
        <f>IF([1]Sheet2!DV130=999999,"NA",[1]Sheet2!DV130)</f>
        <v>NA</v>
      </c>
      <c r="DL131" s="14" t="str">
        <f>IF([1]Sheet2!DW130=999999,"NA",[1]Sheet2!DW130)</f>
        <v>NA</v>
      </c>
      <c r="DM131" s="14">
        <f>IF([1]Sheet2!DX130=999999,"NA",[1]Sheet2!DX130)</f>
        <v>237</v>
      </c>
      <c r="DN131" s="14">
        <f>IF([1]Sheet2!DY130=999999,"NA",[1]Sheet2!DY130)</f>
        <v>237</v>
      </c>
      <c r="DO131" s="14" t="str">
        <f>IF([1]Sheet2!DZ130=999999,"NA",[1]Sheet2!DZ130)</f>
        <v>NA</v>
      </c>
      <c r="DP131" s="14" t="str">
        <f>IF([1]Sheet2!EA130=999999,"NA",[1]Sheet2!EA130)</f>
        <v>NA</v>
      </c>
      <c r="DQ131" s="14">
        <f>[1]Sheet2!CX130</f>
        <v>0</v>
      </c>
      <c r="DR131" s="14">
        <f>[1]Sheet2!CY130</f>
        <v>0</v>
      </c>
      <c r="DS131" s="14">
        <f>[1]Sheet2!CZ130</f>
        <v>0</v>
      </c>
      <c r="DT131" s="14">
        <f>[1]Sheet2!DA130</f>
        <v>0</v>
      </c>
      <c r="DU131" s="14">
        <f>[1]Sheet2!DB130</f>
        <v>0</v>
      </c>
      <c r="DV131" s="14">
        <f>[1]Sheet2!DC130</f>
        <v>0</v>
      </c>
      <c r="DW131" s="14">
        <f>[1]Sheet2!DD130</f>
        <v>0</v>
      </c>
      <c r="DX131" s="14">
        <f>[1]Sheet2!DE130</f>
        <v>0</v>
      </c>
      <c r="DY131" s="14">
        <f>[1]Sheet2!DF130</f>
        <v>0</v>
      </c>
      <c r="DZ131" s="14">
        <f>[1]Sheet2!DG130</f>
        <v>0</v>
      </c>
    </row>
    <row r="132" spans="1:130" x14ac:dyDescent="0.25">
      <c r="A132" s="15">
        <v>43594</v>
      </c>
      <c r="B132" s="1"/>
      <c r="C132" s="1"/>
      <c r="D132" s="1"/>
      <c r="E132" s="14">
        <f>[1]Sheet2!N131</f>
        <v>0</v>
      </c>
      <c r="F132" s="14">
        <f>[1]Sheet2!BE131</f>
        <v>0</v>
      </c>
      <c r="G132" s="14">
        <f>[1]Sheet2!CV131</f>
        <v>245.6575682382134</v>
      </c>
      <c r="H132" s="1"/>
      <c r="I132" s="1"/>
      <c r="J132" s="1"/>
      <c r="K132" s="16">
        <f>Demand_CWRS!B$7/31</f>
        <v>129.8994219137717</v>
      </c>
      <c r="L132" s="16">
        <f>Demand_CWRS!C$7/31</f>
        <v>543.3829611248965</v>
      </c>
      <c r="M132" s="16">
        <f>Demand_CWRS!D$7/31</f>
        <v>0</v>
      </c>
      <c r="N132" s="16">
        <f>Demand_CWRS!E$7/31</f>
        <v>131.84491315136475</v>
      </c>
      <c r="O132" s="16">
        <f>Demand_CWRS!F$7/31</f>
        <v>232.12592522229113</v>
      </c>
      <c r="P132" s="16">
        <f>Demand_CWRS!G$7/31</f>
        <v>129.8994219137717</v>
      </c>
      <c r="Q132" s="16">
        <f>Demand_CWRS!H$7/31</f>
        <v>543.3829611248965</v>
      </c>
      <c r="R132" s="16">
        <f>Demand_CWRS!I$7/31</f>
        <v>232.12592522229113</v>
      </c>
      <c r="S132" s="16">
        <f>Demand_CWRS!J$7/31</f>
        <v>232.12592522229113</v>
      </c>
      <c r="T132" s="16">
        <f>Demand_CWRS!K$7/31</f>
        <v>232.12592522229113</v>
      </c>
      <c r="U132" s="16">
        <f t="shared" si="33"/>
        <v>-19756.92843798584</v>
      </c>
      <c r="V132" s="16">
        <f t="shared" si="34"/>
        <v>-57405.582547559832</v>
      </c>
      <c r="W132" s="16">
        <f t="shared" si="35"/>
        <v>0</v>
      </c>
      <c r="X132" s="16">
        <f t="shared" si="36"/>
        <v>-12935.239742542755</v>
      </c>
      <c r="Y132" s="16">
        <f t="shared" si="37"/>
        <v>-28599.514585672754</v>
      </c>
      <c r="Z132" s="16">
        <f t="shared" si="38"/>
        <v>-19431.15528894739</v>
      </c>
      <c r="AA132" s="16">
        <f t="shared" si="39"/>
        <v>-56905.582547559832</v>
      </c>
      <c r="AB132" s="16">
        <f t="shared" si="40"/>
        <v>-26287.547999134269</v>
      </c>
      <c r="AC132" s="16">
        <f t="shared" si="41"/>
        <v>-26287.547999134258</v>
      </c>
      <c r="AD132" s="16">
        <f t="shared" si="42"/>
        <v>-26987.547999134262</v>
      </c>
      <c r="AE132" s="14">
        <f>IF([1]Sheet2!AJ131=999999,"NA",[1]Sheet2!AJ131)</f>
        <v>0</v>
      </c>
      <c r="AF132" s="14">
        <f>IF([1]Sheet2!AK131=999999,"NA",[1]Sheet2!AK131)</f>
        <v>0</v>
      </c>
      <c r="AG132" s="14" t="str">
        <f>IF([1]Sheet2!AL131=999999,"NA",[1]Sheet2!AL131)</f>
        <v>NA</v>
      </c>
      <c r="AH132" s="14">
        <f>IF([1]Sheet2!AM131=999999,"NA",[1]Sheet2!AM131)</f>
        <v>236</v>
      </c>
      <c r="AI132" s="14">
        <f>IF([1]Sheet2!AN131=999999,"NA",[1]Sheet2!AN131)</f>
        <v>236</v>
      </c>
      <c r="AJ132" s="14">
        <f>IF([1]Sheet2!AO131=999999,"NA",[1]Sheet2!AO131)</f>
        <v>236</v>
      </c>
      <c r="AK132" s="14">
        <f>IF([1]Sheet2!AP131=999999,"NA",[1]Sheet2!AP131)</f>
        <v>0</v>
      </c>
      <c r="AL132" s="14">
        <f>IF([1]Sheet2!AQ131=999999,"NA",[1]Sheet2!AQ131)</f>
        <v>112</v>
      </c>
      <c r="AM132" s="14">
        <f>IF([1]Sheet2!AR131=999999,"NA",[1]Sheet2!AR131)</f>
        <v>236</v>
      </c>
      <c r="AN132" s="14">
        <f>IF([1]Sheet2!AS131=999999,"NA",[1]Sheet2!AS131)</f>
        <v>168</v>
      </c>
      <c r="AO132" s="14">
        <f>[1]Sheet2!P131</f>
        <v>0</v>
      </c>
      <c r="AP132" s="14">
        <f>[1]Sheet2!Q131</f>
        <v>0</v>
      </c>
      <c r="AQ132" s="14">
        <f>[1]Sheet2!R131</f>
        <v>0</v>
      </c>
      <c r="AR132" s="14">
        <f>[1]Sheet2!S131</f>
        <v>0</v>
      </c>
      <c r="AS132" s="14">
        <f>[1]Sheet2!T131</f>
        <v>0</v>
      </c>
      <c r="AT132" s="14">
        <f>[1]Sheet2!U131</f>
        <v>0</v>
      </c>
      <c r="AU132" s="14">
        <f>[1]Sheet2!V131</f>
        <v>0</v>
      </c>
      <c r="AV132" s="14">
        <f>[1]Sheet2!W131</f>
        <v>0</v>
      </c>
      <c r="AW132" s="14">
        <f>[1]Sheet2!X131</f>
        <v>0</v>
      </c>
      <c r="AX132" s="14">
        <f>[1]Sheet2!Y131</f>
        <v>0</v>
      </c>
      <c r="AY132" s="16">
        <f>Demand_LP!B$7/31</f>
        <v>855.82964911600493</v>
      </c>
      <c r="AZ132" s="16">
        <f>Demand_LP!C$7/31</f>
        <v>478.74276261373035</v>
      </c>
      <c r="BA132" s="16">
        <f>Demand_LP!D$7/31</f>
        <v>366.03598014888337</v>
      </c>
      <c r="BB132" s="16">
        <f>Demand_LP!E$7/31</f>
        <v>837.96277915632766</v>
      </c>
      <c r="BC132" s="16">
        <f>Demand_LP!F$7/31</f>
        <v>447.19049589019846</v>
      </c>
      <c r="BD132" s="16">
        <f>Demand_LP!G$7/31</f>
        <v>855.82964911600493</v>
      </c>
      <c r="BE132" s="16">
        <f>Demand_LP!H$7/31</f>
        <v>478.74276261373035</v>
      </c>
      <c r="BF132" s="16">
        <f>Demand_LP!I$7/31</f>
        <v>447.19049589019846</v>
      </c>
      <c r="BG132" s="16">
        <f>Demand_LP!J$7/31</f>
        <v>447.19049589019846</v>
      </c>
      <c r="BH132" s="16">
        <f>Demand_LP!K$7/31</f>
        <v>447.19049589019846</v>
      </c>
      <c r="BI132" s="16" t="e">
        <f t="shared" si="43"/>
        <v>#VALUE!</v>
      </c>
      <c r="BJ132" s="16">
        <f t="shared" si="44"/>
        <v>-79419.13870967734</v>
      </c>
      <c r="BK132" s="16">
        <f t="shared" si="45"/>
        <v>-36467.327667493795</v>
      </c>
      <c r="BL132" s="16">
        <f t="shared" si="46"/>
        <v>-95212.635508998836</v>
      </c>
      <c r="BM132" s="16">
        <f t="shared" si="47"/>
        <v>-58642.69959512198</v>
      </c>
      <c r="BN132" s="16">
        <f t="shared" si="48"/>
        <v>-91819.174070977475</v>
      </c>
      <c r="BO132" s="16">
        <f t="shared" si="49"/>
        <v>-81776.718196856862</v>
      </c>
      <c r="BP132" s="16">
        <f t="shared" si="50"/>
        <v>-58100.383513492576</v>
      </c>
      <c r="BQ132" s="16">
        <f t="shared" si="51"/>
        <v>-54700.383513492598</v>
      </c>
      <c r="BR132" s="16">
        <f t="shared" si="52"/>
        <v>-55900.383513492583</v>
      </c>
      <c r="BS132" s="14">
        <f>IF([1]Sheet2!CA131=999999,"NA",[1]Sheet2!CA131)</f>
        <v>160578.6164865077</v>
      </c>
      <c r="BT132" s="14">
        <f>IF([1]Sheet2!CB131=999999,"NA",[1]Sheet2!CB131)</f>
        <v>158</v>
      </c>
      <c r="BU132" s="14">
        <f>IF([1]Sheet2!CC131=999999,"NA",[1]Sheet2!CC131)</f>
        <v>236</v>
      </c>
      <c r="BV132" s="14">
        <f>IF([1]Sheet2!CD131=999999,"NA",[1]Sheet2!CD131)</f>
        <v>236</v>
      </c>
      <c r="BW132" s="14">
        <f>IF([1]Sheet2!CE131=999999,"NA",[1]Sheet2!CE131)</f>
        <v>198</v>
      </c>
      <c r="BX132" s="14">
        <f>IF([1]Sheet2!CF131=999999,"NA",[1]Sheet2!CF131)</f>
        <v>236</v>
      </c>
      <c r="BY132" s="14">
        <f>IF([1]Sheet2!CG131=999999,"NA",[1]Sheet2!CG131)</f>
        <v>130</v>
      </c>
      <c r="BZ132" s="14">
        <f>IF([1]Sheet2!CH131=999999,"NA",[1]Sheet2!CH131)</f>
        <v>236</v>
      </c>
      <c r="CA132" s="14">
        <f>IF([1]Sheet2!CI131=999999,"NA",[1]Sheet2!CI131)</f>
        <v>236</v>
      </c>
      <c r="CB132" s="14">
        <f>IF([1]Sheet2!CJ131=999999,"NA",[1]Sheet2!CJ131)</f>
        <v>236</v>
      </c>
      <c r="CC132" s="14">
        <f>[1]Sheet2!BG131</f>
        <v>0</v>
      </c>
      <c r="CD132" s="14">
        <f>[1]Sheet2!BH131</f>
        <v>0</v>
      </c>
      <c r="CE132" s="14">
        <f>[1]Sheet2!BI131</f>
        <v>0</v>
      </c>
      <c r="CF132" s="14">
        <f>[1]Sheet2!BJ131</f>
        <v>0</v>
      </c>
      <c r="CG132" s="14">
        <f>[1]Sheet2!BK131</f>
        <v>0</v>
      </c>
      <c r="CH132" s="14">
        <f>[1]Sheet2!BL131</f>
        <v>0</v>
      </c>
      <c r="CI132" s="14">
        <f>[1]Sheet2!BM131</f>
        <v>0</v>
      </c>
      <c r="CJ132" s="14">
        <f>[1]Sheet2!BN131</f>
        <v>0</v>
      </c>
      <c r="CK132" s="14">
        <f>[1]Sheet2!BO131</f>
        <v>0</v>
      </c>
      <c r="CL132" s="14">
        <f>[1]Sheet2!BP131</f>
        <v>0</v>
      </c>
      <c r="CM132" s="16">
        <f>Demand_SW!B$7/31</f>
        <v>122.8287841191067</v>
      </c>
      <c r="CN132" s="16">
        <f>Demand_SW!C$7/31</f>
        <v>0</v>
      </c>
      <c r="CO132" s="16">
        <f>Demand_SW!D$7/31</f>
        <v>0</v>
      </c>
      <c r="CP132" s="16">
        <f>Demand_SW!E$7/31</f>
        <v>0</v>
      </c>
      <c r="CQ132" s="16">
        <f>Demand_SW!F$7/31</f>
        <v>0</v>
      </c>
      <c r="CR132" s="16">
        <f>Demand_SW!G$7/31</f>
        <v>122.8287841191067</v>
      </c>
      <c r="CS132" s="16">
        <f>Demand_SW!H$7/31</f>
        <v>0</v>
      </c>
      <c r="CT132" s="16">
        <f>Demand_SW!I$7/31</f>
        <v>0</v>
      </c>
      <c r="CU132" s="16">
        <f>Demand_SW!J$7/31</f>
        <v>0</v>
      </c>
      <c r="CV132" s="16">
        <f>Demand_SW!K$7/31</f>
        <v>0</v>
      </c>
      <c r="CW132" s="16">
        <f t="shared" si="53"/>
        <v>33431.464019851126</v>
      </c>
      <c r="CX132" s="16">
        <f t="shared" si="54"/>
        <v>-423.07692307692292</v>
      </c>
      <c r="CY132" s="16">
        <f t="shared" si="55"/>
        <v>0</v>
      </c>
      <c r="CZ132" s="16">
        <f t="shared" si="56"/>
        <v>0</v>
      </c>
      <c r="DA132" s="16">
        <f t="shared" si="57"/>
        <v>0</v>
      </c>
      <c r="DB132" s="16">
        <f t="shared" si="58"/>
        <v>-16097.766749379665</v>
      </c>
      <c r="DC132" s="16">
        <f t="shared" si="59"/>
        <v>-423.07692307692292</v>
      </c>
      <c r="DD132" s="16">
        <f t="shared" si="60"/>
        <v>0</v>
      </c>
      <c r="DE132" s="16">
        <f t="shared" si="61"/>
        <v>0</v>
      </c>
      <c r="DF132" s="16">
        <f t="shared" si="62"/>
        <v>0</v>
      </c>
      <c r="DG132" s="14">
        <f>IF([1]Sheet2!DR131=999999,"NA",[1]Sheet2!DR131)</f>
        <v>73103</v>
      </c>
      <c r="DH132" s="14">
        <f>IF([1]Sheet2!DS131=999999,"NA",[1]Sheet2!DS131)</f>
        <v>236</v>
      </c>
      <c r="DI132" s="14">
        <f>IF([1]Sheet2!DT131=999999,"NA",[1]Sheet2!DT131)</f>
        <v>236</v>
      </c>
      <c r="DJ132" s="14" t="str">
        <f>IF([1]Sheet2!DU131=999999,"NA",[1]Sheet2!DU131)</f>
        <v>NA</v>
      </c>
      <c r="DK132" s="14" t="str">
        <f>IF([1]Sheet2!DV131=999999,"NA",[1]Sheet2!DV131)</f>
        <v>NA</v>
      </c>
      <c r="DL132" s="14" t="str">
        <f>IF([1]Sheet2!DW131=999999,"NA",[1]Sheet2!DW131)</f>
        <v>NA</v>
      </c>
      <c r="DM132" s="14">
        <f>IF([1]Sheet2!DX131=999999,"NA",[1]Sheet2!DX131)</f>
        <v>236</v>
      </c>
      <c r="DN132" s="14">
        <f>IF([1]Sheet2!DY131=999999,"NA",[1]Sheet2!DY131)</f>
        <v>236</v>
      </c>
      <c r="DO132" s="14" t="str">
        <f>IF([1]Sheet2!DZ131=999999,"NA",[1]Sheet2!DZ131)</f>
        <v>NA</v>
      </c>
      <c r="DP132" s="14" t="str">
        <f>IF([1]Sheet2!EA131=999999,"NA",[1]Sheet2!EA131)</f>
        <v>NA</v>
      </c>
      <c r="DQ132" s="14">
        <f>[1]Sheet2!CX131</f>
        <v>0</v>
      </c>
      <c r="DR132" s="14">
        <f>[1]Sheet2!CY131</f>
        <v>0</v>
      </c>
      <c r="DS132" s="14">
        <f>[1]Sheet2!CZ131</f>
        <v>0</v>
      </c>
      <c r="DT132" s="14">
        <f>[1]Sheet2!DA131</f>
        <v>0</v>
      </c>
      <c r="DU132" s="14">
        <f>[1]Sheet2!DB131</f>
        <v>0</v>
      </c>
      <c r="DV132" s="14">
        <f>[1]Sheet2!DC131</f>
        <v>0</v>
      </c>
      <c r="DW132" s="14">
        <f>[1]Sheet2!DD131</f>
        <v>0</v>
      </c>
      <c r="DX132" s="14">
        <f>[1]Sheet2!DE131</f>
        <v>0</v>
      </c>
      <c r="DY132" s="14">
        <f>[1]Sheet2!DF131</f>
        <v>0</v>
      </c>
      <c r="DZ132" s="14">
        <f>[1]Sheet2!DG131</f>
        <v>0</v>
      </c>
    </row>
    <row r="133" spans="1:130" x14ac:dyDescent="0.25">
      <c r="A133" s="15">
        <v>43595</v>
      </c>
      <c r="B133" s="1"/>
      <c r="C133" s="1"/>
      <c r="D133" s="1"/>
      <c r="E133" s="14">
        <f>[1]Sheet2!N132</f>
        <v>0</v>
      </c>
      <c r="F133" s="14">
        <f>[1]Sheet2!BE132</f>
        <v>0</v>
      </c>
      <c r="G133" s="14">
        <f>[1]Sheet2!CV132</f>
        <v>245.6575682382134</v>
      </c>
      <c r="H133" s="1"/>
      <c r="I133" s="1"/>
      <c r="J133" s="1"/>
      <c r="K133" s="16">
        <f>Demand_CWRS!B$7/31</f>
        <v>129.8994219137717</v>
      </c>
      <c r="L133" s="16">
        <f>Demand_CWRS!C$7/31</f>
        <v>543.3829611248965</v>
      </c>
      <c r="M133" s="16">
        <f>Demand_CWRS!D$7/31</f>
        <v>0</v>
      </c>
      <c r="N133" s="16">
        <f>Demand_CWRS!E$7/31</f>
        <v>131.84491315136475</v>
      </c>
      <c r="O133" s="16">
        <f>Demand_CWRS!F$7/31</f>
        <v>232.12592522229113</v>
      </c>
      <c r="P133" s="16">
        <f>Demand_CWRS!G$7/31</f>
        <v>129.8994219137717</v>
      </c>
      <c r="Q133" s="16">
        <f>Demand_CWRS!H$7/31</f>
        <v>543.3829611248965</v>
      </c>
      <c r="R133" s="16">
        <f>Demand_CWRS!I$7/31</f>
        <v>232.12592522229113</v>
      </c>
      <c r="S133" s="16">
        <f>Demand_CWRS!J$7/31</f>
        <v>232.12592522229113</v>
      </c>
      <c r="T133" s="16">
        <f>Demand_CWRS!K$7/31</f>
        <v>232.12592522229113</v>
      </c>
      <c r="U133" s="16">
        <f t="shared" ref="U133:U196" si="63">U132-K133+AO133</f>
        <v>-19886.827859899611</v>
      </c>
      <c r="V133" s="16">
        <f t="shared" ref="V133:V196" si="64">V132-L133+AP133</f>
        <v>-57948.965508684727</v>
      </c>
      <c r="W133" s="16">
        <f t="shared" ref="W133:W196" si="65">W132-M133+AQ133</f>
        <v>0</v>
      </c>
      <c r="X133" s="16">
        <f t="shared" ref="X133:X196" si="66">X132-N133+AR133</f>
        <v>-13067.08465569412</v>
      </c>
      <c r="Y133" s="16">
        <f t="shared" ref="Y133:Y196" si="67">Y132-O133+AS133</f>
        <v>-28831.640510895046</v>
      </c>
      <c r="Z133" s="16">
        <f t="shared" ref="Z133:Z196" si="68">Z132-P133+AT133</f>
        <v>-19561.054710861161</v>
      </c>
      <c r="AA133" s="16">
        <f t="shared" ref="AA133:AA196" si="69">AA132-Q133+AU133</f>
        <v>-57448.965508684727</v>
      </c>
      <c r="AB133" s="16">
        <f t="shared" ref="AB133:AB196" si="70">AB132-R133+AV133</f>
        <v>-26519.673924356561</v>
      </c>
      <c r="AC133" s="16">
        <f t="shared" ref="AC133:AC196" si="71">AC132-S133+AW133</f>
        <v>-26519.67392435655</v>
      </c>
      <c r="AD133" s="16">
        <f t="shared" ref="AD133:AD196" si="72">AD132-T133+AX133</f>
        <v>-27219.673924356553</v>
      </c>
      <c r="AE133" s="14">
        <f>IF([1]Sheet2!AJ132=999999,"NA",[1]Sheet2!AJ132)</f>
        <v>0</v>
      </c>
      <c r="AF133" s="14">
        <f>IF([1]Sheet2!AK132=999999,"NA",[1]Sheet2!AK132)</f>
        <v>0</v>
      </c>
      <c r="AG133" s="14" t="str">
        <f>IF([1]Sheet2!AL132=999999,"NA",[1]Sheet2!AL132)</f>
        <v>NA</v>
      </c>
      <c r="AH133" s="14">
        <f>IF([1]Sheet2!AM132=999999,"NA",[1]Sheet2!AM132)</f>
        <v>235</v>
      </c>
      <c r="AI133" s="14">
        <f>IF([1]Sheet2!AN132=999999,"NA",[1]Sheet2!AN132)</f>
        <v>235</v>
      </c>
      <c r="AJ133" s="14">
        <f>IF([1]Sheet2!AO132=999999,"NA",[1]Sheet2!AO132)</f>
        <v>235</v>
      </c>
      <c r="AK133" s="14">
        <f>IF([1]Sheet2!AP132=999999,"NA",[1]Sheet2!AP132)</f>
        <v>0</v>
      </c>
      <c r="AL133" s="14">
        <f>IF([1]Sheet2!AQ132=999999,"NA",[1]Sheet2!AQ132)</f>
        <v>111</v>
      </c>
      <c r="AM133" s="14">
        <f>IF([1]Sheet2!AR132=999999,"NA",[1]Sheet2!AR132)</f>
        <v>235</v>
      </c>
      <c r="AN133" s="14">
        <f>IF([1]Sheet2!AS132=999999,"NA",[1]Sheet2!AS132)</f>
        <v>167</v>
      </c>
      <c r="AO133" s="14">
        <f>[1]Sheet2!P132</f>
        <v>0</v>
      </c>
      <c r="AP133" s="14">
        <f>[1]Sheet2!Q132</f>
        <v>0</v>
      </c>
      <c r="AQ133" s="14">
        <f>[1]Sheet2!R132</f>
        <v>0</v>
      </c>
      <c r="AR133" s="14">
        <f>[1]Sheet2!S132</f>
        <v>0</v>
      </c>
      <c r="AS133" s="14">
        <f>[1]Sheet2!T132</f>
        <v>0</v>
      </c>
      <c r="AT133" s="14">
        <f>[1]Sheet2!U132</f>
        <v>0</v>
      </c>
      <c r="AU133" s="14">
        <f>[1]Sheet2!V132</f>
        <v>0</v>
      </c>
      <c r="AV133" s="14">
        <f>[1]Sheet2!W132</f>
        <v>0</v>
      </c>
      <c r="AW133" s="14">
        <f>[1]Sheet2!X132</f>
        <v>0</v>
      </c>
      <c r="AX133" s="14">
        <f>[1]Sheet2!Y132</f>
        <v>0</v>
      </c>
      <c r="AY133" s="16">
        <f>Demand_LP!B$7/31</f>
        <v>855.82964911600493</v>
      </c>
      <c r="AZ133" s="16">
        <f>Demand_LP!C$7/31</f>
        <v>478.74276261373035</v>
      </c>
      <c r="BA133" s="16">
        <f>Demand_LP!D$7/31</f>
        <v>366.03598014888337</v>
      </c>
      <c r="BB133" s="16">
        <f>Demand_LP!E$7/31</f>
        <v>837.96277915632766</v>
      </c>
      <c r="BC133" s="16">
        <f>Demand_LP!F$7/31</f>
        <v>447.19049589019846</v>
      </c>
      <c r="BD133" s="16">
        <f>Demand_LP!G$7/31</f>
        <v>855.82964911600493</v>
      </c>
      <c r="BE133" s="16">
        <f>Demand_LP!H$7/31</f>
        <v>478.74276261373035</v>
      </c>
      <c r="BF133" s="16">
        <f>Demand_LP!I$7/31</f>
        <v>447.19049589019846</v>
      </c>
      <c r="BG133" s="16">
        <f>Demand_LP!J$7/31</f>
        <v>447.19049589019846</v>
      </c>
      <c r="BH133" s="16">
        <f>Demand_LP!K$7/31</f>
        <v>447.19049589019846</v>
      </c>
      <c r="BI133" s="16" t="e">
        <f t="shared" ref="BI133:BI196" si="73">BI132-AY133+CC133</f>
        <v>#VALUE!</v>
      </c>
      <c r="BJ133" s="16">
        <f t="shared" ref="BJ133:BJ196" si="74">BJ132-AZ133+CD133</f>
        <v>-79897.881472291076</v>
      </c>
      <c r="BK133" s="16">
        <f t="shared" ref="BK133:BK196" si="75">BK132-BA133+CE133</f>
        <v>-36833.363647642676</v>
      </c>
      <c r="BL133" s="16">
        <f t="shared" ref="BL133:BL196" si="76">BL132-BB133+CF133</f>
        <v>-96050.598288155161</v>
      </c>
      <c r="BM133" s="16">
        <f t="shared" ref="BM133:BM196" si="77">BM132-BC133+CG133</f>
        <v>-59089.890091012181</v>
      </c>
      <c r="BN133" s="16">
        <f t="shared" ref="BN133:BN196" si="78">BN132-BD133+CH133</f>
        <v>-92675.003720093475</v>
      </c>
      <c r="BO133" s="16">
        <f t="shared" ref="BO133:BO196" si="79">BO132-BE133+CI133</f>
        <v>-82255.460959470598</v>
      </c>
      <c r="BP133" s="16">
        <f t="shared" ref="BP133:BP196" si="80">BP132-BF133+CJ133</f>
        <v>-58547.574009382777</v>
      </c>
      <c r="BQ133" s="16">
        <f t="shared" ref="BQ133:BQ196" si="81">BQ132-BG133+CK133</f>
        <v>-55147.574009382799</v>
      </c>
      <c r="BR133" s="16">
        <f t="shared" ref="BR133:BR196" si="82">BR132-BH133+CL133</f>
        <v>-56347.574009382784</v>
      </c>
      <c r="BS133" s="14">
        <f>IF([1]Sheet2!CA132=999999,"NA",[1]Sheet2!CA132)</f>
        <v>160131.42599061751</v>
      </c>
      <c r="BT133" s="14">
        <f>IF([1]Sheet2!CB132=999999,"NA",[1]Sheet2!CB132)</f>
        <v>157</v>
      </c>
      <c r="BU133" s="14">
        <f>IF([1]Sheet2!CC132=999999,"NA",[1]Sheet2!CC132)</f>
        <v>235</v>
      </c>
      <c r="BV133" s="14">
        <f>IF([1]Sheet2!CD132=999999,"NA",[1]Sheet2!CD132)</f>
        <v>235</v>
      </c>
      <c r="BW133" s="14">
        <f>IF([1]Sheet2!CE132=999999,"NA",[1]Sheet2!CE132)</f>
        <v>197</v>
      </c>
      <c r="BX133" s="14">
        <f>IF([1]Sheet2!CF132=999999,"NA",[1]Sheet2!CF132)</f>
        <v>235</v>
      </c>
      <c r="BY133" s="14">
        <f>IF([1]Sheet2!CG132=999999,"NA",[1]Sheet2!CG132)</f>
        <v>129</v>
      </c>
      <c r="BZ133" s="14">
        <f>IF([1]Sheet2!CH132=999999,"NA",[1]Sheet2!CH132)</f>
        <v>235</v>
      </c>
      <c r="CA133" s="14">
        <f>IF([1]Sheet2!CI132=999999,"NA",[1]Sheet2!CI132)</f>
        <v>235</v>
      </c>
      <c r="CB133" s="14">
        <f>IF([1]Sheet2!CJ132=999999,"NA",[1]Sheet2!CJ132)</f>
        <v>235</v>
      </c>
      <c r="CC133" s="14">
        <f>[1]Sheet2!BG132</f>
        <v>0</v>
      </c>
      <c r="CD133" s="14">
        <f>[1]Sheet2!BH132</f>
        <v>0</v>
      </c>
      <c r="CE133" s="14">
        <f>[1]Sheet2!BI132</f>
        <v>0</v>
      </c>
      <c r="CF133" s="14">
        <f>[1]Sheet2!BJ132</f>
        <v>0</v>
      </c>
      <c r="CG133" s="14">
        <f>[1]Sheet2!BK132</f>
        <v>0</v>
      </c>
      <c r="CH133" s="14">
        <f>[1]Sheet2!BL132</f>
        <v>0</v>
      </c>
      <c r="CI133" s="14">
        <f>[1]Sheet2!BM132</f>
        <v>0</v>
      </c>
      <c r="CJ133" s="14">
        <f>[1]Sheet2!BN132</f>
        <v>0</v>
      </c>
      <c r="CK133" s="14">
        <f>[1]Sheet2!BO132</f>
        <v>0</v>
      </c>
      <c r="CL133" s="14">
        <f>[1]Sheet2!BP132</f>
        <v>0</v>
      </c>
      <c r="CM133" s="16">
        <f>Demand_SW!B$7/31</f>
        <v>122.8287841191067</v>
      </c>
      <c r="CN133" s="16">
        <f>Demand_SW!C$7/31</f>
        <v>0</v>
      </c>
      <c r="CO133" s="16">
        <f>Demand_SW!D$7/31</f>
        <v>0</v>
      </c>
      <c r="CP133" s="16">
        <f>Demand_SW!E$7/31</f>
        <v>0</v>
      </c>
      <c r="CQ133" s="16">
        <f>Demand_SW!F$7/31</f>
        <v>0</v>
      </c>
      <c r="CR133" s="16">
        <f>Demand_SW!G$7/31</f>
        <v>122.8287841191067</v>
      </c>
      <c r="CS133" s="16">
        <f>Demand_SW!H$7/31</f>
        <v>0</v>
      </c>
      <c r="CT133" s="16">
        <f>Demand_SW!I$7/31</f>
        <v>0</v>
      </c>
      <c r="CU133" s="16">
        <f>Demand_SW!J$7/31</f>
        <v>0</v>
      </c>
      <c r="CV133" s="16">
        <f>Demand_SW!K$7/31</f>
        <v>0</v>
      </c>
      <c r="CW133" s="16">
        <f t="shared" ref="CW133:CW196" si="83">CW132-CM133+DQ133</f>
        <v>33308.635235732021</v>
      </c>
      <c r="CX133" s="16">
        <f t="shared" ref="CX133:CX196" si="84">CX132-CN133+DR133</f>
        <v>-423.07692307692292</v>
      </c>
      <c r="CY133" s="16">
        <f t="shared" ref="CY133:CY196" si="85">CY132-CO133+DS133</f>
        <v>0</v>
      </c>
      <c r="CZ133" s="16">
        <f t="shared" ref="CZ133:CZ196" si="86">CZ132-CP133+DT133</f>
        <v>0</v>
      </c>
      <c r="DA133" s="16">
        <f t="shared" ref="DA133:DA196" si="87">DA132-CQ133+DU133</f>
        <v>0</v>
      </c>
      <c r="DB133" s="16">
        <f t="shared" ref="DB133:DB196" si="88">DB132-CR133+DV133</f>
        <v>-16220.595533498772</v>
      </c>
      <c r="DC133" s="16">
        <f t="shared" ref="DC133:DC196" si="89">DC132-CS133+DW133</f>
        <v>-423.07692307692292</v>
      </c>
      <c r="DD133" s="16">
        <f t="shared" ref="DD133:DD196" si="90">DD132-CT133+DX133</f>
        <v>0</v>
      </c>
      <c r="DE133" s="16">
        <f t="shared" ref="DE133:DE196" si="91">DE132-CU133+DY133</f>
        <v>0</v>
      </c>
      <c r="DF133" s="16">
        <f t="shared" ref="DF133:DF196" si="92">DF132-CV133+DZ133</f>
        <v>0</v>
      </c>
      <c r="DG133" s="14">
        <f>IF([1]Sheet2!DR132=999999,"NA",[1]Sheet2!DR132)</f>
        <v>73103</v>
      </c>
      <c r="DH133" s="14">
        <f>IF([1]Sheet2!DS132=999999,"NA",[1]Sheet2!DS132)</f>
        <v>235</v>
      </c>
      <c r="DI133" s="14">
        <f>IF([1]Sheet2!DT132=999999,"NA",[1]Sheet2!DT132)</f>
        <v>235</v>
      </c>
      <c r="DJ133" s="14" t="str">
        <f>IF([1]Sheet2!DU132=999999,"NA",[1]Sheet2!DU132)</f>
        <v>NA</v>
      </c>
      <c r="DK133" s="14" t="str">
        <f>IF([1]Sheet2!DV132=999999,"NA",[1]Sheet2!DV132)</f>
        <v>NA</v>
      </c>
      <c r="DL133" s="14" t="str">
        <f>IF([1]Sheet2!DW132=999999,"NA",[1]Sheet2!DW132)</f>
        <v>NA</v>
      </c>
      <c r="DM133" s="14">
        <f>IF([1]Sheet2!DX132=999999,"NA",[1]Sheet2!DX132)</f>
        <v>235</v>
      </c>
      <c r="DN133" s="14">
        <f>IF([1]Sheet2!DY132=999999,"NA",[1]Sheet2!DY132)</f>
        <v>235</v>
      </c>
      <c r="DO133" s="14" t="str">
        <f>IF([1]Sheet2!DZ132=999999,"NA",[1]Sheet2!DZ132)</f>
        <v>NA</v>
      </c>
      <c r="DP133" s="14" t="str">
        <f>IF([1]Sheet2!EA132=999999,"NA",[1]Sheet2!EA132)</f>
        <v>NA</v>
      </c>
      <c r="DQ133" s="14">
        <f>[1]Sheet2!CX132</f>
        <v>0</v>
      </c>
      <c r="DR133" s="14">
        <f>[1]Sheet2!CY132</f>
        <v>0</v>
      </c>
      <c r="DS133" s="14">
        <f>[1]Sheet2!CZ132</f>
        <v>0</v>
      </c>
      <c r="DT133" s="14">
        <f>[1]Sheet2!DA132</f>
        <v>0</v>
      </c>
      <c r="DU133" s="14">
        <f>[1]Sheet2!DB132</f>
        <v>0</v>
      </c>
      <c r="DV133" s="14">
        <f>[1]Sheet2!DC132</f>
        <v>0</v>
      </c>
      <c r="DW133" s="14">
        <f>[1]Sheet2!DD132</f>
        <v>0</v>
      </c>
      <c r="DX133" s="14">
        <f>[1]Sheet2!DE132</f>
        <v>0</v>
      </c>
      <c r="DY133" s="14">
        <f>[1]Sheet2!DF132</f>
        <v>0</v>
      </c>
      <c r="DZ133" s="14">
        <f>[1]Sheet2!DG132</f>
        <v>0</v>
      </c>
    </row>
    <row r="134" spans="1:130" x14ac:dyDescent="0.25">
      <c r="A134" s="15">
        <v>43596</v>
      </c>
      <c r="B134" s="1"/>
      <c r="C134" s="1"/>
      <c r="D134" s="1"/>
      <c r="E134" s="14">
        <f>[1]Sheet2!N133</f>
        <v>0</v>
      </c>
      <c r="F134" s="14">
        <f>[1]Sheet2!BE133</f>
        <v>0</v>
      </c>
      <c r="G134" s="14">
        <f>[1]Sheet2!CV133</f>
        <v>245.6575682382134</v>
      </c>
      <c r="H134" s="1"/>
      <c r="I134" s="1"/>
      <c r="J134" s="1"/>
      <c r="K134" s="16">
        <f>Demand_CWRS!B$7/31</f>
        <v>129.8994219137717</v>
      </c>
      <c r="L134" s="16">
        <f>Demand_CWRS!C$7/31</f>
        <v>543.3829611248965</v>
      </c>
      <c r="M134" s="16">
        <f>Demand_CWRS!D$7/31</f>
        <v>0</v>
      </c>
      <c r="N134" s="16">
        <f>Demand_CWRS!E$7/31</f>
        <v>131.84491315136475</v>
      </c>
      <c r="O134" s="16">
        <f>Demand_CWRS!F$7/31</f>
        <v>232.12592522229113</v>
      </c>
      <c r="P134" s="16">
        <f>Demand_CWRS!G$7/31</f>
        <v>129.8994219137717</v>
      </c>
      <c r="Q134" s="16">
        <f>Demand_CWRS!H$7/31</f>
        <v>543.3829611248965</v>
      </c>
      <c r="R134" s="16">
        <f>Demand_CWRS!I$7/31</f>
        <v>232.12592522229113</v>
      </c>
      <c r="S134" s="16">
        <f>Demand_CWRS!J$7/31</f>
        <v>232.12592522229113</v>
      </c>
      <c r="T134" s="16">
        <f>Demand_CWRS!K$7/31</f>
        <v>232.12592522229113</v>
      </c>
      <c r="U134" s="16">
        <f t="shared" si="63"/>
        <v>-20016.727281813382</v>
      </c>
      <c r="V134" s="16">
        <f t="shared" si="64"/>
        <v>-58492.348469809622</v>
      </c>
      <c r="W134" s="16">
        <f t="shared" si="65"/>
        <v>0</v>
      </c>
      <c r="X134" s="16">
        <f t="shared" si="66"/>
        <v>-13198.929568845484</v>
      </c>
      <c r="Y134" s="16">
        <f t="shared" si="67"/>
        <v>-29063.766436117337</v>
      </c>
      <c r="Z134" s="16">
        <f t="shared" si="68"/>
        <v>-19690.954132774932</v>
      </c>
      <c r="AA134" s="16">
        <f t="shared" si="69"/>
        <v>-57992.348469809622</v>
      </c>
      <c r="AB134" s="16">
        <f t="shared" si="70"/>
        <v>-26751.799849578852</v>
      </c>
      <c r="AC134" s="16">
        <f t="shared" si="71"/>
        <v>-26751.799849578842</v>
      </c>
      <c r="AD134" s="16">
        <f t="shared" si="72"/>
        <v>-27451.799849578845</v>
      </c>
      <c r="AE134" s="14">
        <f>IF([1]Sheet2!AJ133=999999,"NA",[1]Sheet2!AJ133)</f>
        <v>0</v>
      </c>
      <c r="AF134" s="14">
        <f>IF([1]Sheet2!AK133=999999,"NA",[1]Sheet2!AK133)</f>
        <v>0</v>
      </c>
      <c r="AG134" s="14" t="str">
        <f>IF([1]Sheet2!AL133=999999,"NA",[1]Sheet2!AL133)</f>
        <v>NA</v>
      </c>
      <c r="AH134" s="14">
        <f>IF([1]Sheet2!AM133=999999,"NA",[1]Sheet2!AM133)</f>
        <v>234</v>
      </c>
      <c r="AI134" s="14">
        <f>IF([1]Sheet2!AN133=999999,"NA",[1]Sheet2!AN133)</f>
        <v>234</v>
      </c>
      <c r="AJ134" s="14">
        <f>IF([1]Sheet2!AO133=999999,"NA",[1]Sheet2!AO133)</f>
        <v>234</v>
      </c>
      <c r="AK134" s="14">
        <f>IF([1]Sheet2!AP133=999999,"NA",[1]Sheet2!AP133)</f>
        <v>0</v>
      </c>
      <c r="AL134" s="14">
        <f>IF([1]Sheet2!AQ133=999999,"NA",[1]Sheet2!AQ133)</f>
        <v>110</v>
      </c>
      <c r="AM134" s="14">
        <f>IF([1]Sheet2!AR133=999999,"NA",[1]Sheet2!AR133)</f>
        <v>234</v>
      </c>
      <c r="AN134" s="14">
        <f>IF([1]Sheet2!AS133=999999,"NA",[1]Sheet2!AS133)</f>
        <v>166</v>
      </c>
      <c r="AO134" s="14">
        <f>[1]Sheet2!P133</f>
        <v>0</v>
      </c>
      <c r="AP134" s="14">
        <f>[1]Sheet2!Q133</f>
        <v>0</v>
      </c>
      <c r="AQ134" s="14">
        <f>[1]Sheet2!R133</f>
        <v>0</v>
      </c>
      <c r="AR134" s="14">
        <f>[1]Sheet2!S133</f>
        <v>0</v>
      </c>
      <c r="AS134" s="14">
        <f>[1]Sheet2!T133</f>
        <v>0</v>
      </c>
      <c r="AT134" s="14">
        <f>[1]Sheet2!U133</f>
        <v>0</v>
      </c>
      <c r="AU134" s="14">
        <f>[1]Sheet2!V133</f>
        <v>0</v>
      </c>
      <c r="AV134" s="14">
        <f>[1]Sheet2!W133</f>
        <v>0</v>
      </c>
      <c r="AW134" s="14">
        <f>[1]Sheet2!X133</f>
        <v>0</v>
      </c>
      <c r="AX134" s="14">
        <f>[1]Sheet2!Y133</f>
        <v>0</v>
      </c>
      <c r="AY134" s="16">
        <f>Demand_LP!B$7/31</f>
        <v>855.82964911600493</v>
      </c>
      <c r="AZ134" s="16">
        <f>Demand_LP!C$7/31</f>
        <v>478.74276261373035</v>
      </c>
      <c r="BA134" s="16">
        <f>Demand_LP!D$7/31</f>
        <v>366.03598014888337</v>
      </c>
      <c r="BB134" s="16">
        <f>Demand_LP!E$7/31</f>
        <v>837.96277915632766</v>
      </c>
      <c r="BC134" s="16">
        <f>Demand_LP!F$7/31</f>
        <v>447.19049589019846</v>
      </c>
      <c r="BD134" s="16">
        <f>Demand_LP!G$7/31</f>
        <v>855.82964911600493</v>
      </c>
      <c r="BE134" s="16">
        <f>Demand_LP!H$7/31</f>
        <v>478.74276261373035</v>
      </c>
      <c r="BF134" s="16">
        <f>Demand_LP!I$7/31</f>
        <v>447.19049589019846</v>
      </c>
      <c r="BG134" s="16">
        <f>Demand_LP!J$7/31</f>
        <v>447.19049589019846</v>
      </c>
      <c r="BH134" s="16">
        <f>Demand_LP!K$7/31</f>
        <v>447.19049589019846</v>
      </c>
      <c r="BI134" s="16" t="e">
        <f t="shared" si="73"/>
        <v>#VALUE!</v>
      </c>
      <c r="BJ134" s="16">
        <f t="shared" si="74"/>
        <v>-80376.624234904812</v>
      </c>
      <c r="BK134" s="16">
        <f t="shared" si="75"/>
        <v>-37199.399627791558</v>
      </c>
      <c r="BL134" s="16">
        <f t="shared" si="76"/>
        <v>-96888.561067311486</v>
      </c>
      <c r="BM134" s="16">
        <f t="shared" si="77"/>
        <v>-59537.080586902382</v>
      </c>
      <c r="BN134" s="16">
        <f t="shared" si="78"/>
        <v>-93530.833369209475</v>
      </c>
      <c r="BO134" s="16">
        <f t="shared" si="79"/>
        <v>-82734.203722084334</v>
      </c>
      <c r="BP134" s="16">
        <f t="shared" si="80"/>
        <v>-58994.764505272979</v>
      </c>
      <c r="BQ134" s="16">
        <f t="shared" si="81"/>
        <v>-55594.764505273</v>
      </c>
      <c r="BR134" s="16">
        <f t="shared" si="82"/>
        <v>-56794.764505272986</v>
      </c>
      <c r="BS134" s="14">
        <f>IF([1]Sheet2!CA133=999999,"NA",[1]Sheet2!CA133)</f>
        <v>159684.23549472733</v>
      </c>
      <c r="BT134" s="14">
        <f>IF([1]Sheet2!CB133=999999,"NA",[1]Sheet2!CB133)</f>
        <v>156</v>
      </c>
      <c r="BU134" s="14">
        <f>IF([1]Sheet2!CC133=999999,"NA",[1]Sheet2!CC133)</f>
        <v>234</v>
      </c>
      <c r="BV134" s="14">
        <f>IF([1]Sheet2!CD133=999999,"NA",[1]Sheet2!CD133)</f>
        <v>234</v>
      </c>
      <c r="BW134" s="14">
        <f>IF([1]Sheet2!CE133=999999,"NA",[1]Sheet2!CE133)</f>
        <v>196</v>
      </c>
      <c r="BX134" s="14">
        <f>IF([1]Sheet2!CF133=999999,"NA",[1]Sheet2!CF133)</f>
        <v>234</v>
      </c>
      <c r="BY134" s="14">
        <f>IF([1]Sheet2!CG133=999999,"NA",[1]Sheet2!CG133)</f>
        <v>128</v>
      </c>
      <c r="BZ134" s="14">
        <f>IF([1]Sheet2!CH133=999999,"NA",[1]Sheet2!CH133)</f>
        <v>234</v>
      </c>
      <c r="CA134" s="14">
        <f>IF([1]Sheet2!CI133=999999,"NA",[1]Sheet2!CI133)</f>
        <v>234</v>
      </c>
      <c r="CB134" s="14">
        <f>IF([1]Sheet2!CJ133=999999,"NA",[1]Sheet2!CJ133)</f>
        <v>234</v>
      </c>
      <c r="CC134" s="14">
        <f>[1]Sheet2!BG133</f>
        <v>0</v>
      </c>
      <c r="CD134" s="14">
        <f>[1]Sheet2!BH133</f>
        <v>0</v>
      </c>
      <c r="CE134" s="14">
        <f>[1]Sheet2!BI133</f>
        <v>0</v>
      </c>
      <c r="CF134" s="14">
        <f>[1]Sheet2!BJ133</f>
        <v>0</v>
      </c>
      <c r="CG134" s="14">
        <f>[1]Sheet2!BK133</f>
        <v>0</v>
      </c>
      <c r="CH134" s="14">
        <f>[1]Sheet2!BL133</f>
        <v>0</v>
      </c>
      <c r="CI134" s="14">
        <f>[1]Sheet2!BM133</f>
        <v>0</v>
      </c>
      <c r="CJ134" s="14">
        <f>[1]Sheet2!BN133</f>
        <v>0</v>
      </c>
      <c r="CK134" s="14">
        <f>[1]Sheet2!BO133</f>
        <v>0</v>
      </c>
      <c r="CL134" s="14">
        <f>[1]Sheet2!BP133</f>
        <v>0</v>
      </c>
      <c r="CM134" s="16">
        <f>Demand_SW!B$7/31</f>
        <v>122.8287841191067</v>
      </c>
      <c r="CN134" s="16">
        <f>Demand_SW!C$7/31</f>
        <v>0</v>
      </c>
      <c r="CO134" s="16">
        <f>Demand_SW!D$7/31</f>
        <v>0</v>
      </c>
      <c r="CP134" s="16">
        <f>Demand_SW!E$7/31</f>
        <v>0</v>
      </c>
      <c r="CQ134" s="16">
        <f>Demand_SW!F$7/31</f>
        <v>0</v>
      </c>
      <c r="CR134" s="16">
        <f>Demand_SW!G$7/31</f>
        <v>122.8287841191067</v>
      </c>
      <c r="CS134" s="16">
        <f>Demand_SW!H$7/31</f>
        <v>0</v>
      </c>
      <c r="CT134" s="16">
        <f>Demand_SW!I$7/31</f>
        <v>0</v>
      </c>
      <c r="CU134" s="16">
        <f>Demand_SW!J$7/31</f>
        <v>0</v>
      </c>
      <c r="CV134" s="16">
        <f>Demand_SW!K$7/31</f>
        <v>0</v>
      </c>
      <c r="CW134" s="16">
        <f t="shared" si="83"/>
        <v>33185.806451612916</v>
      </c>
      <c r="CX134" s="16">
        <f t="shared" si="84"/>
        <v>-423.07692307692292</v>
      </c>
      <c r="CY134" s="16">
        <f t="shared" si="85"/>
        <v>0</v>
      </c>
      <c r="CZ134" s="16">
        <f t="shared" si="86"/>
        <v>0</v>
      </c>
      <c r="DA134" s="16">
        <f t="shared" si="87"/>
        <v>0</v>
      </c>
      <c r="DB134" s="16">
        <f t="shared" si="88"/>
        <v>-16343.424317617879</v>
      </c>
      <c r="DC134" s="16">
        <f t="shared" si="89"/>
        <v>-423.07692307692292</v>
      </c>
      <c r="DD134" s="16">
        <f t="shared" si="90"/>
        <v>0</v>
      </c>
      <c r="DE134" s="16">
        <f t="shared" si="91"/>
        <v>0</v>
      </c>
      <c r="DF134" s="16">
        <f t="shared" si="92"/>
        <v>0</v>
      </c>
      <c r="DG134" s="14">
        <f>IF([1]Sheet2!DR133=999999,"NA",[1]Sheet2!DR133)</f>
        <v>73103</v>
      </c>
      <c r="DH134" s="14">
        <f>IF([1]Sheet2!DS133=999999,"NA",[1]Sheet2!DS133)</f>
        <v>234</v>
      </c>
      <c r="DI134" s="14">
        <f>IF([1]Sheet2!DT133=999999,"NA",[1]Sheet2!DT133)</f>
        <v>234</v>
      </c>
      <c r="DJ134" s="14" t="str">
        <f>IF([1]Sheet2!DU133=999999,"NA",[1]Sheet2!DU133)</f>
        <v>NA</v>
      </c>
      <c r="DK134" s="14" t="str">
        <f>IF([1]Sheet2!DV133=999999,"NA",[1]Sheet2!DV133)</f>
        <v>NA</v>
      </c>
      <c r="DL134" s="14" t="str">
        <f>IF([1]Sheet2!DW133=999999,"NA",[1]Sheet2!DW133)</f>
        <v>NA</v>
      </c>
      <c r="DM134" s="14">
        <f>IF([1]Sheet2!DX133=999999,"NA",[1]Sheet2!DX133)</f>
        <v>234</v>
      </c>
      <c r="DN134" s="14">
        <f>IF([1]Sheet2!DY133=999999,"NA",[1]Sheet2!DY133)</f>
        <v>234</v>
      </c>
      <c r="DO134" s="14" t="str">
        <f>IF([1]Sheet2!DZ133=999999,"NA",[1]Sheet2!DZ133)</f>
        <v>NA</v>
      </c>
      <c r="DP134" s="14" t="str">
        <f>IF([1]Sheet2!EA133=999999,"NA",[1]Sheet2!EA133)</f>
        <v>NA</v>
      </c>
      <c r="DQ134" s="14">
        <f>[1]Sheet2!CX133</f>
        <v>0</v>
      </c>
      <c r="DR134" s="14">
        <f>[1]Sheet2!CY133</f>
        <v>0</v>
      </c>
      <c r="DS134" s="14">
        <f>[1]Sheet2!CZ133</f>
        <v>0</v>
      </c>
      <c r="DT134" s="14">
        <f>[1]Sheet2!DA133</f>
        <v>0</v>
      </c>
      <c r="DU134" s="14">
        <f>[1]Sheet2!DB133</f>
        <v>0</v>
      </c>
      <c r="DV134" s="14">
        <f>[1]Sheet2!DC133</f>
        <v>0</v>
      </c>
      <c r="DW134" s="14">
        <f>[1]Sheet2!DD133</f>
        <v>0</v>
      </c>
      <c r="DX134" s="14">
        <f>[1]Sheet2!DE133</f>
        <v>0</v>
      </c>
      <c r="DY134" s="14">
        <f>[1]Sheet2!DF133</f>
        <v>0</v>
      </c>
      <c r="DZ134" s="14">
        <f>[1]Sheet2!DG133</f>
        <v>0</v>
      </c>
    </row>
    <row r="135" spans="1:130" x14ac:dyDescent="0.25">
      <c r="A135" s="15">
        <v>43597</v>
      </c>
      <c r="B135" s="1"/>
      <c r="C135" s="1"/>
      <c r="D135" s="1"/>
      <c r="E135" s="14">
        <f>[1]Sheet2!N134</f>
        <v>0</v>
      </c>
      <c r="F135" s="14">
        <f>[1]Sheet2!BE134</f>
        <v>0</v>
      </c>
      <c r="G135" s="14">
        <f>[1]Sheet2!CV134</f>
        <v>245.6575682382134</v>
      </c>
      <c r="H135" s="1"/>
      <c r="I135" s="1"/>
      <c r="J135" s="1"/>
      <c r="K135" s="16">
        <f>Demand_CWRS!B$7/31</f>
        <v>129.8994219137717</v>
      </c>
      <c r="L135" s="16">
        <f>Demand_CWRS!C$7/31</f>
        <v>543.3829611248965</v>
      </c>
      <c r="M135" s="16">
        <f>Demand_CWRS!D$7/31</f>
        <v>0</v>
      </c>
      <c r="N135" s="16">
        <f>Demand_CWRS!E$7/31</f>
        <v>131.84491315136475</v>
      </c>
      <c r="O135" s="16">
        <f>Demand_CWRS!F$7/31</f>
        <v>232.12592522229113</v>
      </c>
      <c r="P135" s="16">
        <f>Demand_CWRS!G$7/31</f>
        <v>129.8994219137717</v>
      </c>
      <c r="Q135" s="16">
        <f>Demand_CWRS!H$7/31</f>
        <v>543.3829611248965</v>
      </c>
      <c r="R135" s="16">
        <f>Demand_CWRS!I$7/31</f>
        <v>232.12592522229113</v>
      </c>
      <c r="S135" s="16">
        <f>Demand_CWRS!J$7/31</f>
        <v>232.12592522229113</v>
      </c>
      <c r="T135" s="16">
        <f>Demand_CWRS!K$7/31</f>
        <v>232.12592522229113</v>
      </c>
      <c r="U135" s="16">
        <f t="shared" si="63"/>
        <v>-20146.626703727154</v>
      </c>
      <c r="V135" s="16">
        <f t="shared" si="64"/>
        <v>-59035.731430934517</v>
      </c>
      <c r="W135" s="16">
        <f t="shared" si="65"/>
        <v>0</v>
      </c>
      <c r="X135" s="16">
        <f t="shared" si="66"/>
        <v>-13330.774481996848</v>
      </c>
      <c r="Y135" s="16">
        <f t="shared" si="67"/>
        <v>-29295.892361339629</v>
      </c>
      <c r="Z135" s="16">
        <f t="shared" si="68"/>
        <v>-19820.853554688703</v>
      </c>
      <c r="AA135" s="16">
        <f t="shared" si="69"/>
        <v>-58535.731430934517</v>
      </c>
      <c r="AB135" s="16">
        <f t="shared" si="70"/>
        <v>-26983.925774801144</v>
      </c>
      <c r="AC135" s="16">
        <f t="shared" si="71"/>
        <v>-26983.925774801133</v>
      </c>
      <c r="AD135" s="16">
        <f t="shared" si="72"/>
        <v>-27683.925774801137</v>
      </c>
      <c r="AE135" s="14">
        <f>IF([1]Sheet2!AJ134=999999,"NA",[1]Sheet2!AJ134)</f>
        <v>0</v>
      </c>
      <c r="AF135" s="14">
        <f>IF([1]Sheet2!AK134=999999,"NA",[1]Sheet2!AK134)</f>
        <v>0</v>
      </c>
      <c r="AG135" s="14" t="str">
        <f>IF([1]Sheet2!AL134=999999,"NA",[1]Sheet2!AL134)</f>
        <v>NA</v>
      </c>
      <c r="AH135" s="14">
        <f>IF([1]Sheet2!AM134=999999,"NA",[1]Sheet2!AM134)</f>
        <v>233</v>
      </c>
      <c r="AI135" s="14">
        <f>IF([1]Sheet2!AN134=999999,"NA",[1]Sheet2!AN134)</f>
        <v>233</v>
      </c>
      <c r="AJ135" s="14">
        <f>IF([1]Sheet2!AO134=999999,"NA",[1]Sheet2!AO134)</f>
        <v>233</v>
      </c>
      <c r="AK135" s="14">
        <f>IF([1]Sheet2!AP134=999999,"NA",[1]Sheet2!AP134)</f>
        <v>0</v>
      </c>
      <c r="AL135" s="14">
        <f>IF([1]Sheet2!AQ134=999999,"NA",[1]Sheet2!AQ134)</f>
        <v>109</v>
      </c>
      <c r="AM135" s="14">
        <f>IF([1]Sheet2!AR134=999999,"NA",[1]Sheet2!AR134)</f>
        <v>233</v>
      </c>
      <c r="AN135" s="14">
        <f>IF([1]Sheet2!AS134=999999,"NA",[1]Sheet2!AS134)</f>
        <v>165</v>
      </c>
      <c r="AO135" s="14">
        <f>[1]Sheet2!P134</f>
        <v>0</v>
      </c>
      <c r="AP135" s="14">
        <f>[1]Sheet2!Q134</f>
        <v>0</v>
      </c>
      <c r="AQ135" s="14">
        <f>[1]Sheet2!R134</f>
        <v>0</v>
      </c>
      <c r="AR135" s="14">
        <f>[1]Sheet2!S134</f>
        <v>0</v>
      </c>
      <c r="AS135" s="14">
        <f>[1]Sheet2!T134</f>
        <v>0</v>
      </c>
      <c r="AT135" s="14">
        <f>[1]Sheet2!U134</f>
        <v>0</v>
      </c>
      <c r="AU135" s="14">
        <f>[1]Sheet2!V134</f>
        <v>0</v>
      </c>
      <c r="AV135" s="14">
        <f>[1]Sheet2!W134</f>
        <v>0</v>
      </c>
      <c r="AW135" s="14">
        <f>[1]Sheet2!X134</f>
        <v>0</v>
      </c>
      <c r="AX135" s="14">
        <f>[1]Sheet2!Y134</f>
        <v>0</v>
      </c>
      <c r="AY135" s="16">
        <f>Demand_LP!B$7/31</f>
        <v>855.82964911600493</v>
      </c>
      <c r="AZ135" s="16">
        <f>Demand_LP!C$7/31</f>
        <v>478.74276261373035</v>
      </c>
      <c r="BA135" s="16">
        <f>Demand_LP!D$7/31</f>
        <v>366.03598014888337</v>
      </c>
      <c r="BB135" s="16">
        <f>Demand_LP!E$7/31</f>
        <v>837.96277915632766</v>
      </c>
      <c r="BC135" s="16">
        <f>Demand_LP!F$7/31</f>
        <v>447.19049589019846</v>
      </c>
      <c r="BD135" s="16">
        <f>Demand_LP!G$7/31</f>
        <v>855.82964911600493</v>
      </c>
      <c r="BE135" s="16">
        <f>Demand_LP!H$7/31</f>
        <v>478.74276261373035</v>
      </c>
      <c r="BF135" s="16">
        <f>Demand_LP!I$7/31</f>
        <v>447.19049589019846</v>
      </c>
      <c r="BG135" s="16">
        <f>Demand_LP!J$7/31</f>
        <v>447.19049589019846</v>
      </c>
      <c r="BH135" s="16">
        <f>Demand_LP!K$7/31</f>
        <v>447.19049589019846</v>
      </c>
      <c r="BI135" s="16" t="e">
        <f t="shared" si="73"/>
        <v>#VALUE!</v>
      </c>
      <c r="BJ135" s="16">
        <f t="shared" si="74"/>
        <v>-80855.366997518548</v>
      </c>
      <c r="BK135" s="16">
        <f t="shared" si="75"/>
        <v>-37565.435607940439</v>
      </c>
      <c r="BL135" s="16">
        <f t="shared" si="76"/>
        <v>-97726.523846467811</v>
      </c>
      <c r="BM135" s="16">
        <f t="shared" si="77"/>
        <v>-59984.271082792584</v>
      </c>
      <c r="BN135" s="16">
        <f t="shared" si="78"/>
        <v>-94386.663018325475</v>
      </c>
      <c r="BO135" s="16">
        <f t="shared" si="79"/>
        <v>-83212.94648469807</v>
      </c>
      <c r="BP135" s="16">
        <f t="shared" si="80"/>
        <v>-59441.95500116318</v>
      </c>
      <c r="BQ135" s="16">
        <f t="shared" si="81"/>
        <v>-56041.955001163202</v>
      </c>
      <c r="BR135" s="16">
        <f t="shared" si="82"/>
        <v>-57241.955001163187</v>
      </c>
      <c r="BS135" s="14">
        <f>IF([1]Sheet2!CA134=999999,"NA",[1]Sheet2!CA134)</f>
        <v>159237.04499883714</v>
      </c>
      <c r="BT135" s="14">
        <f>IF([1]Sheet2!CB134=999999,"NA",[1]Sheet2!CB134)</f>
        <v>155</v>
      </c>
      <c r="BU135" s="14">
        <f>IF([1]Sheet2!CC134=999999,"NA",[1]Sheet2!CC134)</f>
        <v>233</v>
      </c>
      <c r="BV135" s="14">
        <f>IF([1]Sheet2!CD134=999999,"NA",[1]Sheet2!CD134)</f>
        <v>233</v>
      </c>
      <c r="BW135" s="14">
        <f>IF([1]Sheet2!CE134=999999,"NA",[1]Sheet2!CE134)</f>
        <v>195</v>
      </c>
      <c r="BX135" s="14">
        <f>IF([1]Sheet2!CF134=999999,"NA",[1]Sheet2!CF134)</f>
        <v>233</v>
      </c>
      <c r="BY135" s="14">
        <f>IF([1]Sheet2!CG134=999999,"NA",[1]Sheet2!CG134)</f>
        <v>127</v>
      </c>
      <c r="BZ135" s="14">
        <f>IF([1]Sheet2!CH134=999999,"NA",[1]Sheet2!CH134)</f>
        <v>233</v>
      </c>
      <c r="CA135" s="14">
        <f>IF([1]Sheet2!CI134=999999,"NA",[1]Sheet2!CI134)</f>
        <v>233</v>
      </c>
      <c r="CB135" s="14">
        <f>IF([1]Sheet2!CJ134=999999,"NA",[1]Sheet2!CJ134)</f>
        <v>233</v>
      </c>
      <c r="CC135" s="14">
        <f>[1]Sheet2!BG134</f>
        <v>0</v>
      </c>
      <c r="CD135" s="14">
        <f>[1]Sheet2!BH134</f>
        <v>0</v>
      </c>
      <c r="CE135" s="14">
        <f>[1]Sheet2!BI134</f>
        <v>0</v>
      </c>
      <c r="CF135" s="14">
        <f>[1]Sheet2!BJ134</f>
        <v>0</v>
      </c>
      <c r="CG135" s="14">
        <f>[1]Sheet2!BK134</f>
        <v>0</v>
      </c>
      <c r="CH135" s="14">
        <f>[1]Sheet2!BL134</f>
        <v>0</v>
      </c>
      <c r="CI135" s="14">
        <f>[1]Sheet2!BM134</f>
        <v>0</v>
      </c>
      <c r="CJ135" s="14">
        <f>[1]Sheet2!BN134</f>
        <v>0</v>
      </c>
      <c r="CK135" s="14">
        <f>[1]Sheet2!BO134</f>
        <v>0</v>
      </c>
      <c r="CL135" s="14">
        <f>[1]Sheet2!BP134</f>
        <v>0</v>
      </c>
      <c r="CM135" s="16">
        <f>Demand_SW!B$7/31</f>
        <v>122.8287841191067</v>
      </c>
      <c r="CN135" s="16">
        <f>Demand_SW!C$7/31</f>
        <v>0</v>
      </c>
      <c r="CO135" s="16">
        <f>Demand_SW!D$7/31</f>
        <v>0</v>
      </c>
      <c r="CP135" s="16">
        <f>Demand_SW!E$7/31</f>
        <v>0</v>
      </c>
      <c r="CQ135" s="16">
        <f>Demand_SW!F$7/31</f>
        <v>0</v>
      </c>
      <c r="CR135" s="16">
        <f>Demand_SW!G$7/31</f>
        <v>122.8287841191067</v>
      </c>
      <c r="CS135" s="16">
        <f>Demand_SW!H$7/31</f>
        <v>0</v>
      </c>
      <c r="CT135" s="16">
        <f>Demand_SW!I$7/31</f>
        <v>0</v>
      </c>
      <c r="CU135" s="16">
        <f>Demand_SW!J$7/31</f>
        <v>0</v>
      </c>
      <c r="CV135" s="16">
        <f>Demand_SW!K$7/31</f>
        <v>0</v>
      </c>
      <c r="CW135" s="16">
        <f t="shared" si="83"/>
        <v>33062.977667493811</v>
      </c>
      <c r="CX135" s="16">
        <f t="shared" si="84"/>
        <v>-423.07692307692292</v>
      </c>
      <c r="CY135" s="16">
        <f t="shared" si="85"/>
        <v>0</v>
      </c>
      <c r="CZ135" s="16">
        <f t="shared" si="86"/>
        <v>0</v>
      </c>
      <c r="DA135" s="16">
        <f t="shared" si="87"/>
        <v>0</v>
      </c>
      <c r="DB135" s="16">
        <f t="shared" si="88"/>
        <v>-16466.253101736984</v>
      </c>
      <c r="DC135" s="16">
        <f t="shared" si="89"/>
        <v>-423.07692307692292</v>
      </c>
      <c r="DD135" s="16">
        <f t="shared" si="90"/>
        <v>0</v>
      </c>
      <c r="DE135" s="16">
        <f t="shared" si="91"/>
        <v>0</v>
      </c>
      <c r="DF135" s="16">
        <f t="shared" si="92"/>
        <v>0</v>
      </c>
      <c r="DG135" s="14">
        <f>IF([1]Sheet2!DR134=999999,"NA",[1]Sheet2!DR134)</f>
        <v>73103</v>
      </c>
      <c r="DH135" s="14">
        <f>IF([1]Sheet2!DS134=999999,"NA",[1]Sheet2!DS134)</f>
        <v>233</v>
      </c>
      <c r="DI135" s="14">
        <f>IF([1]Sheet2!DT134=999999,"NA",[1]Sheet2!DT134)</f>
        <v>233</v>
      </c>
      <c r="DJ135" s="14" t="str">
        <f>IF([1]Sheet2!DU134=999999,"NA",[1]Sheet2!DU134)</f>
        <v>NA</v>
      </c>
      <c r="DK135" s="14" t="str">
        <f>IF([1]Sheet2!DV134=999999,"NA",[1]Sheet2!DV134)</f>
        <v>NA</v>
      </c>
      <c r="DL135" s="14" t="str">
        <f>IF([1]Sheet2!DW134=999999,"NA",[1]Sheet2!DW134)</f>
        <v>NA</v>
      </c>
      <c r="DM135" s="14">
        <f>IF([1]Sheet2!DX134=999999,"NA",[1]Sheet2!DX134)</f>
        <v>233</v>
      </c>
      <c r="DN135" s="14">
        <f>IF([1]Sheet2!DY134=999999,"NA",[1]Sheet2!DY134)</f>
        <v>233</v>
      </c>
      <c r="DO135" s="14" t="str">
        <f>IF([1]Sheet2!DZ134=999999,"NA",[1]Sheet2!DZ134)</f>
        <v>NA</v>
      </c>
      <c r="DP135" s="14" t="str">
        <f>IF([1]Sheet2!EA134=999999,"NA",[1]Sheet2!EA134)</f>
        <v>NA</v>
      </c>
      <c r="DQ135" s="14">
        <f>[1]Sheet2!CX134</f>
        <v>0</v>
      </c>
      <c r="DR135" s="14">
        <f>[1]Sheet2!CY134</f>
        <v>0</v>
      </c>
      <c r="DS135" s="14">
        <f>[1]Sheet2!CZ134</f>
        <v>0</v>
      </c>
      <c r="DT135" s="14">
        <f>[1]Sheet2!DA134</f>
        <v>0</v>
      </c>
      <c r="DU135" s="14">
        <f>[1]Sheet2!DB134</f>
        <v>0</v>
      </c>
      <c r="DV135" s="14">
        <f>[1]Sheet2!DC134</f>
        <v>0</v>
      </c>
      <c r="DW135" s="14">
        <f>[1]Sheet2!DD134</f>
        <v>0</v>
      </c>
      <c r="DX135" s="14">
        <f>[1]Sheet2!DE134</f>
        <v>0</v>
      </c>
      <c r="DY135" s="14">
        <f>[1]Sheet2!DF134</f>
        <v>0</v>
      </c>
      <c r="DZ135" s="14">
        <f>[1]Sheet2!DG134</f>
        <v>0</v>
      </c>
    </row>
    <row r="136" spans="1:130" x14ac:dyDescent="0.25">
      <c r="A136" s="15">
        <v>43598</v>
      </c>
      <c r="B136" s="1"/>
      <c r="C136" s="1"/>
      <c r="D136" s="1"/>
      <c r="E136" s="14">
        <f>[1]Sheet2!N135</f>
        <v>0</v>
      </c>
      <c r="F136" s="14">
        <f>[1]Sheet2!BE135</f>
        <v>0</v>
      </c>
      <c r="G136" s="14">
        <f>[1]Sheet2!CV135</f>
        <v>245.6575682382134</v>
      </c>
      <c r="H136" s="1"/>
      <c r="I136" s="1"/>
      <c r="J136" s="1"/>
      <c r="K136" s="16">
        <f>Demand_CWRS!B$7/31</f>
        <v>129.8994219137717</v>
      </c>
      <c r="L136" s="16">
        <f>Demand_CWRS!C$7/31</f>
        <v>543.3829611248965</v>
      </c>
      <c r="M136" s="16">
        <f>Demand_CWRS!D$7/31</f>
        <v>0</v>
      </c>
      <c r="N136" s="16">
        <f>Demand_CWRS!E$7/31</f>
        <v>131.84491315136475</v>
      </c>
      <c r="O136" s="16">
        <f>Demand_CWRS!F$7/31</f>
        <v>232.12592522229113</v>
      </c>
      <c r="P136" s="16">
        <f>Demand_CWRS!G$7/31</f>
        <v>129.8994219137717</v>
      </c>
      <c r="Q136" s="16">
        <f>Demand_CWRS!H$7/31</f>
        <v>543.3829611248965</v>
      </c>
      <c r="R136" s="16">
        <f>Demand_CWRS!I$7/31</f>
        <v>232.12592522229113</v>
      </c>
      <c r="S136" s="16">
        <f>Demand_CWRS!J$7/31</f>
        <v>232.12592522229113</v>
      </c>
      <c r="T136" s="16">
        <f>Demand_CWRS!K$7/31</f>
        <v>232.12592522229113</v>
      </c>
      <c r="U136" s="16">
        <f t="shared" si="63"/>
        <v>-20276.526125640925</v>
      </c>
      <c r="V136" s="16">
        <f t="shared" si="64"/>
        <v>-59579.114392059411</v>
      </c>
      <c r="W136" s="16">
        <f t="shared" si="65"/>
        <v>0</v>
      </c>
      <c r="X136" s="16">
        <f t="shared" si="66"/>
        <v>-13462.619395148213</v>
      </c>
      <c r="Y136" s="16">
        <f t="shared" si="67"/>
        <v>-29528.018286561921</v>
      </c>
      <c r="Z136" s="16">
        <f t="shared" si="68"/>
        <v>-19950.752976602475</v>
      </c>
      <c r="AA136" s="16">
        <f t="shared" si="69"/>
        <v>-59079.114392059411</v>
      </c>
      <c r="AB136" s="16">
        <f t="shared" si="70"/>
        <v>-27216.051700023436</v>
      </c>
      <c r="AC136" s="16">
        <f t="shared" si="71"/>
        <v>-27216.051700023425</v>
      </c>
      <c r="AD136" s="16">
        <f t="shared" si="72"/>
        <v>-27916.051700023429</v>
      </c>
      <c r="AE136" s="14">
        <f>IF([1]Sheet2!AJ135=999999,"NA",[1]Sheet2!AJ135)</f>
        <v>0</v>
      </c>
      <c r="AF136" s="14">
        <f>IF([1]Sheet2!AK135=999999,"NA",[1]Sheet2!AK135)</f>
        <v>0</v>
      </c>
      <c r="AG136" s="14" t="str">
        <f>IF([1]Sheet2!AL135=999999,"NA",[1]Sheet2!AL135)</f>
        <v>NA</v>
      </c>
      <c r="AH136" s="14">
        <f>IF([1]Sheet2!AM135=999999,"NA",[1]Sheet2!AM135)</f>
        <v>232</v>
      </c>
      <c r="AI136" s="14">
        <f>IF([1]Sheet2!AN135=999999,"NA",[1]Sheet2!AN135)</f>
        <v>232</v>
      </c>
      <c r="AJ136" s="14">
        <f>IF([1]Sheet2!AO135=999999,"NA",[1]Sheet2!AO135)</f>
        <v>232</v>
      </c>
      <c r="AK136" s="14">
        <f>IF([1]Sheet2!AP135=999999,"NA",[1]Sheet2!AP135)</f>
        <v>0</v>
      </c>
      <c r="AL136" s="14">
        <f>IF([1]Sheet2!AQ135=999999,"NA",[1]Sheet2!AQ135)</f>
        <v>108</v>
      </c>
      <c r="AM136" s="14">
        <f>IF([1]Sheet2!AR135=999999,"NA",[1]Sheet2!AR135)</f>
        <v>232</v>
      </c>
      <c r="AN136" s="14">
        <f>IF([1]Sheet2!AS135=999999,"NA",[1]Sheet2!AS135)</f>
        <v>164</v>
      </c>
      <c r="AO136" s="14">
        <f>[1]Sheet2!P135</f>
        <v>0</v>
      </c>
      <c r="AP136" s="14">
        <f>[1]Sheet2!Q135</f>
        <v>0</v>
      </c>
      <c r="AQ136" s="14">
        <f>[1]Sheet2!R135</f>
        <v>0</v>
      </c>
      <c r="AR136" s="14">
        <f>[1]Sheet2!S135</f>
        <v>0</v>
      </c>
      <c r="AS136" s="14">
        <f>[1]Sheet2!T135</f>
        <v>0</v>
      </c>
      <c r="AT136" s="14">
        <f>[1]Sheet2!U135</f>
        <v>0</v>
      </c>
      <c r="AU136" s="14">
        <f>[1]Sheet2!V135</f>
        <v>0</v>
      </c>
      <c r="AV136" s="14">
        <f>[1]Sheet2!W135</f>
        <v>0</v>
      </c>
      <c r="AW136" s="14">
        <f>[1]Sheet2!X135</f>
        <v>0</v>
      </c>
      <c r="AX136" s="14">
        <f>[1]Sheet2!Y135</f>
        <v>0</v>
      </c>
      <c r="AY136" s="16">
        <f>Demand_LP!B$7/31</f>
        <v>855.82964911600493</v>
      </c>
      <c r="AZ136" s="16">
        <f>Demand_LP!C$7/31</f>
        <v>478.74276261373035</v>
      </c>
      <c r="BA136" s="16">
        <f>Demand_LP!D$7/31</f>
        <v>366.03598014888337</v>
      </c>
      <c r="BB136" s="16">
        <f>Demand_LP!E$7/31</f>
        <v>837.96277915632766</v>
      </c>
      <c r="BC136" s="16">
        <f>Demand_LP!F$7/31</f>
        <v>447.19049589019846</v>
      </c>
      <c r="BD136" s="16">
        <f>Demand_LP!G$7/31</f>
        <v>855.82964911600493</v>
      </c>
      <c r="BE136" s="16">
        <f>Demand_LP!H$7/31</f>
        <v>478.74276261373035</v>
      </c>
      <c r="BF136" s="16">
        <f>Demand_LP!I$7/31</f>
        <v>447.19049589019846</v>
      </c>
      <c r="BG136" s="16">
        <f>Demand_LP!J$7/31</f>
        <v>447.19049589019846</v>
      </c>
      <c r="BH136" s="16">
        <f>Demand_LP!K$7/31</f>
        <v>447.19049589019846</v>
      </c>
      <c r="BI136" s="16" t="e">
        <f t="shared" si="73"/>
        <v>#VALUE!</v>
      </c>
      <c r="BJ136" s="16">
        <f t="shared" si="74"/>
        <v>-81334.109760132284</v>
      </c>
      <c r="BK136" s="16">
        <f t="shared" si="75"/>
        <v>-37931.47158808932</v>
      </c>
      <c r="BL136" s="16">
        <f t="shared" si="76"/>
        <v>-98564.486625624137</v>
      </c>
      <c r="BM136" s="16">
        <f t="shared" si="77"/>
        <v>-60431.461578682785</v>
      </c>
      <c r="BN136" s="16">
        <f t="shared" si="78"/>
        <v>-95242.492667441475</v>
      </c>
      <c r="BO136" s="16">
        <f t="shared" si="79"/>
        <v>-83691.689247311806</v>
      </c>
      <c r="BP136" s="16">
        <f t="shared" si="80"/>
        <v>-59889.145497053381</v>
      </c>
      <c r="BQ136" s="16">
        <f t="shared" si="81"/>
        <v>-56489.145497053403</v>
      </c>
      <c r="BR136" s="16">
        <f t="shared" si="82"/>
        <v>-57689.145497053389</v>
      </c>
      <c r="BS136" s="14">
        <f>IF([1]Sheet2!CA135=999999,"NA",[1]Sheet2!CA135)</f>
        <v>158789.85450294695</v>
      </c>
      <c r="BT136" s="14">
        <f>IF([1]Sheet2!CB135=999999,"NA",[1]Sheet2!CB135)</f>
        <v>154</v>
      </c>
      <c r="BU136" s="14">
        <f>IF([1]Sheet2!CC135=999999,"NA",[1]Sheet2!CC135)</f>
        <v>232</v>
      </c>
      <c r="BV136" s="14">
        <f>IF([1]Sheet2!CD135=999999,"NA",[1]Sheet2!CD135)</f>
        <v>232</v>
      </c>
      <c r="BW136" s="14">
        <f>IF([1]Sheet2!CE135=999999,"NA",[1]Sheet2!CE135)</f>
        <v>194</v>
      </c>
      <c r="BX136" s="14">
        <f>IF([1]Sheet2!CF135=999999,"NA",[1]Sheet2!CF135)</f>
        <v>232</v>
      </c>
      <c r="BY136" s="14">
        <f>IF([1]Sheet2!CG135=999999,"NA",[1]Sheet2!CG135)</f>
        <v>126</v>
      </c>
      <c r="BZ136" s="14">
        <f>IF([1]Sheet2!CH135=999999,"NA",[1]Sheet2!CH135)</f>
        <v>232</v>
      </c>
      <c r="CA136" s="14">
        <f>IF([1]Sheet2!CI135=999999,"NA",[1]Sheet2!CI135)</f>
        <v>232</v>
      </c>
      <c r="CB136" s="14">
        <f>IF([1]Sheet2!CJ135=999999,"NA",[1]Sheet2!CJ135)</f>
        <v>232</v>
      </c>
      <c r="CC136" s="14">
        <f>[1]Sheet2!BG135</f>
        <v>0</v>
      </c>
      <c r="CD136" s="14">
        <f>[1]Sheet2!BH135</f>
        <v>0</v>
      </c>
      <c r="CE136" s="14">
        <f>[1]Sheet2!BI135</f>
        <v>0</v>
      </c>
      <c r="CF136" s="14">
        <f>[1]Sheet2!BJ135</f>
        <v>0</v>
      </c>
      <c r="CG136" s="14">
        <f>[1]Sheet2!BK135</f>
        <v>0</v>
      </c>
      <c r="CH136" s="14">
        <f>[1]Sheet2!BL135</f>
        <v>0</v>
      </c>
      <c r="CI136" s="14">
        <f>[1]Sheet2!BM135</f>
        <v>0</v>
      </c>
      <c r="CJ136" s="14">
        <f>[1]Sheet2!BN135</f>
        <v>0</v>
      </c>
      <c r="CK136" s="14">
        <f>[1]Sheet2!BO135</f>
        <v>0</v>
      </c>
      <c r="CL136" s="14">
        <f>[1]Sheet2!BP135</f>
        <v>0</v>
      </c>
      <c r="CM136" s="16">
        <f>Demand_SW!B$7/31</f>
        <v>122.8287841191067</v>
      </c>
      <c r="CN136" s="16">
        <f>Demand_SW!C$7/31</f>
        <v>0</v>
      </c>
      <c r="CO136" s="16">
        <f>Demand_SW!D$7/31</f>
        <v>0</v>
      </c>
      <c r="CP136" s="16">
        <f>Demand_SW!E$7/31</f>
        <v>0</v>
      </c>
      <c r="CQ136" s="16">
        <f>Demand_SW!F$7/31</f>
        <v>0</v>
      </c>
      <c r="CR136" s="16">
        <f>Demand_SW!G$7/31</f>
        <v>122.8287841191067</v>
      </c>
      <c r="CS136" s="16">
        <f>Demand_SW!H$7/31</f>
        <v>0</v>
      </c>
      <c r="CT136" s="16">
        <f>Demand_SW!I$7/31</f>
        <v>0</v>
      </c>
      <c r="CU136" s="16">
        <f>Demand_SW!J$7/31</f>
        <v>0</v>
      </c>
      <c r="CV136" s="16">
        <f>Demand_SW!K$7/31</f>
        <v>0</v>
      </c>
      <c r="CW136" s="16">
        <f t="shared" si="83"/>
        <v>32940.148883374706</v>
      </c>
      <c r="CX136" s="16">
        <f t="shared" si="84"/>
        <v>-423.07692307692292</v>
      </c>
      <c r="CY136" s="16">
        <f t="shared" si="85"/>
        <v>0</v>
      </c>
      <c r="CZ136" s="16">
        <f t="shared" si="86"/>
        <v>0</v>
      </c>
      <c r="DA136" s="16">
        <f t="shared" si="87"/>
        <v>0</v>
      </c>
      <c r="DB136" s="16">
        <f t="shared" si="88"/>
        <v>-16589.081885856089</v>
      </c>
      <c r="DC136" s="16">
        <f t="shared" si="89"/>
        <v>-423.07692307692292</v>
      </c>
      <c r="DD136" s="16">
        <f t="shared" si="90"/>
        <v>0</v>
      </c>
      <c r="DE136" s="16">
        <f t="shared" si="91"/>
        <v>0</v>
      </c>
      <c r="DF136" s="16">
        <f t="shared" si="92"/>
        <v>0</v>
      </c>
      <c r="DG136" s="14">
        <f>IF([1]Sheet2!DR135=999999,"NA",[1]Sheet2!DR135)</f>
        <v>73103</v>
      </c>
      <c r="DH136" s="14">
        <f>IF([1]Sheet2!DS135=999999,"NA",[1]Sheet2!DS135)</f>
        <v>232</v>
      </c>
      <c r="DI136" s="14">
        <f>IF([1]Sheet2!DT135=999999,"NA",[1]Sheet2!DT135)</f>
        <v>232</v>
      </c>
      <c r="DJ136" s="14" t="str">
        <f>IF([1]Sheet2!DU135=999999,"NA",[1]Sheet2!DU135)</f>
        <v>NA</v>
      </c>
      <c r="DK136" s="14" t="str">
        <f>IF([1]Sheet2!DV135=999999,"NA",[1]Sheet2!DV135)</f>
        <v>NA</v>
      </c>
      <c r="DL136" s="14" t="str">
        <f>IF([1]Sheet2!DW135=999999,"NA",[1]Sheet2!DW135)</f>
        <v>NA</v>
      </c>
      <c r="DM136" s="14">
        <f>IF([1]Sheet2!DX135=999999,"NA",[1]Sheet2!DX135)</f>
        <v>232</v>
      </c>
      <c r="DN136" s="14">
        <f>IF([1]Sheet2!DY135=999999,"NA",[1]Sheet2!DY135)</f>
        <v>232</v>
      </c>
      <c r="DO136" s="14" t="str">
        <f>IF([1]Sheet2!DZ135=999999,"NA",[1]Sheet2!DZ135)</f>
        <v>NA</v>
      </c>
      <c r="DP136" s="14" t="str">
        <f>IF([1]Sheet2!EA135=999999,"NA",[1]Sheet2!EA135)</f>
        <v>NA</v>
      </c>
      <c r="DQ136" s="14">
        <f>[1]Sheet2!CX135</f>
        <v>0</v>
      </c>
      <c r="DR136" s="14">
        <f>[1]Sheet2!CY135</f>
        <v>0</v>
      </c>
      <c r="DS136" s="14">
        <f>[1]Sheet2!CZ135</f>
        <v>0</v>
      </c>
      <c r="DT136" s="14">
        <f>[1]Sheet2!DA135</f>
        <v>0</v>
      </c>
      <c r="DU136" s="14">
        <f>[1]Sheet2!DB135</f>
        <v>0</v>
      </c>
      <c r="DV136" s="14">
        <f>[1]Sheet2!DC135</f>
        <v>0</v>
      </c>
      <c r="DW136" s="14">
        <f>[1]Sheet2!DD135</f>
        <v>0</v>
      </c>
      <c r="DX136" s="14">
        <f>[1]Sheet2!DE135</f>
        <v>0</v>
      </c>
      <c r="DY136" s="14">
        <f>[1]Sheet2!DF135</f>
        <v>0</v>
      </c>
      <c r="DZ136" s="14">
        <f>[1]Sheet2!DG135</f>
        <v>0</v>
      </c>
    </row>
    <row r="137" spans="1:130" x14ac:dyDescent="0.25">
      <c r="A137" s="15">
        <v>43599</v>
      </c>
      <c r="B137" s="1"/>
      <c r="C137" s="1"/>
      <c r="D137" s="1"/>
      <c r="E137" s="14">
        <f>[1]Sheet2!N136</f>
        <v>0</v>
      </c>
      <c r="F137" s="14">
        <f>[1]Sheet2!BE136</f>
        <v>0</v>
      </c>
      <c r="G137" s="14">
        <f>[1]Sheet2!CV136</f>
        <v>245.6575682382134</v>
      </c>
      <c r="H137" s="1"/>
      <c r="I137" s="1"/>
      <c r="J137" s="1"/>
      <c r="K137" s="16">
        <f>Demand_CWRS!B$7/31</f>
        <v>129.8994219137717</v>
      </c>
      <c r="L137" s="16">
        <f>Demand_CWRS!C$7/31</f>
        <v>543.3829611248965</v>
      </c>
      <c r="M137" s="16">
        <f>Demand_CWRS!D$7/31</f>
        <v>0</v>
      </c>
      <c r="N137" s="16">
        <f>Demand_CWRS!E$7/31</f>
        <v>131.84491315136475</v>
      </c>
      <c r="O137" s="16">
        <f>Demand_CWRS!F$7/31</f>
        <v>232.12592522229113</v>
      </c>
      <c r="P137" s="16">
        <f>Demand_CWRS!G$7/31</f>
        <v>129.8994219137717</v>
      </c>
      <c r="Q137" s="16">
        <f>Demand_CWRS!H$7/31</f>
        <v>543.3829611248965</v>
      </c>
      <c r="R137" s="16">
        <f>Demand_CWRS!I$7/31</f>
        <v>232.12592522229113</v>
      </c>
      <c r="S137" s="16">
        <f>Demand_CWRS!J$7/31</f>
        <v>232.12592522229113</v>
      </c>
      <c r="T137" s="16">
        <f>Demand_CWRS!K$7/31</f>
        <v>232.12592522229113</v>
      </c>
      <c r="U137" s="16">
        <f t="shared" si="63"/>
        <v>-20406.425547554696</v>
      </c>
      <c r="V137" s="16">
        <f t="shared" si="64"/>
        <v>-60122.497353184306</v>
      </c>
      <c r="W137" s="16">
        <f t="shared" si="65"/>
        <v>0</v>
      </c>
      <c r="X137" s="16">
        <f t="shared" si="66"/>
        <v>-13594.464308299577</v>
      </c>
      <c r="Y137" s="16">
        <f t="shared" si="67"/>
        <v>-29760.144211784213</v>
      </c>
      <c r="Z137" s="16">
        <f t="shared" si="68"/>
        <v>-20080.652398516246</v>
      </c>
      <c r="AA137" s="16">
        <f t="shared" si="69"/>
        <v>-59622.497353184306</v>
      </c>
      <c r="AB137" s="16">
        <f t="shared" si="70"/>
        <v>-27448.177625245728</v>
      </c>
      <c r="AC137" s="16">
        <f t="shared" si="71"/>
        <v>-27448.177625245717</v>
      </c>
      <c r="AD137" s="16">
        <f t="shared" si="72"/>
        <v>-28148.17762524572</v>
      </c>
      <c r="AE137" s="14">
        <f>IF([1]Sheet2!AJ136=999999,"NA",[1]Sheet2!AJ136)</f>
        <v>0</v>
      </c>
      <c r="AF137" s="14">
        <f>IF([1]Sheet2!AK136=999999,"NA",[1]Sheet2!AK136)</f>
        <v>0</v>
      </c>
      <c r="AG137" s="14" t="str">
        <f>IF([1]Sheet2!AL136=999999,"NA",[1]Sheet2!AL136)</f>
        <v>NA</v>
      </c>
      <c r="AH137" s="14">
        <f>IF([1]Sheet2!AM136=999999,"NA",[1]Sheet2!AM136)</f>
        <v>231</v>
      </c>
      <c r="AI137" s="14">
        <f>IF([1]Sheet2!AN136=999999,"NA",[1]Sheet2!AN136)</f>
        <v>231</v>
      </c>
      <c r="AJ137" s="14">
        <f>IF([1]Sheet2!AO136=999999,"NA",[1]Sheet2!AO136)</f>
        <v>231</v>
      </c>
      <c r="AK137" s="14">
        <f>IF([1]Sheet2!AP136=999999,"NA",[1]Sheet2!AP136)</f>
        <v>0</v>
      </c>
      <c r="AL137" s="14">
        <f>IF([1]Sheet2!AQ136=999999,"NA",[1]Sheet2!AQ136)</f>
        <v>107</v>
      </c>
      <c r="AM137" s="14">
        <f>IF([1]Sheet2!AR136=999999,"NA",[1]Sheet2!AR136)</f>
        <v>231</v>
      </c>
      <c r="AN137" s="14">
        <f>IF([1]Sheet2!AS136=999999,"NA",[1]Sheet2!AS136)</f>
        <v>163</v>
      </c>
      <c r="AO137" s="14">
        <f>[1]Sheet2!P136</f>
        <v>0</v>
      </c>
      <c r="AP137" s="14">
        <f>[1]Sheet2!Q136</f>
        <v>0</v>
      </c>
      <c r="AQ137" s="14">
        <f>[1]Sheet2!R136</f>
        <v>0</v>
      </c>
      <c r="AR137" s="14">
        <f>[1]Sheet2!S136</f>
        <v>0</v>
      </c>
      <c r="AS137" s="14">
        <f>[1]Sheet2!T136</f>
        <v>0</v>
      </c>
      <c r="AT137" s="14">
        <f>[1]Sheet2!U136</f>
        <v>0</v>
      </c>
      <c r="AU137" s="14">
        <f>[1]Sheet2!V136</f>
        <v>0</v>
      </c>
      <c r="AV137" s="14">
        <f>[1]Sheet2!W136</f>
        <v>0</v>
      </c>
      <c r="AW137" s="14">
        <f>[1]Sheet2!X136</f>
        <v>0</v>
      </c>
      <c r="AX137" s="14">
        <f>[1]Sheet2!Y136</f>
        <v>0</v>
      </c>
      <c r="AY137" s="16">
        <f>Demand_LP!B$7/31</f>
        <v>855.82964911600493</v>
      </c>
      <c r="AZ137" s="16">
        <f>Demand_LP!C$7/31</f>
        <v>478.74276261373035</v>
      </c>
      <c r="BA137" s="16">
        <f>Demand_LP!D$7/31</f>
        <v>366.03598014888337</v>
      </c>
      <c r="BB137" s="16">
        <f>Demand_LP!E$7/31</f>
        <v>837.96277915632766</v>
      </c>
      <c r="BC137" s="16">
        <f>Demand_LP!F$7/31</f>
        <v>447.19049589019846</v>
      </c>
      <c r="BD137" s="16">
        <f>Demand_LP!G$7/31</f>
        <v>855.82964911600493</v>
      </c>
      <c r="BE137" s="16">
        <f>Demand_LP!H$7/31</f>
        <v>478.74276261373035</v>
      </c>
      <c r="BF137" s="16">
        <f>Demand_LP!I$7/31</f>
        <v>447.19049589019846</v>
      </c>
      <c r="BG137" s="16">
        <f>Demand_LP!J$7/31</f>
        <v>447.19049589019846</v>
      </c>
      <c r="BH137" s="16">
        <f>Demand_LP!K$7/31</f>
        <v>447.19049589019846</v>
      </c>
      <c r="BI137" s="16" t="e">
        <f t="shared" si="73"/>
        <v>#VALUE!</v>
      </c>
      <c r="BJ137" s="16">
        <f t="shared" si="74"/>
        <v>-81812.85252274602</v>
      </c>
      <c r="BK137" s="16">
        <f t="shared" si="75"/>
        <v>-38297.507568238201</v>
      </c>
      <c r="BL137" s="16">
        <f t="shared" si="76"/>
        <v>-99402.449404780462</v>
      </c>
      <c r="BM137" s="16">
        <f t="shared" si="77"/>
        <v>-60878.652074572987</v>
      </c>
      <c r="BN137" s="16">
        <f t="shared" si="78"/>
        <v>-96098.322316557475</v>
      </c>
      <c r="BO137" s="16">
        <f t="shared" si="79"/>
        <v>-84170.432009925542</v>
      </c>
      <c r="BP137" s="16">
        <f t="shared" si="80"/>
        <v>-60336.335992943583</v>
      </c>
      <c r="BQ137" s="16">
        <f t="shared" si="81"/>
        <v>-56936.335992943605</v>
      </c>
      <c r="BR137" s="16">
        <f t="shared" si="82"/>
        <v>-58136.33599294359</v>
      </c>
      <c r="BS137" s="14">
        <f>IF([1]Sheet2!CA136=999999,"NA",[1]Sheet2!CA136)</f>
        <v>158342.66400705677</v>
      </c>
      <c r="BT137" s="14">
        <f>IF([1]Sheet2!CB136=999999,"NA",[1]Sheet2!CB136)</f>
        <v>153</v>
      </c>
      <c r="BU137" s="14">
        <f>IF([1]Sheet2!CC136=999999,"NA",[1]Sheet2!CC136)</f>
        <v>231</v>
      </c>
      <c r="BV137" s="14">
        <f>IF([1]Sheet2!CD136=999999,"NA",[1]Sheet2!CD136)</f>
        <v>231</v>
      </c>
      <c r="BW137" s="14">
        <f>IF([1]Sheet2!CE136=999999,"NA",[1]Sheet2!CE136)</f>
        <v>193</v>
      </c>
      <c r="BX137" s="14">
        <f>IF([1]Sheet2!CF136=999999,"NA",[1]Sheet2!CF136)</f>
        <v>231</v>
      </c>
      <c r="BY137" s="14">
        <f>IF([1]Sheet2!CG136=999999,"NA",[1]Sheet2!CG136)</f>
        <v>125</v>
      </c>
      <c r="BZ137" s="14">
        <f>IF([1]Sheet2!CH136=999999,"NA",[1]Sheet2!CH136)</f>
        <v>231</v>
      </c>
      <c r="CA137" s="14">
        <f>IF([1]Sheet2!CI136=999999,"NA",[1]Sheet2!CI136)</f>
        <v>231</v>
      </c>
      <c r="CB137" s="14">
        <f>IF([1]Sheet2!CJ136=999999,"NA",[1]Sheet2!CJ136)</f>
        <v>231</v>
      </c>
      <c r="CC137" s="14">
        <f>[1]Sheet2!BG136</f>
        <v>0</v>
      </c>
      <c r="CD137" s="14">
        <f>[1]Sheet2!BH136</f>
        <v>0</v>
      </c>
      <c r="CE137" s="14">
        <f>[1]Sheet2!BI136</f>
        <v>0</v>
      </c>
      <c r="CF137" s="14">
        <f>[1]Sheet2!BJ136</f>
        <v>0</v>
      </c>
      <c r="CG137" s="14">
        <f>[1]Sheet2!BK136</f>
        <v>0</v>
      </c>
      <c r="CH137" s="14">
        <f>[1]Sheet2!BL136</f>
        <v>0</v>
      </c>
      <c r="CI137" s="14">
        <f>[1]Sheet2!BM136</f>
        <v>0</v>
      </c>
      <c r="CJ137" s="14">
        <f>[1]Sheet2!BN136</f>
        <v>0</v>
      </c>
      <c r="CK137" s="14">
        <f>[1]Sheet2!BO136</f>
        <v>0</v>
      </c>
      <c r="CL137" s="14">
        <f>[1]Sheet2!BP136</f>
        <v>0</v>
      </c>
      <c r="CM137" s="16">
        <f>Demand_SW!B$7/31</f>
        <v>122.8287841191067</v>
      </c>
      <c r="CN137" s="16">
        <f>Demand_SW!C$7/31</f>
        <v>0</v>
      </c>
      <c r="CO137" s="16">
        <f>Demand_SW!D$7/31</f>
        <v>0</v>
      </c>
      <c r="CP137" s="16">
        <f>Demand_SW!E$7/31</f>
        <v>0</v>
      </c>
      <c r="CQ137" s="16">
        <f>Demand_SW!F$7/31</f>
        <v>0</v>
      </c>
      <c r="CR137" s="16">
        <f>Demand_SW!G$7/31</f>
        <v>122.8287841191067</v>
      </c>
      <c r="CS137" s="16">
        <f>Demand_SW!H$7/31</f>
        <v>0</v>
      </c>
      <c r="CT137" s="16">
        <f>Demand_SW!I$7/31</f>
        <v>0</v>
      </c>
      <c r="CU137" s="16">
        <f>Demand_SW!J$7/31</f>
        <v>0</v>
      </c>
      <c r="CV137" s="16">
        <f>Demand_SW!K$7/31</f>
        <v>0</v>
      </c>
      <c r="CW137" s="16">
        <f t="shared" si="83"/>
        <v>32817.320099255601</v>
      </c>
      <c r="CX137" s="16">
        <f t="shared" si="84"/>
        <v>-423.07692307692292</v>
      </c>
      <c r="CY137" s="16">
        <f t="shared" si="85"/>
        <v>0</v>
      </c>
      <c r="CZ137" s="16">
        <f t="shared" si="86"/>
        <v>0</v>
      </c>
      <c r="DA137" s="16">
        <f t="shared" si="87"/>
        <v>0</v>
      </c>
      <c r="DB137" s="16">
        <f t="shared" si="88"/>
        <v>-16711.910669975194</v>
      </c>
      <c r="DC137" s="16">
        <f t="shared" si="89"/>
        <v>-423.07692307692292</v>
      </c>
      <c r="DD137" s="16">
        <f t="shared" si="90"/>
        <v>0</v>
      </c>
      <c r="DE137" s="16">
        <f t="shared" si="91"/>
        <v>0</v>
      </c>
      <c r="DF137" s="16">
        <f t="shared" si="92"/>
        <v>0</v>
      </c>
      <c r="DG137" s="14">
        <f>IF([1]Sheet2!DR136=999999,"NA",[1]Sheet2!DR136)</f>
        <v>73103</v>
      </c>
      <c r="DH137" s="14">
        <f>IF([1]Sheet2!DS136=999999,"NA",[1]Sheet2!DS136)</f>
        <v>231</v>
      </c>
      <c r="DI137" s="14">
        <f>IF([1]Sheet2!DT136=999999,"NA",[1]Sheet2!DT136)</f>
        <v>231</v>
      </c>
      <c r="DJ137" s="14" t="str">
        <f>IF([1]Sheet2!DU136=999999,"NA",[1]Sheet2!DU136)</f>
        <v>NA</v>
      </c>
      <c r="DK137" s="14" t="str">
        <f>IF([1]Sheet2!DV136=999999,"NA",[1]Sheet2!DV136)</f>
        <v>NA</v>
      </c>
      <c r="DL137" s="14" t="str">
        <f>IF([1]Sheet2!DW136=999999,"NA",[1]Sheet2!DW136)</f>
        <v>NA</v>
      </c>
      <c r="DM137" s="14">
        <f>IF([1]Sheet2!DX136=999999,"NA",[1]Sheet2!DX136)</f>
        <v>231</v>
      </c>
      <c r="DN137" s="14">
        <f>IF([1]Sheet2!DY136=999999,"NA",[1]Sheet2!DY136)</f>
        <v>231</v>
      </c>
      <c r="DO137" s="14" t="str">
        <f>IF([1]Sheet2!DZ136=999999,"NA",[1]Sheet2!DZ136)</f>
        <v>NA</v>
      </c>
      <c r="DP137" s="14" t="str">
        <f>IF([1]Sheet2!EA136=999999,"NA",[1]Sheet2!EA136)</f>
        <v>NA</v>
      </c>
      <c r="DQ137" s="14">
        <f>[1]Sheet2!CX136</f>
        <v>0</v>
      </c>
      <c r="DR137" s="14">
        <f>[1]Sheet2!CY136</f>
        <v>0</v>
      </c>
      <c r="DS137" s="14">
        <f>[1]Sheet2!CZ136</f>
        <v>0</v>
      </c>
      <c r="DT137" s="14">
        <f>[1]Sheet2!DA136</f>
        <v>0</v>
      </c>
      <c r="DU137" s="14">
        <f>[1]Sheet2!DB136</f>
        <v>0</v>
      </c>
      <c r="DV137" s="14">
        <f>[1]Sheet2!DC136</f>
        <v>0</v>
      </c>
      <c r="DW137" s="14">
        <f>[1]Sheet2!DD136</f>
        <v>0</v>
      </c>
      <c r="DX137" s="14">
        <f>[1]Sheet2!DE136</f>
        <v>0</v>
      </c>
      <c r="DY137" s="14">
        <f>[1]Sheet2!DF136</f>
        <v>0</v>
      </c>
      <c r="DZ137" s="14">
        <f>[1]Sheet2!DG136</f>
        <v>0</v>
      </c>
    </row>
    <row r="138" spans="1:130" x14ac:dyDescent="0.25">
      <c r="A138" s="15">
        <v>43600</v>
      </c>
      <c r="B138" s="1"/>
      <c r="C138" s="1"/>
      <c r="D138" s="1"/>
      <c r="E138" s="14">
        <f>[1]Sheet2!N137</f>
        <v>0</v>
      </c>
      <c r="F138" s="14">
        <f>[1]Sheet2!BE137</f>
        <v>0</v>
      </c>
      <c r="G138" s="14">
        <f>[1]Sheet2!CV137</f>
        <v>245.6575682382134</v>
      </c>
      <c r="H138" s="1"/>
      <c r="I138" s="1"/>
      <c r="J138" s="1"/>
      <c r="K138" s="16">
        <f>Demand_CWRS!B$7/31</f>
        <v>129.8994219137717</v>
      </c>
      <c r="L138" s="16">
        <f>Demand_CWRS!C$7/31</f>
        <v>543.3829611248965</v>
      </c>
      <c r="M138" s="16">
        <f>Demand_CWRS!D$7/31</f>
        <v>0</v>
      </c>
      <c r="N138" s="16">
        <f>Demand_CWRS!E$7/31</f>
        <v>131.84491315136475</v>
      </c>
      <c r="O138" s="16">
        <f>Demand_CWRS!F$7/31</f>
        <v>232.12592522229113</v>
      </c>
      <c r="P138" s="16">
        <f>Demand_CWRS!G$7/31</f>
        <v>129.8994219137717</v>
      </c>
      <c r="Q138" s="16">
        <f>Demand_CWRS!H$7/31</f>
        <v>543.3829611248965</v>
      </c>
      <c r="R138" s="16">
        <f>Demand_CWRS!I$7/31</f>
        <v>232.12592522229113</v>
      </c>
      <c r="S138" s="16">
        <f>Demand_CWRS!J$7/31</f>
        <v>232.12592522229113</v>
      </c>
      <c r="T138" s="16">
        <f>Demand_CWRS!K$7/31</f>
        <v>232.12592522229113</v>
      </c>
      <c r="U138" s="16">
        <f t="shared" si="63"/>
        <v>-20536.324969468467</v>
      </c>
      <c r="V138" s="16">
        <f t="shared" si="64"/>
        <v>-60665.880314309201</v>
      </c>
      <c r="W138" s="16">
        <f t="shared" si="65"/>
        <v>0</v>
      </c>
      <c r="X138" s="16">
        <f t="shared" si="66"/>
        <v>-13726.309221450942</v>
      </c>
      <c r="Y138" s="16">
        <f t="shared" si="67"/>
        <v>-29992.270137006504</v>
      </c>
      <c r="Z138" s="16">
        <f t="shared" si="68"/>
        <v>-20210.551820430017</v>
      </c>
      <c r="AA138" s="16">
        <f t="shared" si="69"/>
        <v>-60165.880314309201</v>
      </c>
      <c r="AB138" s="16">
        <f t="shared" si="70"/>
        <v>-27680.303550468019</v>
      </c>
      <c r="AC138" s="16">
        <f t="shared" si="71"/>
        <v>-27680.303550468008</v>
      </c>
      <c r="AD138" s="16">
        <f t="shared" si="72"/>
        <v>-28380.303550468012</v>
      </c>
      <c r="AE138" s="14">
        <f>IF([1]Sheet2!AJ137=999999,"NA",[1]Sheet2!AJ137)</f>
        <v>0</v>
      </c>
      <c r="AF138" s="14">
        <f>IF([1]Sheet2!AK137=999999,"NA",[1]Sheet2!AK137)</f>
        <v>0</v>
      </c>
      <c r="AG138" s="14" t="str">
        <f>IF([1]Sheet2!AL137=999999,"NA",[1]Sheet2!AL137)</f>
        <v>NA</v>
      </c>
      <c r="AH138" s="14">
        <f>IF([1]Sheet2!AM137=999999,"NA",[1]Sheet2!AM137)</f>
        <v>230</v>
      </c>
      <c r="AI138" s="14">
        <f>IF([1]Sheet2!AN137=999999,"NA",[1]Sheet2!AN137)</f>
        <v>230</v>
      </c>
      <c r="AJ138" s="14">
        <f>IF([1]Sheet2!AO137=999999,"NA",[1]Sheet2!AO137)</f>
        <v>230</v>
      </c>
      <c r="AK138" s="14">
        <f>IF([1]Sheet2!AP137=999999,"NA",[1]Sheet2!AP137)</f>
        <v>0</v>
      </c>
      <c r="AL138" s="14">
        <f>IF([1]Sheet2!AQ137=999999,"NA",[1]Sheet2!AQ137)</f>
        <v>106</v>
      </c>
      <c r="AM138" s="14">
        <f>IF([1]Sheet2!AR137=999999,"NA",[1]Sheet2!AR137)</f>
        <v>230</v>
      </c>
      <c r="AN138" s="14">
        <f>IF([1]Sheet2!AS137=999999,"NA",[1]Sheet2!AS137)</f>
        <v>162</v>
      </c>
      <c r="AO138" s="14">
        <f>[1]Sheet2!P137</f>
        <v>0</v>
      </c>
      <c r="AP138" s="14">
        <f>[1]Sheet2!Q137</f>
        <v>0</v>
      </c>
      <c r="AQ138" s="14">
        <f>[1]Sheet2!R137</f>
        <v>0</v>
      </c>
      <c r="AR138" s="14">
        <f>[1]Sheet2!S137</f>
        <v>0</v>
      </c>
      <c r="AS138" s="14">
        <f>[1]Sheet2!T137</f>
        <v>0</v>
      </c>
      <c r="AT138" s="14">
        <f>[1]Sheet2!U137</f>
        <v>0</v>
      </c>
      <c r="AU138" s="14">
        <f>[1]Sheet2!V137</f>
        <v>0</v>
      </c>
      <c r="AV138" s="14">
        <f>[1]Sheet2!W137</f>
        <v>0</v>
      </c>
      <c r="AW138" s="14">
        <f>[1]Sheet2!X137</f>
        <v>0</v>
      </c>
      <c r="AX138" s="14">
        <f>[1]Sheet2!Y137</f>
        <v>0</v>
      </c>
      <c r="AY138" s="16">
        <f>Demand_LP!B$7/31</f>
        <v>855.82964911600493</v>
      </c>
      <c r="AZ138" s="16">
        <f>Demand_LP!C$7/31</f>
        <v>478.74276261373035</v>
      </c>
      <c r="BA138" s="16">
        <f>Demand_LP!D$7/31</f>
        <v>366.03598014888337</v>
      </c>
      <c r="BB138" s="16">
        <f>Demand_LP!E$7/31</f>
        <v>837.96277915632766</v>
      </c>
      <c r="BC138" s="16">
        <f>Demand_LP!F$7/31</f>
        <v>447.19049589019846</v>
      </c>
      <c r="BD138" s="16">
        <f>Demand_LP!G$7/31</f>
        <v>855.82964911600493</v>
      </c>
      <c r="BE138" s="16">
        <f>Demand_LP!H$7/31</f>
        <v>478.74276261373035</v>
      </c>
      <c r="BF138" s="16">
        <f>Demand_LP!I$7/31</f>
        <v>447.19049589019846</v>
      </c>
      <c r="BG138" s="16">
        <f>Demand_LP!J$7/31</f>
        <v>447.19049589019846</v>
      </c>
      <c r="BH138" s="16">
        <f>Demand_LP!K$7/31</f>
        <v>447.19049589019846</v>
      </c>
      <c r="BI138" s="16" t="e">
        <f t="shared" si="73"/>
        <v>#VALUE!</v>
      </c>
      <c r="BJ138" s="16">
        <f t="shared" si="74"/>
        <v>-82291.595285359756</v>
      </c>
      <c r="BK138" s="16">
        <f t="shared" si="75"/>
        <v>-38663.543548387082</v>
      </c>
      <c r="BL138" s="16">
        <f t="shared" si="76"/>
        <v>-100240.41218393679</v>
      </c>
      <c r="BM138" s="16">
        <f t="shared" si="77"/>
        <v>-61325.842570463188</v>
      </c>
      <c r="BN138" s="16">
        <f t="shared" si="78"/>
        <v>-96954.151965673474</v>
      </c>
      <c r="BO138" s="16">
        <f t="shared" si="79"/>
        <v>-84649.174772539278</v>
      </c>
      <c r="BP138" s="16">
        <f t="shared" si="80"/>
        <v>-60783.526488833784</v>
      </c>
      <c r="BQ138" s="16">
        <f t="shared" si="81"/>
        <v>-57383.526488833806</v>
      </c>
      <c r="BR138" s="16">
        <f t="shared" si="82"/>
        <v>-58583.526488833792</v>
      </c>
      <c r="BS138" s="14">
        <f>IF([1]Sheet2!CA137=999999,"NA",[1]Sheet2!CA137)</f>
        <v>157895.47351116658</v>
      </c>
      <c r="BT138" s="14">
        <f>IF([1]Sheet2!CB137=999999,"NA",[1]Sheet2!CB137)</f>
        <v>152</v>
      </c>
      <c r="BU138" s="14">
        <f>IF([1]Sheet2!CC137=999999,"NA",[1]Sheet2!CC137)</f>
        <v>230</v>
      </c>
      <c r="BV138" s="14">
        <f>IF([1]Sheet2!CD137=999999,"NA",[1]Sheet2!CD137)</f>
        <v>230</v>
      </c>
      <c r="BW138" s="14">
        <f>IF([1]Sheet2!CE137=999999,"NA",[1]Sheet2!CE137)</f>
        <v>192</v>
      </c>
      <c r="BX138" s="14">
        <f>IF([1]Sheet2!CF137=999999,"NA",[1]Sheet2!CF137)</f>
        <v>230</v>
      </c>
      <c r="BY138" s="14">
        <f>IF([1]Sheet2!CG137=999999,"NA",[1]Sheet2!CG137)</f>
        <v>124</v>
      </c>
      <c r="BZ138" s="14">
        <f>IF([1]Sheet2!CH137=999999,"NA",[1]Sheet2!CH137)</f>
        <v>230</v>
      </c>
      <c r="CA138" s="14">
        <f>IF([1]Sheet2!CI137=999999,"NA",[1]Sheet2!CI137)</f>
        <v>230</v>
      </c>
      <c r="CB138" s="14">
        <f>IF([1]Sheet2!CJ137=999999,"NA",[1]Sheet2!CJ137)</f>
        <v>230</v>
      </c>
      <c r="CC138" s="14">
        <f>[1]Sheet2!BG137</f>
        <v>0</v>
      </c>
      <c r="CD138" s="14">
        <f>[1]Sheet2!BH137</f>
        <v>0</v>
      </c>
      <c r="CE138" s="14">
        <f>[1]Sheet2!BI137</f>
        <v>0</v>
      </c>
      <c r="CF138" s="14">
        <f>[1]Sheet2!BJ137</f>
        <v>0</v>
      </c>
      <c r="CG138" s="14">
        <f>[1]Sheet2!BK137</f>
        <v>0</v>
      </c>
      <c r="CH138" s="14">
        <f>[1]Sheet2!BL137</f>
        <v>0</v>
      </c>
      <c r="CI138" s="14">
        <f>[1]Sheet2!BM137</f>
        <v>0</v>
      </c>
      <c r="CJ138" s="14">
        <f>[1]Sheet2!BN137</f>
        <v>0</v>
      </c>
      <c r="CK138" s="14">
        <f>[1]Sheet2!BO137</f>
        <v>0</v>
      </c>
      <c r="CL138" s="14">
        <f>[1]Sheet2!BP137</f>
        <v>0</v>
      </c>
      <c r="CM138" s="16">
        <f>Demand_SW!B$7/31</f>
        <v>122.8287841191067</v>
      </c>
      <c r="CN138" s="16">
        <f>Demand_SW!C$7/31</f>
        <v>0</v>
      </c>
      <c r="CO138" s="16">
        <f>Demand_SW!D$7/31</f>
        <v>0</v>
      </c>
      <c r="CP138" s="16">
        <f>Demand_SW!E$7/31</f>
        <v>0</v>
      </c>
      <c r="CQ138" s="16">
        <f>Demand_SW!F$7/31</f>
        <v>0</v>
      </c>
      <c r="CR138" s="16">
        <f>Demand_SW!G$7/31</f>
        <v>122.8287841191067</v>
      </c>
      <c r="CS138" s="16">
        <f>Demand_SW!H$7/31</f>
        <v>0</v>
      </c>
      <c r="CT138" s="16">
        <f>Demand_SW!I$7/31</f>
        <v>0</v>
      </c>
      <c r="CU138" s="16">
        <f>Demand_SW!J$7/31</f>
        <v>0</v>
      </c>
      <c r="CV138" s="16">
        <f>Demand_SW!K$7/31</f>
        <v>0</v>
      </c>
      <c r="CW138" s="16">
        <f t="shared" si="83"/>
        <v>32694.491315136496</v>
      </c>
      <c r="CX138" s="16">
        <f t="shared" si="84"/>
        <v>-423.07692307692292</v>
      </c>
      <c r="CY138" s="16">
        <f t="shared" si="85"/>
        <v>0</v>
      </c>
      <c r="CZ138" s="16">
        <f t="shared" si="86"/>
        <v>0</v>
      </c>
      <c r="DA138" s="16">
        <f t="shared" si="87"/>
        <v>0</v>
      </c>
      <c r="DB138" s="16">
        <f t="shared" si="88"/>
        <v>-16834.739454094299</v>
      </c>
      <c r="DC138" s="16">
        <f t="shared" si="89"/>
        <v>-423.07692307692292</v>
      </c>
      <c r="DD138" s="16">
        <f t="shared" si="90"/>
        <v>0</v>
      </c>
      <c r="DE138" s="16">
        <f t="shared" si="91"/>
        <v>0</v>
      </c>
      <c r="DF138" s="16">
        <f t="shared" si="92"/>
        <v>0</v>
      </c>
      <c r="DG138" s="14">
        <f>IF([1]Sheet2!DR137=999999,"NA",[1]Sheet2!DR137)</f>
        <v>73103</v>
      </c>
      <c r="DH138" s="14">
        <f>IF([1]Sheet2!DS137=999999,"NA",[1]Sheet2!DS137)</f>
        <v>230</v>
      </c>
      <c r="DI138" s="14">
        <f>IF([1]Sheet2!DT137=999999,"NA",[1]Sheet2!DT137)</f>
        <v>230</v>
      </c>
      <c r="DJ138" s="14" t="str">
        <f>IF([1]Sheet2!DU137=999999,"NA",[1]Sheet2!DU137)</f>
        <v>NA</v>
      </c>
      <c r="DK138" s="14" t="str">
        <f>IF([1]Sheet2!DV137=999999,"NA",[1]Sheet2!DV137)</f>
        <v>NA</v>
      </c>
      <c r="DL138" s="14" t="str">
        <f>IF([1]Sheet2!DW137=999999,"NA",[1]Sheet2!DW137)</f>
        <v>NA</v>
      </c>
      <c r="DM138" s="14">
        <f>IF([1]Sheet2!DX137=999999,"NA",[1]Sheet2!DX137)</f>
        <v>230</v>
      </c>
      <c r="DN138" s="14">
        <f>IF([1]Sheet2!DY137=999999,"NA",[1]Sheet2!DY137)</f>
        <v>230</v>
      </c>
      <c r="DO138" s="14" t="str">
        <f>IF([1]Sheet2!DZ137=999999,"NA",[1]Sheet2!DZ137)</f>
        <v>NA</v>
      </c>
      <c r="DP138" s="14" t="str">
        <f>IF([1]Sheet2!EA137=999999,"NA",[1]Sheet2!EA137)</f>
        <v>NA</v>
      </c>
      <c r="DQ138" s="14">
        <f>[1]Sheet2!CX137</f>
        <v>0</v>
      </c>
      <c r="DR138" s="14">
        <f>[1]Sheet2!CY137</f>
        <v>0</v>
      </c>
      <c r="DS138" s="14">
        <f>[1]Sheet2!CZ137</f>
        <v>0</v>
      </c>
      <c r="DT138" s="14">
        <f>[1]Sheet2!DA137</f>
        <v>0</v>
      </c>
      <c r="DU138" s="14">
        <f>[1]Sheet2!DB137</f>
        <v>0</v>
      </c>
      <c r="DV138" s="14">
        <f>[1]Sheet2!DC137</f>
        <v>0</v>
      </c>
      <c r="DW138" s="14">
        <f>[1]Sheet2!DD137</f>
        <v>0</v>
      </c>
      <c r="DX138" s="14">
        <f>[1]Sheet2!DE137</f>
        <v>0</v>
      </c>
      <c r="DY138" s="14">
        <f>[1]Sheet2!DF137</f>
        <v>0</v>
      </c>
      <c r="DZ138" s="14">
        <f>[1]Sheet2!DG137</f>
        <v>0</v>
      </c>
    </row>
    <row r="139" spans="1:130" x14ac:dyDescent="0.25">
      <c r="A139" s="15">
        <v>43601</v>
      </c>
      <c r="B139" s="1"/>
      <c r="C139" s="1"/>
      <c r="D139" s="1"/>
      <c r="E139" s="14">
        <f>[1]Sheet2!N138</f>
        <v>0</v>
      </c>
      <c r="F139" s="14">
        <f>[1]Sheet2!BE138</f>
        <v>0</v>
      </c>
      <c r="G139" s="14">
        <f>[1]Sheet2!CV138</f>
        <v>245.6575682382134</v>
      </c>
      <c r="H139" s="1"/>
      <c r="I139" s="1"/>
      <c r="J139" s="1"/>
      <c r="K139" s="16">
        <f>Demand_CWRS!B$7/31</f>
        <v>129.8994219137717</v>
      </c>
      <c r="L139" s="16">
        <f>Demand_CWRS!C$7/31</f>
        <v>543.3829611248965</v>
      </c>
      <c r="M139" s="16">
        <f>Demand_CWRS!D$7/31</f>
        <v>0</v>
      </c>
      <c r="N139" s="16">
        <f>Demand_CWRS!E$7/31</f>
        <v>131.84491315136475</v>
      </c>
      <c r="O139" s="16">
        <f>Demand_CWRS!F$7/31</f>
        <v>232.12592522229113</v>
      </c>
      <c r="P139" s="16">
        <f>Demand_CWRS!G$7/31</f>
        <v>129.8994219137717</v>
      </c>
      <c r="Q139" s="16">
        <f>Demand_CWRS!H$7/31</f>
        <v>543.3829611248965</v>
      </c>
      <c r="R139" s="16">
        <f>Demand_CWRS!I$7/31</f>
        <v>232.12592522229113</v>
      </c>
      <c r="S139" s="16">
        <f>Demand_CWRS!J$7/31</f>
        <v>232.12592522229113</v>
      </c>
      <c r="T139" s="16">
        <f>Demand_CWRS!K$7/31</f>
        <v>232.12592522229113</v>
      </c>
      <c r="U139" s="16">
        <f t="shared" si="63"/>
        <v>-20666.224391382239</v>
      </c>
      <c r="V139" s="16">
        <f t="shared" si="64"/>
        <v>-61209.263275434096</v>
      </c>
      <c r="W139" s="16">
        <f t="shared" si="65"/>
        <v>0</v>
      </c>
      <c r="X139" s="16">
        <f t="shared" si="66"/>
        <v>-13858.154134602306</v>
      </c>
      <c r="Y139" s="16">
        <f t="shared" si="67"/>
        <v>-30224.396062228796</v>
      </c>
      <c r="Z139" s="16">
        <f t="shared" si="68"/>
        <v>-20340.451242343788</v>
      </c>
      <c r="AA139" s="16">
        <f t="shared" si="69"/>
        <v>-60709.263275434096</v>
      </c>
      <c r="AB139" s="16">
        <f t="shared" si="70"/>
        <v>-27912.429475690311</v>
      </c>
      <c r="AC139" s="16">
        <f t="shared" si="71"/>
        <v>-27912.4294756903</v>
      </c>
      <c r="AD139" s="16">
        <f t="shared" si="72"/>
        <v>-28612.429475690304</v>
      </c>
      <c r="AE139" s="14">
        <f>IF([1]Sheet2!AJ138=999999,"NA",[1]Sheet2!AJ138)</f>
        <v>0</v>
      </c>
      <c r="AF139" s="14">
        <f>IF([1]Sheet2!AK138=999999,"NA",[1]Sheet2!AK138)</f>
        <v>0</v>
      </c>
      <c r="AG139" s="14" t="str">
        <f>IF([1]Sheet2!AL138=999999,"NA",[1]Sheet2!AL138)</f>
        <v>NA</v>
      </c>
      <c r="AH139" s="14">
        <f>IF([1]Sheet2!AM138=999999,"NA",[1]Sheet2!AM138)</f>
        <v>229</v>
      </c>
      <c r="AI139" s="14">
        <f>IF([1]Sheet2!AN138=999999,"NA",[1]Sheet2!AN138)</f>
        <v>229</v>
      </c>
      <c r="AJ139" s="14">
        <f>IF([1]Sheet2!AO138=999999,"NA",[1]Sheet2!AO138)</f>
        <v>229</v>
      </c>
      <c r="AK139" s="14">
        <f>IF([1]Sheet2!AP138=999999,"NA",[1]Sheet2!AP138)</f>
        <v>0</v>
      </c>
      <c r="AL139" s="14">
        <f>IF([1]Sheet2!AQ138=999999,"NA",[1]Sheet2!AQ138)</f>
        <v>105</v>
      </c>
      <c r="AM139" s="14">
        <f>IF([1]Sheet2!AR138=999999,"NA",[1]Sheet2!AR138)</f>
        <v>229</v>
      </c>
      <c r="AN139" s="14">
        <f>IF([1]Sheet2!AS138=999999,"NA",[1]Sheet2!AS138)</f>
        <v>161</v>
      </c>
      <c r="AO139" s="14">
        <f>[1]Sheet2!P138</f>
        <v>0</v>
      </c>
      <c r="AP139" s="14">
        <f>[1]Sheet2!Q138</f>
        <v>0</v>
      </c>
      <c r="AQ139" s="14">
        <f>[1]Sheet2!R138</f>
        <v>0</v>
      </c>
      <c r="AR139" s="14">
        <f>[1]Sheet2!S138</f>
        <v>0</v>
      </c>
      <c r="AS139" s="14">
        <f>[1]Sheet2!T138</f>
        <v>0</v>
      </c>
      <c r="AT139" s="14">
        <f>[1]Sheet2!U138</f>
        <v>0</v>
      </c>
      <c r="AU139" s="14">
        <f>[1]Sheet2!V138</f>
        <v>0</v>
      </c>
      <c r="AV139" s="14">
        <f>[1]Sheet2!W138</f>
        <v>0</v>
      </c>
      <c r="AW139" s="14">
        <f>[1]Sheet2!X138</f>
        <v>0</v>
      </c>
      <c r="AX139" s="14">
        <f>[1]Sheet2!Y138</f>
        <v>0</v>
      </c>
      <c r="AY139" s="16">
        <f>Demand_LP!B$7/31</f>
        <v>855.82964911600493</v>
      </c>
      <c r="AZ139" s="16">
        <f>Demand_LP!C$7/31</f>
        <v>478.74276261373035</v>
      </c>
      <c r="BA139" s="16">
        <f>Demand_LP!D$7/31</f>
        <v>366.03598014888337</v>
      </c>
      <c r="BB139" s="16">
        <f>Demand_LP!E$7/31</f>
        <v>837.96277915632766</v>
      </c>
      <c r="BC139" s="16">
        <f>Demand_LP!F$7/31</f>
        <v>447.19049589019846</v>
      </c>
      <c r="BD139" s="16">
        <f>Demand_LP!G$7/31</f>
        <v>855.82964911600493</v>
      </c>
      <c r="BE139" s="16">
        <f>Demand_LP!H$7/31</f>
        <v>478.74276261373035</v>
      </c>
      <c r="BF139" s="16">
        <f>Demand_LP!I$7/31</f>
        <v>447.19049589019846</v>
      </c>
      <c r="BG139" s="16">
        <f>Demand_LP!J$7/31</f>
        <v>447.19049589019846</v>
      </c>
      <c r="BH139" s="16">
        <f>Demand_LP!K$7/31</f>
        <v>447.19049589019846</v>
      </c>
      <c r="BI139" s="16" t="e">
        <f t="shared" si="73"/>
        <v>#VALUE!</v>
      </c>
      <c r="BJ139" s="16">
        <f t="shared" si="74"/>
        <v>-82770.338047973491</v>
      </c>
      <c r="BK139" s="16">
        <f t="shared" si="75"/>
        <v>-39029.579528535964</v>
      </c>
      <c r="BL139" s="16">
        <f t="shared" si="76"/>
        <v>-101078.37496309311</v>
      </c>
      <c r="BM139" s="16">
        <f t="shared" si="77"/>
        <v>-61773.03306635339</v>
      </c>
      <c r="BN139" s="16">
        <f t="shared" si="78"/>
        <v>-97809.981614789474</v>
      </c>
      <c r="BO139" s="16">
        <f t="shared" si="79"/>
        <v>-85127.917535153014</v>
      </c>
      <c r="BP139" s="16">
        <f t="shared" si="80"/>
        <v>-61230.716984723986</v>
      </c>
      <c r="BQ139" s="16">
        <f t="shared" si="81"/>
        <v>-57830.716984724007</v>
      </c>
      <c r="BR139" s="16">
        <f t="shared" si="82"/>
        <v>-59030.716984723993</v>
      </c>
      <c r="BS139" s="14">
        <f>IF([1]Sheet2!CA138=999999,"NA",[1]Sheet2!CA138)</f>
        <v>157448.28301527639</v>
      </c>
      <c r="BT139" s="14">
        <f>IF([1]Sheet2!CB138=999999,"NA",[1]Sheet2!CB138)</f>
        <v>151</v>
      </c>
      <c r="BU139" s="14">
        <f>IF([1]Sheet2!CC138=999999,"NA",[1]Sheet2!CC138)</f>
        <v>229</v>
      </c>
      <c r="BV139" s="14">
        <f>IF([1]Sheet2!CD138=999999,"NA",[1]Sheet2!CD138)</f>
        <v>229</v>
      </c>
      <c r="BW139" s="14">
        <f>IF([1]Sheet2!CE138=999999,"NA",[1]Sheet2!CE138)</f>
        <v>191</v>
      </c>
      <c r="BX139" s="14">
        <f>IF([1]Sheet2!CF138=999999,"NA",[1]Sheet2!CF138)</f>
        <v>229</v>
      </c>
      <c r="BY139" s="14">
        <f>IF([1]Sheet2!CG138=999999,"NA",[1]Sheet2!CG138)</f>
        <v>123</v>
      </c>
      <c r="BZ139" s="14">
        <f>IF([1]Sheet2!CH138=999999,"NA",[1]Sheet2!CH138)</f>
        <v>229</v>
      </c>
      <c r="CA139" s="14">
        <f>IF([1]Sheet2!CI138=999999,"NA",[1]Sheet2!CI138)</f>
        <v>229</v>
      </c>
      <c r="CB139" s="14">
        <f>IF([1]Sheet2!CJ138=999999,"NA",[1]Sheet2!CJ138)</f>
        <v>229</v>
      </c>
      <c r="CC139" s="14">
        <f>[1]Sheet2!BG138</f>
        <v>0</v>
      </c>
      <c r="CD139" s="14">
        <f>[1]Sheet2!BH138</f>
        <v>0</v>
      </c>
      <c r="CE139" s="14">
        <f>[1]Sheet2!BI138</f>
        <v>0</v>
      </c>
      <c r="CF139" s="14">
        <f>[1]Sheet2!BJ138</f>
        <v>0</v>
      </c>
      <c r="CG139" s="14">
        <f>[1]Sheet2!BK138</f>
        <v>0</v>
      </c>
      <c r="CH139" s="14">
        <f>[1]Sheet2!BL138</f>
        <v>0</v>
      </c>
      <c r="CI139" s="14">
        <f>[1]Sheet2!BM138</f>
        <v>0</v>
      </c>
      <c r="CJ139" s="14">
        <f>[1]Sheet2!BN138</f>
        <v>0</v>
      </c>
      <c r="CK139" s="14">
        <f>[1]Sheet2!BO138</f>
        <v>0</v>
      </c>
      <c r="CL139" s="14">
        <f>[1]Sheet2!BP138</f>
        <v>0</v>
      </c>
      <c r="CM139" s="16">
        <f>Demand_SW!B$7/31</f>
        <v>122.8287841191067</v>
      </c>
      <c r="CN139" s="16">
        <f>Demand_SW!C$7/31</f>
        <v>0</v>
      </c>
      <c r="CO139" s="16">
        <f>Demand_SW!D$7/31</f>
        <v>0</v>
      </c>
      <c r="CP139" s="16">
        <f>Demand_SW!E$7/31</f>
        <v>0</v>
      </c>
      <c r="CQ139" s="16">
        <f>Demand_SW!F$7/31</f>
        <v>0</v>
      </c>
      <c r="CR139" s="16">
        <f>Demand_SW!G$7/31</f>
        <v>122.8287841191067</v>
      </c>
      <c r="CS139" s="16">
        <f>Demand_SW!H$7/31</f>
        <v>0</v>
      </c>
      <c r="CT139" s="16">
        <f>Demand_SW!I$7/31</f>
        <v>0</v>
      </c>
      <c r="CU139" s="16">
        <f>Demand_SW!J$7/31</f>
        <v>0</v>
      </c>
      <c r="CV139" s="16">
        <f>Demand_SW!K$7/31</f>
        <v>0</v>
      </c>
      <c r="CW139" s="16">
        <f t="shared" si="83"/>
        <v>32571.662531017391</v>
      </c>
      <c r="CX139" s="16">
        <f t="shared" si="84"/>
        <v>-423.07692307692292</v>
      </c>
      <c r="CY139" s="16">
        <f t="shared" si="85"/>
        <v>0</v>
      </c>
      <c r="CZ139" s="16">
        <f t="shared" si="86"/>
        <v>0</v>
      </c>
      <c r="DA139" s="16">
        <f t="shared" si="87"/>
        <v>0</v>
      </c>
      <c r="DB139" s="16">
        <f t="shared" si="88"/>
        <v>-16957.568238213404</v>
      </c>
      <c r="DC139" s="16">
        <f t="shared" si="89"/>
        <v>-423.07692307692292</v>
      </c>
      <c r="DD139" s="16">
        <f t="shared" si="90"/>
        <v>0</v>
      </c>
      <c r="DE139" s="16">
        <f t="shared" si="91"/>
        <v>0</v>
      </c>
      <c r="DF139" s="16">
        <f t="shared" si="92"/>
        <v>0</v>
      </c>
      <c r="DG139" s="14">
        <f>IF([1]Sheet2!DR138=999999,"NA",[1]Sheet2!DR138)</f>
        <v>73103</v>
      </c>
      <c r="DH139" s="14">
        <f>IF([1]Sheet2!DS138=999999,"NA",[1]Sheet2!DS138)</f>
        <v>229</v>
      </c>
      <c r="DI139" s="14">
        <f>IF([1]Sheet2!DT138=999999,"NA",[1]Sheet2!DT138)</f>
        <v>229</v>
      </c>
      <c r="DJ139" s="14" t="str">
        <f>IF([1]Sheet2!DU138=999999,"NA",[1]Sheet2!DU138)</f>
        <v>NA</v>
      </c>
      <c r="DK139" s="14" t="str">
        <f>IF([1]Sheet2!DV138=999999,"NA",[1]Sheet2!DV138)</f>
        <v>NA</v>
      </c>
      <c r="DL139" s="14" t="str">
        <f>IF([1]Sheet2!DW138=999999,"NA",[1]Sheet2!DW138)</f>
        <v>NA</v>
      </c>
      <c r="DM139" s="14">
        <f>IF([1]Sheet2!DX138=999999,"NA",[1]Sheet2!DX138)</f>
        <v>229</v>
      </c>
      <c r="DN139" s="14">
        <f>IF([1]Sheet2!DY138=999999,"NA",[1]Sheet2!DY138)</f>
        <v>229</v>
      </c>
      <c r="DO139" s="14" t="str">
        <f>IF([1]Sheet2!DZ138=999999,"NA",[1]Sheet2!DZ138)</f>
        <v>NA</v>
      </c>
      <c r="DP139" s="14" t="str">
        <f>IF([1]Sheet2!EA138=999999,"NA",[1]Sheet2!EA138)</f>
        <v>NA</v>
      </c>
      <c r="DQ139" s="14">
        <f>[1]Sheet2!CX138</f>
        <v>0</v>
      </c>
      <c r="DR139" s="14">
        <f>[1]Sheet2!CY138</f>
        <v>0</v>
      </c>
      <c r="DS139" s="14">
        <f>[1]Sheet2!CZ138</f>
        <v>0</v>
      </c>
      <c r="DT139" s="14">
        <f>[1]Sheet2!DA138</f>
        <v>0</v>
      </c>
      <c r="DU139" s="14">
        <f>[1]Sheet2!DB138</f>
        <v>0</v>
      </c>
      <c r="DV139" s="14">
        <f>[1]Sheet2!DC138</f>
        <v>0</v>
      </c>
      <c r="DW139" s="14">
        <f>[1]Sheet2!DD138</f>
        <v>0</v>
      </c>
      <c r="DX139" s="14">
        <f>[1]Sheet2!DE138</f>
        <v>0</v>
      </c>
      <c r="DY139" s="14">
        <f>[1]Sheet2!DF138</f>
        <v>0</v>
      </c>
      <c r="DZ139" s="14">
        <f>[1]Sheet2!DG138</f>
        <v>0</v>
      </c>
    </row>
    <row r="140" spans="1:130" x14ac:dyDescent="0.25">
      <c r="A140" s="15">
        <v>43602</v>
      </c>
      <c r="B140" s="1"/>
      <c r="C140" s="1"/>
      <c r="D140" s="1"/>
      <c r="E140" s="14">
        <f>[1]Sheet2!N139</f>
        <v>0</v>
      </c>
      <c r="F140" s="14">
        <f>[1]Sheet2!BE139</f>
        <v>0</v>
      </c>
      <c r="G140" s="14">
        <f>[1]Sheet2!CV139</f>
        <v>245.6575682382134</v>
      </c>
      <c r="H140" s="1"/>
      <c r="I140" s="1"/>
      <c r="J140" s="1"/>
      <c r="K140" s="16">
        <f>Demand_CWRS!B$7/31</f>
        <v>129.8994219137717</v>
      </c>
      <c r="L140" s="16">
        <f>Demand_CWRS!C$7/31</f>
        <v>543.3829611248965</v>
      </c>
      <c r="M140" s="16">
        <f>Demand_CWRS!D$7/31</f>
        <v>0</v>
      </c>
      <c r="N140" s="16">
        <f>Demand_CWRS!E$7/31</f>
        <v>131.84491315136475</v>
      </c>
      <c r="O140" s="16">
        <f>Demand_CWRS!F$7/31</f>
        <v>232.12592522229113</v>
      </c>
      <c r="P140" s="16">
        <f>Demand_CWRS!G$7/31</f>
        <v>129.8994219137717</v>
      </c>
      <c r="Q140" s="16">
        <f>Demand_CWRS!H$7/31</f>
        <v>543.3829611248965</v>
      </c>
      <c r="R140" s="16">
        <f>Demand_CWRS!I$7/31</f>
        <v>232.12592522229113</v>
      </c>
      <c r="S140" s="16">
        <f>Demand_CWRS!J$7/31</f>
        <v>232.12592522229113</v>
      </c>
      <c r="T140" s="16">
        <f>Demand_CWRS!K$7/31</f>
        <v>232.12592522229113</v>
      </c>
      <c r="U140" s="16">
        <f t="shared" si="63"/>
        <v>-20796.12381329601</v>
      </c>
      <c r="V140" s="16">
        <f t="shared" si="64"/>
        <v>-61752.64623655899</v>
      </c>
      <c r="W140" s="16">
        <f t="shared" si="65"/>
        <v>0</v>
      </c>
      <c r="X140" s="16">
        <f t="shared" si="66"/>
        <v>-13989.99904775367</v>
      </c>
      <c r="Y140" s="16">
        <f t="shared" si="67"/>
        <v>-30456.521987451088</v>
      </c>
      <c r="Z140" s="16">
        <f t="shared" si="68"/>
        <v>-20470.350664257559</v>
      </c>
      <c r="AA140" s="16">
        <f t="shared" si="69"/>
        <v>-61252.64623655899</v>
      </c>
      <c r="AB140" s="16">
        <f t="shared" si="70"/>
        <v>-28144.555400912603</v>
      </c>
      <c r="AC140" s="16">
        <f t="shared" si="71"/>
        <v>-28144.555400912592</v>
      </c>
      <c r="AD140" s="16">
        <f t="shared" si="72"/>
        <v>-28844.555400912595</v>
      </c>
      <c r="AE140" s="14">
        <f>IF([1]Sheet2!AJ139=999999,"NA",[1]Sheet2!AJ139)</f>
        <v>0</v>
      </c>
      <c r="AF140" s="14">
        <f>IF([1]Sheet2!AK139=999999,"NA",[1]Sheet2!AK139)</f>
        <v>0</v>
      </c>
      <c r="AG140" s="14" t="str">
        <f>IF([1]Sheet2!AL139=999999,"NA",[1]Sheet2!AL139)</f>
        <v>NA</v>
      </c>
      <c r="AH140" s="14">
        <f>IF([1]Sheet2!AM139=999999,"NA",[1]Sheet2!AM139)</f>
        <v>228</v>
      </c>
      <c r="AI140" s="14">
        <f>IF([1]Sheet2!AN139=999999,"NA",[1]Sheet2!AN139)</f>
        <v>228</v>
      </c>
      <c r="AJ140" s="14">
        <f>IF([1]Sheet2!AO139=999999,"NA",[1]Sheet2!AO139)</f>
        <v>228</v>
      </c>
      <c r="AK140" s="14">
        <f>IF([1]Sheet2!AP139=999999,"NA",[1]Sheet2!AP139)</f>
        <v>0</v>
      </c>
      <c r="AL140" s="14">
        <f>IF([1]Sheet2!AQ139=999999,"NA",[1]Sheet2!AQ139)</f>
        <v>104</v>
      </c>
      <c r="AM140" s="14">
        <f>IF([1]Sheet2!AR139=999999,"NA",[1]Sheet2!AR139)</f>
        <v>228</v>
      </c>
      <c r="AN140" s="14">
        <f>IF([1]Sheet2!AS139=999999,"NA",[1]Sheet2!AS139)</f>
        <v>160</v>
      </c>
      <c r="AO140" s="14">
        <f>[1]Sheet2!P139</f>
        <v>0</v>
      </c>
      <c r="AP140" s="14">
        <f>[1]Sheet2!Q139</f>
        <v>0</v>
      </c>
      <c r="AQ140" s="14">
        <f>[1]Sheet2!R139</f>
        <v>0</v>
      </c>
      <c r="AR140" s="14">
        <f>[1]Sheet2!S139</f>
        <v>0</v>
      </c>
      <c r="AS140" s="14">
        <f>[1]Sheet2!T139</f>
        <v>0</v>
      </c>
      <c r="AT140" s="14">
        <f>[1]Sheet2!U139</f>
        <v>0</v>
      </c>
      <c r="AU140" s="14">
        <f>[1]Sheet2!V139</f>
        <v>0</v>
      </c>
      <c r="AV140" s="14">
        <f>[1]Sheet2!W139</f>
        <v>0</v>
      </c>
      <c r="AW140" s="14">
        <f>[1]Sheet2!X139</f>
        <v>0</v>
      </c>
      <c r="AX140" s="14">
        <f>[1]Sheet2!Y139</f>
        <v>0</v>
      </c>
      <c r="AY140" s="16">
        <f>Demand_LP!B$7/31</f>
        <v>855.82964911600493</v>
      </c>
      <c r="AZ140" s="16">
        <f>Demand_LP!C$7/31</f>
        <v>478.74276261373035</v>
      </c>
      <c r="BA140" s="16">
        <f>Demand_LP!D$7/31</f>
        <v>366.03598014888337</v>
      </c>
      <c r="BB140" s="16">
        <f>Demand_LP!E$7/31</f>
        <v>837.96277915632766</v>
      </c>
      <c r="BC140" s="16">
        <f>Demand_LP!F$7/31</f>
        <v>447.19049589019846</v>
      </c>
      <c r="BD140" s="16">
        <f>Demand_LP!G$7/31</f>
        <v>855.82964911600493</v>
      </c>
      <c r="BE140" s="16">
        <f>Demand_LP!H$7/31</f>
        <v>478.74276261373035</v>
      </c>
      <c r="BF140" s="16">
        <f>Demand_LP!I$7/31</f>
        <v>447.19049589019846</v>
      </c>
      <c r="BG140" s="16">
        <f>Demand_LP!J$7/31</f>
        <v>447.19049589019846</v>
      </c>
      <c r="BH140" s="16">
        <f>Demand_LP!K$7/31</f>
        <v>447.19049589019846</v>
      </c>
      <c r="BI140" s="16" t="e">
        <f t="shared" si="73"/>
        <v>#VALUE!</v>
      </c>
      <c r="BJ140" s="16">
        <f t="shared" si="74"/>
        <v>-83249.080810587227</v>
      </c>
      <c r="BK140" s="16">
        <f t="shared" si="75"/>
        <v>-39395.615508684845</v>
      </c>
      <c r="BL140" s="16">
        <f t="shared" si="76"/>
        <v>-101916.33774224944</v>
      </c>
      <c r="BM140" s="16">
        <f t="shared" si="77"/>
        <v>-62220.223562243591</v>
      </c>
      <c r="BN140" s="16">
        <f t="shared" si="78"/>
        <v>-98665.811263905474</v>
      </c>
      <c r="BO140" s="16">
        <f t="shared" si="79"/>
        <v>-85606.66029776675</v>
      </c>
      <c r="BP140" s="16">
        <f t="shared" si="80"/>
        <v>-61677.907480614187</v>
      </c>
      <c r="BQ140" s="16">
        <f t="shared" si="81"/>
        <v>-58277.907480614209</v>
      </c>
      <c r="BR140" s="16">
        <f t="shared" si="82"/>
        <v>-59477.907480614194</v>
      </c>
      <c r="BS140" s="14">
        <f>IF([1]Sheet2!CA139=999999,"NA",[1]Sheet2!CA139)</f>
        <v>157001.09251938621</v>
      </c>
      <c r="BT140" s="14">
        <f>IF([1]Sheet2!CB139=999999,"NA",[1]Sheet2!CB139)</f>
        <v>150</v>
      </c>
      <c r="BU140" s="14">
        <f>IF([1]Sheet2!CC139=999999,"NA",[1]Sheet2!CC139)</f>
        <v>228</v>
      </c>
      <c r="BV140" s="14">
        <f>IF([1]Sheet2!CD139=999999,"NA",[1]Sheet2!CD139)</f>
        <v>228</v>
      </c>
      <c r="BW140" s="14">
        <f>IF([1]Sheet2!CE139=999999,"NA",[1]Sheet2!CE139)</f>
        <v>190</v>
      </c>
      <c r="BX140" s="14">
        <f>IF([1]Sheet2!CF139=999999,"NA",[1]Sheet2!CF139)</f>
        <v>228</v>
      </c>
      <c r="BY140" s="14">
        <f>IF([1]Sheet2!CG139=999999,"NA",[1]Sheet2!CG139)</f>
        <v>122</v>
      </c>
      <c r="BZ140" s="14">
        <f>IF([1]Sheet2!CH139=999999,"NA",[1]Sheet2!CH139)</f>
        <v>228</v>
      </c>
      <c r="CA140" s="14">
        <f>IF([1]Sheet2!CI139=999999,"NA",[1]Sheet2!CI139)</f>
        <v>228</v>
      </c>
      <c r="CB140" s="14">
        <f>IF([1]Sheet2!CJ139=999999,"NA",[1]Sheet2!CJ139)</f>
        <v>228</v>
      </c>
      <c r="CC140" s="14">
        <f>[1]Sheet2!BG139</f>
        <v>0</v>
      </c>
      <c r="CD140" s="14">
        <f>[1]Sheet2!BH139</f>
        <v>0</v>
      </c>
      <c r="CE140" s="14">
        <f>[1]Sheet2!BI139</f>
        <v>0</v>
      </c>
      <c r="CF140" s="14">
        <f>[1]Sheet2!BJ139</f>
        <v>0</v>
      </c>
      <c r="CG140" s="14">
        <f>[1]Sheet2!BK139</f>
        <v>0</v>
      </c>
      <c r="CH140" s="14">
        <f>[1]Sheet2!BL139</f>
        <v>0</v>
      </c>
      <c r="CI140" s="14">
        <f>[1]Sheet2!BM139</f>
        <v>0</v>
      </c>
      <c r="CJ140" s="14">
        <f>[1]Sheet2!BN139</f>
        <v>0</v>
      </c>
      <c r="CK140" s="14">
        <f>[1]Sheet2!BO139</f>
        <v>0</v>
      </c>
      <c r="CL140" s="14">
        <f>[1]Sheet2!BP139</f>
        <v>0</v>
      </c>
      <c r="CM140" s="16">
        <f>Demand_SW!B$7/31</f>
        <v>122.8287841191067</v>
      </c>
      <c r="CN140" s="16">
        <f>Demand_SW!C$7/31</f>
        <v>0</v>
      </c>
      <c r="CO140" s="16">
        <f>Demand_SW!D$7/31</f>
        <v>0</v>
      </c>
      <c r="CP140" s="16">
        <f>Demand_SW!E$7/31</f>
        <v>0</v>
      </c>
      <c r="CQ140" s="16">
        <f>Demand_SW!F$7/31</f>
        <v>0</v>
      </c>
      <c r="CR140" s="16">
        <f>Demand_SW!G$7/31</f>
        <v>122.8287841191067</v>
      </c>
      <c r="CS140" s="16">
        <f>Demand_SW!H$7/31</f>
        <v>0</v>
      </c>
      <c r="CT140" s="16">
        <f>Demand_SW!I$7/31</f>
        <v>0</v>
      </c>
      <c r="CU140" s="16">
        <f>Demand_SW!J$7/31</f>
        <v>0</v>
      </c>
      <c r="CV140" s="16">
        <f>Demand_SW!K$7/31</f>
        <v>0</v>
      </c>
      <c r="CW140" s="16">
        <f t="shared" si="83"/>
        <v>32448.833746898286</v>
      </c>
      <c r="CX140" s="16">
        <f t="shared" si="84"/>
        <v>-423.07692307692292</v>
      </c>
      <c r="CY140" s="16">
        <f t="shared" si="85"/>
        <v>0</v>
      </c>
      <c r="CZ140" s="16">
        <f t="shared" si="86"/>
        <v>0</v>
      </c>
      <c r="DA140" s="16">
        <f t="shared" si="87"/>
        <v>0</v>
      </c>
      <c r="DB140" s="16">
        <f t="shared" si="88"/>
        <v>-17080.397022332509</v>
      </c>
      <c r="DC140" s="16">
        <f t="shared" si="89"/>
        <v>-423.07692307692292</v>
      </c>
      <c r="DD140" s="16">
        <f t="shared" si="90"/>
        <v>0</v>
      </c>
      <c r="DE140" s="16">
        <f t="shared" si="91"/>
        <v>0</v>
      </c>
      <c r="DF140" s="16">
        <f t="shared" si="92"/>
        <v>0</v>
      </c>
      <c r="DG140" s="14">
        <f>IF([1]Sheet2!DR139=999999,"NA",[1]Sheet2!DR139)</f>
        <v>73103</v>
      </c>
      <c r="DH140" s="14">
        <f>IF([1]Sheet2!DS139=999999,"NA",[1]Sheet2!DS139)</f>
        <v>228</v>
      </c>
      <c r="DI140" s="14">
        <f>IF([1]Sheet2!DT139=999999,"NA",[1]Sheet2!DT139)</f>
        <v>228</v>
      </c>
      <c r="DJ140" s="14" t="str">
        <f>IF([1]Sheet2!DU139=999999,"NA",[1]Sheet2!DU139)</f>
        <v>NA</v>
      </c>
      <c r="DK140" s="14" t="str">
        <f>IF([1]Sheet2!DV139=999999,"NA",[1]Sheet2!DV139)</f>
        <v>NA</v>
      </c>
      <c r="DL140" s="14" t="str">
        <f>IF([1]Sheet2!DW139=999999,"NA",[1]Sheet2!DW139)</f>
        <v>NA</v>
      </c>
      <c r="DM140" s="14">
        <f>IF([1]Sheet2!DX139=999999,"NA",[1]Sheet2!DX139)</f>
        <v>228</v>
      </c>
      <c r="DN140" s="14">
        <f>IF([1]Sheet2!DY139=999999,"NA",[1]Sheet2!DY139)</f>
        <v>228</v>
      </c>
      <c r="DO140" s="14" t="str">
        <f>IF([1]Sheet2!DZ139=999999,"NA",[1]Sheet2!DZ139)</f>
        <v>NA</v>
      </c>
      <c r="DP140" s="14" t="str">
        <f>IF([1]Sheet2!EA139=999999,"NA",[1]Sheet2!EA139)</f>
        <v>NA</v>
      </c>
      <c r="DQ140" s="14">
        <f>[1]Sheet2!CX139</f>
        <v>0</v>
      </c>
      <c r="DR140" s="14">
        <f>[1]Sheet2!CY139</f>
        <v>0</v>
      </c>
      <c r="DS140" s="14">
        <f>[1]Sheet2!CZ139</f>
        <v>0</v>
      </c>
      <c r="DT140" s="14">
        <f>[1]Sheet2!DA139</f>
        <v>0</v>
      </c>
      <c r="DU140" s="14">
        <f>[1]Sheet2!DB139</f>
        <v>0</v>
      </c>
      <c r="DV140" s="14">
        <f>[1]Sheet2!DC139</f>
        <v>0</v>
      </c>
      <c r="DW140" s="14">
        <f>[1]Sheet2!DD139</f>
        <v>0</v>
      </c>
      <c r="DX140" s="14">
        <f>[1]Sheet2!DE139</f>
        <v>0</v>
      </c>
      <c r="DY140" s="14">
        <f>[1]Sheet2!DF139</f>
        <v>0</v>
      </c>
      <c r="DZ140" s="14">
        <f>[1]Sheet2!DG139</f>
        <v>0</v>
      </c>
    </row>
    <row r="141" spans="1:130" x14ac:dyDescent="0.25">
      <c r="A141" s="15">
        <v>43603</v>
      </c>
      <c r="B141" s="1"/>
      <c r="C141" s="1"/>
      <c r="D141" s="1"/>
      <c r="E141" s="14">
        <f>[1]Sheet2!N140</f>
        <v>0</v>
      </c>
      <c r="F141" s="14">
        <f>[1]Sheet2!BE140</f>
        <v>0</v>
      </c>
      <c r="G141" s="14">
        <f>[1]Sheet2!CV140</f>
        <v>245.6575682382134</v>
      </c>
      <c r="H141" s="1"/>
      <c r="I141" s="1"/>
      <c r="J141" s="1"/>
      <c r="K141" s="16">
        <f>Demand_CWRS!B$7/31</f>
        <v>129.8994219137717</v>
      </c>
      <c r="L141" s="16">
        <f>Demand_CWRS!C$7/31</f>
        <v>543.3829611248965</v>
      </c>
      <c r="M141" s="16">
        <f>Demand_CWRS!D$7/31</f>
        <v>0</v>
      </c>
      <c r="N141" s="16">
        <f>Demand_CWRS!E$7/31</f>
        <v>131.84491315136475</v>
      </c>
      <c r="O141" s="16">
        <f>Demand_CWRS!F$7/31</f>
        <v>232.12592522229113</v>
      </c>
      <c r="P141" s="16">
        <f>Demand_CWRS!G$7/31</f>
        <v>129.8994219137717</v>
      </c>
      <c r="Q141" s="16">
        <f>Demand_CWRS!H$7/31</f>
        <v>543.3829611248965</v>
      </c>
      <c r="R141" s="16">
        <f>Demand_CWRS!I$7/31</f>
        <v>232.12592522229113</v>
      </c>
      <c r="S141" s="16">
        <f>Demand_CWRS!J$7/31</f>
        <v>232.12592522229113</v>
      </c>
      <c r="T141" s="16">
        <f>Demand_CWRS!K$7/31</f>
        <v>232.12592522229113</v>
      </c>
      <c r="U141" s="16">
        <f t="shared" si="63"/>
        <v>-20926.023235209781</v>
      </c>
      <c r="V141" s="16">
        <f t="shared" si="64"/>
        <v>-62296.029197683885</v>
      </c>
      <c r="W141" s="16">
        <f t="shared" si="65"/>
        <v>0</v>
      </c>
      <c r="X141" s="16">
        <f t="shared" si="66"/>
        <v>-14121.843960905035</v>
      </c>
      <c r="Y141" s="16">
        <f t="shared" si="67"/>
        <v>-30688.647912673379</v>
      </c>
      <c r="Z141" s="16">
        <f t="shared" si="68"/>
        <v>-20600.250086171331</v>
      </c>
      <c r="AA141" s="16">
        <f t="shared" si="69"/>
        <v>-61796.029197683885</v>
      </c>
      <c r="AB141" s="16">
        <f t="shared" si="70"/>
        <v>-28376.681326134894</v>
      </c>
      <c r="AC141" s="16">
        <f t="shared" si="71"/>
        <v>-28376.681326134883</v>
      </c>
      <c r="AD141" s="16">
        <f t="shared" si="72"/>
        <v>-29076.681326134887</v>
      </c>
      <c r="AE141" s="14">
        <f>IF([1]Sheet2!AJ140=999999,"NA",[1]Sheet2!AJ140)</f>
        <v>0</v>
      </c>
      <c r="AF141" s="14">
        <f>IF([1]Sheet2!AK140=999999,"NA",[1]Sheet2!AK140)</f>
        <v>0</v>
      </c>
      <c r="AG141" s="14" t="str">
        <f>IF([1]Sheet2!AL140=999999,"NA",[1]Sheet2!AL140)</f>
        <v>NA</v>
      </c>
      <c r="AH141" s="14">
        <f>IF([1]Sheet2!AM140=999999,"NA",[1]Sheet2!AM140)</f>
        <v>227</v>
      </c>
      <c r="AI141" s="14">
        <f>IF([1]Sheet2!AN140=999999,"NA",[1]Sheet2!AN140)</f>
        <v>227</v>
      </c>
      <c r="AJ141" s="14">
        <f>IF([1]Sheet2!AO140=999999,"NA",[1]Sheet2!AO140)</f>
        <v>227</v>
      </c>
      <c r="AK141" s="14">
        <f>IF([1]Sheet2!AP140=999999,"NA",[1]Sheet2!AP140)</f>
        <v>0</v>
      </c>
      <c r="AL141" s="14">
        <f>IF([1]Sheet2!AQ140=999999,"NA",[1]Sheet2!AQ140)</f>
        <v>103</v>
      </c>
      <c r="AM141" s="14">
        <f>IF([1]Sheet2!AR140=999999,"NA",[1]Sheet2!AR140)</f>
        <v>227</v>
      </c>
      <c r="AN141" s="14">
        <f>IF([1]Sheet2!AS140=999999,"NA",[1]Sheet2!AS140)</f>
        <v>159</v>
      </c>
      <c r="AO141" s="14">
        <f>[1]Sheet2!P140</f>
        <v>0</v>
      </c>
      <c r="AP141" s="14">
        <f>[1]Sheet2!Q140</f>
        <v>0</v>
      </c>
      <c r="AQ141" s="14">
        <f>[1]Sheet2!R140</f>
        <v>0</v>
      </c>
      <c r="AR141" s="14">
        <f>[1]Sheet2!S140</f>
        <v>0</v>
      </c>
      <c r="AS141" s="14">
        <f>[1]Sheet2!T140</f>
        <v>0</v>
      </c>
      <c r="AT141" s="14">
        <f>[1]Sheet2!U140</f>
        <v>0</v>
      </c>
      <c r="AU141" s="14">
        <f>[1]Sheet2!V140</f>
        <v>0</v>
      </c>
      <c r="AV141" s="14">
        <f>[1]Sheet2!W140</f>
        <v>0</v>
      </c>
      <c r="AW141" s="14">
        <f>[1]Sheet2!X140</f>
        <v>0</v>
      </c>
      <c r="AX141" s="14">
        <f>[1]Sheet2!Y140</f>
        <v>0</v>
      </c>
      <c r="AY141" s="16">
        <f>Demand_LP!B$7/31</f>
        <v>855.82964911600493</v>
      </c>
      <c r="AZ141" s="16">
        <f>Demand_LP!C$7/31</f>
        <v>478.74276261373035</v>
      </c>
      <c r="BA141" s="16">
        <f>Demand_LP!D$7/31</f>
        <v>366.03598014888337</v>
      </c>
      <c r="BB141" s="16">
        <f>Demand_LP!E$7/31</f>
        <v>837.96277915632766</v>
      </c>
      <c r="BC141" s="16">
        <f>Demand_LP!F$7/31</f>
        <v>447.19049589019846</v>
      </c>
      <c r="BD141" s="16">
        <f>Demand_LP!G$7/31</f>
        <v>855.82964911600493</v>
      </c>
      <c r="BE141" s="16">
        <f>Demand_LP!H$7/31</f>
        <v>478.74276261373035</v>
      </c>
      <c r="BF141" s="16">
        <f>Demand_LP!I$7/31</f>
        <v>447.19049589019846</v>
      </c>
      <c r="BG141" s="16">
        <f>Demand_LP!J$7/31</f>
        <v>447.19049589019846</v>
      </c>
      <c r="BH141" s="16">
        <f>Demand_LP!K$7/31</f>
        <v>447.19049589019846</v>
      </c>
      <c r="BI141" s="16" t="e">
        <f t="shared" si="73"/>
        <v>#VALUE!</v>
      </c>
      <c r="BJ141" s="16">
        <f t="shared" si="74"/>
        <v>-83727.823573200963</v>
      </c>
      <c r="BK141" s="16">
        <f t="shared" si="75"/>
        <v>-39761.651488833726</v>
      </c>
      <c r="BL141" s="16">
        <f t="shared" si="76"/>
        <v>-102754.30052140576</v>
      </c>
      <c r="BM141" s="16">
        <f t="shared" si="77"/>
        <v>-62667.414058133792</v>
      </c>
      <c r="BN141" s="16">
        <f t="shared" si="78"/>
        <v>-99521.640913021474</v>
      </c>
      <c r="BO141" s="16">
        <f t="shared" si="79"/>
        <v>-86085.403060380486</v>
      </c>
      <c r="BP141" s="16">
        <f t="shared" si="80"/>
        <v>-62125.097976504388</v>
      </c>
      <c r="BQ141" s="16">
        <f t="shared" si="81"/>
        <v>-58725.09797650441</v>
      </c>
      <c r="BR141" s="16">
        <f t="shared" si="82"/>
        <v>-59925.097976504396</v>
      </c>
      <c r="BS141" s="14">
        <f>IF([1]Sheet2!CA140=999999,"NA",[1]Sheet2!CA140)</f>
        <v>156553.90202349602</v>
      </c>
      <c r="BT141" s="14">
        <f>IF([1]Sheet2!CB140=999999,"NA",[1]Sheet2!CB140)</f>
        <v>149</v>
      </c>
      <c r="BU141" s="14">
        <f>IF([1]Sheet2!CC140=999999,"NA",[1]Sheet2!CC140)</f>
        <v>227</v>
      </c>
      <c r="BV141" s="14">
        <f>IF([1]Sheet2!CD140=999999,"NA",[1]Sheet2!CD140)</f>
        <v>227</v>
      </c>
      <c r="BW141" s="14">
        <f>IF([1]Sheet2!CE140=999999,"NA",[1]Sheet2!CE140)</f>
        <v>189</v>
      </c>
      <c r="BX141" s="14">
        <f>IF([1]Sheet2!CF140=999999,"NA",[1]Sheet2!CF140)</f>
        <v>227</v>
      </c>
      <c r="BY141" s="14">
        <f>IF([1]Sheet2!CG140=999999,"NA",[1]Sheet2!CG140)</f>
        <v>121</v>
      </c>
      <c r="BZ141" s="14">
        <f>IF([1]Sheet2!CH140=999999,"NA",[1]Sheet2!CH140)</f>
        <v>227</v>
      </c>
      <c r="CA141" s="14">
        <f>IF([1]Sheet2!CI140=999999,"NA",[1]Sheet2!CI140)</f>
        <v>227</v>
      </c>
      <c r="CB141" s="14">
        <f>IF([1]Sheet2!CJ140=999999,"NA",[1]Sheet2!CJ140)</f>
        <v>227</v>
      </c>
      <c r="CC141" s="14">
        <f>[1]Sheet2!BG140</f>
        <v>0</v>
      </c>
      <c r="CD141" s="14">
        <f>[1]Sheet2!BH140</f>
        <v>0</v>
      </c>
      <c r="CE141" s="14">
        <f>[1]Sheet2!BI140</f>
        <v>0</v>
      </c>
      <c r="CF141" s="14">
        <f>[1]Sheet2!BJ140</f>
        <v>0</v>
      </c>
      <c r="CG141" s="14">
        <f>[1]Sheet2!BK140</f>
        <v>0</v>
      </c>
      <c r="CH141" s="14">
        <f>[1]Sheet2!BL140</f>
        <v>0</v>
      </c>
      <c r="CI141" s="14">
        <f>[1]Sheet2!BM140</f>
        <v>0</v>
      </c>
      <c r="CJ141" s="14">
        <f>[1]Sheet2!BN140</f>
        <v>0</v>
      </c>
      <c r="CK141" s="14">
        <f>[1]Sheet2!BO140</f>
        <v>0</v>
      </c>
      <c r="CL141" s="14">
        <f>[1]Sheet2!BP140</f>
        <v>0</v>
      </c>
      <c r="CM141" s="16">
        <f>Demand_SW!B$7/31</f>
        <v>122.8287841191067</v>
      </c>
      <c r="CN141" s="16">
        <f>Demand_SW!C$7/31</f>
        <v>0</v>
      </c>
      <c r="CO141" s="16">
        <f>Demand_SW!D$7/31</f>
        <v>0</v>
      </c>
      <c r="CP141" s="16">
        <f>Demand_SW!E$7/31</f>
        <v>0</v>
      </c>
      <c r="CQ141" s="16">
        <f>Demand_SW!F$7/31</f>
        <v>0</v>
      </c>
      <c r="CR141" s="16">
        <f>Demand_SW!G$7/31</f>
        <v>122.8287841191067</v>
      </c>
      <c r="CS141" s="16">
        <f>Demand_SW!H$7/31</f>
        <v>0</v>
      </c>
      <c r="CT141" s="16">
        <f>Demand_SW!I$7/31</f>
        <v>0</v>
      </c>
      <c r="CU141" s="16">
        <f>Demand_SW!J$7/31</f>
        <v>0</v>
      </c>
      <c r="CV141" s="16">
        <f>Demand_SW!K$7/31</f>
        <v>0</v>
      </c>
      <c r="CW141" s="16">
        <f t="shared" si="83"/>
        <v>32326.004962779181</v>
      </c>
      <c r="CX141" s="16">
        <f t="shared" si="84"/>
        <v>-423.07692307692292</v>
      </c>
      <c r="CY141" s="16">
        <f t="shared" si="85"/>
        <v>0</v>
      </c>
      <c r="CZ141" s="16">
        <f t="shared" si="86"/>
        <v>0</v>
      </c>
      <c r="DA141" s="16">
        <f t="shared" si="87"/>
        <v>0</v>
      </c>
      <c r="DB141" s="16">
        <f t="shared" si="88"/>
        <v>-17203.225806451614</v>
      </c>
      <c r="DC141" s="16">
        <f t="shared" si="89"/>
        <v>-423.07692307692292</v>
      </c>
      <c r="DD141" s="16">
        <f t="shared" si="90"/>
        <v>0</v>
      </c>
      <c r="DE141" s="16">
        <f t="shared" si="91"/>
        <v>0</v>
      </c>
      <c r="DF141" s="16">
        <f t="shared" si="92"/>
        <v>0</v>
      </c>
      <c r="DG141" s="14">
        <f>IF([1]Sheet2!DR140=999999,"NA",[1]Sheet2!DR140)</f>
        <v>73103</v>
      </c>
      <c r="DH141" s="14">
        <f>IF([1]Sheet2!DS140=999999,"NA",[1]Sheet2!DS140)</f>
        <v>227</v>
      </c>
      <c r="DI141" s="14">
        <f>IF([1]Sheet2!DT140=999999,"NA",[1]Sheet2!DT140)</f>
        <v>227</v>
      </c>
      <c r="DJ141" s="14" t="str">
        <f>IF([1]Sheet2!DU140=999999,"NA",[1]Sheet2!DU140)</f>
        <v>NA</v>
      </c>
      <c r="DK141" s="14" t="str">
        <f>IF([1]Sheet2!DV140=999999,"NA",[1]Sheet2!DV140)</f>
        <v>NA</v>
      </c>
      <c r="DL141" s="14" t="str">
        <f>IF([1]Sheet2!DW140=999999,"NA",[1]Sheet2!DW140)</f>
        <v>NA</v>
      </c>
      <c r="DM141" s="14">
        <f>IF([1]Sheet2!DX140=999999,"NA",[1]Sheet2!DX140)</f>
        <v>227</v>
      </c>
      <c r="DN141" s="14">
        <f>IF([1]Sheet2!DY140=999999,"NA",[1]Sheet2!DY140)</f>
        <v>227</v>
      </c>
      <c r="DO141" s="14" t="str">
        <f>IF([1]Sheet2!DZ140=999999,"NA",[1]Sheet2!DZ140)</f>
        <v>NA</v>
      </c>
      <c r="DP141" s="14" t="str">
        <f>IF([1]Sheet2!EA140=999999,"NA",[1]Sheet2!EA140)</f>
        <v>NA</v>
      </c>
      <c r="DQ141" s="14">
        <f>[1]Sheet2!CX140</f>
        <v>0</v>
      </c>
      <c r="DR141" s="14">
        <f>[1]Sheet2!CY140</f>
        <v>0</v>
      </c>
      <c r="DS141" s="14">
        <f>[1]Sheet2!CZ140</f>
        <v>0</v>
      </c>
      <c r="DT141" s="14">
        <f>[1]Sheet2!DA140</f>
        <v>0</v>
      </c>
      <c r="DU141" s="14">
        <f>[1]Sheet2!DB140</f>
        <v>0</v>
      </c>
      <c r="DV141" s="14">
        <f>[1]Sheet2!DC140</f>
        <v>0</v>
      </c>
      <c r="DW141" s="14">
        <f>[1]Sheet2!DD140</f>
        <v>0</v>
      </c>
      <c r="DX141" s="14">
        <f>[1]Sheet2!DE140</f>
        <v>0</v>
      </c>
      <c r="DY141" s="14">
        <f>[1]Sheet2!DF140</f>
        <v>0</v>
      </c>
      <c r="DZ141" s="14">
        <f>[1]Sheet2!DG140</f>
        <v>0</v>
      </c>
    </row>
    <row r="142" spans="1:130" x14ac:dyDescent="0.25">
      <c r="A142" s="15">
        <v>43604</v>
      </c>
      <c r="B142" s="1"/>
      <c r="C142" s="1"/>
      <c r="D142" s="1"/>
      <c r="E142" s="14">
        <f>[1]Sheet2!N141</f>
        <v>0</v>
      </c>
      <c r="F142" s="14">
        <f>[1]Sheet2!BE141</f>
        <v>0</v>
      </c>
      <c r="G142" s="14">
        <f>[1]Sheet2!CV141</f>
        <v>245.6575682382134</v>
      </c>
      <c r="H142" s="1"/>
      <c r="I142" s="1"/>
      <c r="J142" s="1"/>
      <c r="K142" s="16">
        <f>Demand_CWRS!B$7/31</f>
        <v>129.8994219137717</v>
      </c>
      <c r="L142" s="16">
        <f>Demand_CWRS!C$7/31</f>
        <v>543.3829611248965</v>
      </c>
      <c r="M142" s="16">
        <f>Demand_CWRS!D$7/31</f>
        <v>0</v>
      </c>
      <c r="N142" s="16">
        <f>Demand_CWRS!E$7/31</f>
        <v>131.84491315136475</v>
      </c>
      <c r="O142" s="16">
        <f>Demand_CWRS!F$7/31</f>
        <v>232.12592522229113</v>
      </c>
      <c r="P142" s="16">
        <f>Demand_CWRS!G$7/31</f>
        <v>129.8994219137717</v>
      </c>
      <c r="Q142" s="16">
        <f>Demand_CWRS!H$7/31</f>
        <v>543.3829611248965</v>
      </c>
      <c r="R142" s="16">
        <f>Demand_CWRS!I$7/31</f>
        <v>232.12592522229113</v>
      </c>
      <c r="S142" s="16">
        <f>Demand_CWRS!J$7/31</f>
        <v>232.12592522229113</v>
      </c>
      <c r="T142" s="16">
        <f>Demand_CWRS!K$7/31</f>
        <v>232.12592522229113</v>
      </c>
      <c r="U142" s="16">
        <f t="shared" si="63"/>
        <v>-21055.922657123552</v>
      </c>
      <c r="V142" s="16">
        <f t="shared" si="64"/>
        <v>-62839.41215880878</v>
      </c>
      <c r="W142" s="16">
        <f t="shared" si="65"/>
        <v>0</v>
      </c>
      <c r="X142" s="16">
        <f t="shared" si="66"/>
        <v>-14253.688874056399</v>
      </c>
      <c r="Y142" s="16">
        <f t="shared" si="67"/>
        <v>-30920.773837895671</v>
      </c>
      <c r="Z142" s="16">
        <f t="shared" si="68"/>
        <v>-20730.149508085102</v>
      </c>
      <c r="AA142" s="16">
        <f t="shared" si="69"/>
        <v>-62339.41215880878</v>
      </c>
      <c r="AB142" s="16">
        <f t="shared" si="70"/>
        <v>-28608.807251357186</v>
      </c>
      <c r="AC142" s="16">
        <f t="shared" si="71"/>
        <v>-28608.807251357175</v>
      </c>
      <c r="AD142" s="16">
        <f t="shared" si="72"/>
        <v>-29308.807251357179</v>
      </c>
      <c r="AE142" s="14">
        <f>IF([1]Sheet2!AJ141=999999,"NA",[1]Sheet2!AJ141)</f>
        <v>0</v>
      </c>
      <c r="AF142" s="14">
        <f>IF([1]Sheet2!AK141=999999,"NA",[1]Sheet2!AK141)</f>
        <v>0</v>
      </c>
      <c r="AG142" s="14" t="str">
        <f>IF([1]Sheet2!AL141=999999,"NA",[1]Sheet2!AL141)</f>
        <v>NA</v>
      </c>
      <c r="AH142" s="14">
        <f>IF([1]Sheet2!AM141=999999,"NA",[1]Sheet2!AM141)</f>
        <v>226</v>
      </c>
      <c r="AI142" s="14">
        <f>IF([1]Sheet2!AN141=999999,"NA",[1]Sheet2!AN141)</f>
        <v>226</v>
      </c>
      <c r="AJ142" s="14">
        <f>IF([1]Sheet2!AO141=999999,"NA",[1]Sheet2!AO141)</f>
        <v>226</v>
      </c>
      <c r="AK142" s="14">
        <f>IF([1]Sheet2!AP141=999999,"NA",[1]Sheet2!AP141)</f>
        <v>0</v>
      </c>
      <c r="AL142" s="14">
        <f>IF([1]Sheet2!AQ141=999999,"NA",[1]Sheet2!AQ141)</f>
        <v>102</v>
      </c>
      <c r="AM142" s="14">
        <f>IF([1]Sheet2!AR141=999999,"NA",[1]Sheet2!AR141)</f>
        <v>226</v>
      </c>
      <c r="AN142" s="14">
        <f>IF([1]Sheet2!AS141=999999,"NA",[1]Sheet2!AS141)</f>
        <v>158</v>
      </c>
      <c r="AO142" s="14">
        <f>[1]Sheet2!P141</f>
        <v>0</v>
      </c>
      <c r="AP142" s="14">
        <f>[1]Sheet2!Q141</f>
        <v>0</v>
      </c>
      <c r="AQ142" s="14">
        <f>[1]Sheet2!R141</f>
        <v>0</v>
      </c>
      <c r="AR142" s="14">
        <f>[1]Sheet2!S141</f>
        <v>0</v>
      </c>
      <c r="AS142" s="14">
        <f>[1]Sheet2!T141</f>
        <v>0</v>
      </c>
      <c r="AT142" s="14">
        <f>[1]Sheet2!U141</f>
        <v>0</v>
      </c>
      <c r="AU142" s="14">
        <f>[1]Sheet2!V141</f>
        <v>0</v>
      </c>
      <c r="AV142" s="14">
        <f>[1]Sheet2!W141</f>
        <v>0</v>
      </c>
      <c r="AW142" s="14">
        <f>[1]Sheet2!X141</f>
        <v>0</v>
      </c>
      <c r="AX142" s="14">
        <f>[1]Sheet2!Y141</f>
        <v>0</v>
      </c>
      <c r="AY142" s="16">
        <f>Demand_LP!B$7/31</f>
        <v>855.82964911600493</v>
      </c>
      <c r="AZ142" s="16">
        <f>Demand_LP!C$7/31</f>
        <v>478.74276261373035</v>
      </c>
      <c r="BA142" s="16">
        <f>Demand_LP!D$7/31</f>
        <v>366.03598014888337</v>
      </c>
      <c r="BB142" s="16">
        <f>Demand_LP!E$7/31</f>
        <v>837.96277915632766</v>
      </c>
      <c r="BC142" s="16">
        <f>Demand_LP!F$7/31</f>
        <v>447.19049589019846</v>
      </c>
      <c r="BD142" s="16">
        <f>Demand_LP!G$7/31</f>
        <v>855.82964911600493</v>
      </c>
      <c r="BE142" s="16">
        <f>Demand_LP!H$7/31</f>
        <v>478.74276261373035</v>
      </c>
      <c r="BF142" s="16">
        <f>Demand_LP!I$7/31</f>
        <v>447.19049589019846</v>
      </c>
      <c r="BG142" s="16">
        <f>Demand_LP!J$7/31</f>
        <v>447.19049589019846</v>
      </c>
      <c r="BH142" s="16">
        <f>Demand_LP!K$7/31</f>
        <v>447.19049589019846</v>
      </c>
      <c r="BI142" s="16" t="e">
        <f t="shared" si="73"/>
        <v>#VALUE!</v>
      </c>
      <c r="BJ142" s="16">
        <f t="shared" si="74"/>
        <v>-84206.566335814699</v>
      </c>
      <c r="BK142" s="16">
        <f t="shared" si="75"/>
        <v>-40127.687468982607</v>
      </c>
      <c r="BL142" s="16">
        <f t="shared" si="76"/>
        <v>-103592.26330056209</v>
      </c>
      <c r="BM142" s="16">
        <f t="shared" si="77"/>
        <v>-63114.604554023994</v>
      </c>
      <c r="BN142" s="16">
        <f t="shared" si="78"/>
        <v>-100377.47056213747</v>
      </c>
      <c r="BO142" s="16">
        <f t="shared" si="79"/>
        <v>-86564.145822994222</v>
      </c>
      <c r="BP142" s="16">
        <f t="shared" si="80"/>
        <v>-62572.28847239459</v>
      </c>
      <c r="BQ142" s="16">
        <f t="shared" si="81"/>
        <v>-59172.288472394612</v>
      </c>
      <c r="BR142" s="16">
        <f t="shared" si="82"/>
        <v>-60372.288472394597</v>
      </c>
      <c r="BS142" s="14">
        <f>IF([1]Sheet2!CA141=999999,"NA",[1]Sheet2!CA141)</f>
        <v>156106.71152760583</v>
      </c>
      <c r="BT142" s="14">
        <f>IF([1]Sheet2!CB141=999999,"NA",[1]Sheet2!CB141)</f>
        <v>148</v>
      </c>
      <c r="BU142" s="14">
        <f>IF([1]Sheet2!CC141=999999,"NA",[1]Sheet2!CC141)</f>
        <v>226</v>
      </c>
      <c r="BV142" s="14">
        <f>IF([1]Sheet2!CD141=999999,"NA",[1]Sheet2!CD141)</f>
        <v>226</v>
      </c>
      <c r="BW142" s="14">
        <f>IF([1]Sheet2!CE141=999999,"NA",[1]Sheet2!CE141)</f>
        <v>188</v>
      </c>
      <c r="BX142" s="14">
        <f>IF([1]Sheet2!CF141=999999,"NA",[1]Sheet2!CF141)</f>
        <v>226</v>
      </c>
      <c r="BY142" s="14">
        <f>IF([1]Sheet2!CG141=999999,"NA",[1]Sheet2!CG141)</f>
        <v>120</v>
      </c>
      <c r="BZ142" s="14">
        <f>IF([1]Sheet2!CH141=999999,"NA",[1]Sheet2!CH141)</f>
        <v>226</v>
      </c>
      <c r="CA142" s="14">
        <f>IF([1]Sheet2!CI141=999999,"NA",[1]Sheet2!CI141)</f>
        <v>226</v>
      </c>
      <c r="CB142" s="14">
        <f>IF([1]Sheet2!CJ141=999999,"NA",[1]Sheet2!CJ141)</f>
        <v>226</v>
      </c>
      <c r="CC142" s="14">
        <f>[1]Sheet2!BG141</f>
        <v>0</v>
      </c>
      <c r="CD142" s="14">
        <f>[1]Sheet2!BH141</f>
        <v>0</v>
      </c>
      <c r="CE142" s="14">
        <f>[1]Sheet2!BI141</f>
        <v>0</v>
      </c>
      <c r="CF142" s="14">
        <f>[1]Sheet2!BJ141</f>
        <v>0</v>
      </c>
      <c r="CG142" s="14">
        <f>[1]Sheet2!BK141</f>
        <v>0</v>
      </c>
      <c r="CH142" s="14">
        <f>[1]Sheet2!BL141</f>
        <v>0</v>
      </c>
      <c r="CI142" s="14">
        <f>[1]Sheet2!BM141</f>
        <v>0</v>
      </c>
      <c r="CJ142" s="14">
        <f>[1]Sheet2!BN141</f>
        <v>0</v>
      </c>
      <c r="CK142" s="14">
        <f>[1]Sheet2!BO141</f>
        <v>0</v>
      </c>
      <c r="CL142" s="14">
        <f>[1]Sheet2!BP141</f>
        <v>0</v>
      </c>
      <c r="CM142" s="16">
        <f>Demand_SW!B$7/31</f>
        <v>122.8287841191067</v>
      </c>
      <c r="CN142" s="16">
        <f>Demand_SW!C$7/31</f>
        <v>0</v>
      </c>
      <c r="CO142" s="16">
        <f>Demand_SW!D$7/31</f>
        <v>0</v>
      </c>
      <c r="CP142" s="16">
        <f>Demand_SW!E$7/31</f>
        <v>0</v>
      </c>
      <c r="CQ142" s="16">
        <f>Demand_SW!F$7/31</f>
        <v>0</v>
      </c>
      <c r="CR142" s="16">
        <f>Demand_SW!G$7/31</f>
        <v>122.8287841191067</v>
      </c>
      <c r="CS142" s="16">
        <f>Demand_SW!H$7/31</f>
        <v>0</v>
      </c>
      <c r="CT142" s="16">
        <f>Demand_SW!I$7/31</f>
        <v>0</v>
      </c>
      <c r="CU142" s="16">
        <f>Demand_SW!J$7/31</f>
        <v>0</v>
      </c>
      <c r="CV142" s="16">
        <f>Demand_SW!K$7/31</f>
        <v>0</v>
      </c>
      <c r="CW142" s="16">
        <f t="shared" si="83"/>
        <v>32203.176178660076</v>
      </c>
      <c r="CX142" s="16">
        <f t="shared" si="84"/>
        <v>-423.07692307692292</v>
      </c>
      <c r="CY142" s="16">
        <f t="shared" si="85"/>
        <v>0</v>
      </c>
      <c r="CZ142" s="16">
        <f t="shared" si="86"/>
        <v>0</v>
      </c>
      <c r="DA142" s="16">
        <f t="shared" si="87"/>
        <v>0</v>
      </c>
      <c r="DB142" s="16">
        <f t="shared" si="88"/>
        <v>-17326.054590570719</v>
      </c>
      <c r="DC142" s="16">
        <f t="shared" si="89"/>
        <v>-423.07692307692292</v>
      </c>
      <c r="DD142" s="16">
        <f t="shared" si="90"/>
        <v>0</v>
      </c>
      <c r="DE142" s="16">
        <f t="shared" si="91"/>
        <v>0</v>
      </c>
      <c r="DF142" s="16">
        <f t="shared" si="92"/>
        <v>0</v>
      </c>
      <c r="DG142" s="14">
        <f>IF([1]Sheet2!DR141=999999,"NA",[1]Sheet2!DR141)</f>
        <v>73103</v>
      </c>
      <c r="DH142" s="14">
        <f>IF([1]Sheet2!DS141=999999,"NA",[1]Sheet2!DS141)</f>
        <v>226</v>
      </c>
      <c r="DI142" s="14">
        <f>IF([1]Sheet2!DT141=999999,"NA",[1]Sheet2!DT141)</f>
        <v>226</v>
      </c>
      <c r="DJ142" s="14" t="str">
        <f>IF([1]Sheet2!DU141=999999,"NA",[1]Sheet2!DU141)</f>
        <v>NA</v>
      </c>
      <c r="DK142" s="14" t="str">
        <f>IF([1]Sheet2!DV141=999999,"NA",[1]Sheet2!DV141)</f>
        <v>NA</v>
      </c>
      <c r="DL142" s="14" t="str">
        <f>IF([1]Sheet2!DW141=999999,"NA",[1]Sheet2!DW141)</f>
        <v>NA</v>
      </c>
      <c r="DM142" s="14">
        <f>IF([1]Sheet2!DX141=999999,"NA",[1]Sheet2!DX141)</f>
        <v>226</v>
      </c>
      <c r="DN142" s="14">
        <f>IF([1]Sheet2!DY141=999999,"NA",[1]Sheet2!DY141)</f>
        <v>226</v>
      </c>
      <c r="DO142" s="14" t="str">
        <f>IF([1]Sheet2!DZ141=999999,"NA",[1]Sheet2!DZ141)</f>
        <v>NA</v>
      </c>
      <c r="DP142" s="14" t="str">
        <f>IF([1]Sheet2!EA141=999999,"NA",[1]Sheet2!EA141)</f>
        <v>NA</v>
      </c>
      <c r="DQ142" s="14">
        <f>[1]Sheet2!CX141</f>
        <v>0</v>
      </c>
      <c r="DR142" s="14">
        <f>[1]Sheet2!CY141</f>
        <v>0</v>
      </c>
      <c r="DS142" s="14">
        <f>[1]Sheet2!CZ141</f>
        <v>0</v>
      </c>
      <c r="DT142" s="14">
        <f>[1]Sheet2!DA141</f>
        <v>0</v>
      </c>
      <c r="DU142" s="14">
        <f>[1]Sheet2!DB141</f>
        <v>0</v>
      </c>
      <c r="DV142" s="14">
        <f>[1]Sheet2!DC141</f>
        <v>0</v>
      </c>
      <c r="DW142" s="14">
        <f>[1]Sheet2!DD141</f>
        <v>0</v>
      </c>
      <c r="DX142" s="14">
        <f>[1]Sheet2!DE141</f>
        <v>0</v>
      </c>
      <c r="DY142" s="14">
        <f>[1]Sheet2!DF141</f>
        <v>0</v>
      </c>
      <c r="DZ142" s="14">
        <f>[1]Sheet2!DG141</f>
        <v>0</v>
      </c>
    </row>
    <row r="143" spans="1:130" x14ac:dyDescent="0.25">
      <c r="A143" s="15">
        <v>43605</v>
      </c>
      <c r="B143" s="1"/>
      <c r="C143" s="1"/>
      <c r="D143" s="1"/>
      <c r="E143" s="14">
        <f>[1]Sheet2!N142</f>
        <v>0</v>
      </c>
      <c r="F143" s="14">
        <f>[1]Sheet2!BE142</f>
        <v>0</v>
      </c>
      <c r="G143" s="14">
        <f>[1]Sheet2!CV142</f>
        <v>245.6575682382134</v>
      </c>
      <c r="H143" s="1"/>
      <c r="I143" s="1"/>
      <c r="J143" s="1"/>
      <c r="K143" s="16">
        <f>Demand_CWRS!B$7/31</f>
        <v>129.8994219137717</v>
      </c>
      <c r="L143" s="16">
        <f>Demand_CWRS!C$7/31</f>
        <v>543.3829611248965</v>
      </c>
      <c r="M143" s="16">
        <f>Demand_CWRS!D$7/31</f>
        <v>0</v>
      </c>
      <c r="N143" s="16">
        <f>Demand_CWRS!E$7/31</f>
        <v>131.84491315136475</v>
      </c>
      <c r="O143" s="16">
        <f>Demand_CWRS!F$7/31</f>
        <v>232.12592522229113</v>
      </c>
      <c r="P143" s="16">
        <f>Demand_CWRS!G$7/31</f>
        <v>129.8994219137717</v>
      </c>
      <c r="Q143" s="16">
        <f>Demand_CWRS!H$7/31</f>
        <v>543.3829611248965</v>
      </c>
      <c r="R143" s="16">
        <f>Demand_CWRS!I$7/31</f>
        <v>232.12592522229113</v>
      </c>
      <c r="S143" s="16">
        <f>Demand_CWRS!J$7/31</f>
        <v>232.12592522229113</v>
      </c>
      <c r="T143" s="16">
        <f>Demand_CWRS!K$7/31</f>
        <v>232.12592522229113</v>
      </c>
      <c r="U143" s="16">
        <f t="shared" si="63"/>
        <v>-21185.822079037323</v>
      </c>
      <c r="V143" s="16">
        <f t="shared" si="64"/>
        <v>-63382.795119933675</v>
      </c>
      <c r="W143" s="16">
        <f t="shared" si="65"/>
        <v>0</v>
      </c>
      <c r="X143" s="16">
        <f t="shared" si="66"/>
        <v>-14385.533787207763</v>
      </c>
      <c r="Y143" s="16">
        <f t="shared" si="67"/>
        <v>-31152.899763117963</v>
      </c>
      <c r="Z143" s="16">
        <f t="shared" si="68"/>
        <v>-20860.048929998873</v>
      </c>
      <c r="AA143" s="16">
        <f t="shared" si="69"/>
        <v>-62882.795119933675</v>
      </c>
      <c r="AB143" s="16">
        <f t="shared" si="70"/>
        <v>-28840.933176579478</v>
      </c>
      <c r="AC143" s="16">
        <f t="shared" si="71"/>
        <v>-28840.933176579467</v>
      </c>
      <c r="AD143" s="16">
        <f t="shared" si="72"/>
        <v>-29540.93317657947</v>
      </c>
      <c r="AE143" s="14">
        <f>IF([1]Sheet2!AJ142=999999,"NA",[1]Sheet2!AJ142)</f>
        <v>0</v>
      </c>
      <c r="AF143" s="14">
        <f>IF([1]Sheet2!AK142=999999,"NA",[1]Sheet2!AK142)</f>
        <v>0</v>
      </c>
      <c r="AG143" s="14" t="str">
        <f>IF([1]Sheet2!AL142=999999,"NA",[1]Sheet2!AL142)</f>
        <v>NA</v>
      </c>
      <c r="AH143" s="14">
        <f>IF([1]Sheet2!AM142=999999,"NA",[1]Sheet2!AM142)</f>
        <v>225</v>
      </c>
      <c r="AI143" s="14">
        <f>IF([1]Sheet2!AN142=999999,"NA",[1]Sheet2!AN142)</f>
        <v>225</v>
      </c>
      <c r="AJ143" s="14">
        <f>IF([1]Sheet2!AO142=999999,"NA",[1]Sheet2!AO142)</f>
        <v>225</v>
      </c>
      <c r="AK143" s="14">
        <f>IF([1]Sheet2!AP142=999999,"NA",[1]Sheet2!AP142)</f>
        <v>0</v>
      </c>
      <c r="AL143" s="14">
        <f>IF([1]Sheet2!AQ142=999999,"NA",[1]Sheet2!AQ142)</f>
        <v>101</v>
      </c>
      <c r="AM143" s="14">
        <f>IF([1]Sheet2!AR142=999999,"NA",[1]Sheet2!AR142)</f>
        <v>225</v>
      </c>
      <c r="AN143" s="14">
        <f>IF([1]Sheet2!AS142=999999,"NA",[1]Sheet2!AS142)</f>
        <v>157</v>
      </c>
      <c r="AO143" s="14">
        <f>[1]Sheet2!P142</f>
        <v>0</v>
      </c>
      <c r="AP143" s="14">
        <f>[1]Sheet2!Q142</f>
        <v>0</v>
      </c>
      <c r="AQ143" s="14">
        <f>[1]Sheet2!R142</f>
        <v>0</v>
      </c>
      <c r="AR143" s="14">
        <f>[1]Sheet2!S142</f>
        <v>0</v>
      </c>
      <c r="AS143" s="14">
        <f>[1]Sheet2!T142</f>
        <v>0</v>
      </c>
      <c r="AT143" s="14">
        <f>[1]Sheet2!U142</f>
        <v>0</v>
      </c>
      <c r="AU143" s="14">
        <f>[1]Sheet2!V142</f>
        <v>0</v>
      </c>
      <c r="AV143" s="14">
        <f>[1]Sheet2!W142</f>
        <v>0</v>
      </c>
      <c r="AW143" s="14">
        <f>[1]Sheet2!X142</f>
        <v>0</v>
      </c>
      <c r="AX143" s="14">
        <f>[1]Sheet2!Y142</f>
        <v>0</v>
      </c>
      <c r="AY143" s="16">
        <f>Demand_LP!B$7/31</f>
        <v>855.82964911600493</v>
      </c>
      <c r="AZ143" s="16">
        <f>Demand_LP!C$7/31</f>
        <v>478.74276261373035</v>
      </c>
      <c r="BA143" s="16">
        <f>Demand_LP!D$7/31</f>
        <v>366.03598014888337</v>
      </c>
      <c r="BB143" s="16">
        <f>Demand_LP!E$7/31</f>
        <v>837.96277915632766</v>
      </c>
      <c r="BC143" s="16">
        <f>Demand_LP!F$7/31</f>
        <v>447.19049589019846</v>
      </c>
      <c r="BD143" s="16">
        <f>Demand_LP!G$7/31</f>
        <v>855.82964911600493</v>
      </c>
      <c r="BE143" s="16">
        <f>Demand_LP!H$7/31</f>
        <v>478.74276261373035</v>
      </c>
      <c r="BF143" s="16">
        <f>Demand_LP!I$7/31</f>
        <v>447.19049589019846</v>
      </c>
      <c r="BG143" s="16">
        <f>Demand_LP!J$7/31</f>
        <v>447.19049589019846</v>
      </c>
      <c r="BH143" s="16">
        <f>Demand_LP!K$7/31</f>
        <v>447.19049589019846</v>
      </c>
      <c r="BI143" s="16" t="e">
        <f t="shared" si="73"/>
        <v>#VALUE!</v>
      </c>
      <c r="BJ143" s="16">
        <f t="shared" si="74"/>
        <v>-84685.309098428435</v>
      </c>
      <c r="BK143" s="16">
        <f t="shared" si="75"/>
        <v>-40493.723449131488</v>
      </c>
      <c r="BL143" s="16">
        <f t="shared" si="76"/>
        <v>-104430.22607971841</v>
      </c>
      <c r="BM143" s="16">
        <f t="shared" si="77"/>
        <v>-63561.795049914195</v>
      </c>
      <c r="BN143" s="16">
        <f t="shared" si="78"/>
        <v>-101233.30021125347</v>
      </c>
      <c r="BO143" s="16">
        <f t="shared" si="79"/>
        <v>-87042.888585607958</v>
      </c>
      <c r="BP143" s="16">
        <f t="shared" si="80"/>
        <v>-63019.478968284791</v>
      </c>
      <c r="BQ143" s="16">
        <f t="shared" si="81"/>
        <v>-59619.478968284813</v>
      </c>
      <c r="BR143" s="16">
        <f t="shared" si="82"/>
        <v>-60819.478968284799</v>
      </c>
      <c r="BS143" s="14">
        <f>IF([1]Sheet2!CA142=999999,"NA",[1]Sheet2!CA142)</f>
        <v>155659.52103171565</v>
      </c>
      <c r="BT143" s="14">
        <f>IF([1]Sheet2!CB142=999999,"NA",[1]Sheet2!CB142)</f>
        <v>147</v>
      </c>
      <c r="BU143" s="14">
        <f>IF([1]Sheet2!CC142=999999,"NA",[1]Sheet2!CC142)</f>
        <v>225</v>
      </c>
      <c r="BV143" s="14">
        <f>IF([1]Sheet2!CD142=999999,"NA",[1]Sheet2!CD142)</f>
        <v>225</v>
      </c>
      <c r="BW143" s="14">
        <f>IF([1]Sheet2!CE142=999999,"NA",[1]Sheet2!CE142)</f>
        <v>187</v>
      </c>
      <c r="BX143" s="14">
        <f>IF([1]Sheet2!CF142=999999,"NA",[1]Sheet2!CF142)</f>
        <v>225</v>
      </c>
      <c r="BY143" s="14">
        <f>IF([1]Sheet2!CG142=999999,"NA",[1]Sheet2!CG142)</f>
        <v>119</v>
      </c>
      <c r="BZ143" s="14">
        <f>IF([1]Sheet2!CH142=999999,"NA",[1]Sheet2!CH142)</f>
        <v>225</v>
      </c>
      <c r="CA143" s="14">
        <f>IF([1]Sheet2!CI142=999999,"NA",[1]Sheet2!CI142)</f>
        <v>225</v>
      </c>
      <c r="CB143" s="14">
        <f>IF([1]Sheet2!CJ142=999999,"NA",[1]Sheet2!CJ142)</f>
        <v>225</v>
      </c>
      <c r="CC143" s="14">
        <f>[1]Sheet2!BG142</f>
        <v>0</v>
      </c>
      <c r="CD143" s="14">
        <f>[1]Sheet2!BH142</f>
        <v>0</v>
      </c>
      <c r="CE143" s="14">
        <f>[1]Sheet2!BI142</f>
        <v>0</v>
      </c>
      <c r="CF143" s="14">
        <f>[1]Sheet2!BJ142</f>
        <v>0</v>
      </c>
      <c r="CG143" s="14">
        <f>[1]Sheet2!BK142</f>
        <v>0</v>
      </c>
      <c r="CH143" s="14">
        <f>[1]Sheet2!BL142</f>
        <v>0</v>
      </c>
      <c r="CI143" s="14">
        <f>[1]Sheet2!BM142</f>
        <v>0</v>
      </c>
      <c r="CJ143" s="14">
        <f>[1]Sheet2!BN142</f>
        <v>0</v>
      </c>
      <c r="CK143" s="14">
        <f>[1]Sheet2!BO142</f>
        <v>0</v>
      </c>
      <c r="CL143" s="14">
        <f>[1]Sheet2!BP142</f>
        <v>0</v>
      </c>
      <c r="CM143" s="16">
        <f>Demand_SW!B$7/31</f>
        <v>122.8287841191067</v>
      </c>
      <c r="CN143" s="16">
        <f>Demand_SW!C$7/31</f>
        <v>0</v>
      </c>
      <c r="CO143" s="16">
        <f>Demand_SW!D$7/31</f>
        <v>0</v>
      </c>
      <c r="CP143" s="16">
        <f>Demand_SW!E$7/31</f>
        <v>0</v>
      </c>
      <c r="CQ143" s="16">
        <f>Demand_SW!F$7/31</f>
        <v>0</v>
      </c>
      <c r="CR143" s="16">
        <f>Demand_SW!G$7/31</f>
        <v>122.8287841191067</v>
      </c>
      <c r="CS143" s="16">
        <f>Demand_SW!H$7/31</f>
        <v>0</v>
      </c>
      <c r="CT143" s="16">
        <f>Demand_SW!I$7/31</f>
        <v>0</v>
      </c>
      <c r="CU143" s="16">
        <f>Demand_SW!J$7/31</f>
        <v>0</v>
      </c>
      <c r="CV143" s="16">
        <f>Demand_SW!K$7/31</f>
        <v>0</v>
      </c>
      <c r="CW143" s="16">
        <f t="shared" si="83"/>
        <v>32080.347394540971</v>
      </c>
      <c r="CX143" s="16">
        <f t="shared" si="84"/>
        <v>-423.07692307692292</v>
      </c>
      <c r="CY143" s="16">
        <f t="shared" si="85"/>
        <v>0</v>
      </c>
      <c r="CZ143" s="16">
        <f t="shared" si="86"/>
        <v>0</v>
      </c>
      <c r="DA143" s="16">
        <f t="shared" si="87"/>
        <v>0</v>
      </c>
      <c r="DB143" s="16">
        <f t="shared" si="88"/>
        <v>-17448.883374689824</v>
      </c>
      <c r="DC143" s="16">
        <f t="shared" si="89"/>
        <v>-423.07692307692292</v>
      </c>
      <c r="DD143" s="16">
        <f t="shared" si="90"/>
        <v>0</v>
      </c>
      <c r="DE143" s="16">
        <f t="shared" si="91"/>
        <v>0</v>
      </c>
      <c r="DF143" s="16">
        <f t="shared" si="92"/>
        <v>0</v>
      </c>
      <c r="DG143" s="14">
        <f>IF([1]Sheet2!DR142=999999,"NA",[1]Sheet2!DR142)</f>
        <v>73103</v>
      </c>
      <c r="DH143" s="14">
        <f>IF([1]Sheet2!DS142=999999,"NA",[1]Sheet2!DS142)</f>
        <v>225</v>
      </c>
      <c r="DI143" s="14">
        <f>IF([1]Sheet2!DT142=999999,"NA",[1]Sheet2!DT142)</f>
        <v>225</v>
      </c>
      <c r="DJ143" s="14" t="str">
        <f>IF([1]Sheet2!DU142=999999,"NA",[1]Sheet2!DU142)</f>
        <v>NA</v>
      </c>
      <c r="DK143" s="14" t="str">
        <f>IF([1]Sheet2!DV142=999999,"NA",[1]Sheet2!DV142)</f>
        <v>NA</v>
      </c>
      <c r="DL143" s="14" t="str">
        <f>IF([1]Sheet2!DW142=999999,"NA",[1]Sheet2!DW142)</f>
        <v>NA</v>
      </c>
      <c r="DM143" s="14">
        <f>IF([1]Sheet2!DX142=999999,"NA",[1]Sheet2!DX142)</f>
        <v>225</v>
      </c>
      <c r="DN143" s="14">
        <f>IF([1]Sheet2!DY142=999999,"NA",[1]Sheet2!DY142)</f>
        <v>225</v>
      </c>
      <c r="DO143" s="14" t="str">
        <f>IF([1]Sheet2!DZ142=999999,"NA",[1]Sheet2!DZ142)</f>
        <v>NA</v>
      </c>
      <c r="DP143" s="14" t="str">
        <f>IF([1]Sheet2!EA142=999999,"NA",[1]Sheet2!EA142)</f>
        <v>NA</v>
      </c>
      <c r="DQ143" s="14">
        <f>[1]Sheet2!CX142</f>
        <v>0</v>
      </c>
      <c r="DR143" s="14">
        <f>[1]Sheet2!CY142</f>
        <v>0</v>
      </c>
      <c r="DS143" s="14">
        <f>[1]Sheet2!CZ142</f>
        <v>0</v>
      </c>
      <c r="DT143" s="14">
        <f>[1]Sheet2!DA142</f>
        <v>0</v>
      </c>
      <c r="DU143" s="14">
        <f>[1]Sheet2!DB142</f>
        <v>0</v>
      </c>
      <c r="DV143" s="14">
        <f>[1]Sheet2!DC142</f>
        <v>0</v>
      </c>
      <c r="DW143" s="14">
        <f>[1]Sheet2!DD142</f>
        <v>0</v>
      </c>
      <c r="DX143" s="14">
        <f>[1]Sheet2!DE142</f>
        <v>0</v>
      </c>
      <c r="DY143" s="14">
        <f>[1]Sheet2!DF142</f>
        <v>0</v>
      </c>
      <c r="DZ143" s="14">
        <f>[1]Sheet2!DG142</f>
        <v>0</v>
      </c>
    </row>
    <row r="144" spans="1:130" x14ac:dyDescent="0.25">
      <c r="A144" s="15">
        <v>43606</v>
      </c>
      <c r="B144" s="1"/>
      <c r="C144" s="1"/>
      <c r="D144" s="1"/>
      <c r="E144" s="14">
        <f>[1]Sheet2!N143</f>
        <v>0</v>
      </c>
      <c r="F144" s="14">
        <f>[1]Sheet2!BE143</f>
        <v>0</v>
      </c>
      <c r="G144" s="14">
        <f>[1]Sheet2!CV143</f>
        <v>245.6575682382134</v>
      </c>
      <c r="H144" s="1"/>
      <c r="I144" s="1"/>
      <c r="J144" s="1"/>
      <c r="K144" s="16">
        <f>Demand_CWRS!B$7/31</f>
        <v>129.8994219137717</v>
      </c>
      <c r="L144" s="16">
        <f>Demand_CWRS!C$7/31</f>
        <v>543.3829611248965</v>
      </c>
      <c r="M144" s="16">
        <f>Demand_CWRS!D$7/31</f>
        <v>0</v>
      </c>
      <c r="N144" s="16">
        <f>Demand_CWRS!E$7/31</f>
        <v>131.84491315136475</v>
      </c>
      <c r="O144" s="16">
        <f>Demand_CWRS!F$7/31</f>
        <v>232.12592522229113</v>
      </c>
      <c r="P144" s="16">
        <f>Demand_CWRS!G$7/31</f>
        <v>129.8994219137717</v>
      </c>
      <c r="Q144" s="16">
        <f>Demand_CWRS!H$7/31</f>
        <v>543.3829611248965</v>
      </c>
      <c r="R144" s="16">
        <f>Demand_CWRS!I$7/31</f>
        <v>232.12592522229113</v>
      </c>
      <c r="S144" s="16">
        <f>Demand_CWRS!J$7/31</f>
        <v>232.12592522229113</v>
      </c>
      <c r="T144" s="16">
        <f>Demand_CWRS!K$7/31</f>
        <v>232.12592522229113</v>
      </c>
      <c r="U144" s="16">
        <f t="shared" si="63"/>
        <v>-21315.721500951095</v>
      </c>
      <c r="V144" s="16">
        <f t="shared" si="64"/>
        <v>-63926.17808105857</v>
      </c>
      <c r="W144" s="16">
        <f t="shared" si="65"/>
        <v>0</v>
      </c>
      <c r="X144" s="16">
        <f t="shared" si="66"/>
        <v>-14517.378700359128</v>
      </c>
      <c r="Y144" s="16">
        <f t="shared" si="67"/>
        <v>-31385.025688340254</v>
      </c>
      <c r="Z144" s="16">
        <f t="shared" si="68"/>
        <v>-20989.948351912644</v>
      </c>
      <c r="AA144" s="16">
        <f t="shared" si="69"/>
        <v>-63426.17808105857</v>
      </c>
      <c r="AB144" s="16">
        <f t="shared" si="70"/>
        <v>-29073.059101801769</v>
      </c>
      <c r="AC144" s="16">
        <f t="shared" si="71"/>
        <v>-29073.059101801759</v>
      </c>
      <c r="AD144" s="16">
        <f t="shared" si="72"/>
        <v>-29773.059101801762</v>
      </c>
      <c r="AE144" s="14">
        <f>IF([1]Sheet2!AJ143=999999,"NA",[1]Sheet2!AJ143)</f>
        <v>0</v>
      </c>
      <c r="AF144" s="14">
        <f>IF([1]Sheet2!AK143=999999,"NA",[1]Sheet2!AK143)</f>
        <v>0</v>
      </c>
      <c r="AG144" s="14" t="str">
        <f>IF([1]Sheet2!AL143=999999,"NA",[1]Sheet2!AL143)</f>
        <v>NA</v>
      </c>
      <c r="AH144" s="14">
        <f>IF([1]Sheet2!AM143=999999,"NA",[1]Sheet2!AM143)</f>
        <v>224</v>
      </c>
      <c r="AI144" s="14">
        <f>IF([1]Sheet2!AN143=999999,"NA",[1]Sheet2!AN143)</f>
        <v>224</v>
      </c>
      <c r="AJ144" s="14">
        <f>IF([1]Sheet2!AO143=999999,"NA",[1]Sheet2!AO143)</f>
        <v>224</v>
      </c>
      <c r="AK144" s="14">
        <f>IF([1]Sheet2!AP143=999999,"NA",[1]Sheet2!AP143)</f>
        <v>0</v>
      </c>
      <c r="AL144" s="14">
        <f>IF([1]Sheet2!AQ143=999999,"NA",[1]Sheet2!AQ143)</f>
        <v>100</v>
      </c>
      <c r="AM144" s="14">
        <f>IF([1]Sheet2!AR143=999999,"NA",[1]Sheet2!AR143)</f>
        <v>224</v>
      </c>
      <c r="AN144" s="14">
        <f>IF([1]Sheet2!AS143=999999,"NA",[1]Sheet2!AS143)</f>
        <v>156</v>
      </c>
      <c r="AO144" s="14">
        <f>[1]Sheet2!P143</f>
        <v>0</v>
      </c>
      <c r="AP144" s="14">
        <f>[1]Sheet2!Q143</f>
        <v>0</v>
      </c>
      <c r="AQ144" s="14">
        <f>[1]Sheet2!R143</f>
        <v>0</v>
      </c>
      <c r="AR144" s="14">
        <f>[1]Sheet2!S143</f>
        <v>0</v>
      </c>
      <c r="AS144" s="14">
        <f>[1]Sheet2!T143</f>
        <v>0</v>
      </c>
      <c r="AT144" s="14">
        <f>[1]Sheet2!U143</f>
        <v>0</v>
      </c>
      <c r="AU144" s="14">
        <f>[1]Sheet2!V143</f>
        <v>0</v>
      </c>
      <c r="AV144" s="14">
        <f>[1]Sheet2!W143</f>
        <v>0</v>
      </c>
      <c r="AW144" s="14">
        <f>[1]Sheet2!X143</f>
        <v>0</v>
      </c>
      <c r="AX144" s="14">
        <f>[1]Sheet2!Y143</f>
        <v>0</v>
      </c>
      <c r="AY144" s="16">
        <f>Demand_LP!B$7/31</f>
        <v>855.82964911600493</v>
      </c>
      <c r="AZ144" s="16">
        <f>Demand_LP!C$7/31</f>
        <v>478.74276261373035</v>
      </c>
      <c r="BA144" s="16">
        <f>Demand_LP!D$7/31</f>
        <v>366.03598014888337</v>
      </c>
      <c r="BB144" s="16">
        <f>Demand_LP!E$7/31</f>
        <v>837.96277915632766</v>
      </c>
      <c r="BC144" s="16">
        <f>Demand_LP!F$7/31</f>
        <v>447.19049589019846</v>
      </c>
      <c r="BD144" s="16">
        <f>Demand_LP!G$7/31</f>
        <v>855.82964911600493</v>
      </c>
      <c r="BE144" s="16">
        <f>Demand_LP!H$7/31</f>
        <v>478.74276261373035</v>
      </c>
      <c r="BF144" s="16">
        <f>Demand_LP!I$7/31</f>
        <v>447.19049589019846</v>
      </c>
      <c r="BG144" s="16">
        <f>Demand_LP!J$7/31</f>
        <v>447.19049589019846</v>
      </c>
      <c r="BH144" s="16">
        <f>Demand_LP!K$7/31</f>
        <v>447.19049589019846</v>
      </c>
      <c r="BI144" s="16" t="e">
        <f t="shared" si="73"/>
        <v>#VALUE!</v>
      </c>
      <c r="BJ144" s="16">
        <f t="shared" si="74"/>
        <v>-85164.051861042171</v>
      </c>
      <c r="BK144" s="16">
        <f t="shared" si="75"/>
        <v>-40859.75942928037</v>
      </c>
      <c r="BL144" s="16">
        <f t="shared" si="76"/>
        <v>-105268.18885887474</v>
      </c>
      <c r="BM144" s="16">
        <f t="shared" si="77"/>
        <v>-64008.985545804397</v>
      </c>
      <c r="BN144" s="16">
        <f t="shared" si="78"/>
        <v>-102089.12986036947</v>
      </c>
      <c r="BO144" s="16">
        <f t="shared" si="79"/>
        <v>-87521.631348221694</v>
      </c>
      <c r="BP144" s="16">
        <f t="shared" si="80"/>
        <v>-63466.669464174993</v>
      </c>
      <c r="BQ144" s="16">
        <f t="shared" si="81"/>
        <v>-60066.669464175015</v>
      </c>
      <c r="BR144" s="16">
        <f t="shared" si="82"/>
        <v>-61266.669464175</v>
      </c>
      <c r="BS144" s="14">
        <f>IF([1]Sheet2!CA143=999999,"NA",[1]Sheet2!CA143)</f>
        <v>155212.33053582546</v>
      </c>
      <c r="BT144" s="14">
        <f>IF([1]Sheet2!CB143=999999,"NA",[1]Sheet2!CB143)</f>
        <v>146</v>
      </c>
      <c r="BU144" s="14">
        <f>IF([1]Sheet2!CC143=999999,"NA",[1]Sheet2!CC143)</f>
        <v>224</v>
      </c>
      <c r="BV144" s="14">
        <f>IF([1]Sheet2!CD143=999999,"NA",[1]Sheet2!CD143)</f>
        <v>224</v>
      </c>
      <c r="BW144" s="14">
        <f>IF([1]Sheet2!CE143=999999,"NA",[1]Sheet2!CE143)</f>
        <v>186</v>
      </c>
      <c r="BX144" s="14">
        <f>IF([1]Sheet2!CF143=999999,"NA",[1]Sheet2!CF143)</f>
        <v>224</v>
      </c>
      <c r="BY144" s="14">
        <f>IF([1]Sheet2!CG143=999999,"NA",[1]Sheet2!CG143)</f>
        <v>118</v>
      </c>
      <c r="BZ144" s="14">
        <f>IF([1]Sheet2!CH143=999999,"NA",[1]Sheet2!CH143)</f>
        <v>224</v>
      </c>
      <c r="CA144" s="14">
        <f>IF([1]Sheet2!CI143=999999,"NA",[1]Sheet2!CI143)</f>
        <v>224</v>
      </c>
      <c r="CB144" s="14">
        <f>IF([1]Sheet2!CJ143=999999,"NA",[1]Sheet2!CJ143)</f>
        <v>224</v>
      </c>
      <c r="CC144" s="14">
        <f>[1]Sheet2!BG143</f>
        <v>0</v>
      </c>
      <c r="CD144" s="14">
        <f>[1]Sheet2!BH143</f>
        <v>0</v>
      </c>
      <c r="CE144" s="14">
        <f>[1]Sheet2!BI143</f>
        <v>0</v>
      </c>
      <c r="CF144" s="14">
        <f>[1]Sheet2!BJ143</f>
        <v>0</v>
      </c>
      <c r="CG144" s="14">
        <f>[1]Sheet2!BK143</f>
        <v>0</v>
      </c>
      <c r="CH144" s="14">
        <f>[1]Sheet2!BL143</f>
        <v>0</v>
      </c>
      <c r="CI144" s="14">
        <f>[1]Sheet2!BM143</f>
        <v>0</v>
      </c>
      <c r="CJ144" s="14">
        <f>[1]Sheet2!BN143</f>
        <v>0</v>
      </c>
      <c r="CK144" s="14">
        <f>[1]Sheet2!BO143</f>
        <v>0</v>
      </c>
      <c r="CL144" s="14">
        <f>[1]Sheet2!BP143</f>
        <v>0</v>
      </c>
      <c r="CM144" s="16">
        <f>Demand_SW!B$7/31</f>
        <v>122.8287841191067</v>
      </c>
      <c r="CN144" s="16">
        <f>Demand_SW!C$7/31</f>
        <v>0</v>
      </c>
      <c r="CO144" s="16">
        <f>Demand_SW!D$7/31</f>
        <v>0</v>
      </c>
      <c r="CP144" s="16">
        <f>Demand_SW!E$7/31</f>
        <v>0</v>
      </c>
      <c r="CQ144" s="16">
        <f>Demand_SW!F$7/31</f>
        <v>0</v>
      </c>
      <c r="CR144" s="16">
        <f>Demand_SW!G$7/31</f>
        <v>122.8287841191067</v>
      </c>
      <c r="CS144" s="16">
        <f>Demand_SW!H$7/31</f>
        <v>0</v>
      </c>
      <c r="CT144" s="16">
        <f>Demand_SW!I$7/31</f>
        <v>0</v>
      </c>
      <c r="CU144" s="16">
        <f>Demand_SW!J$7/31</f>
        <v>0</v>
      </c>
      <c r="CV144" s="16">
        <f>Demand_SW!K$7/31</f>
        <v>0</v>
      </c>
      <c r="CW144" s="16">
        <f t="shared" si="83"/>
        <v>31957.518610421866</v>
      </c>
      <c r="CX144" s="16">
        <f t="shared" si="84"/>
        <v>-423.07692307692292</v>
      </c>
      <c r="CY144" s="16">
        <f t="shared" si="85"/>
        <v>0</v>
      </c>
      <c r="CZ144" s="16">
        <f t="shared" si="86"/>
        <v>0</v>
      </c>
      <c r="DA144" s="16">
        <f t="shared" si="87"/>
        <v>0</v>
      </c>
      <c r="DB144" s="16">
        <f t="shared" si="88"/>
        <v>-17571.712158808929</v>
      </c>
      <c r="DC144" s="16">
        <f t="shared" si="89"/>
        <v>-423.07692307692292</v>
      </c>
      <c r="DD144" s="16">
        <f t="shared" si="90"/>
        <v>0</v>
      </c>
      <c r="DE144" s="16">
        <f t="shared" si="91"/>
        <v>0</v>
      </c>
      <c r="DF144" s="16">
        <f t="shared" si="92"/>
        <v>0</v>
      </c>
      <c r="DG144" s="14">
        <f>IF([1]Sheet2!DR143=999999,"NA",[1]Sheet2!DR143)</f>
        <v>73103</v>
      </c>
      <c r="DH144" s="14">
        <f>IF([1]Sheet2!DS143=999999,"NA",[1]Sheet2!DS143)</f>
        <v>224</v>
      </c>
      <c r="DI144" s="14">
        <f>IF([1]Sheet2!DT143=999999,"NA",[1]Sheet2!DT143)</f>
        <v>224</v>
      </c>
      <c r="DJ144" s="14" t="str">
        <f>IF([1]Sheet2!DU143=999999,"NA",[1]Sheet2!DU143)</f>
        <v>NA</v>
      </c>
      <c r="DK144" s="14" t="str">
        <f>IF([1]Sheet2!DV143=999999,"NA",[1]Sheet2!DV143)</f>
        <v>NA</v>
      </c>
      <c r="DL144" s="14" t="str">
        <f>IF([1]Sheet2!DW143=999999,"NA",[1]Sheet2!DW143)</f>
        <v>NA</v>
      </c>
      <c r="DM144" s="14">
        <f>IF([1]Sheet2!DX143=999999,"NA",[1]Sheet2!DX143)</f>
        <v>224</v>
      </c>
      <c r="DN144" s="14">
        <f>IF([1]Sheet2!DY143=999999,"NA",[1]Sheet2!DY143)</f>
        <v>224</v>
      </c>
      <c r="DO144" s="14" t="str">
        <f>IF([1]Sheet2!DZ143=999999,"NA",[1]Sheet2!DZ143)</f>
        <v>NA</v>
      </c>
      <c r="DP144" s="14" t="str">
        <f>IF([1]Sheet2!EA143=999999,"NA",[1]Sheet2!EA143)</f>
        <v>NA</v>
      </c>
      <c r="DQ144" s="14">
        <f>[1]Sheet2!CX143</f>
        <v>0</v>
      </c>
      <c r="DR144" s="14">
        <f>[1]Sheet2!CY143</f>
        <v>0</v>
      </c>
      <c r="DS144" s="14">
        <f>[1]Sheet2!CZ143</f>
        <v>0</v>
      </c>
      <c r="DT144" s="14">
        <f>[1]Sheet2!DA143</f>
        <v>0</v>
      </c>
      <c r="DU144" s="14">
        <f>[1]Sheet2!DB143</f>
        <v>0</v>
      </c>
      <c r="DV144" s="14">
        <f>[1]Sheet2!DC143</f>
        <v>0</v>
      </c>
      <c r="DW144" s="14">
        <f>[1]Sheet2!DD143</f>
        <v>0</v>
      </c>
      <c r="DX144" s="14">
        <f>[1]Sheet2!DE143</f>
        <v>0</v>
      </c>
      <c r="DY144" s="14">
        <f>[1]Sheet2!DF143</f>
        <v>0</v>
      </c>
      <c r="DZ144" s="14">
        <f>[1]Sheet2!DG143</f>
        <v>0</v>
      </c>
    </row>
    <row r="145" spans="1:130" x14ac:dyDescent="0.25">
      <c r="A145" s="15">
        <v>43607</v>
      </c>
      <c r="B145" s="1"/>
      <c r="C145" s="1"/>
      <c r="D145" s="1"/>
      <c r="E145" s="14">
        <f>[1]Sheet2!N144</f>
        <v>0</v>
      </c>
      <c r="F145" s="14">
        <f>[1]Sheet2!BE144</f>
        <v>0</v>
      </c>
      <c r="G145" s="14">
        <f>[1]Sheet2!CV144</f>
        <v>245.6575682382134</v>
      </c>
      <c r="H145" s="1"/>
      <c r="I145" s="1"/>
      <c r="J145" s="1"/>
      <c r="K145" s="16">
        <f>Demand_CWRS!B$7/31</f>
        <v>129.8994219137717</v>
      </c>
      <c r="L145" s="16">
        <f>Demand_CWRS!C$7/31</f>
        <v>543.3829611248965</v>
      </c>
      <c r="M145" s="16">
        <f>Demand_CWRS!D$7/31</f>
        <v>0</v>
      </c>
      <c r="N145" s="16">
        <f>Demand_CWRS!E$7/31</f>
        <v>131.84491315136475</v>
      </c>
      <c r="O145" s="16">
        <f>Demand_CWRS!F$7/31</f>
        <v>232.12592522229113</v>
      </c>
      <c r="P145" s="16">
        <f>Demand_CWRS!G$7/31</f>
        <v>129.8994219137717</v>
      </c>
      <c r="Q145" s="16">
        <f>Demand_CWRS!H$7/31</f>
        <v>543.3829611248965</v>
      </c>
      <c r="R145" s="16">
        <f>Demand_CWRS!I$7/31</f>
        <v>232.12592522229113</v>
      </c>
      <c r="S145" s="16">
        <f>Demand_CWRS!J$7/31</f>
        <v>232.12592522229113</v>
      </c>
      <c r="T145" s="16">
        <f>Demand_CWRS!K$7/31</f>
        <v>232.12592522229113</v>
      </c>
      <c r="U145" s="16">
        <f t="shared" si="63"/>
        <v>-21445.620922864866</v>
      </c>
      <c r="V145" s="16">
        <f t="shared" si="64"/>
        <v>-64469.561042183464</v>
      </c>
      <c r="W145" s="16">
        <f t="shared" si="65"/>
        <v>0</v>
      </c>
      <c r="X145" s="16">
        <f t="shared" si="66"/>
        <v>-14649.223613510492</v>
      </c>
      <c r="Y145" s="16">
        <f t="shared" si="67"/>
        <v>-31617.151613562546</v>
      </c>
      <c r="Z145" s="16">
        <f t="shared" si="68"/>
        <v>-21119.847773826416</v>
      </c>
      <c r="AA145" s="16">
        <f t="shared" si="69"/>
        <v>-63969.561042183464</v>
      </c>
      <c r="AB145" s="16">
        <f t="shared" si="70"/>
        <v>-29305.185027024061</v>
      </c>
      <c r="AC145" s="16">
        <f t="shared" si="71"/>
        <v>-29305.18502702405</v>
      </c>
      <c r="AD145" s="16">
        <f t="shared" si="72"/>
        <v>-30005.185027024054</v>
      </c>
      <c r="AE145" s="14">
        <f>IF([1]Sheet2!AJ144=999999,"NA",[1]Sheet2!AJ144)</f>
        <v>0</v>
      </c>
      <c r="AF145" s="14">
        <f>IF([1]Sheet2!AK144=999999,"NA",[1]Sheet2!AK144)</f>
        <v>0</v>
      </c>
      <c r="AG145" s="14" t="str">
        <f>IF([1]Sheet2!AL144=999999,"NA",[1]Sheet2!AL144)</f>
        <v>NA</v>
      </c>
      <c r="AH145" s="14">
        <f>IF([1]Sheet2!AM144=999999,"NA",[1]Sheet2!AM144)</f>
        <v>223</v>
      </c>
      <c r="AI145" s="14">
        <f>IF([1]Sheet2!AN144=999999,"NA",[1]Sheet2!AN144)</f>
        <v>223</v>
      </c>
      <c r="AJ145" s="14">
        <f>IF([1]Sheet2!AO144=999999,"NA",[1]Sheet2!AO144)</f>
        <v>223</v>
      </c>
      <c r="AK145" s="14">
        <f>IF([1]Sheet2!AP144=999999,"NA",[1]Sheet2!AP144)</f>
        <v>0</v>
      </c>
      <c r="AL145" s="14">
        <f>IF([1]Sheet2!AQ144=999999,"NA",[1]Sheet2!AQ144)</f>
        <v>99</v>
      </c>
      <c r="AM145" s="14">
        <f>IF([1]Sheet2!AR144=999999,"NA",[1]Sheet2!AR144)</f>
        <v>223</v>
      </c>
      <c r="AN145" s="14">
        <f>IF([1]Sheet2!AS144=999999,"NA",[1]Sheet2!AS144)</f>
        <v>155</v>
      </c>
      <c r="AO145" s="14">
        <f>[1]Sheet2!P144</f>
        <v>0</v>
      </c>
      <c r="AP145" s="14">
        <f>[1]Sheet2!Q144</f>
        <v>0</v>
      </c>
      <c r="AQ145" s="14">
        <f>[1]Sheet2!R144</f>
        <v>0</v>
      </c>
      <c r="AR145" s="14">
        <f>[1]Sheet2!S144</f>
        <v>0</v>
      </c>
      <c r="AS145" s="14">
        <f>[1]Sheet2!T144</f>
        <v>0</v>
      </c>
      <c r="AT145" s="14">
        <f>[1]Sheet2!U144</f>
        <v>0</v>
      </c>
      <c r="AU145" s="14">
        <f>[1]Sheet2!V144</f>
        <v>0</v>
      </c>
      <c r="AV145" s="14">
        <f>[1]Sheet2!W144</f>
        <v>0</v>
      </c>
      <c r="AW145" s="14">
        <f>[1]Sheet2!X144</f>
        <v>0</v>
      </c>
      <c r="AX145" s="14">
        <f>[1]Sheet2!Y144</f>
        <v>0</v>
      </c>
      <c r="AY145" s="16">
        <f>Demand_LP!B$7/31</f>
        <v>855.82964911600493</v>
      </c>
      <c r="AZ145" s="16">
        <f>Demand_LP!C$7/31</f>
        <v>478.74276261373035</v>
      </c>
      <c r="BA145" s="16">
        <f>Demand_LP!D$7/31</f>
        <v>366.03598014888337</v>
      </c>
      <c r="BB145" s="16">
        <f>Demand_LP!E$7/31</f>
        <v>837.96277915632766</v>
      </c>
      <c r="BC145" s="16">
        <f>Demand_LP!F$7/31</f>
        <v>447.19049589019846</v>
      </c>
      <c r="BD145" s="16">
        <f>Demand_LP!G$7/31</f>
        <v>855.82964911600493</v>
      </c>
      <c r="BE145" s="16">
        <f>Demand_LP!H$7/31</f>
        <v>478.74276261373035</v>
      </c>
      <c r="BF145" s="16">
        <f>Demand_LP!I$7/31</f>
        <v>447.19049589019846</v>
      </c>
      <c r="BG145" s="16">
        <f>Demand_LP!J$7/31</f>
        <v>447.19049589019846</v>
      </c>
      <c r="BH145" s="16">
        <f>Demand_LP!K$7/31</f>
        <v>447.19049589019846</v>
      </c>
      <c r="BI145" s="16" t="e">
        <f t="shared" si="73"/>
        <v>#VALUE!</v>
      </c>
      <c r="BJ145" s="16">
        <f t="shared" si="74"/>
        <v>-85642.794623655907</v>
      </c>
      <c r="BK145" s="16">
        <f t="shared" si="75"/>
        <v>-41225.795409429251</v>
      </c>
      <c r="BL145" s="16">
        <f t="shared" si="76"/>
        <v>-106106.15163803106</v>
      </c>
      <c r="BM145" s="16">
        <f t="shared" si="77"/>
        <v>-64456.176041694598</v>
      </c>
      <c r="BN145" s="16">
        <f t="shared" si="78"/>
        <v>-102944.95950948547</v>
      </c>
      <c r="BO145" s="16">
        <f t="shared" si="79"/>
        <v>-88000.37411083543</v>
      </c>
      <c r="BP145" s="16">
        <f t="shared" si="80"/>
        <v>-63913.859960065194</v>
      </c>
      <c r="BQ145" s="16">
        <f t="shared" si="81"/>
        <v>-60513.859960065216</v>
      </c>
      <c r="BR145" s="16">
        <f t="shared" si="82"/>
        <v>-61713.859960065201</v>
      </c>
      <c r="BS145" s="14">
        <f>IF([1]Sheet2!CA144=999999,"NA",[1]Sheet2!CA144)</f>
        <v>154765.14003993527</v>
      </c>
      <c r="BT145" s="14">
        <f>IF([1]Sheet2!CB144=999999,"NA",[1]Sheet2!CB144)</f>
        <v>145</v>
      </c>
      <c r="BU145" s="14">
        <f>IF([1]Sheet2!CC144=999999,"NA",[1]Sheet2!CC144)</f>
        <v>223</v>
      </c>
      <c r="BV145" s="14">
        <f>IF([1]Sheet2!CD144=999999,"NA",[1]Sheet2!CD144)</f>
        <v>223</v>
      </c>
      <c r="BW145" s="14">
        <f>IF([1]Sheet2!CE144=999999,"NA",[1]Sheet2!CE144)</f>
        <v>185</v>
      </c>
      <c r="BX145" s="14">
        <f>IF([1]Sheet2!CF144=999999,"NA",[1]Sheet2!CF144)</f>
        <v>223</v>
      </c>
      <c r="BY145" s="14">
        <f>IF([1]Sheet2!CG144=999999,"NA",[1]Sheet2!CG144)</f>
        <v>117</v>
      </c>
      <c r="BZ145" s="14">
        <f>IF([1]Sheet2!CH144=999999,"NA",[1]Sheet2!CH144)</f>
        <v>223</v>
      </c>
      <c r="CA145" s="14">
        <f>IF([1]Sheet2!CI144=999999,"NA",[1]Sheet2!CI144)</f>
        <v>223</v>
      </c>
      <c r="CB145" s="14">
        <f>IF([1]Sheet2!CJ144=999999,"NA",[1]Sheet2!CJ144)</f>
        <v>223</v>
      </c>
      <c r="CC145" s="14">
        <f>[1]Sheet2!BG144</f>
        <v>0</v>
      </c>
      <c r="CD145" s="14">
        <f>[1]Sheet2!BH144</f>
        <v>0</v>
      </c>
      <c r="CE145" s="14">
        <f>[1]Sheet2!BI144</f>
        <v>0</v>
      </c>
      <c r="CF145" s="14">
        <f>[1]Sheet2!BJ144</f>
        <v>0</v>
      </c>
      <c r="CG145" s="14">
        <f>[1]Sheet2!BK144</f>
        <v>0</v>
      </c>
      <c r="CH145" s="14">
        <f>[1]Sheet2!BL144</f>
        <v>0</v>
      </c>
      <c r="CI145" s="14">
        <f>[1]Sheet2!BM144</f>
        <v>0</v>
      </c>
      <c r="CJ145" s="14">
        <f>[1]Sheet2!BN144</f>
        <v>0</v>
      </c>
      <c r="CK145" s="14">
        <f>[1]Sheet2!BO144</f>
        <v>0</v>
      </c>
      <c r="CL145" s="14">
        <f>[1]Sheet2!BP144</f>
        <v>0</v>
      </c>
      <c r="CM145" s="16">
        <f>Demand_SW!B$7/31</f>
        <v>122.8287841191067</v>
      </c>
      <c r="CN145" s="16">
        <f>Demand_SW!C$7/31</f>
        <v>0</v>
      </c>
      <c r="CO145" s="16">
        <f>Demand_SW!D$7/31</f>
        <v>0</v>
      </c>
      <c r="CP145" s="16">
        <f>Demand_SW!E$7/31</f>
        <v>0</v>
      </c>
      <c r="CQ145" s="16">
        <f>Demand_SW!F$7/31</f>
        <v>0</v>
      </c>
      <c r="CR145" s="16">
        <f>Demand_SW!G$7/31</f>
        <v>122.8287841191067</v>
      </c>
      <c r="CS145" s="16">
        <f>Demand_SW!H$7/31</f>
        <v>0</v>
      </c>
      <c r="CT145" s="16">
        <f>Demand_SW!I$7/31</f>
        <v>0</v>
      </c>
      <c r="CU145" s="16">
        <f>Demand_SW!J$7/31</f>
        <v>0</v>
      </c>
      <c r="CV145" s="16">
        <f>Demand_SW!K$7/31</f>
        <v>0</v>
      </c>
      <c r="CW145" s="16">
        <f t="shared" si="83"/>
        <v>31834.689826302762</v>
      </c>
      <c r="CX145" s="16">
        <f t="shared" si="84"/>
        <v>-423.07692307692292</v>
      </c>
      <c r="CY145" s="16">
        <f t="shared" si="85"/>
        <v>0</v>
      </c>
      <c r="CZ145" s="16">
        <f t="shared" si="86"/>
        <v>0</v>
      </c>
      <c r="DA145" s="16">
        <f t="shared" si="87"/>
        <v>0</v>
      </c>
      <c r="DB145" s="16">
        <f t="shared" si="88"/>
        <v>-17694.540942928033</v>
      </c>
      <c r="DC145" s="16">
        <f t="shared" si="89"/>
        <v>-423.07692307692292</v>
      </c>
      <c r="DD145" s="16">
        <f t="shared" si="90"/>
        <v>0</v>
      </c>
      <c r="DE145" s="16">
        <f t="shared" si="91"/>
        <v>0</v>
      </c>
      <c r="DF145" s="16">
        <f t="shared" si="92"/>
        <v>0</v>
      </c>
      <c r="DG145" s="14">
        <f>IF([1]Sheet2!DR144=999999,"NA",[1]Sheet2!DR144)</f>
        <v>73103</v>
      </c>
      <c r="DH145" s="14">
        <f>IF([1]Sheet2!DS144=999999,"NA",[1]Sheet2!DS144)</f>
        <v>223</v>
      </c>
      <c r="DI145" s="14">
        <f>IF([1]Sheet2!DT144=999999,"NA",[1]Sheet2!DT144)</f>
        <v>223</v>
      </c>
      <c r="DJ145" s="14" t="str">
        <f>IF([1]Sheet2!DU144=999999,"NA",[1]Sheet2!DU144)</f>
        <v>NA</v>
      </c>
      <c r="DK145" s="14" t="str">
        <f>IF([1]Sheet2!DV144=999999,"NA",[1]Sheet2!DV144)</f>
        <v>NA</v>
      </c>
      <c r="DL145" s="14" t="str">
        <f>IF([1]Sheet2!DW144=999999,"NA",[1]Sheet2!DW144)</f>
        <v>NA</v>
      </c>
      <c r="DM145" s="14">
        <f>IF([1]Sheet2!DX144=999999,"NA",[1]Sheet2!DX144)</f>
        <v>223</v>
      </c>
      <c r="DN145" s="14">
        <f>IF([1]Sheet2!DY144=999999,"NA",[1]Sheet2!DY144)</f>
        <v>223</v>
      </c>
      <c r="DO145" s="14" t="str">
        <f>IF([1]Sheet2!DZ144=999999,"NA",[1]Sheet2!DZ144)</f>
        <v>NA</v>
      </c>
      <c r="DP145" s="14" t="str">
        <f>IF([1]Sheet2!EA144=999999,"NA",[1]Sheet2!EA144)</f>
        <v>NA</v>
      </c>
      <c r="DQ145" s="14">
        <f>[1]Sheet2!CX144</f>
        <v>0</v>
      </c>
      <c r="DR145" s="14">
        <f>[1]Sheet2!CY144</f>
        <v>0</v>
      </c>
      <c r="DS145" s="14">
        <f>[1]Sheet2!CZ144</f>
        <v>0</v>
      </c>
      <c r="DT145" s="14">
        <f>[1]Sheet2!DA144</f>
        <v>0</v>
      </c>
      <c r="DU145" s="14">
        <f>[1]Sheet2!DB144</f>
        <v>0</v>
      </c>
      <c r="DV145" s="14">
        <f>[1]Sheet2!DC144</f>
        <v>0</v>
      </c>
      <c r="DW145" s="14">
        <f>[1]Sheet2!DD144</f>
        <v>0</v>
      </c>
      <c r="DX145" s="14">
        <f>[1]Sheet2!DE144</f>
        <v>0</v>
      </c>
      <c r="DY145" s="14">
        <f>[1]Sheet2!DF144</f>
        <v>0</v>
      </c>
      <c r="DZ145" s="14">
        <f>[1]Sheet2!DG144</f>
        <v>0</v>
      </c>
    </row>
    <row r="146" spans="1:130" x14ac:dyDescent="0.25">
      <c r="A146" s="15">
        <v>43608</v>
      </c>
      <c r="B146" s="1"/>
      <c r="C146" s="1"/>
      <c r="D146" s="1"/>
      <c r="E146" s="14">
        <f>[1]Sheet2!N145</f>
        <v>0</v>
      </c>
      <c r="F146" s="14">
        <f>[1]Sheet2!BE145</f>
        <v>0</v>
      </c>
      <c r="G146" s="14">
        <f>[1]Sheet2!CV145</f>
        <v>245.6575682382134</v>
      </c>
      <c r="H146" s="1"/>
      <c r="I146" s="1"/>
      <c r="J146" s="1"/>
      <c r="K146" s="16">
        <f>Demand_CWRS!B$7/31</f>
        <v>129.8994219137717</v>
      </c>
      <c r="L146" s="16">
        <f>Demand_CWRS!C$7/31</f>
        <v>543.3829611248965</v>
      </c>
      <c r="M146" s="16">
        <f>Demand_CWRS!D$7/31</f>
        <v>0</v>
      </c>
      <c r="N146" s="16">
        <f>Demand_CWRS!E$7/31</f>
        <v>131.84491315136475</v>
      </c>
      <c r="O146" s="16">
        <f>Demand_CWRS!F$7/31</f>
        <v>232.12592522229113</v>
      </c>
      <c r="P146" s="16">
        <f>Demand_CWRS!G$7/31</f>
        <v>129.8994219137717</v>
      </c>
      <c r="Q146" s="16">
        <f>Demand_CWRS!H$7/31</f>
        <v>543.3829611248965</v>
      </c>
      <c r="R146" s="16">
        <f>Demand_CWRS!I$7/31</f>
        <v>232.12592522229113</v>
      </c>
      <c r="S146" s="16">
        <f>Demand_CWRS!J$7/31</f>
        <v>232.12592522229113</v>
      </c>
      <c r="T146" s="16">
        <f>Demand_CWRS!K$7/31</f>
        <v>232.12592522229113</v>
      </c>
      <c r="U146" s="16">
        <f t="shared" si="63"/>
        <v>-21575.520344778637</v>
      </c>
      <c r="V146" s="16">
        <f t="shared" si="64"/>
        <v>-65012.944003308359</v>
      </c>
      <c r="W146" s="16">
        <f t="shared" si="65"/>
        <v>0</v>
      </c>
      <c r="X146" s="16">
        <f t="shared" si="66"/>
        <v>-14781.068526661857</v>
      </c>
      <c r="Y146" s="16">
        <f t="shared" si="67"/>
        <v>-31849.277538784838</v>
      </c>
      <c r="Z146" s="16">
        <f t="shared" si="68"/>
        <v>-21249.747195740187</v>
      </c>
      <c r="AA146" s="16">
        <f t="shared" si="69"/>
        <v>-64512.944003308359</v>
      </c>
      <c r="AB146" s="16">
        <f t="shared" si="70"/>
        <v>-29537.310952246353</v>
      </c>
      <c r="AC146" s="16">
        <f t="shared" si="71"/>
        <v>-29537.310952246342</v>
      </c>
      <c r="AD146" s="16">
        <f t="shared" si="72"/>
        <v>-30237.310952246346</v>
      </c>
      <c r="AE146" s="14">
        <f>IF([1]Sheet2!AJ145=999999,"NA",[1]Sheet2!AJ145)</f>
        <v>0</v>
      </c>
      <c r="AF146" s="14">
        <f>IF([1]Sheet2!AK145=999999,"NA",[1]Sheet2!AK145)</f>
        <v>0</v>
      </c>
      <c r="AG146" s="14" t="str">
        <f>IF([1]Sheet2!AL145=999999,"NA",[1]Sheet2!AL145)</f>
        <v>NA</v>
      </c>
      <c r="AH146" s="14">
        <f>IF([1]Sheet2!AM145=999999,"NA",[1]Sheet2!AM145)</f>
        <v>222</v>
      </c>
      <c r="AI146" s="14">
        <f>IF([1]Sheet2!AN145=999999,"NA",[1]Sheet2!AN145)</f>
        <v>222</v>
      </c>
      <c r="AJ146" s="14">
        <f>IF([1]Sheet2!AO145=999999,"NA",[1]Sheet2!AO145)</f>
        <v>222</v>
      </c>
      <c r="AK146" s="14">
        <f>IF([1]Sheet2!AP145=999999,"NA",[1]Sheet2!AP145)</f>
        <v>0</v>
      </c>
      <c r="AL146" s="14">
        <f>IF([1]Sheet2!AQ145=999999,"NA",[1]Sheet2!AQ145)</f>
        <v>98</v>
      </c>
      <c r="AM146" s="14">
        <f>IF([1]Sheet2!AR145=999999,"NA",[1]Sheet2!AR145)</f>
        <v>222</v>
      </c>
      <c r="AN146" s="14">
        <f>IF([1]Sheet2!AS145=999999,"NA",[1]Sheet2!AS145)</f>
        <v>154</v>
      </c>
      <c r="AO146" s="14">
        <f>[1]Sheet2!P145</f>
        <v>0</v>
      </c>
      <c r="AP146" s="14">
        <f>[1]Sheet2!Q145</f>
        <v>0</v>
      </c>
      <c r="AQ146" s="14">
        <f>[1]Sheet2!R145</f>
        <v>0</v>
      </c>
      <c r="AR146" s="14">
        <f>[1]Sheet2!S145</f>
        <v>0</v>
      </c>
      <c r="AS146" s="14">
        <f>[1]Sheet2!T145</f>
        <v>0</v>
      </c>
      <c r="AT146" s="14">
        <f>[1]Sheet2!U145</f>
        <v>0</v>
      </c>
      <c r="AU146" s="14">
        <f>[1]Sheet2!V145</f>
        <v>0</v>
      </c>
      <c r="AV146" s="14">
        <f>[1]Sheet2!W145</f>
        <v>0</v>
      </c>
      <c r="AW146" s="14">
        <f>[1]Sheet2!X145</f>
        <v>0</v>
      </c>
      <c r="AX146" s="14">
        <f>[1]Sheet2!Y145</f>
        <v>0</v>
      </c>
      <c r="AY146" s="16">
        <f>Demand_LP!B$7/31</f>
        <v>855.82964911600493</v>
      </c>
      <c r="AZ146" s="16">
        <f>Demand_LP!C$7/31</f>
        <v>478.74276261373035</v>
      </c>
      <c r="BA146" s="16">
        <f>Demand_LP!D$7/31</f>
        <v>366.03598014888337</v>
      </c>
      <c r="BB146" s="16">
        <f>Demand_LP!E$7/31</f>
        <v>837.96277915632766</v>
      </c>
      <c r="BC146" s="16">
        <f>Demand_LP!F$7/31</f>
        <v>447.19049589019846</v>
      </c>
      <c r="BD146" s="16">
        <f>Demand_LP!G$7/31</f>
        <v>855.82964911600493</v>
      </c>
      <c r="BE146" s="16">
        <f>Demand_LP!H$7/31</f>
        <v>478.74276261373035</v>
      </c>
      <c r="BF146" s="16">
        <f>Demand_LP!I$7/31</f>
        <v>447.19049589019846</v>
      </c>
      <c r="BG146" s="16">
        <f>Demand_LP!J$7/31</f>
        <v>447.19049589019846</v>
      </c>
      <c r="BH146" s="16">
        <f>Demand_LP!K$7/31</f>
        <v>447.19049589019846</v>
      </c>
      <c r="BI146" s="16" t="e">
        <f t="shared" si="73"/>
        <v>#VALUE!</v>
      </c>
      <c r="BJ146" s="16">
        <f t="shared" si="74"/>
        <v>-86121.537386269643</v>
      </c>
      <c r="BK146" s="16">
        <f t="shared" si="75"/>
        <v>-41591.831389578132</v>
      </c>
      <c r="BL146" s="16">
        <f t="shared" si="76"/>
        <v>-106944.11441718739</v>
      </c>
      <c r="BM146" s="16">
        <f t="shared" si="77"/>
        <v>-64903.3665375848</v>
      </c>
      <c r="BN146" s="16">
        <f t="shared" si="78"/>
        <v>-103800.78915860147</v>
      </c>
      <c r="BO146" s="16">
        <f t="shared" si="79"/>
        <v>-88479.116873449166</v>
      </c>
      <c r="BP146" s="16">
        <f t="shared" si="80"/>
        <v>-64361.050455955396</v>
      </c>
      <c r="BQ146" s="16">
        <f t="shared" si="81"/>
        <v>-60961.050455955417</v>
      </c>
      <c r="BR146" s="16">
        <f t="shared" si="82"/>
        <v>-62161.050455955403</v>
      </c>
      <c r="BS146" s="14">
        <f>IF([1]Sheet2!CA145=999999,"NA",[1]Sheet2!CA145)</f>
        <v>154317.94954404508</v>
      </c>
      <c r="BT146" s="14">
        <f>IF([1]Sheet2!CB145=999999,"NA",[1]Sheet2!CB145)</f>
        <v>144</v>
      </c>
      <c r="BU146" s="14">
        <f>IF([1]Sheet2!CC145=999999,"NA",[1]Sheet2!CC145)</f>
        <v>222</v>
      </c>
      <c r="BV146" s="14">
        <f>IF([1]Sheet2!CD145=999999,"NA",[1]Sheet2!CD145)</f>
        <v>222</v>
      </c>
      <c r="BW146" s="14">
        <f>IF([1]Sheet2!CE145=999999,"NA",[1]Sheet2!CE145)</f>
        <v>184</v>
      </c>
      <c r="BX146" s="14">
        <f>IF([1]Sheet2!CF145=999999,"NA",[1]Sheet2!CF145)</f>
        <v>222</v>
      </c>
      <c r="BY146" s="14">
        <f>IF([1]Sheet2!CG145=999999,"NA",[1]Sheet2!CG145)</f>
        <v>116</v>
      </c>
      <c r="BZ146" s="14">
        <f>IF([1]Sheet2!CH145=999999,"NA",[1]Sheet2!CH145)</f>
        <v>222</v>
      </c>
      <c r="CA146" s="14">
        <f>IF([1]Sheet2!CI145=999999,"NA",[1]Sheet2!CI145)</f>
        <v>222</v>
      </c>
      <c r="CB146" s="14">
        <f>IF([1]Sheet2!CJ145=999999,"NA",[1]Sheet2!CJ145)</f>
        <v>222</v>
      </c>
      <c r="CC146" s="14">
        <f>[1]Sheet2!BG145</f>
        <v>0</v>
      </c>
      <c r="CD146" s="14">
        <f>[1]Sheet2!BH145</f>
        <v>0</v>
      </c>
      <c r="CE146" s="14">
        <f>[1]Sheet2!BI145</f>
        <v>0</v>
      </c>
      <c r="CF146" s="14">
        <f>[1]Sheet2!BJ145</f>
        <v>0</v>
      </c>
      <c r="CG146" s="14">
        <f>[1]Sheet2!BK145</f>
        <v>0</v>
      </c>
      <c r="CH146" s="14">
        <f>[1]Sheet2!BL145</f>
        <v>0</v>
      </c>
      <c r="CI146" s="14">
        <f>[1]Sheet2!BM145</f>
        <v>0</v>
      </c>
      <c r="CJ146" s="14">
        <f>[1]Sheet2!BN145</f>
        <v>0</v>
      </c>
      <c r="CK146" s="14">
        <f>[1]Sheet2!BO145</f>
        <v>0</v>
      </c>
      <c r="CL146" s="14">
        <f>[1]Sheet2!BP145</f>
        <v>0</v>
      </c>
      <c r="CM146" s="16">
        <f>Demand_SW!B$7/31</f>
        <v>122.8287841191067</v>
      </c>
      <c r="CN146" s="16">
        <f>Demand_SW!C$7/31</f>
        <v>0</v>
      </c>
      <c r="CO146" s="16">
        <f>Demand_SW!D$7/31</f>
        <v>0</v>
      </c>
      <c r="CP146" s="16">
        <f>Demand_SW!E$7/31</f>
        <v>0</v>
      </c>
      <c r="CQ146" s="16">
        <f>Demand_SW!F$7/31</f>
        <v>0</v>
      </c>
      <c r="CR146" s="16">
        <f>Demand_SW!G$7/31</f>
        <v>122.8287841191067</v>
      </c>
      <c r="CS146" s="16">
        <f>Demand_SW!H$7/31</f>
        <v>0</v>
      </c>
      <c r="CT146" s="16">
        <f>Demand_SW!I$7/31</f>
        <v>0</v>
      </c>
      <c r="CU146" s="16">
        <f>Demand_SW!J$7/31</f>
        <v>0</v>
      </c>
      <c r="CV146" s="16">
        <f>Demand_SW!K$7/31</f>
        <v>0</v>
      </c>
      <c r="CW146" s="16">
        <f t="shared" si="83"/>
        <v>31711.861042183657</v>
      </c>
      <c r="CX146" s="16">
        <f t="shared" si="84"/>
        <v>-423.07692307692292</v>
      </c>
      <c r="CY146" s="16">
        <f t="shared" si="85"/>
        <v>0</v>
      </c>
      <c r="CZ146" s="16">
        <f t="shared" si="86"/>
        <v>0</v>
      </c>
      <c r="DA146" s="16">
        <f t="shared" si="87"/>
        <v>0</v>
      </c>
      <c r="DB146" s="16">
        <f t="shared" si="88"/>
        <v>-17817.369727047138</v>
      </c>
      <c r="DC146" s="16">
        <f t="shared" si="89"/>
        <v>-423.07692307692292</v>
      </c>
      <c r="DD146" s="16">
        <f t="shared" si="90"/>
        <v>0</v>
      </c>
      <c r="DE146" s="16">
        <f t="shared" si="91"/>
        <v>0</v>
      </c>
      <c r="DF146" s="16">
        <f t="shared" si="92"/>
        <v>0</v>
      </c>
      <c r="DG146" s="14">
        <f>IF([1]Sheet2!DR145=999999,"NA",[1]Sheet2!DR145)</f>
        <v>73103</v>
      </c>
      <c r="DH146" s="14">
        <f>IF([1]Sheet2!DS145=999999,"NA",[1]Sheet2!DS145)</f>
        <v>222</v>
      </c>
      <c r="DI146" s="14">
        <f>IF([1]Sheet2!DT145=999999,"NA",[1]Sheet2!DT145)</f>
        <v>222</v>
      </c>
      <c r="DJ146" s="14" t="str">
        <f>IF([1]Sheet2!DU145=999999,"NA",[1]Sheet2!DU145)</f>
        <v>NA</v>
      </c>
      <c r="DK146" s="14" t="str">
        <f>IF([1]Sheet2!DV145=999999,"NA",[1]Sheet2!DV145)</f>
        <v>NA</v>
      </c>
      <c r="DL146" s="14" t="str">
        <f>IF([1]Sheet2!DW145=999999,"NA",[1]Sheet2!DW145)</f>
        <v>NA</v>
      </c>
      <c r="DM146" s="14">
        <f>IF([1]Sheet2!DX145=999999,"NA",[1]Sheet2!DX145)</f>
        <v>222</v>
      </c>
      <c r="DN146" s="14">
        <f>IF([1]Sheet2!DY145=999999,"NA",[1]Sheet2!DY145)</f>
        <v>222</v>
      </c>
      <c r="DO146" s="14" t="str">
        <f>IF([1]Sheet2!DZ145=999999,"NA",[1]Sheet2!DZ145)</f>
        <v>NA</v>
      </c>
      <c r="DP146" s="14" t="str">
        <f>IF([1]Sheet2!EA145=999999,"NA",[1]Sheet2!EA145)</f>
        <v>NA</v>
      </c>
      <c r="DQ146" s="14">
        <f>[1]Sheet2!CX145</f>
        <v>0</v>
      </c>
      <c r="DR146" s="14">
        <f>[1]Sheet2!CY145</f>
        <v>0</v>
      </c>
      <c r="DS146" s="14">
        <f>[1]Sheet2!CZ145</f>
        <v>0</v>
      </c>
      <c r="DT146" s="14">
        <f>[1]Sheet2!DA145</f>
        <v>0</v>
      </c>
      <c r="DU146" s="14">
        <f>[1]Sheet2!DB145</f>
        <v>0</v>
      </c>
      <c r="DV146" s="14">
        <f>[1]Sheet2!DC145</f>
        <v>0</v>
      </c>
      <c r="DW146" s="14">
        <f>[1]Sheet2!DD145</f>
        <v>0</v>
      </c>
      <c r="DX146" s="14">
        <f>[1]Sheet2!DE145</f>
        <v>0</v>
      </c>
      <c r="DY146" s="14">
        <f>[1]Sheet2!DF145</f>
        <v>0</v>
      </c>
      <c r="DZ146" s="14">
        <f>[1]Sheet2!DG145</f>
        <v>0</v>
      </c>
    </row>
    <row r="147" spans="1:130" x14ac:dyDescent="0.25">
      <c r="A147" s="15">
        <v>43609</v>
      </c>
      <c r="B147" s="1"/>
      <c r="C147" s="1"/>
      <c r="D147" s="1"/>
      <c r="E147" s="14">
        <f>[1]Sheet2!N146</f>
        <v>0</v>
      </c>
      <c r="F147" s="14">
        <f>[1]Sheet2!BE146</f>
        <v>0</v>
      </c>
      <c r="G147" s="14">
        <f>[1]Sheet2!CV146</f>
        <v>245.6575682382134</v>
      </c>
      <c r="H147" s="1"/>
      <c r="I147" s="1"/>
      <c r="J147" s="1"/>
      <c r="K147" s="16">
        <f>Demand_CWRS!B$7/31</f>
        <v>129.8994219137717</v>
      </c>
      <c r="L147" s="16">
        <f>Demand_CWRS!C$7/31</f>
        <v>543.3829611248965</v>
      </c>
      <c r="M147" s="16">
        <f>Demand_CWRS!D$7/31</f>
        <v>0</v>
      </c>
      <c r="N147" s="16">
        <f>Demand_CWRS!E$7/31</f>
        <v>131.84491315136475</v>
      </c>
      <c r="O147" s="16">
        <f>Demand_CWRS!F$7/31</f>
        <v>232.12592522229113</v>
      </c>
      <c r="P147" s="16">
        <f>Demand_CWRS!G$7/31</f>
        <v>129.8994219137717</v>
      </c>
      <c r="Q147" s="16">
        <f>Demand_CWRS!H$7/31</f>
        <v>543.3829611248965</v>
      </c>
      <c r="R147" s="16">
        <f>Demand_CWRS!I$7/31</f>
        <v>232.12592522229113</v>
      </c>
      <c r="S147" s="16">
        <f>Demand_CWRS!J$7/31</f>
        <v>232.12592522229113</v>
      </c>
      <c r="T147" s="16">
        <f>Demand_CWRS!K$7/31</f>
        <v>232.12592522229113</v>
      </c>
      <c r="U147" s="16">
        <f t="shared" si="63"/>
        <v>-21705.419766692408</v>
      </c>
      <c r="V147" s="16">
        <f t="shared" si="64"/>
        <v>-65556.326964433261</v>
      </c>
      <c r="W147" s="16">
        <f t="shared" si="65"/>
        <v>0</v>
      </c>
      <c r="X147" s="16">
        <f t="shared" si="66"/>
        <v>-14912.913439813221</v>
      </c>
      <c r="Y147" s="16">
        <f t="shared" si="67"/>
        <v>-32081.40346400713</v>
      </c>
      <c r="Z147" s="16">
        <f t="shared" si="68"/>
        <v>-21379.646617653958</v>
      </c>
      <c r="AA147" s="16">
        <f t="shared" si="69"/>
        <v>-65056.326964433254</v>
      </c>
      <c r="AB147" s="16">
        <f t="shared" si="70"/>
        <v>-29769.436877468645</v>
      </c>
      <c r="AC147" s="16">
        <f t="shared" si="71"/>
        <v>-29769.436877468634</v>
      </c>
      <c r="AD147" s="16">
        <f t="shared" si="72"/>
        <v>-30469.436877468637</v>
      </c>
      <c r="AE147" s="14">
        <f>IF([1]Sheet2!AJ146=999999,"NA",[1]Sheet2!AJ146)</f>
        <v>0</v>
      </c>
      <c r="AF147" s="14">
        <f>IF([1]Sheet2!AK146=999999,"NA",[1]Sheet2!AK146)</f>
        <v>0</v>
      </c>
      <c r="AG147" s="14" t="str">
        <f>IF([1]Sheet2!AL146=999999,"NA",[1]Sheet2!AL146)</f>
        <v>NA</v>
      </c>
      <c r="AH147" s="14">
        <f>IF([1]Sheet2!AM146=999999,"NA",[1]Sheet2!AM146)</f>
        <v>221</v>
      </c>
      <c r="AI147" s="14">
        <f>IF([1]Sheet2!AN146=999999,"NA",[1]Sheet2!AN146)</f>
        <v>221</v>
      </c>
      <c r="AJ147" s="14">
        <f>IF([1]Sheet2!AO146=999999,"NA",[1]Sheet2!AO146)</f>
        <v>221</v>
      </c>
      <c r="AK147" s="14">
        <f>IF([1]Sheet2!AP146=999999,"NA",[1]Sheet2!AP146)</f>
        <v>0</v>
      </c>
      <c r="AL147" s="14">
        <f>IF([1]Sheet2!AQ146=999999,"NA",[1]Sheet2!AQ146)</f>
        <v>97</v>
      </c>
      <c r="AM147" s="14">
        <f>IF([1]Sheet2!AR146=999999,"NA",[1]Sheet2!AR146)</f>
        <v>221</v>
      </c>
      <c r="AN147" s="14">
        <f>IF([1]Sheet2!AS146=999999,"NA",[1]Sheet2!AS146)</f>
        <v>153</v>
      </c>
      <c r="AO147" s="14">
        <f>[1]Sheet2!P146</f>
        <v>0</v>
      </c>
      <c r="AP147" s="14">
        <f>[1]Sheet2!Q146</f>
        <v>0</v>
      </c>
      <c r="AQ147" s="14">
        <f>[1]Sheet2!R146</f>
        <v>0</v>
      </c>
      <c r="AR147" s="14">
        <f>[1]Sheet2!S146</f>
        <v>0</v>
      </c>
      <c r="AS147" s="14">
        <f>[1]Sheet2!T146</f>
        <v>0</v>
      </c>
      <c r="AT147" s="14">
        <f>[1]Sheet2!U146</f>
        <v>0</v>
      </c>
      <c r="AU147" s="14">
        <f>[1]Sheet2!V146</f>
        <v>0</v>
      </c>
      <c r="AV147" s="14">
        <f>[1]Sheet2!W146</f>
        <v>0</v>
      </c>
      <c r="AW147" s="14">
        <f>[1]Sheet2!X146</f>
        <v>0</v>
      </c>
      <c r="AX147" s="14">
        <f>[1]Sheet2!Y146</f>
        <v>0</v>
      </c>
      <c r="AY147" s="16">
        <f>Demand_LP!B$7/31</f>
        <v>855.82964911600493</v>
      </c>
      <c r="AZ147" s="16">
        <f>Demand_LP!C$7/31</f>
        <v>478.74276261373035</v>
      </c>
      <c r="BA147" s="16">
        <f>Demand_LP!D$7/31</f>
        <v>366.03598014888337</v>
      </c>
      <c r="BB147" s="16">
        <f>Demand_LP!E$7/31</f>
        <v>837.96277915632766</v>
      </c>
      <c r="BC147" s="16">
        <f>Demand_LP!F$7/31</f>
        <v>447.19049589019846</v>
      </c>
      <c r="BD147" s="16">
        <f>Demand_LP!G$7/31</f>
        <v>855.82964911600493</v>
      </c>
      <c r="BE147" s="16">
        <f>Demand_LP!H$7/31</f>
        <v>478.74276261373035</v>
      </c>
      <c r="BF147" s="16">
        <f>Demand_LP!I$7/31</f>
        <v>447.19049589019846</v>
      </c>
      <c r="BG147" s="16">
        <f>Demand_LP!J$7/31</f>
        <v>447.19049589019846</v>
      </c>
      <c r="BH147" s="16">
        <f>Demand_LP!K$7/31</f>
        <v>447.19049589019846</v>
      </c>
      <c r="BI147" s="16" t="e">
        <f t="shared" si="73"/>
        <v>#VALUE!</v>
      </c>
      <c r="BJ147" s="16">
        <f t="shared" si="74"/>
        <v>-86600.280148883379</v>
      </c>
      <c r="BK147" s="16">
        <f t="shared" si="75"/>
        <v>-41957.867369727013</v>
      </c>
      <c r="BL147" s="16">
        <f t="shared" si="76"/>
        <v>-107782.07719634371</v>
      </c>
      <c r="BM147" s="16">
        <f t="shared" si="77"/>
        <v>-65350.557033475001</v>
      </c>
      <c r="BN147" s="16">
        <f t="shared" si="78"/>
        <v>-104656.61880771747</v>
      </c>
      <c r="BO147" s="16">
        <f t="shared" si="79"/>
        <v>-88957.859636062902</v>
      </c>
      <c r="BP147" s="16">
        <f t="shared" si="80"/>
        <v>-64808.240951845597</v>
      </c>
      <c r="BQ147" s="16">
        <f t="shared" si="81"/>
        <v>-61408.240951845619</v>
      </c>
      <c r="BR147" s="16">
        <f t="shared" si="82"/>
        <v>-62608.240951845604</v>
      </c>
      <c r="BS147" s="14">
        <f>IF([1]Sheet2!CA146=999999,"NA",[1]Sheet2!CA146)</f>
        <v>153870.7590481549</v>
      </c>
      <c r="BT147" s="14">
        <f>IF([1]Sheet2!CB146=999999,"NA",[1]Sheet2!CB146)</f>
        <v>143</v>
      </c>
      <c r="BU147" s="14">
        <f>IF([1]Sheet2!CC146=999999,"NA",[1]Sheet2!CC146)</f>
        <v>221</v>
      </c>
      <c r="BV147" s="14">
        <f>IF([1]Sheet2!CD146=999999,"NA",[1]Sheet2!CD146)</f>
        <v>221</v>
      </c>
      <c r="BW147" s="14">
        <f>IF([1]Sheet2!CE146=999999,"NA",[1]Sheet2!CE146)</f>
        <v>183</v>
      </c>
      <c r="BX147" s="14">
        <f>IF([1]Sheet2!CF146=999999,"NA",[1]Sheet2!CF146)</f>
        <v>221</v>
      </c>
      <c r="BY147" s="14">
        <f>IF([1]Sheet2!CG146=999999,"NA",[1]Sheet2!CG146)</f>
        <v>115</v>
      </c>
      <c r="BZ147" s="14">
        <f>IF([1]Sheet2!CH146=999999,"NA",[1]Sheet2!CH146)</f>
        <v>221</v>
      </c>
      <c r="CA147" s="14">
        <f>IF([1]Sheet2!CI146=999999,"NA",[1]Sheet2!CI146)</f>
        <v>221</v>
      </c>
      <c r="CB147" s="14">
        <f>IF([1]Sheet2!CJ146=999999,"NA",[1]Sheet2!CJ146)</f>
        <v>221</v>
      </c>
      <c r="CC147" s="14">
        <f>[1]Sheet2!BG146</f>
        <v>0</v>
      </c>
      <c r="CD147" s="14">
        <f>[1]Sheet2!BH146</f>
        <v>0</v>
      </c>
      <c r="CE147" s="14">
        <f>[1]Sheet2!BI146</f>
        <v>0</v>
      </c>
      <c r="CF147" s="14">
        <f>[1]Sheet2!BJ146</f>
        <v>0</v>
      </c>
      <c r="CG147" s="14">
        <f>[1]Sheet2!BK146</f>
        <v>0</v>
      </c>
      <c r="CH147" s="14">
        <f>[1]Sheet2!BL146</f>
        <v>0</v>
      </c>
      <c r="CI147" s="14">
        <f>[1]Sheet2!BM146</f>
        <v>0</v>
      </c>
      <c r="CJ147" s="14">
        <f>[1]Sheet2!BN146</f>
        <v>0</v>
      </c>
      <c r="CK147" s="14">
        <f>[1]Sheet2!BO146</f>
        <v>0</v>
      </c>
      <c r="CL147" s="14">
        <f>[1]Sheet2!BP146</f>
        <v>0</v>
      </c>
      <c r="CM147" s="16">
        <f>Demand_SW!B$7/31</f>
        <v>122.8287841191067</v>
      </c>
      <c r="CN147" s="16">
        <f>Demand_SW!C$7/31</f>
        <v>0</v>
      </c>
      <c r="CO147" s="16">
        <f>Demand_SW!D$7/31</f>
        <v>0</v>
      </c>
      <c r="CP147" s="16">
        <f>Demand_SW!E$7/31</f>
        <v>0</v>
      </c>
      <c r="CQ147" s="16">
        <f>Demand_SW!F$7/31</f>
        <v>0</v>
      </c>
      <c r="CR147" s="16">
        <f>Demand_SW!G$7/31</f>
        <v>122.8287841191067</v>
      </c>
      <c r="CS147" s="16">
        <f>Demand_SW!H$7/31</f>
        <v>0</v>
      </c>
      <c r="CT147" s="16">
        <f>Demand_SW!I$7/31</f>
        <v>0</v>
      </c>
      <c r="CU147" s="16">
        <f>Demand_SW!J$7/31</f>
        <v>0</v>
      </c>
      <c r="CV147" s="16">
        <f>Demand_SW!K$7/31</f>
        <v>0</v>
      </c>
      <c r="CW147" s="16">
        <f t="shared" si="83"/>
        <v>31589.032258064552</v>
      </c>
      <c r="CX147" s="16">
        <f t="shared" si="84"/>
        <v>-423.07692307692292</v>
      </c>
      <c r="CY147" s="16">
        <f t="shared" si="85"/>
        <v>0</v>
      </c>
      <c r="CZ147" s="16">
        <f t="shared" si="86"/>
        <v>0</v>
      </c>
      <c r="DA147" s="16">
        <f t="shared" si="87"/>
        <v>0</v>
      </c>
      <c r="DB147" s="16">
        <f t="shared" si="88"/>
        <v>-17940.198511166243</v>
      </c>
      <c r="DC147" s="16">
        <f t="shared" si="89"/>
        <v>-423.07692307692292</v>
      </c>
      <c r="DD147" s="16">
        <f t="shared" si="90"/>
        <v>0</v>
      </c>
      <c r="DE147" s="16">
        <f t="shared" si="91"/>
        <v>0</v>
      </c>
      <c r="DF147" s="16">
        <f t="shared" si="92"/>
        <v>0</v>
      </c>
      <c r="DG147" s="14">
        <f>IF([1]Sheet2!DR146=999999,"NA",[1]Sheet2!DR146)</f>
        <v>73103</v>
      </c>
      <c r="DH147" s="14">
        <f>IF([1]Sheet2!DS146=999999,"NA",[1]Sheet2!DS146)</f>
        <v>221</v>
      </c>
      <c r="DI147" s="14">
        <f>IF([1]Sheet2!DT146=999999,"NA",[1]Sheet2!DT146)</f>
        <v>221</v>
      </c>
      <c r="DJ147" s="14" t="str">
        <f>IF([1]Sheet2!DU146=999999,"NA",[1]Sheet2!DU146)</f>
        <v>NA</v>
      </c>
      <c r="DK147" s="14" t="str">
        <f>IF([1]Sheet2!DV146=999999,"NA",[1]Sheet2!DV146)</f>
        <v>NA</v>
      </c>
      <c r="DL147" s="14" t="str">
        <f>IF([1]Sheet2!DW146=999999,"NA",[1]Sheet2!DW146)</f>
        <v>NA</v>
      </c>
      <c r="DM147" s="14">
        <f>IF([1]Sheet2!DX146=999999,"NA",[1]Sheet2!DX146)</f>
        <v>221</v>
      </c>
      <c r="DN147" s="14">
        <f>IF([1]Sheet2!DY146=999999,"NA",[1]Sheet2!DY146)</f>
        <v>221</v>
      </c>
      <c r="DO147" s="14" t="str">
        <f>IF([1]Sheet2!DZ146=999999,"NA",[1]Sheet2!DZ146)</f>
        <v>NA</v>
      </c>
      <c r="DP147" s="14" t="str">
        <f>IF([1]Sheet2!EA146=999999,"NA",[1]Sheet2!EA146)</f>
        <v>NA</v>
      </c>
      <c r="DQ147" s="14">
        <f>[1]Sheet2!CX146</f>
        <v>0</v>
      </c>
      <c r="DR147" s="14">
        <f>[1]Sheet2!CY146</f>
        <v>0</v>
      </c>
      <c r="DS147" s="14">
        <f>[1]Sheet2!CZ146</f>
        <v>0</v>
      </c>
      <c r="DT147" s="14">
        <f>[1]Sheet2!DA146</f>
        <v>0</v>
      </c>
      <c r="DU147" s="14">
        <f>[1]Sheet2!DB146</f>
        <v>0</v>
      </c>
      <c r="DV147" s="14">
        <f>[1]Sheet2!DC146</f>
        <v>0</v>
      </c>
      <c r="DW147" s="14">
        <f>[1]Sheet2!DD146</f>
        <v>0</v>
      </c>
      <c r="DX147" s="14">
        <f>[1]Sheet2!DE146</f>
        <v>0</v>
      </c>
      <c r="DY147" s="14">
        <f>[1]Sheet2!DF146</f>
        <v>0</v>
      </c>
      <c r="DZ147" s="14">
        <f>[1]Sheet2!DG146</f>
        <v>0</v>
      </c>
    </row>
    <row r="148" spans="1:130" x14ac:dyDescent="0.25">
      <c r="A148" s="15">
        <v>43610</v>
      </c>
      <c r="B148" s="1"/>
      <c r="C148" s="1"/>
      <c r="D148" s="1"/>
      <c r="E148" s="14">
        <f>[1]Sheet2!N147</f>
        <v>0</v>
      </c>
      <c r="F148" s="14">
        <f>[1]Sheet2!BE147</f>
        <v>0</v>
      </c>
      <c r="G148" s="14">
        <f>[1]Sheet2!CV147</f>
        <v>245.6575682382134</v>
      </c>
      <c r="H148" s="1"/>
      <c r="I148" s="1"/>
      <c r="J148" s="1"/>
      <c r="K148" s="16">
        <f>Demand_CWRS!B$7/31</f>
        <v>129.8994219137717</v>
      </c>
      <c r="L148" s="16">
        <f>Demand_CWRS!C$7/31</f>
        <v>543.3829611248965</v>
      </c>
      <c r="M148" s="16">
        <f>Demand_CWRS!D$7/31</f>
        <v>0</v>
      </c>
      <c r="N148" s="16">
        <f>Demand_CWRS!E$7/31</f>
        <v>131.84491315136475</v>
      </c>
      <c r="O148" s="16">
        <f>Demand_CWRS!F$7/31</f>
        <v>232.12592522229113</v>
      </c>
      <c r="P148" s="16">
        <f>Demand_CWRS!G$7/31</f>
        <v>129.8994219137717</v>
      </c>
      <c r="Q148" s="16">
        <f>Demand_CWRS!H$7/31</f>
        <v>543.3829611248965</v>
      </c>
      <c r="R148" s="16">
        <f>Demand_CWRS!I$7/31</f>
        <v>232.12592522229113</v>
      </c>
      <c r="S148" s="16">
        <f>Demand_CWRS!J$7/31</f>
        <v>232.12592522229113</v>
      </c>
      <c r="T148" s="16">
        <f>Demand_CWRS!K$7/31</f>
        <v>232.12592522229113</v>
      </c>
      <c r="U148" s="16">
        <f t="shared" si="63"/>
        <v>-21835.31918860618</v>
      </c>
      <c r="V148" s="16">
        <f t="shared" si="64"/>
        <v>-66099.709925558156</v>
      </c>
      <c r="W148" s="16">
        <f t="shared" si="65"/>
        <v>0</v>
      </c>
      <c r="X148" s="16">
        <f t="shared" si="66"/>
        <v>-15044.758352964585</v>
      </c>
      <c r="Y148" s="16">
        <f t="shared" si="67"/>
        <v>-32313.529389229421</v>
      </c>
      <c r="Z148" s="16">
        <f t="shared" si="68"/>
        <v>-21509.546039567729</v>
      </c>
      <c r="AA148" s="16">
        <f t="shared" si="69"/>
        <v>-65599.709925558156</v>
      </c>
      <c r="AB148" s="16">
        <f t="shared" si="70"/>
        <v>-30001.562802690936</v>
      </c>
      <c r="AC148" s="16">
        <f t="shared" si="71"/>
        <v>-30001.562802690925</v>
      </c>
      <c r="AD148" s="16">
        <f t="shared" si="72"/>
        <v>-30701.562802690929</v>
      </c>
      <c r="AE148" s="14">
        <f>IF([1]Sheet2!AJ147=999999,"NA",[1]Sheet2!AJ147)</f>
        <v>0</v>
      </c>
      <c r="AF148" s="14">
        <f>IF([1]Sheet2!AK147=999999,"NA",[1]Sheet2!AK147)</f>
        <v>0</v>
      </c>
      <c r="AG148" s="14" t="str">
        <f>IF([1]Sheet2!AL147=999999,"NA",[1]Sheet2!AL147)</f>
        <v>NA</v>
      </c>
      <c r="AH148" s="14">
        <f>IF([1]Sheet2!AM147=999999,"NA",[1]Sheet2!AM147)</f>
        <v>220</v>
      </c>
      <c r="AI148" s="14">
        <f>IF([1]Sheet2!AN147=999999,"NA",[1]Sheet2!AN147)</f>
        <v>220</v>
      </c>
      <c r="AJ148" s="14">
        <f>IF([1]Sheet2!AO147=999999,"NA",[1]Sheet2!AO147)</f>
        <v>220</v>
      </c>
      <c r="AK148" s="14">
        <f>IF([1]Sheet2!AP147=999999,"NA",[1]Sheet2!AP147)</f>
        <v>0</v>
      </c>
      <c r="AL148" s="14">
        <f>IF([1]Sheet2!AQ147=999999,"NA",[1]Sheet2!AQ147)</f>
        <v>96</v>
      </c>
      <c r="AM148" s="14">
        <f>IF([1]Sheet2!AR147=999999,"NA",[1]Sheet2!AR147)</f>
        <v>220</v>
      </c>
      <c r="AN148" s="14">
        <f>IF([1]Sheet2!AS147=999999,"NA",[1]Sheet2!AS147)</f>
        <v>152</v>
      </c>
      <c r="AO148" s="14">
        <f>[1]Sheet2!P147</f>
        <v>0</v>
      </c>
      <c r="AP148" s="14">
        <f>[1]Sheet2!Q147</f>
        <v>0</v>
      </c>
      <c r="AQ148" s="14">
        <f>[1]Sheet2!R147</f>
        <v>0</v>
      </c>
      <c r="AR148" s="14">
        <f>[1]Sheet2!S147</f>
        <v>0</v>
      </c>
      <c r="AS148" s="14">
        <f>[1]Sheet2!T147</f>
        <v>0</v>
      </c>
      <c r="AT148" s="14">
        <f>[1]Sheet2!U147</f>
        <v>0</v>
      </c>
      <c r="AU148" s="14">
        <f>[1]Sheet2!V147</f>
        <v>0</v>
      </c>
      <c r="AV148" s="14">
        <f>[1]Sheet2!W147</f>
        <v>0</v>
      </c>
      <c r="AW148" s="14">
        <f>[1]Sheet2!X147</f>
        <v>0</v>
      </c>
      <c r="AX148" s="14">
        <f>[1]Sheet2!Y147</f>
        <v>0</v>
      </c>
      <c r="AY148" s="16">
        <f>Demand_LP!B$7/31</f>
        <v>855.82964911600493</v>
      </c>
      <c r="AZ148" s="16">
        <f>Demand_LP!C$7/31</f>
        <v>478.74276261373035</v>
      </c>
      <c r="BA148" s="16">
        <f>Demand_LP!D$7/31</f>
        <v>366.03598014888337</v>
      </c>
      <c r="BB148" s="16">
        <f>Demand_LP!E$7/31</f>
        <v>837.96277915632766</v>
      </c>
      <c r="BC148" s="16">
        <f>Demand_LP!F$7/31</f>
        <v>447.19049589019846</v>
      </c>
      <c r="BD148" s="16">
        <f>Demand_LP!G$7/31</f>
        <v>855.82964911600493</v>
      </c>
      <c r="BE148" s="16">
        <f>Demand_LP!H$7/31</f>
        <v>478.74276261373035</v>
      </c>
      <c r="BF148" s="16">
        <f>Demand_LP!I$7/31</f>
        <v>447.19049589019846</v>
      </c>
      <c r="BG148" s="16">
        <f>Demand_LP!J$7/31</f>
        <v>447.19049589019846</v>
      </c>
      <c r="BH148" s="16">
        <f>Demand_LP!K$7/31</f>
        <v>447.19049589019846</v>
      </c>
      <c r="BI148" s="16" t="e">
        <f t="shared" si="73"/>
        <v>#VALUE!</v>
      </c>
      <c r="BJ148" s="16">
        <f t="shared" si="74"/>
        <v>-87079.022911497115</v>
      </c>
      <c r="BK148" s="16">
        <f t="shared" si="75"/>
        <v>-42323.903349875894</v>
      </c>
      <c r="BL148" s="16">
        <f t="shared" si="76"/>
        <v>-108620.03997550004</v>
      </c>
      <c r="BM148" s="16">
        <f t="shared" si="77"/>
        <v>-65797.747529365195</v>
      </c>
      <c r="BN148" s="16">
        <f t="shared" si="78"/>
        <v>-105512.44845683347</v>
      </c>
      <c r="BO148" s="16">
        <f t="shared" si="79"/>
        <v>-89436.602398676638</v>
      </c>
      <c r="BP148" s="16">
        <f t="shared" si="80"/>
        <v>-65255.431447735798</v>
      </c>
      <c r="BQ148" s="16">
        <f t="shared" si="81"/>
        <v>-61855.43144773582</v>
      </c>
      <c r="BR148" s="16">
        <f t="shared" si="82"/>
        <v>-63055.431447735806</v>
      </c>
      <c r="BS148" s="14">
        <f>IF([1]Sheet2!CA147=999999,"NA",[1]Sheet2!CA147)</f>
        <v>153423.56855226471</v>
      </c>
      <c r="BT148" s="14">
        <f>IF([1]Sheet2!CB147=999999,"NA",[1]Sheet2!CB147)</f>
        <v>142</v>
      </c>
      <c r="BU148" s="14">
        <f>IF([1]Sheet2!CC147=999999,"NA",[1]Sheet2!CC147)</f>
        <v>220</v>
      </c>
      <c r="BV148" s="14">
        <f>IF([1]Sheet2!CD147=999999,"NA",[1]Sheet2!CD147)</f>
        <v>220</v>
      </c>
      <c r="BW148" s="14">
        <f>IF([1]Sheet2!CE147=999999,"NA",[1]Sheet2!CE147)</f>
        <v>182</v>
      </c>
      <c r="BX148" s="14">
        <f>IF([1]Sheet2!CF147=999999,"NA",[1]Sheet2!CF147)</f>
        <v>220</v>
      </c>
      <c r="BY148" s="14">
        <f>IF([1]Sheet2!CG147=999999,"NA",[1]Sheet2!CG147)</f>
        <v>114</v>
      </c>
      <c r="BZ148" s="14">
        <f>IF([1]Sheet2!CH147=999999,"NA",[1]Sheet2!CH147)</f>
        <v>220</v>
      </c>
      <c r="CA148" s="14">
        <f>IF([1]Sheet2!CI147=999999,"NA",[1]Sheet2!CI147)</f>
        <v>220</v>
      </c>
      <c r="CB148" s="14">
        <f>IF([1]Sheet2!CJ147=999999,"NA",[1]Sheet2!CJ147)</f>
        <v>220</v>
      </c>
      <c r="CC148" s="14">
        <f>[1]Sheet2!BG147</f>
        <v>0</v>
      </c>
      <c r="CD148" s="14">
        <f>[1]Sheet2!BH147</f>
        <v>0</v>
      </c>
      <c r="CE148" s="14">
        <f>[1]Sheet2!BI147</f>
        <v>0</v>
      </c>
      <c r="CF148" s="14">
        <f>[1]Sheet2!BJ147</f>
        <v>0</v>
      </c>
      <c r="CG148" s="14">
        <f>[1]Sheet2!BK147</f>
        <v>0</v>
      </c>
      <c r="CH148" s="14">
        <f>[1]Sheet2!BL147</f>
        <v>0</v>
      </c>
      <c r="CI148" s="14">
        <f>[1]Sheet2!BM147</f>
        <v>0</v>
      </c>
      <c r="CJ148" s="14">
        <f>[1]Sheet2!BN147</f>
        <v>0</v>
      </c>
      <c r="CK148" s="14">
        <f>[1]Sheet2!BO147</f>
        <v>0</v>
      </c>
      <c r="CL148" s="14">
        <f>[1]Sheet2!BP147</f>
        <v>0</v>
      </c>
      <c r="CM148" s="16">
        <f>Demand_SW!B$7/31</f>
        <v>122.8287841191067</v>
      </c>
      <c r="CN148" s="16">
        <f>Demand_SW!C$7/31</f>
        <v>0</v>
      </c>
      <c r="CO148" s="16">
        <f>Demand_SW!D$7/31</f>
        <v>0</v>
      </c>
      <c r="CP148" s="16">
        <f>Demand_SW!E$7/31</f>
        <v>0</v>
      </c>
      <c r="CQ148" s="16">
        <f>Demand_SW!F$7/31</f>
        <v>0</v>
      </c>
      <c r="CR148" s="16">
        <f>Demand_SW!G$7/31</f>
        <v>122.8287841191067</v>
      </c>
      <c r="CS148" s="16">
        <f>Demand_SW!H$7/31</f>
        <v>0</v>
      </c>
      <c r="CT148" s="16">
        <f>Demand_SW!I$7/31</f>
        <v>0</v>
      </c>
      <c r="CU148" s="16">
        <f>Demand_SW!J$7/31</f>
        <v>0</v>
      </c>
      <c r="CV148" s="16">
        <f>Demand_SW!K$7/31</f>
        <v>0</v>
      </c>
      <c r="CW148" s="16">
        <f t="shared" si="83"/>
        <v>31466.203473945447</v>
      </c>
      <c r="CX148" s="16">
        <f t="shared" si="84"/>
        <v>-423.07692307692292</v>
      </c>
      <c r="CY148" s="16">
        <f t="shared" si="85"/>
        <v>0</v>
      </c>
      <c r="CZ148" s="16">
        <f t="shared" si="86"/>
        <v>0</v>
      </c>
      <c r="DA148" s="16">
        <f t="shared" si="87"/>
        <v>0</v>
      </c>
      <c r="DB148" s="16">
        <f t="shared" si="88"/>
        <v>-18063.027295285348</v>
      </c>
      <c r="DC148" s="16">
        <f t="shared" si="89"/>
        <v>-423.07692307692292</v>
      </c>
      <c r="DD148" s="16">
        <f t="shared" si="90"/>
        <v>0</v>
      </c>
      <c r="DE148" s="16">
        <f t="shared" si="91"/>
        <v>0</v>
      </c>
      <c r="DF148" s="16">
        <f t="shared" si="92"/>
        <v>0</v>
      </c>
      <c r="DG148" s="14">
        <f>IF([1]Sheet2!DR147=999999,"NA",[1]Sheet2!DR147)</f>
        <v>73103</v>
      </c>
      <c r="DH148" s="14">
        <f>IF([1]Sheet2!DS147=999999,"NA",[1]Sheet2!DS147)</f>
        <v>220</v>
      </c>
      <c r="DI148" s="14">
        <f>IF([1]Sheet2!DT147=999999,"NA",[1]Sheet2!DT147)</f>
        <v>220</v>
      </c>
      <c r="DJ148" s="14" t="str">
        <f>IF([1]Sheet2!DU147=999999,"NA",[1]Sheet2!DU147)</f>
        <v>NA</v>
      </c>
      <c r="DK148" s="14" t="str">
        <f>IF([1]Sheet2!DV147=999999,"NA",[1]Sheet2!DV147)</f>
        <v>NA</v>
      </c>
      <c r="DL148" s="14" t="str">
        <f>IF([1]Sheet2!DW147=999999,"NA",[1]Sheet2!DW147)</f>
        <v>NA</v>
      </c>
      <c r="DM148" s="14">
        <f>IF([1]Sheet2!DX147=999999,"NA",[1]Sheet2!DX147)</f>
        <v>220</v>
      </c>
      <c r="DN148" s="14">
        <f>IF([1]Sheet2!DY147=999999,"NA",[1]Sheet2!DY147)</f>
        <v>220</v>
      </c>
      <c r="DO148" s="14" t="str">
        <f>IF([1]Sheet2!DZ147=999999,"NA",[1]Sheet2!DZ147)</f>
        <v>NA</v>
      </c>
      <c r="DP148" s="14" t="str">
        <f>IF([1]Sheet2!EA147=999999,"NA",[1]Sheet2!EA147)</f>
        <v>NA</v>
      </c>
      <c r="DQ148" s="14">
        <f>[1]Sheet2!CX147</f>
        <v>0</v>
      </c>
      <c r="DR148" s="14">
        <f>[1]Sheet2!CY147</f>
        <v>0</v>
      </c>
      <c r="DS148" s="14">
        <f>[1]Sheet2!CZ147</f>
        <v>0</v>
      </c>
      <c r="DT148" s="14">
        <f>[1]Sheet2!DA147</f>
        <v>0</v>
      </c>
      <c r="DU148" s="14">
        <f>[1]Sheet2!DB147</f>
        <v>0</v>
      </c>
      <c r="DV148" s="14">
        <f>[1]Sheet2!DC147</f>
        <v>0</v>
      </c>
      <c r="DW148" s="14">
        <f>[1]Sheet2!DD147</f>
        <v>0</v>
      </c>
      <c r="DX148" s="14">
        <f>[1]Sheet2!DE147</f>
        <v>0</v>
      </c>
      <c r="DY148" s="14">
        <f>[1]Sheet2!DF147</f>
        <v>0</v>
      </c>
      <c r="DZ148" s="14">
        <f>[1]Sheet2!DG147</f>
        <v>0</v>
      </c>
    </row>
    <row r="149" spans="1:130" x14ac:dyDescent="0.25">
      <c r="A149" s="15">
        <v>43611</v>
      </c>
      <c r="B149" s="1"/>
      <c r="C149" s="1"/>
      <c r="D149" s="1"/>
      <c r="E149" s="14">
        <f>[1]Sheet2!N148</f>
        <v>0</v>
      </c>
      <c r="F149" s="14">
        <f>[1]Sheet2!BE148</f>
        <v>0</v>
      </c>
      <c r="G149" s="14">
        <f>[1]Sheet2!CV148</f>
        <v>245.6575682382134</v>
      </c>
      <c r="H149" s="1"/>
      <c r="I149" s="1"/>
      <c r="J149" s="1"/>
      <c r="K149" s="16">
        <f>Demand_CWRS!B$7/31</f>
        <v>129.8994219137717</v>
      </c>
      <c r="L149" s="16">
        <f>Demand_CWRS!C$7/31</f>
        <v>543.3829611248965</v>
      </c>
      <c r="M149" s="16">
        <f>Demand_CWRS!D$7/31</f>
        <v>0</v>
      </c>
      <c r="N149" s="16">
        <f>Demand_CWRS!E$7/31</f>
        <v>131.84491315136475</v>
      </c>
      <c r="O149" s="16">
        <f>Demand_CWRS!F$7/31</f>
        <v>232.12592522229113</v>
      </c>
      <c r="P149" s="16">
        <f>Demand_CWRS!G$7/31</f>
        <v>129.8994219137717</v>
      </c>
      <c r="Q149" s="16">
        <f>Demand_CWRS!H$7/31</f>
        <v>543.3829611248965</v>
      </c>
      <c r="R149" s="16">
        <f>Demand_CWRS!I$7/31</f>
        <v>232.12592522229113</v>
      </c>
      <c r="S149" s="16">
        <f>Demand_CWRS!J$7/31</f>
        <v>232.12592522229113</v>
      </c>
      <c r="T149" s="16">
        <f>Demand_CWRS!K$7/31</f>
        <v>232.12592522229113</v>
      </c>
      <c r="U149" s="16">
        <f t="shared" si="63"/>
        <v>-21965.218610519951</v>
      </c>
      <c r="V149" s="16">
        <f t="shared" si="64"/>
        <v>-66643.092886683051</v>
      </c>
      <c r="W149" s="16">
        <f t="shared" si="65"/>
        <v>0</v>
      </c>
      <c r="X149" s="16">
        <f t="shared" si="66"/>
        <v>-15176.60326611595</v>
      </c>
      <c r="Y149" s="16">
        <f t="shared" si="67"/>
        <v>-32545.655314451713</v>
      </c>
      <c r="Z149" s="16">
        <f t="shared" si="68"/>
        <v>-21639.4454614815</v>
      </c>
      <c r="AA149" s="16">
        <f t="shared" si="69"/>
        <v>-66143.092886683051</v>
      </c>
      <c r="AB149" s="16">
        <f t="shared" si="70"/>
        <v>-30233.688727913228</v>
      </c>
      <c r="AC149" s="16">
        <f t="shared" si="71"/>
        <v>-30233.688727913217</v>
      </c>
      <c r="AD149" s="16">
        <f t="shared" si="72"/>
        <v>-30933.688727913221</v>
      </c>
      <c r="AE149" s="14">
        <f>IF([1]Sheet2!AJ148=999999,"NA",[1]Sheet2!AJ148)</f>
        <v>0</v>
      </c>
      <c r="AF149" s="14">
        <f>IF([1]Sheet2!AK148=999999,"NA",[1]Sheet2!AK148)</f>
        <v>0</v>
      </c>
      <c r="AG149" s="14" t="str">
        <f>IF([1]Sheet2!AL148=999999,"NA",[1]Sheet2!AL148)</f>
        <v>NA</v>
      </c>
      <c r="AH149" s="14">
        <f>IF([1]Sheet2!AM148=999999,"NA",[1]Sheet2!AM148)</f>
        <v>219</v>
      </c>
      <c r="AI149" s="14">
        <f>IF([1]Sheet2!AN148=999999,"NA",[1]Sheet2!AN148)</f>
        <v>219</v>
      </c>
      <c r="AJ149" s="14">
        <f>IF([1]Sheet2!AO148=999999,"NA",[1]Sheet2!AO148)</f>
        <v>219</v>
      </c>
      <c r="AK149" s="14">
        <f>IF([1]Sheet2!AP148=999999,"NA",[1]Sheet2!AP148)</f>
        <v>0</v>
      </c>
      <c r="AL149" s="14">
        <f>IF([1]Sheet2!AQ148=999999,"NA",[1]Sheet2!AQ148)</f>
        <v>95</v>
      </c>
      <c r="AM149" s="14">
        <f>IF([1]Sheet2!AR148=999999,"NA",[1]Sheet2!AR148)</f>
        <v>219</v>
      </c>
      <c r="AN149" s="14">
        <f>IF([1]Sheet2!AS148=999999,"NA",[1]Sheet2!AS148)</f>
        <v>151</v>
      </c>
      <c r="AO149" s="14">
        <f>[1]Sheet2!P148</f>
        <v>0</v>
      </c>
      <c r="AP149" s="14">
        <f>[1]Sheet2!Q148</f>
        <v>0</v>
      </c>
      <c r="AQ149" s="14">
        <f>[1]Sheet2!R148</f>
        <v>0</v>
      </c>
      <c r="AR149" s="14">
        <f>[1]Sheet2!S148</f>
        <v>0</v>
      </c>
      <c r="AS149" s="14">
        <f>[1]Sheet2!T148</f>
        <v>0</v>
      </c>
      <c r="AT149" s="14">
        <f>[1]Sheet2!U148</f>
        <v>0</v>
      </c>
      <c r="AU149" s="14">
        <f>[1]Sheet2!V148</f>
        <v>0</v>
      </c>
      <c r="AV149" s="14">
        <f>[1]Sheet2!W148</f>
        <v>0</v>
      </c>
      <c r="AW149" s="14">
        <f>[1]Sheet2!X148</f>
        <v>0</v>
      </c>
      <c r="AX149" s="14">
        <f>[1]Sheet2!Y148</f>
        <v>0</v>
      </c>
      <c r="AY149" s="16">
        <f>Demand_LP!B$7/31</f>
        <v>855.82964911600493</v>
      </c>
      <c r="AZ149" s="16">
        <f>Demand_LP!C$7/31</f>
        <v>478.74276261373035</v>
      </c>
      <c r="BA149" s="16">
        <f>Demand_LP!D$7/31</f>
        <v>366.03598014888337</v>
      </c>
      <c r="BB149" s="16">
        <f>Demand_LP!E$7/31</f>
        <v>837.96277915632766</v>
      </c>
      <c r="BC149" s="16">
        <f>Demand_LP!F$7/31</f>
        <v>447.19049589019846</v>
      </c>
      <c r="BD149" s="16">
        <f>Demand_LP!G$7/31</f>
        <v>855.82964911600493</v>
      </c>
      <c r="BE149" s="16">
        <f>Demand_LP!H$7/31</f>
        <v>478.74276261373035</v>
      </c>
      <c r="BF149" s="16">
        <f>Demand_LP!I$7/31</f>
        <v>447.19049589019846</v>
      </c>
      <c r="BG149" s="16">
        <f>Demand_LP!J$7/31</f>
        <v>447.19049589019846</v>
      </c>
      <c r="BH149" s="16">
        <f>Demand_LP!K$7/31</f>
        <v>447.19049589019846</v>
      </c>
      <c r="BI149" s="16" t="e">
        <f t="shared" si="73"/>
        <v>#VALUE!</v>
      </c>
      <c r="BJ149" s="16">
        <f t="shared" si="74"/>
        <v>-87557.765674110851</v>
      </c>
      <c r="BK149" s="16">
        <f t="shared" si="75"/>
        <v>-42689.939330024776</v>
      </c>
      <c r="BL149" s="16">
        <f t="shared" si="76"/>
        <v>-109458.00275465637</v>
      </c>
      <c r="BM149" s="16">
        <f t="shared" si="77"/>
        <v>-66244.938025255396</v>
      </c>
      <c r="BN149" s="16">
        <f t="shared" si="78"/>
        <v>-106368.27810594947</v>
      </c>
      <c r="BO149" s="16">
        <f t="shared" si="79"/>
        <v>-89915.345161290374</v>
      </c>
      <c r="BP149" s="16">
        <f t="shared" si="80"/>
        <v>-65702.621943626</v>
      </c>
      <c r="BQ149" s="16">
        <f t="shared" si="81"/>
        <v>-62302.621943626022</v>
      </c>
      <c r="BR149" s="16">
        <f t="shared" si="82"/>
        <v>-63502.621943626007</v>
      </c>
      <c r="BS149" s="14">
        <f>IF([1]Sheet2!CA148=999999,"NA",[1]Sheet2!CA148)</f>
        <v>152976.37805637452</v>
      </c>
      <c r="BT149" s="14">
        <f>IF([1]Sheet2!CB148=999999,"NA",[1]Sheet2!CB148)</f>
        <v>141</v>
      </c>
      <c r="BU149" s="14">
        <f>IF([1]Sheet2!CC148=999999,"NA",[1]Sheet2!CC148)</f>
        <v>219</v>
      </c>
      <c r="BV149" s="14">
        <f>IF([1]Sheet2!CD148=999999,"NA",[1]Sheet2!CD148)</f>
        <v>219</v>
      </c>
      <c r="BW149" s="14">
        <f>IF([1]Sheet2!CE148=999999,"NA",[1]Sheet2!CE148)</f>
        <v>181</v>
      </c>
      <c r="BX149" s="14">
        <f>IF([1]Sheet2!CF148=999999,"NA",[1]Sheet2!CF148)</f>
        <v>219</v>
      </c>
      <c r="BY149" s="14">
        <f>IF([1]Sheet2!CG148=999999,"NA",[1]Sheet2!CG148)</f>
        <v>113</v>
      </c>
      <c r="BZ149" s="14">
        <f>IF([1]Sheet2!CH148=999999,"NA",[1]Sheet2!CH148)</f>
        <v>219</v>
      </c>
      <c r="CA149" s="14">
        <f>IF([1]Sheet2!CI148=999999,"NA",[1]Sheet2!CI148)</f>
        <v>219</v>
      </c>
      <c r="CB149" s="14">
        <f>IF([1]Sheet2!CJ148=999999,"NA",[1]Sheet2!CJ148)</f>
        <v>219</v>
      </c>
      <c r="CC149" s="14">
        <f>[1]Sheet2!BG148</f>
        <v>0</v>
      </c>
      <c r="CD149" s="14">
        <f>[1]Sheet2!BH148</f>
        <v>0</v>
      </c>
      <c r="CE149" s="14">
        <f>[1]Sheet2!BI148</f>
        <v>0</v>
      </c>
      <c r="CF149" s="14">
        <f>[1]Sheet2!BJ148</f>
        <v>0</v>
      </c>
      <c r="CG149" s="14">
        <f>[1]Sheet2!BK148</f>
        <v>0</v>
      </c>
      <c r="CH149" s="14">
        <f>[1]Sheet2!BL148</f>
        <v>0</v>
      </c>
      <c r="CI149" s="14">
        <f>[1]Sheet2!BM148</f>
        <v>0</v>
      </c>
      <c r="CJ149" s="14">
        <f>[1]Sheet2!BN148</f>
        <v>0</v>
      </c>
      <c r="CK149" s="14">
        <f>[1]Sheet2!BO148</f>
        <v>0</v>
      </c>
      <c r="CL149" s="14">
        <f>[1]Sheet2!BP148</f>
        <v>0</v>
      </c>
      <c r="CM149" s="16">
        <f>Demand_SW!B$7/31</f>
        <v>122.8287841191067</v>
      </c>
      <c r="CN149" s="16">
        <f>Demand_SW!C$7/31</f>
        <v>0</v>
      </c>
      <c r="CO149" s="16">
        <f>Demand_SW!D$7/31</f>
        <v>0</v>
      </c>
      <c r="CP149" s="16">
        <f>Demand_SW!E$7/31</f>
        <v>0</v>
      </c>
      <c r="CQ149" s="16">
        <f>Demand_SW!F$7/31</f>
        <v>0</v>
      </c>
      <c r="CR149" s="16">
        <f>Demand_SW!G$7/31</f>
        <v>122.8287841191067</v>
      </c>
      <c r="CS149" s="16">
        <f>Demand_SW!H$7/31</f>
        <v>0</v>
      </c>
      <c r="CT149" s="16">
        <f>Demand_SW!I$7/31</f>
        <v>0</v>
      </c>
      <c r="CU149" s="16">
        <f>Demand_SW!J$7/31</f>
        <v>0</v>
      </c>
      <c r="CV149" s="16">
        <f>Demand_SW!K$7/31</f>
        <v>0</v>
      </c>
      <c r="CW149" s="16">
        <f t="shared" si="83"/>
        <v>31343.374689826342</v>
      </c>
      <c r="CX149" s="16">
        <f t="shared" si="84"/>
        <v>-423.07692307692292</v>
      </c>
      <c r="CY149" s="16">
        <f t="shared" si="85"/>
        <v>0</v>
      </c>
      <c r="CZ149" s="16">
        <f t="shared" si="86"/>
        <v>0</v>
      </c>
      <c r="DA149" s="16">
        <f t="shared" si="87"/>
        <v>0</v>
      </c>
      <c r="DB149" s="16">
        <f t="shared" si="88"/>
        <v>-18185.856079404453</v>
      </c>
      <c r="DC149" s="16">
        <f t="shared" si="89"/>
        <v>-423.07692307692292</v>
      </c>
      <c r="DD149" s="16">
        <f t="shared" si="90"/>
        <v>0</v>
      </c>
      <c r="DE149" s="16">
        <f t="shared" si="91"/>
        <v>0</v>
      </c>
      <c r="DF149" s="16">
        <f t="shared" si="92"/>
        <v>0</v>
      </c>
      <c r="DG149" s="14">
        <f>IF([1]Sheet2!DR148=999999,"NA",[1]Sheet2!DR148)</f>
        <v>73103</v>
      </c>
      <c r="DH149" s="14">
        <f>IF([1]Sheet2!DS148=999999,"NA",[1]Sheet2!DS148)</f>
        <v>219</v>
      </c>
      <c r="DI149" s="14">
        <f>IF([1]Sheet2!DT148=999999,"NA",[1]Sheet2!DT148)</f>
        <v>219</v>
      </c>
      <c r="DJ149" s="14" t="str">
        <f>IF([1]Sheet2!DU148=999999,"NA",[1]Sheet2!DU148)</f>
        <v>NA</v>
      </c>
      <c r="DK149" s="14" t="str">
        <f>IF([1]Sheet2!DV148=999999,"NA",[1]Sheet2!DV148)</f>
        <v>NA</v>
      </c>
      <c r="DL149" s="14" t="str">
        <f>IF([1]Sheet2!DW148=999999,"NA",[1]Sheet2!DW148)</f>
        <v>NA</v>
      </c>
      <c r="DM149" s="14">
        <f>IF([1]Sheet2!DX148=999999,"NA",[1]Sheet2!DX148)</f>
        <v>219</v>
      </c>
      <c r="DN149" s="14">
        <f>IF([1]Sheet2!DY148=999999,"NA",[1]Sheet2!DY148)</f>
        <v>219</v>
      </c>
      <c r="DO149" s="14" t="str">
        <f>IF([1]Sheet2!DZ148=999999,"NA",[1]Sheet2!DZ148)</f>
        <v>NA</v>
      </c>
      <c r="DP149" s="14" t="str">
        <f>IF([1]Sheet2!EA148=999999,"NA",[1]Sheet2!EA148)</f>
        <v>NA</v>
      </c>
      <c r="DQ149" s="14">
        <f>[1]Sheet2!CX148</f>
        <v>0</v>
      </c>
      <c r="DR149" s="14">
        <f>[1]Sheet2!CY148</f>
        <v>0</v>
      </c>
      <c r="DS149" s="14">
        <f>[1]Sheet2!CZ148</f>
        <v>0</v>
      </c>
      <c r="DT149" s="14">
        <f>[1]Sheet2!DA148</f>
        <v>0</v>
      </c>
      <c r="DU149" s="14">
        <f>[1]Sheet2!DB148</f>
        <v>0</v>
      </c>
      <c r="DV149" s="14">
        <f>[1]Sheet2!DC148</f>
        <v>0</v>
      </c>
      <c r="DW149" s="14">
        <f>[1]Sheet2!DD148</f>
        <v>0</v>
      </c>
      <c r="DX149" s="14">
        <f>[1]Sheet2!DE148</f>
        <v>0</v>
      </c>
      <c r="DY149" s="14">
        <f>[1]Sheet2!DF148</f>
        <v>0</v>
      </c>
      <c r="DZ149" s="14">
        <f>[1]Sheet2!DG148</f>
        <v>0</v>
      </c>
    </row>
    <row r="150" spans="1:130" x14ac:dyDescent="0.25">
      <c r="A150" s="15">
        <v>43612</v>
      </c>
      <c r="B150" s="1"/>
      <c r="C150" s="1"/>
      <c r="D150" s="1"/>
      <c r="E150" s="14">
        <f>[1]Sheet2!N149</f>
        <v>0</v>
      </c>
      <c r="F150" s="14">
        <f>[1]Sheet2!BE149</f>
        <v>0</v>
      </c>
      <c r="G150" s="14">
        <f>[1]Sheet2!CV149</f>
        <v>245.6575682382134</v>
      </c>
      <c r="H150" s="1"/>
      <c r="I150" s="1"/>
      <c r="J150" s="1"/>
      <c r="K150" s="16">
        <f>Demand_CWRS!B$7/31</f>
        <v>129.8994219137717</v>
      </c>
      <c r="L150" s="16">
        <f>Demand_CWRS!C$7/31</f>
        <v>543.3829611248965</v>
      </c>
      <c r="M150" s="16">
        <f>Demand_CWRS!D$7/31</f>
        <v>0</v>
      </c>
      <c r="N150" s="16">
        <f>Demand_CWRS!E$7/31</f>
        <v>131.84491315136475</v>
      </c>
      <c r="O150" s="16">
        <f>Demand_CWRS!F$7/31</f>
        <v>232.12592522229113</v>
      </c>
      <c r="P150" s="16">
        <f>Demand_CWRS!G$7/31</f>
        <v>129.8994219137717</v>
      </c>
      <c r="Q150" s="16">
        <f>Demand_CWRS!H$7/31</f>
        <v>543.3829611248965</v>
      </c>
      <c r="R150" s="16">
        <f>Demand_CWRS!I$7/31</f>
        <v>232.12592522229113</v>
      </c>
      <c r="S150" s="16">
        <f>Demand_CWRS!J$7/31</f>
        <v>232.12592522229113</v>
      </c>
      <c r="T150" s="16">
        <f>Demand_CWRS!K$7/31</f>
        <v>232.12592522229113</v>
      </c>
      <c r="U150" s="16">
        <f t="shared" si="63"/>
        <v>-22095.118032433722</v>
      </c>
      <c r="V150" s="16">
        <f t="shared" si="64"/>
        <v>-67186.475847807946</v>
      </c>
      <c r="W150" s="16">
        <f t="shared" si="65"/>
        <v>0</v>
      </c>
      <c r="X150" s="16">
        <f t="shared" si="66"/>
        <v>-15308.448179267314</v>
      </c>
      <c r="Y150" s="16">
        <f t="shared" si="67"/>
        <v>-32777.781239674005</v>
      </c>
      <c r="Z150" s="16">
        <f t="shared" si="68"/>
        <v>-21769.344883395272</v>
      </c>
      <c r="AA150" s="16">
        <f t="shared" si="69"/>
        <v>-66686.475847807946</v>
      </c>
      <c r="AB150" s="16">
        <f t="shared" si="70"/>
        <v>-30465.81465313552</v>
      </c>
      <c r="AC150" s="16">
        <f t="shared" si="71"/>
        <v>-30465.814653135509</v>
      </c>
      <c r="AD150" s="16">
        <f t="shared" si="72"/>
        <v>-31165.814653135512</v>
      </c>
      <c r="AE150" s="14">
        <f>IF([1]Sheet2!AJ149=999999,"NA",[1]Sheet2!AJ149)</f>
        <v>0</v>
      </c>
      <c r="AF150" s="14">
        <f>IF([1]Sheet2!AK149=999999,"NA",[1]Sheet2!AK149)</f>
        <v>0</v>
      </c>
      <c r="AG150" s="14" t="str">
        <f>IF([1]Sheet2!AL149=999999,"NA",[1]Sheet2!AL149)</f>
        <v>NA</v>
      </c>
      <c r="AH150" s="14">
        <f>IF([1]Sheet2!AM149=999999,"NA",[1]Sheet2!AM149)</f>
        <v>218</v>
      </c>
      <c r="AI150" s="14">
        <f>IF([1]Sheet2!AN149=999999,"NA",[1]Sheet2!AN149)</f>
        <v>218</v>
      </c>
      <c r="AJ150" s="14">
        <f>IF([1]Sheet2!AO149=999999,"NA",[1]Sheet2!AO149)</f>
        <v>218</v>
      </c>
      <c r="AK150" s="14">
        <f>IF([1]Sheet2!AP149=999999,"NA",[1]Sheet2!AP149)</f>
        <v>0</v>
      </c>
      <c r="AL150" s="14">
        <f>IF([1]Sheet2!AQ149=999999,"NA",[1]Sheet2!AQ149)</f>
        <v>94</v>
      </c>
      <c r="AM150" s="14">
        <f>IF([1]Sheet2!AR149=999999,"NA",[1]Sheet2!AR149)</f>
        <v>218</v>
      </c>
      <c r="AN150" s="14">
        <f>IF([1]Sheet2!AS149=999999,"NA",[1]Sheet2!AS149)</f>
        <v>150</v>
      </c>
      <c r="AO150" s="14">
        <f>[1]Sheet2!P149</f>
        <v>0</v>
      </c>
      <c r="AP150" s="14">
        <f>[1]Sheet2!Q149</f>
        <v>0</v>
      </c>
      <c r="AQ150" s="14">
        <f>[1]Sheet2!R149</f>
        <v>0</v>
      </c>
      <c r="AR150" s="14">
        <f>[1]Sheet2!S149</f>
        <v>0</v>
      </c>
      <c r="AS150" s="14">
        <f>[1]Sheet2!T149</f>
        <v>0</v>
      </c>
      <c r="AT150" s="14">
        <f>[1]Sheet2!U149</f>
        <v>0</v>
      </c>
      <c r="AU150" s="14">
        <f>[1]Sheet2!V149</f>
        <v>0</v>
      </c>
      <c r="AV150" s="14">
        <f>[1]Sheet2!W149</f>
        <v>0</v>
      </c>
      <c r="AW150" s="14">
        <f>[1]Sheet2!X149</f>
        <v>0</v>
      </c>
      <c r="AX150" s="14">
        <f>[1]Sheet2!Y149</f>
        <v>0</v>
      </c>
      <c r="AY150" s="16">
        <f>Demand_LP!B$7/31</f>
        <v>855.82964911600493</v>
      </c>
      <c r="AZ150" s="16">
        <f>Demand_LP!C$7/31</f>
        <v>478.74276261373035</v>
      </c>
      <c r="BA150" s="16">
        <f>Demand_LP!D$7/31</f>
        <v>366.03598014888337</v>
      </c>
      <c r="BB150" s="16">
        <f>Demand_LP!E$7/31</f>
        <v>837.96277915632766</v>
      </c>
      <c r="BC150" s="16">
        <f>Demand_LP!F$7/31</f>
        <v>447.19049589019846</v>
      </c>
      <c r="BD150" s="16">
        <f>Demand_LP!G$7/31</f>
        <v>855.82964911600493</v>
      </c>
      <c r="BE150" s="16">
        <f>Demand_LP!H$7/31</f>
        <v>478.74276261373035</v>
      </c>
      <c r="BF150" s="16">
        <f>Demand_LP!I$7/31</f>
        <v>447.19049589019846</v>
      </c>
      <c r="BG150" s="16">
        <f>Demand_LP!J$7/31</f>
        <v>447.19049589019846</v>
      </c>
      <c r="BH150" s="16">
        <f>Demand_LP!K$7/31</f>
        <v>447.19049589019846</v>
      </c>
      <c r="BI150" s="16" t="e">
        <f t="shared" si="73"/>
        <v>#VALUE!</v>
      </c>
      <c r="BJ150" s="16">
        <f t="shared" si="74"/>
        <v>-88036.508436724587</v>
      </c>
      <c r="BK150" s="16">
        <f t="shared" si="75"/>
        <v>-43055.975310173657</v>
      </c>
      <c r="BL150" s="16">
        <f t="shared" si="76"/>
        <v>-110295.96553381269</v>
      </c>
      <c r="BM150" s="16">
        <f t="shared" si="77"/>
        <v>-66692.128521145598</v>
      </c>
      <c r="BN150" s="16">
        <f t="shared" si="78"/>
        <v>-107224.10775506547</v>
      </c>
      <c r="BO150" s="16">
        <f t="shared" si="79"/>
        <v>-90394.08792390411</v>
      </c>
      <c r="BP150" s="16">
        <f t="shared" si="80"/>
        <v>-66149.812439516201</v>
      </c>
      <c r="BQ150" s="16">
        <f t="shared" si="81"/>
        <v>-62749.812439516223</v>
      </c>
      <c r="BR150" s="16">
        <f t="shared" si="82"/>
        <v>-63949.812439516209</v>
      </c>
      <c r="BS150" s="14">
        <f>IF([1]Sheet2!CA149=999999,"NA",[1]Sheet2!CA149)</f>
        <v>152529.18756048434</v>
      </c>
      <c r="BT150" s="14">
        <f>IF([1]Sheet2!CB149=999999,"NA",[1]Sheet2!CB149)</f>
        <v>140</v>
      </c>
      <c r="BU150" s="14">
        <f>IF([1]Sheet2!CC149=999999,"NA",[1]Sheet2!CC149)</f>
        <v>218</v>
      </c>
      <c r="BV150" s="14">
        <f>IF([1]Sheet2!CD149=999999,"NA",[1]Sheet2!CD149)</f>
        <v>218</v>
      </c>
      <c r="BW150" s="14">
        <f>IF([1]Sheet2!CE149=999999,"NA",[1]Sheet2!CE149)</f>
        <v>180</v>
      </c>
      <c r="BX150" s="14">
        <f>IF([1]Sheet2!CF149=999999,"NA",[1]Sheet2!CF149)</f>
        <v>218</v>
      </c>
      <c r="BY150" s="14">
        <f>IF([1]Sheet2!CG149=999999,"NA",[1]Sheet2!CG149)</f>
        <v>112</v>
      </c>
      <c r="BZ150" s="14">
        <f>IF([1]Sheet2!CH149=999999,"NA",[1]Sheet2!CH149)</f>
        <v>218</v>
      </c>
      <c r="CA150" s="14">
        <f>IF([1]Sheet2!CI149=999999,"NA",[1]Sheet2!CI149)</f>
        <v>218</v>
      </c>
      <c r="CB150" s="14">
        <f>IF([1]Sheet2!CJ149=999999,"NA",[1]Sheet2!CJ149)</f>
        <v>218</v>
      </c>
      <c r="CC150" s="14">
        <f>[1]Sheet2!BG149</f>
        <v>0</v>
      </c>
      <c r="CD150" s="14">
        <f>[1]Sheet2!BH149</f>
        <v>0</v>
      </c>
      <c r="CE150" s="14">
        <f>[1]Sheet2!BI149</f>
        <v>0</v>
      </c>
      <c r="CF150" s="14">
        <f>[1]Sheet2!BJ149</f>
        <v>0</v>
      </c>
      <c r="CG150" s="14">
        <f>[1]Sheet2!BK149</f>
        <v>0</v>
      </c>
      <c r="CH150" s="14">
        <f>[1]Sheet2!BL149</f>
        <v>0</v>
      </c>
      <c r="CI150" s="14">
        <f>[1]Sheet2!BM149</f>
        <v>0</v>
      </c>
      <c r="CJ150" s="14">
        <f>[1]Sheet2!BN149</f>
        <v>0</v>
      </c>
      <c r="CK150" s="14">
        <f>[1]Sheet2!BO149</f>
        <v>0</v>
      </c>
      <c r="CL150" s="14">
        <f>[1]Sheet2!BP149</f>
        <v>0</v>
      </c>
      <c r="CM150" s="16">
        <f>Demand_SW!B$7/31</f>
        <v>122.8287841191067</v>
      </c>
      <c r="CN150" s="16">
        <f>Demand_SW!C$7/31</f>
        <v>0</v>
      </c>
      <c r="CO150" s="16">
        <f>Demand_SW!D$7/31</f>
        <v>0</v>
      </c>
      <c r="CP150" s="16">
        <f>Demand_SW!E$7/31</f>
        <v>0</v>
      </c>
      <c r="CQ150" s="16">
        <f>Demand_SW!F$7/31</f>
        <v>0</v>
      </c>
      <c r="CR150" s="16">
        <f>Demand_SW!G$7/31</f>
        <v>122.8287841191067</v>
      </c>
      <c r="CS150" s="16">
        <f>Demand_SW!H$7/31</f>
        <v>0</v>
      </c>
      <c r="CT150" s="16">
        <f>Demand_SW!I$7/31</f>
        <v>0</v>
      </c>
      <c r="CU150" s="16">
        <f>Demand_SW!J$7/31</f>
        <v>0</v>
      </c>
      <c r="CV150" s="16">
        <f>Demand_SW!K$7/31</f>
        <v>0</v>
      </c>
      <c r="CW150" s="16">
        <f t="shared" si="83"/>
        <v>31220.545905707237</v>
      </c>
      <c r="CX150" s="16">
        <f t="shared" si="84"/>
        <v>-423.07692307692292</v>
      </c>
      <c r="CY150" s="16">
        <f t="shared" si="85"/>
        <v>0</v>
      </c>
      <c r="CZ150" s="16">
        <f t="shared" si="86"/>
        <v>0</v>
      </c>
      <c r="DA150" s="16">
        <f t="shared" si="87"/>
        <v>0</v>
      </c>
      <c r="DB150" s="16">
        <f t="shared" si="88"/>
        <v>-18308.684863523558</v>
      </c>
      <c r="DC150" s="16">
        <f t="shared" si="89"/>
        <v>-423.07692307692292</v>
      </c>
      <c r="DD150" s="16">
        <f t="shared" si="90"/>
        <v>0</v>
      </c>
      <c r="DE150" s="16">
        <f t="shared" si="91"/>
        <v>0</v>
      </c>
      <c r="DF150" s="16">
        <f t="shared" si="92"/>
        <v>0</v>
      </c>
      <c r="DG150" s="14">
        <f>IF([1]Sheet2!DR149=999999,"NA",[1]Sheet2!DR149)</f>
        <v>73103</v>
      </c>
      <c r="DH150" s="14">
        <f>IF([1]Sheet2!DS149=999999,"NA",[1]Sheet2!DS149)</f>
        <v>218</v>
      </c>
      <c r="DI150" s="14">
        <f>IF([1]Sheet2!DT149=999999,"NA",[1]Sheet2!DT149)</f>
        <v>218</v>
      </c>
      <c r="DJ150" s="14" t="str">
        <f>IF([1]Sheet2!DU149=999999,"NA",[1]Sheet2!DU149)</f>
        <v>NA</v>
      </c>
      <c r="DK150" s="14" t="str">
        <f>IF([1]Sheet2!DV149=999999,"NA",[1]Sheet2!DV149)</f>
        <v>NA</v>
      </c>
      <c r="DL150" s="14" t="str">
        <f>IF([1]Sheet2!DW149=999999,"NA",[1]Sheet2!DW149)</f>
        <v>NA</v>
      </c>
      <c r="DM150" s="14">
        <f>IF([1]Sheet2!DX149=999999,"NA",[1]Sheet2!DX149)</f>
        <v>218</v>
      </c>
      <c r="DN150" s="14">
        <f>IF([1]Sheet2!DY149=999999,"NA",[1]Sheet2!DY149)</f>
        <v>218</v>
      </c>
      <c r="DO150" s="14" t="str">
        <f>IF([1]Sheet2!DZ149=999999,"NA",[1]Sheet2!DZ149)</f>
        <v>NA</v>
      </c>
      <c r="DP150" s="14" t="str">
        <f>IF([1]Sheet2!EA149=999999,"NA",[1]Sheet2!EA149)</f>
        <v>NA</v>
      </c>
      <c r="DQ150" s="14">
        <f>[1]Sheet2!CX149</f>
        <v>0</v>
      </c>
      <c r="DR150" s="14">
        <f>[1]Sheet2!CY149</f>
        <v>0</v>
      </c>
      <c r="DS150" s="14">
        <f>[1]Sheet2!CZ149</f>
        <v>0</v>
      </c>
      <c r="DT150" s="14">
        <f>[1]Sheet2!DA149</f>
        <v>0</v>
      </c>
      <c r="DU150" s="14">
        <f>[1]Sheet2!DB149</f>
        <v>0</v>
      </c>
      <c r="DV150" s="14">
        <f>[1]Sheet2!DC149</f>
        <v>0</v>
      </c>
      <c r="DW150" s="14">
        <f>[1]Sheet2!DD149</f>
        <v>0</v>
      </c>
      <c r="DX150" s="14">
        <f>[1]Sheet2!DE149</f>
        <v>0</v>
      </c>
      <c r="DY150" s="14">
        <f>[1]Sheet2!DF149</f>
        <v>0</v>
      </c>
      <c r="DZ150" s="14">
        <f>[1]Sheet2!DG149</f>
        <v>0</v>
      </c>
    </row>
    <row r="151" spans="1:130" x14ac:dyDescent="0.25">
      <c r="A151" s="15">
        <v>43613</v>
      </c>
      <c r="B151" s="1"/>
      <c r="C151" s="1"/>
      <c r="D151" s="1"/>
      <c r="E151" s="14">
        <f>[1]Sheet2!N150</f>
        <v>0</v>
      </c>
      <c r="F151" s="14">
        <f>[1]Sheet2!BE150</f>
        <v>0</v>
      </c>
      <c r="G151" s="14">
        <f>[1]Sheet2!CV150</f>
        <v>245.6575682382134</v>
      </c>
      <c r="H151" s="1"/>
      <c r="I151" s="1"/>
      <c r="J151" s="1"/>
      <c r="K151" s="16">
        <f>Demand_CWRS!B$7/31</f>
        <v>129.8994219137717</v>
      </c>
      <c r="L151" s="16">
        <f>Demand_CWRS!C$7/31</f>
        <v>543.3829611248965</v>
      </c>
      <c r="M151" s="16">
        <f>Demand_CWRS!D$7/31</f>
        <v>0</v>
      </c>
      <c r="N151" s="16">
        <f>Demand_CWRS!E$7/31</f>
        <v>131.84491315136475</v>
      </c>
      <c r="O151" s="16">
        <f>Demand_CWRS!F$7/31</f>
        <v>232.12592522229113</v>
      </c>
      <c r="P151" s="16">
        <f>Demand_CWRS!G$7/31</f>
        <v>129.8994219137717</v>
      </c>
      <c r="Q151" s="16">
        <f>Demand_CWRS!H$7/31</f>
        <v>543.3829611248965</v>
      </c>
      <c r="R151" s="16">
        <f>Demand_CWRS!I$7/31</f>
        <v>232.12592522229113</v>
      </c>
      <c r="S151" s="16">
        <f>Demand_CWRS!J$7/31</f>
        <v>232.12592522229113</v>
      </c>
      <c r="T151" s="16">
        <f>Demand_CWRS!K$7/31</f>
        <v>232.12592522229113</v>
      </c>
      <c r="U151" s="16">
        <f t="shared" si="63"/>
        <v>-22225.017454347493</v>
      </c>
      <c r="V151" s="16">
        <f t="shared" si="64"/>
        <v>-67729.85880893284</v>
      </c>
      <c r="W151" s="16">
        <f t="shared" si="65"/>
        <v>0</v>
      </c>
      <c r="X151" s="16">
        <f t="shared" si="66"/>
        <v>-15440.293092418678</v>
      </c>
      <c r="Y151" s="16">
        <f t="shared" si="67"/>
        <v>-33009.907164896293</v>
      </c>
      <c r="Z151" s="16">
        <f t="shared" si="68"/>
        <v>-21899.244305309043</v>
      </c>
      <c r="AA151" s="16">
        <f t="shared" si="69"/>
        <v>-67229.85880893284</v>
      </c>
      <c r="AB151" s="16">
        <f t="shared" si="70"/>
        <v>-30697.940578357811</v>
      </c>
      <c r="AC151" s="16">
        <f t="shared" si="71"/>
        <v>-30697.9405783578</v>
      </c>
      <c r="AD151" s="16">
        <f t="shared" si="72"/>
        <v>-31397.940578357804</v>
      </c>
      <c r="AE151" s="14">
        <f>IF([1]Sheet2!AJ150=999999,"NA",[1]Sheet2!AJ150)</f>
        <v>0</v>
      </c>
      <c r="AF151" s="14">
        <f>IF([1]Sheet2!AK150=999999,"NA",[1]Sheet2!AK150)</f>
        <v>0</v>
      </c>
      <c r="AG151" s="14" t="str">
        <f>IF([1]Sheet2!AL150=999999,"NA",[1]Sheet2!AL150)</f>
        <v>NA</v>
      </c>
      <c r="AH151" s="14">
        <f>IF([1]Sheet2!AM150=999999,"NA",[1]Sheet2!AM150)</f>
        <v>217</v>
      </c>
      <c r="AI151" s="14">
        <f>IF([1]Sheet2!AN150=999999,"NA",[1]Sheet2!AN150)</f>
        <v>217</v>
      </c>
      <c r="AJ151" s="14">
        <f>IF([1]Sheet2!AO150=999999,"NA",[1]Sheet2!AO150)</f>
        <v>217</v>
      </c>
      <c r="AK151" s="14">
        <f>IF([1]Sheet2!AP150=999999,"NA",[1]Sheet2!AP150)</f>
        <v>0</v>
      </c>
      <c r="AL151" s="14">
        <f>IF([1]Sheet2!AQ150=999999,"NA",[1]Sheet2!AQ150)</f>
        <v>93</v>
      </c>
      <c r="AM151" s="14">
        <f>IF([1]Sheet2!AR150=999999,"NA",[1]Sheet2!AR150)</f>
        <v>217</v>
      </c>
      <c r="AN151" s="14">
        <f>IF([1]Sheet2!AS150=999999,"NA",[1]Sheet2!AS150)</f>
        <v>149</v>
      </c>
      <c r="AO151" s="14">
        <f>[1]Sheet2!P150</f>
        <v>0</v>
      </c>
      <c r="AP151" s="14">
        <f>[1]Sheet2!Q150</f>
        <v>0</v>
      </c>
      <c r="AQ151" s="14">
        <f>[1]Sheet2!R150</f>
        <v>0</v>
      </c>
      <c r="AR151" s="14">
        <f>[1]Sheet2!S150</f>
        <v>0</v>
      </c>
      <c r="AS151" s="14">
        <f>[1]Sheet2!T150</f>
        <v>0</v>
      </c>
      <c r="AT151" s="14">
        <f>[1]Sheet2!U150</f>
        <v>0</v>
      </c>
      <c r="AU151" s="14">
        <f>[1]Sheet2!V150</f>
        <v>0</v>
      </c>
      <c r="AV151" s="14">
        <f>[1]Sheet2!W150</f>
        <v>0</v>
      </c>
      <c r="AW151" s="14">
        <f>[1]Sheet2!X150</f>
        <v>0</v>
      </c>
      <c r="AX151" s="14">
        <f>[1]Sheet2!Y150</f>
        <v>0</v>
      </c>
      <c r="AY151" s="16">
        <f>Demand_LP!B$7/31</f>
        <v>855.82964911600493</v>
      </c>
      <c r="AZ151" s="16">
        <f>Demand_LP!C$7/31</f>
        <v>478.74276261373035</v>
      </c>
      <c r="BA151" s="16">
        <f>Demand_LP!D$7/31</f>
        <v>366.03598014888337</v>
      </c>
      <c r="BB151" s="16">
        <f>Demand_LP!E$7/31</f>
        <v>837.96277915632766</v>
      </c>
      <c r="BC151" s="16">
        <f>Demand_LP!F$7/31</f>
        <v>447.19049589019846</v>
      </c>
      <c r="BD151" s="16">
        <f>Demand_LP!G$7/31</f>
        <v>855.82964911600493</v>
      </c>
      <c r="BE151" s="16">
        <f>Demand_LP!H$7/31</f>
        <v>478.74276261373035</v>
      </c>
      <c r="BF151" s="16">
        <f>Demand_LP!I$7/31</f>
        <v>447.19049589019846</v>
      </c>
      <c r="BG151" s="16">
        <f>Demand_LP!J$7/31</f>
        <v>447.19049589019846</v>
      </c>
      <c r="BH151" s="16">
        <f>Demand_LP!K$7/31</f>
        <v>447.19049589019846</v>
      </c>
      <c r="BI151" s="16" t="e">
        <f t="shared" si="73"/>
        <v>#VALUE!</v>
      </c>
      <c r="BJ151" s="16">
        <f t="shared" si="74"/>
        <v>-88515.251199338323</v>
      </c>
      <c r="BK151" s="16">
        <f t="shared" si="75"/>
        <v>-43422.011290322538</v>
      </c>
      <c r="BL151" s="16">
        <f t="shared" si="76"/>
        <v>-111133.92831296902</v>
      </c>
      <c r="BM151" s="16">
        <f t="shared" si="77"/>
        <v>-67139.319017035799</v>
      </c>
      <c r="BN151" s="16">
        <f t="shared" si="78"/>
        <v>-108079.93740418147</v>
      </c>
      <c r="BO151" s="16">
        <f t="shared" si="79"/>
        <v>-90872.830686517846</v>
      </c>
      <c r="BP151" s="16">
        <f t="shared" si="80"/>
        <v>-66597.002935406403</v>
      </c>
      <c r="BQ151" s="16">
        <f t="shared" si="81"/>
        <v>-63197.002935406425</v>
      </c>
      <c r="BR151" s="16">
        <f t="shared" si="82"/>
        <v>-64397.00293540641</v>
      </c>
      <c r="BS151" s="14">
        <f>IF([1]Sheet2!CA150=999999,"NA",[1]Sheet2!CA150)</f>
        <v>152081.99706459415</v>
      </c>
      <c r="BT151" s="14">
        <f>IF([1]Sheet2!CB150=999999,"NA",[1]Sheet2!CB150)</f>
        <v>139</v>
      </c>
      <c r="BU151" s="14">
        <f>IF([1]Sheet2!CC150=999999,"NA",[1]Sheet2!CC150)</f>
        <v>217</v>
      </c>
      <c r="BV151" s="14">
        <f>IF([1]Sheet2!CD150=999999,"NA",[1]Sheet2!CD150)</f>
        <v>217</v>
      </c>
      <c r="BW151" s="14">
        <f>IF([1]Sheet2!CE150=999999,"NA",[1]Sheet2!CE150)</f>
        <v>179</v>
      </c>
      <c r="BX151" s="14">
        <f>IF([1]Sheet2!CF150=999999,"NA",[1]Sheet2!CF150)</f>
        <v>217</v>
      </c>
      <c r="BY151" s="14">
        <f>IF([1]Sheet2!CG150=999999,"NA",[1]Sheet2!CG150)</f>
        <v>111</v>
      </c>
      <c r="BZ151" s="14">
        <f>IF([1]Sheet2!CH150=999999,"NA",[1]Sheet2!CH150)</f>
        <v>217</v>
      </c>
      <c r="CA151" s="14">
        <f>IF([1]Sheet2!CI150=999999,"NA",[1]Sheet2!CI150)</f>
        <v>217</v>
      </c>
      <c r="CB151" s="14">
        <f>IF([1]Sheet2!CJ150=999999,"NA",[1]Sheet2!CJ150)</f>
        <v>217</v>
      </c>
      <c r="CC151" s="14">
        <f>[1]Sheet2!BG150</f>
        <v>0</v>
      </c>
      <c r="CD151" s="14">
        <f>[1]Sheet2!BH150</f>
        <v>0</v>
      </c>
      <c r="CE151" s="14">
        <f>[1]Sheet2!BI150</f>
        <v>0</v>
      </c>
      <c r="CF151" s="14">
        <f>[1]Sheet2!BJ150</f>
        <v>0</v>
      </c>
      <c r="CG151" s="14">
        <f>[1]Sheet2!BK150</f>
        <v>0</v>
      </c>
      <c r="CH151" s="14">
        <f>[1]Sheet2!BL150</f>
        <v>0</v>
      </c>
      <c r="CI151" s="14">
        <f>[1]Sheet2!BM150</f>
        <v>0</v>
      </c>
      <c r="CJ151" s="14">
        <f>[1]Sheet2!BN150</f>
        <v>0</v>
      </c>
      <c r="CK151" s="14">
        <f>[1]Sheet2!BO150</f>
        <v>0</v>
      </c>
      <c r="CL151" s="14">
        <f>[1]Sheet2!BP150</f>
        <v>0</v>
      </c>
      <c r="CM151" s="16">
        <f>Demand_SW!B$7/31</f>
        <v>122.8287841191067</v>
      </c>
      <c r="CN151" s="16">
        <f>Demand_SW!C$7/31</f>
        <v>0</v>
      </c>
      <c r="CO151" s="16">
        <f>Demand_SW!D$7/31</f>
        <v>0</v>
      </c>
      <c r="CP151" s="16">
        <f>Demand_SW!E$7/31</f>
        <v>0</v>
      </c>
      <c r="CQ151" s="16">
        <f>Demand_SW!F$7/31</f>
        <v>0</v>
      </c>
      <c r="CR151" s="16">
        <f>Demand_SW!G$7/31</f>
        <v>122.8287841191067</v>
      </c>
      <c r="CS151" s="16">
        <f>Demand_SW!H$7/31</f>
        <v>0</v>
      </c>
      <c r="CT151" s="16">
        <f>Demand_SW!I$7/31</f>
        <v>0</v>
      </c>
      <c r="CU151" s="16">
        <f>Demand_SW!J$7/31</f>
        <v>0</v>
      </c>
      <c r="CV151" s="16">
        <f>Demand_SW!K$7/31</f>
        <v>0</v>
      </c>
      <c r="CW151" s="16">
        <f t="shared" si="83"/>
        <v>31097.717121588132</v>
      </c>
      <c r="CX151" s="16">
        <f t="shared" si="84"/>
        <v>-423.07692307692292</v>
      </c>
      <c r="CY151" s="16">
        <f t="shared" si="85"/>
        <v>0</v>
      </c>
      <c r="CZ151" s="16">
        <f t="shared" si="86"/>
        <v>0</v>
      </c>
      <c r="DA151" s="16">
        <f t="shared" si="87"/>
        <v>0</v>
      </c>
      <c r="DB151" s="16">
        <f t="shared" si="88"/>
        <v>-18431.513647642663</v>
      </c>
      <c r="DC151" s="16">
        <f t="shared" si="89"/>
        <v>-423.07692307692292</v>
      </c>
      <c r="DD151" s="16">
        <f t="shared" si="90"/>
        <v>0</v>
      </c>
      <c r="DE151" s="16">
        <f t="shared" si="91"/>
        <v>0</v>
      </c>
      <c r="DF151" s="16">
        <f t="shared" si="92"/>
        <v>0</v>
      </c>
      <c r="DG151" s="14">
        <f>IF([1]Sheet2!DR150=999999,"NA",[1]Sheet2!DR150)</f>
        <v>73103</v>
      </c>
      <c r="DH151" s="14">
        <f>IF([1]Sheet2!DS150=999999,"NA",[1]Sheet2!DS150)</f>
        <v>217</v>
      </c>
      <c r="DI151" s="14">
        <f>IF([1]Sheet2!DT150=999999,"NA",[1]Sheet2!DT150)</f>
        <v>217</v>
      </c>
      <c r="DJ151" s="14" t="str">
        <f>IF([1]Sheet2!DU150=999999,"NA",[1]Sheet2!DU150)</f>
        <v>NA</v>
      </c>
      <c r="DK151" s="14" t="str">
        <f>IF([1]Sheet2!DV150=999999,"NA",[1]Sheet2!DV150)</f>
        <v>NA</v>
      </c>
      <c r="DL151" s="14" t="str">
        <f>IF([1]Sheet2!DW150=999999,"NA",[1]Sheet2!DW150)</f>
        <v>NA</v>
      </c>
      <c r="DM151" s="14">
        <f>IF([1]Sheet2!DX150=999999,"NA",[1]Sheet2!DX150)</f>
        <v>217</v>
      </c>
      <c r="DN151" s="14">
        <f>IF([1]Sheet2!DY150=999999,"NA",[1]Sheet2!DY150)</f>
        <v>217</v>
      </c>
      <c r="DO151" s="14" t="str">
        <f>IF([1]Sheet2!DZ150=999999,"NA",[1]Sheet2!DZ150)</f>
        <v>NA</v>
      </c>
      <c r="DP151" s="14" t="str">
        <f>IF([1]Sheet2!EA150=999999,"NA",[1]Sheet2!EA150)</f>
        <v>NA</v>
      </c>
      <c r="DQ151" s="14">
        <f>[1]Sheet2!CX150</f>
        <v>0</v>
      </c>
      <c r="DR151" s="14">
        <f>[1]Sheet2!CY150</f>
        <v>0</v>
      </c>
      <c r="DS151" s="14">
        <f>[1]Sheet2!CZ150</f>
        <v>0</v>
      </c>
      <c r="DT151" s="14">
        <f>[1]Sheet2!DA150</f>
        <v>0</v>
      </c>
      <c r="DU151" s="14">
        <f>[1]Sheet2!DB150</f>
        <v>0</v>
      </c>
      <c r="DV151" s="14">
        <f>[1]Sheet2!DC150</f>
        <v>0</v>
      </c>
      <c r="DW151" s="14">
        <f>[1]Sheet2!DD150</f>
        <v>0</v>
      </c>
      <c r="DX151" s="14">
        <f>[1]Sheet2!DE150</f>
        <v>0</v>
      </c>
      <c r="DY151" s="14">
        <f>[1]Sheet2!DF150</f>
        <v>0</v>
      </c>
      <c r="DZ151" s="14">
        <f>[1]Sheet2!DG150</f>
        <v>0</v>
      </c>
    </row>
    <row r="152" spans="1:130" x14ac:dyDescent="0.25">
      <c r="A152" s="15">
        <v>43614</v>
      </c>
      <c r="B152" s="1"/>
      <c r="C152" s="1"/>
      <c r="D152" s="1"/>
      <c r="E152" s="14">
        <f>[1]Sheet2!N151</f>
        <v>0</v>
      </c>
      <c r="F152" s="14">
        <f>[1]Sheet2!BE151</f>
        <v>0</v>
      </c>
      <c r="G152" s="14">
        <f>[1]Sheet2!CV151</f>
        <v>245.6575682382134</v>
      </c>
      <c r="H152" s="1"/>
      <c r="I152" s="1"/>
      <c r="J152" s="1"/>
      <c r="K152" s="16">
        <f>Demand_CWRS!B$7/31</f>
        <v>129.8994219137717</v>
      </c>
      <c r="L152" s="16">
        <f>Demand_CWRS!C$7/31</f>
        <v>543.3829611248965</v>
      </c>
      <c r="M152" s="16">
        <f>Demand_CWRS!D$7/31</f>
        <v>0</v>
      </c>
      <c r="N152" s="16">
        <f>Demand_CWRS!E$7/31</f>
        <v>131.84491315136475</v>
      </c>
      <c r="O152" s="16">
        <f>Demand_CWRS!F$7/31</f>
        <v>232.12592522229113</v>
      </c>
      <c r="P152" s="16">
        <f>Demand_CWRS!G$7/31</f>
        <v>129.8994219137717</v>
      </c>
      <c r="Q152" s="16">
        <f>Demand_CWRS!H$7/31</f>
        <v>543.3829611248965</v>
      </c>
      <c r="R152" s="16">
        <f>Demand_CWRS!I$7/31</f>
        <v>232.12592522229113</v>
      </c>
      <c r="S152" s="16">
        <f>Demand_CWRS!J$7/31</f>
        <v>232.12592522229113</v>
      </c>
      <c r="T152" s="16">
        <f>Demand_CWRS!K$7/31</f>
        <v>232.12592522229113</v>
      </c>
      <c r="U152" s="16">
        <f t="shared" si="63"/>
        <v>-22354.916876261264</v>
      </c>
      <c r="V152" s="16">
        <f t="shared" si="64"/>
        <v>-68273.241770057735</v>
      </c>
      <c r="W152" s="16">
        <f t="shared" si="65"/>
        <v>0</v>
      </c>
      <c r="X152" s="16">
        <f t="shared" si="66"/>
        <v>-15572.138005570043</v>
      </c>
      <c r="Y152" s="16">
        <f t="shared" si="67"/>
        <v>-33242.033090118581</v>
      </c>
      <c r="Z152" s="16">
        <f t="shared" si="68"/>
        <v>-22029.143727222814</v>
      </c>
      <c r="AA152" s="16">
        <f t="shared" si="69"/>
        <v>-67773.241770057735</v>
      </c>
      <c r="AB152" s="16">
        <f t="shared" si="70"/>
        <v>-30930.066503580103</v>
      </c>
      <c r="AC152" s="16">
        <f t="shared" si="71"/>
        <v>-30930.066503580092</v>
      </c>
      <c r="AD152" s="16">
        <f t="shared" si="72"/>
        <v>-31630.066503580096</v>
      </c>
      <c r="AE152" s="14">
        <f>IF([1]Sheet2!AJ151=999999,"NA",[1]Sheet2!AJ151)</f>
        <v>0</v>
      </c>
      <c r="AF152" s="14">
        <f>IF([1]Sheet2!AK151=999999,"NA",[1]Sheet2!AK151)</f>
        <v>0</v>
      </c>
      <c r="AG152" s="14" t="str">
        <f>IF([1]Sheet2!AL151=999999,"NA",[1]Sheet2!AL151)</f>
        <v>NA</v>
      </c>
      <c r="AH152" s="14">
        <f>IF([1]Sheet2!AM151=999999,"NA",[1]Sheet2!AM151)</f>
        <v>216</v>
      </c>
      <c r="AI152" s="14">
        <f>IF([1]Sheet2!AN151=999999,"NA",[1]Sheet2!AN151)</f>
        <v>216</v>
      </c>
      <c r="AJ152" s="14">
        <f>IF([1]Sheet2!AO151=999999,"NA",[1]Sheet2!AO151)</f>
        <v>216</v>
      </c>
      <c r="AK152" s="14">
        <f>IF([1]Sheet2!AP151=999999,"NA",[1]Sheet2!AP151)</f>
        <v>0</v>
      </c>
      <c r="AL152" s="14">
        <f>IF([1]Sheet2!AQ151=999999,"NA",[1]Sheet2!AQ151)</f>
        <v>92</v>
      </c>
      <c r="AM152" s="14">
        <f>IF([1]Sheet2!AR151=999999,"NA",[1]Sheet2!AR151)</f>
        <v>216</v>
      </c>
      <c r="AN152" s="14">
        <f>IF([1]Sheet2!AS151=999999,"NA",[1]Sheet2!AS151)</f>
        <v>148</v>
      </c>
      <c r="AO152" s="14">
        <f>[1]Sheet2!P151</f>
        <v>0</v>
      </c>
      <c r="AP152" s="14">
        <f>[1]Sheet2!Q151</f>
        <v>0</v>
      </c>
      <c r="AQ152" s="14">
        <f>[1]Sheet2!R151</f>
        <v>0</v>
      </c>
      <c r="AR152" s="14">
        <f>[1]Sheet2!S151</f>
        <v>0</v>
      </c>
      <c r="AS152" s="14">
        <f>[1]Sheet2!T151</f>
        <v>0</v>
      </c>
      <c r="AT152" s="14">
        <f>[1]Sheet2!U151</f>
        <v>0</v>
      </c>
      <c r="AU152" s="14">
        <f>[1]Sheet2!V151</f>
        <v>0</v>
      </c>
      <c r="AV152" s="14">
        <f>[1]Sheet2!W151</f>
        <v>0</v>
      </c>
      <c r="AW152" s="14">
        <f>[1]Sheet2!X151</f>
        <v>0</v>
      </c>
      <c r="AX152" s="14">
        <f>[1]Sheet2!Y151</f>
        <v>0</v>
      </c>
      <c r="AY152" s="16">
        <f>Demand_LP!B$7/31</f>
        <v>855.82964911600493</v>
      </c>
      <c r="AZ152" s="16">
        <f>Demand_LP!C$7/31</f>
        <v>478.74276261373035</v>
      </c>
      <c r="BA152" s="16">
        <f>Demand_LP!D$7/31</f>
        <v>366.03598014888337</v>
      </c>
      <c r="BB152" s="16">
        <f>Demand_LP!E$7/31</f>
        <v>837.96277915632766</v>
      </c>
      <c r="BC152" s="16">
        <f>Demand_LP!F$7/31</f>
        <v>447.19049589019846</v>
      </c>
      <c r="BD152" s="16">
        <f>Demand_LP!G$7/31</f>
        <v>855.82964911600493</v>
      </c>
      <c r="BE152" s="16">
        <f>Demand_LP!H$7/31</f>
        <v>478.74276261373035</v>
      </c>
      <c r="BF152" s="16">
        <f>Demand_LP!I$7/31</f>
        <v>447.19049589019846</v>
      </c>
      <c r="BG152" s="16">
        <f>Demand_LP!J$7/31</f>
        <v>447.19049589019846</v>
      </c>
      <c r="BH152" s="16">
        <f>Demand_LP!K$7/31</f>
        <v>447.19049589019846</v>
      </c>
      <c r="BI152" s="16" t="e">
        <f t="shared" si="73"/>
        <v>#VALUE!</v>
      </c>
      <c r="BJ152" s="16">
        <f t="shared" si="74"/>
        <v>-88993.993961952059</v>
      </c>
      <c r="BK152" s="16">
        <f t="shared" si="75"/>
        <v>-43788.047270471419</v>
      </c>
      <c r="BL152" s="16">
        <f t="shared" si="76"/>
        <v>-111971.89109212534</v>
      </c>
      <c r="BM152" s="16">
        <f t="shared" si="77"/>
        <v>-67586.509512926001</v>
      </c>
      <c r="BN152" s="16">
        <f t="shared" si="78"/>
        <v>-108935.76705329747</v>
      </c>
      <c r="BO152" s="16">
        <f t="shared" si="79"/>
        <v>-91351.573449131582</v>
      </c>
      <c r="BP152" s="16">
        <f t="shared" si="80"/>
        <v>-67044.193431296604</v>
      </c>
      <c r="BQ152" s="16">
        <f t="shared" si="81"/>
        <v>-63644.193431296626</v>
      </c>
      <c r="BR152" s="16">
        <f t="shared" si="82"/>
        <v>-64844.193431296611</v>
      </c>
      <c r="BS152" s="14">
        <f>IF([1]Sheet2!CA151=999999,"NA",[1]Sheet2!CA151)</f>
        <v>151634.80656870396</v>
      </c>
      <c r="BT152" s="14">
        <f>IF([1]Sheet2!CB151=999999,"NA",[1]Sheet2!CB151)</f>
        <v>138</v>
      </c>
      <c r="BU152" s="14">
        <f>IF([1]Sheet2!CC151=999999,"NA",[1]Sheet2!CC151)</f>
        <v>216</v>
      </c>
      <c r="BV152" s="14">
        <f>IF([1]Sheet2!CD151=999999,"NA",[1]Sheet2!CD151)</f>
        <v>216</v>
      </c>
      <c r="BW152" s="14">
        <f>IF([1]Sheet2!CE151=999999,"NA",[1]Sheet2!CE151)</f>
        <v>178</v>
      </c>
      <c r="BX152" s="14">
        <f>IF([1]Sheet2!CF151=999999,"NA",[1]Sheet2!CF151)</f>
        <v>216</v>
      </c>
      <c r="BY152" s="14">
        <f>IF([1]Sheet2!CG151=999999,"NA",[1]Sheet2!CG151)</f>
        <v>110</v>
      </c>
      <c r="BZ152" s="14">
        <f>IF([1]Sheet2!CH151=999999,"NA",[1]Sheet2!CH151)</f>
        <v>216</v>
      </c>
      <c r="CA152" s="14">
        <f>IF([1]Sheet2!CI151=999999,"NA",[1]Sheet2!CI151)</f>
        <v>216</v>
      </c>
      <c r="CB152" s="14">
        <f>IF([1]Sheet2!CJ151=999999,"NA",[1]Sheet2!CJ151)</f>
        <v>216</v>
      </c>
      <c r="CC152" s="14">
        <f>[1]Sheet2!BG151</f>
        <v>0</v>
      </c>
      <c r="CD152" s="14">
        <f>[1]Sheet2!BH151</f>
        <v>0</v>
      </c>
      <c r="CE152" s="14">
        <f>[1]Sheet2!BI151</f>
        <v>0</v>
      </c>
      <c r="CF152" s="14">
        <f>[1]Sheet2!BJ151</f>
        <v>0</v>
      </c>
      <c r="CG152" s="14">
        <f>[1]Sheet2!BK151</f>
        <v>0</v>
      </c>
      <c r="CH152" s="14">
        <f>[1]Sheet2!BL151</f>
        <v>0</v>
      </c>
      <c r="CI152" s="14">
        <f>[1]Sheet2!BM151</f>
        <v>0</v>
      </c>
      <c r="CJ152" s="14">
        <f>[1]Sheet2!BN151</f>
        <v>0</v>
      </c>
      <c r="CK152" s="14">
        <f>[1]Sheet2!BO151</f>
        <v>0</v>
      </c>
      <c r="CL152" s="14">
        <f>[1]Sheet2!BP151</f>
        <v>0</v>
      </c>
      <c r="CM152" s="16">
        <f>Demand_SW!B$7/31</f>
        <v>122.8287841191067</v>
      </c>
      <c r="CN152" s="16">
        <f>Demand_SW!C$7/31</f>
        <v>0</v>
      </c>
      <c r="CO152" s="16">
        <f>Demand_SW!D$7/31</f>
        <v>0</v>
      </c>
      <c r="CP152" s="16">
        <f>Demand_SW!E$7/31</f>
        <v>0</v>
      </c>
      <c r="CQ152" s="16">
        <f>Demand_SW!F$7/31</f>
        <v>0</v>
      </c>
      <c r="CR152" s="16">
        <f>Demand_SW!G$7/31</f>
        <v>122.8287841191067</v>
      </c>
      <c r="CS152" s="16">
        <f>Demand_SW!H$7/31</f>
        <v>0</v>
      </c>
      <c r="CT152" s="16">
        <f>Demand_SW!I$7/31</f>
        <v>0</v>
      </c>
      <c r="CU152" s="16">
        <f>Demand_SW!J$7/31</f>
        <v>0</v>
      </c>
      <c r="CV152" s="16">
        <f>Demand_SW!K$7/31</f>
        <v>0</v>
      </c>
      <c r="CW152" s="16">
        <f t="shared" si="83"/>
        <v>30974.888337469027</v>
      </c>
      <c r="CX152" s="16">
        <f t="shared" si="84"/>
        <v>-423.07692307692292</v>
      </c>
      <c r="CY152" s="16">
        <f t="shared" si="85"/>
        <v>0</v>
      </c>
      <c r="CZ152" s="16">
        <f t="shared" si="86"/>
        <v>0</v>
      </c>
      <c r="DA152" s="16">
        <f t="shared" si="87"/>
        <v>0</v>
      </c>
      <c r="DB152" s="16">
        <f t="shared" si="88"/>
        <v>-18554.342431761768</v>
      </c>
      <c r="DC152" s="16">
        <f t="shared" si="89"/>
        <v>-423.07692307692292</v>
      </c>
      <c r="DD152" s="16">
        <f t="shared" si="90"/>
        <v>0</v>
      </c>
      <c r="DE152" s="16">
        <f t="shared" si="91"/>
        <v>0</v>
      </c>
      <c r="DF152" s="16">
        <f t="shared" si="92"/>
        <v>0</v>
      </c>
      <c r="DG152" s="14">
        <f>IF([1]Sheet2!DR151=999999,"NA",[1]Sheet2!DR151)</f>
        <v>73103</v>
      </c>
      <c r="DH152" s="14">
        <f>IF([1]Sheet2!DS151=999999,"NA",[1]Sheet2!DS151)</f>
        <v>216</v>
      </c>
      <c r="DI152" s="14">
        <f>IF([1]Sheet2!DT151=999999,"NA",[1]Sheet2!DT151)</f>
        <v>216</v>
      </c>
      <c r="DJ152" s="14" t="str">
        <f>IF([1]Sheet2!DU151=999999,"NA",[1]Sheet2!DU151)</f>
        <v>NA</v>
      </c>
      <c r="DK152" s="14" t="str">
        <f>IF([1]Sheet2!DV151=999999,"NA",[1]Sheet2!DV151)</f>
        <v>NA</v>
      </c>
      <c r="DL152" s="14" t="str">
        <f>IF([1]Sheet2!DW151=999999,"NA",[1]Sheet2!DW151)</f>
        <v>NA</v>
      </c>
      <c r="DM152" s="14">
        <f>IF([1]Sheet2!DX151=999999,"NA",[1]Sheet2!DX151)</f>
        <v>216</v>
      </c>
      <c r="DN152" s="14">
        <f>IF([1]Sheet2!DY151=999999,"NA",[1]Sheet2!DY151)</f>
        <v>216</v>
      </c>
      <c r="DO152" s="14" t="str">
        <f>IF([1]Sheet2!DZ151=999999,"NA",[1]Sheet2!DZ151)</f>
        <v>NA</v>
      </c>
      <c r="DP152" s="14" t="str">
        <f>IF([1]Sheet2!EA151=999999,"NA",[1]Sheet2!EA151)</f>
        <v>NA</v>
      </c>
      <c r="DQ152" s="14">
        <f>[1]Sheet2!CX151</f>
        <v>0</v>
      </c>
      <c r="DR152" s="14">
        <f>[1]Sheet2!CY151</f>
        <v>0</v>
      </c>
      <c r="DS152" s="14">
        <f>[1]Sheet2!CZ151</f>
        <v>0</v>
      </c>
      <c r="DT152" s="14">
        <f>[1]Sheet2!DA151</f>
        <v>0</v>
      </c>
      <c r="DU152" s="14">
        <f>[1]Sheet2!DB151</f>
        <v>0</v>
      </c>
      <c r="DV152" s="14">
        <f>[1]Sheet2!DC151</f>
        <v>0</v>
      </c>
      <c r="DW152" s="14">
        <f>[1]Sheet2!DD151</f>
        <v>0</v>
      </c>
      <c r="DX152" s="14">
        <f>[1]Sheet2!DE151</f>
        <v>0</v>
      </c>
      <c r="DY152" s="14">
        <f>[1]Sheet2!DF151</f>
        <v>0</v>
      </c>
      <c r="DZ152" s="14">
        <f>[1]Sheet2!DG151</f>
        <v>0</v>
      </c>
    </row>
    <row r="153" spans="1:130" x14ac:dyDescent="0.25">
      <c r="A153" s="15">
        <v>43615</v>
      </c>
      <c r="B153" s="1"/>
      <c r="C153" s="1"/>
      <c r="D153" s="1"/>
      <c r="E153" s="14">
        <f>[1]Sheet2!N152</f>
        <v>0</v>
      </c>
      <c r="F153" s="14">
        <f>[1]Sheet2!BE152</f>
        <v>0</v>
      </c>
      <c r="G153" s="14">
        <f>[1]Sheet2!CV152</f>
        <v>245.6575682382134</v>
      </c>
      <c r="H153" s="1"/>
      <c r="I153" s="1"/>
      <c r="J153" s="1"/>
      <c r="K153" s="16">
        <f>Demand_CWRS!B$7/31</f>
        <v>129.8994219137717</v>
      </c>
      <c r="L153" s="16">
        <f>Demand_CWRS!C$7/31</f>
        <v>543.3829611248965</v>
      </c>
      <c r="M153" s="16">
        <f>Demand_CWRS!D$7/31</f>
        <v>0</v>
      </c>
      <c r="N153" s="16">
        <f>Demand_CWRS!E$7/31</f>
        <v>131.84491315136475</v>
      </c>
      <c r="O153" s="16">
        <f>Demand_CWRS!F$7/31</f>
        <v>232.12592522229113</v>
      </c>
      <c r="P153" s="16">
        <f>Demand_CWRS!G$7/31</f>
        <v>129.8994219137717</v>
      </c>
      <c r="Q153" s="16">
        <f>Demand_CWRS!H$7/31</f>
        <v>543.3829611248965</v>
      </c>
      <c r="R153" s="16">
        <f>Demand_CWRS!I$7/31</f>
        <v>232.12592522229113</v>
      </c>
      <c r="S153" s="16">
        <f>Demand_CWRS!J$7/31</f>
        <v>232.12592522229113</v>
      </c>
      <c r="T153" s="16">
        <f>Demand_CWRS!K$7/31</f>
        <v>232.12592522229113</v>
      </c>
      <c r="U153" s="16">
        <f t="shared" si="63"/>
        <v>-22484.816298175036</v>
      </c>
      <c r="V153" s="16">
        <f t="shared" si="64"/>
        <v>-68816.62473118263</v>
      </c>
      <c r="W153" s="16">
        <f t="shared" si="65"/>
        <v>0</v>
      </c>
      <c r="X153" s="16">
        <f t="shared" si="66"/>
        <v>-15703.982918721407</v>
      </c>
      <c r="Y153" s="16">
        <f t="shared" si="67"/>
        <v>-33474.159015340869</v>
      </c>
      <c r="Z153" s="16">
        <f t="shared" si="68"/>
        <v>-22159.043149136585</v>
      </c>
      <c r="AA153" s="16">
        <f t="shared" si="69"/>
        <v>-68316.62473118263</v>
      </c>
      <c r="AB153" s="16">
        <f t="shared" si="70"/>
        <v>-31162.192428802395</v>
      </c>
      <c r="AC153" s="16">
        <f t="shared" si="71"/>
        <v>-31162.192428802384</v>
      </c>
      <c r="AD153" s="16">
        <f t="shared" si="72"/>
        <v>-31862.192428802387</v>
      </c>
      <c r="AE153" s="14">
        <f>IF([1]Sheet2!AJ152=999999,"NA",[1]Sheet2!AJ152)</f>
        <v>0</v>
      </c>
      <c r="AF153" s="14">
        <f>IF([1]Sheet2!AK152=999999,"NA",[1]Sheet2!AK152)</f>
        <v>0</v>
      </c>
      <c r="AG153" s="14" t="str">
        <f>IF([1]Sheet2!AL152=999999,"NA",[1]Sheet2!AL152)</f>
        <v>NA</v>
      </c>
      <c r="AH153" s="14">
        <f>IF([1]Sheet2!AM152=999999,"NA",[1]Sheet2!AM152)</f>
        <v>215</v>
      </c>
      <c r="AI153" s="14">
        <f>IF([1]Sheet2!AN152=999999,"NA",[1]Sheet2!AN152)</f>
        <v>215</v>
      </c>
      <c r="AJ153" s="14">
        <f>IF([1]Sheet2!AO152=999999,"NA",[1]Sheet2!AO152)</f>
        <v>215</v>
      </c>
      <c r="AK153" s="14">
        <f>IF([1]Sheet2!AP152=999999,"NA",[1]Sheet2!AP152)</f>
        <v>0</v>
      </c>
      <c r="AL153" s="14">
        <f>IF([1]Sheet2!AQ152=999999,"NA",[1]Sheet2!AQ152)</f>
        <v>91</v>
      </c>
      <c r="AM153" s="14">
        <f>IF([1]Sheet2!AR152=999999,"NA",[1]Sheet2!AR152)</f>
        <v>215</v>
      </c>
      <c r="AN153" s="14">
        <f>IF([1]Sheet2!AS152=999999,"NA",[1]Sheet2!AS152)</f>
        <v>147</v>
      </c>
      <c r="AO153" s="14">
        <f>[1]Sheet2!P152</f>
        <v>0</v>
      </c>
      <c r="AP153" s="14">
        <f>[1]Sheet2!Q152</f>
        <v>0</v>
      </c>
      <c r="AQ153" s="14">
        <f>[1]Sheet2!R152</f>
        <v>0</v>
      </c>
      <c r="AR153" s="14">
        <f>[1]Sheet2!S152</f>
        <v>0</v>
      </c>
      <c r="AS153" s="14">
        <f>[1]Sheet2!T152</f>
        <v>0</v>
      </c>
      <c r="AT153" s="14">
        <f>[1]Sheet2!U152</f>
        <v>0</v>
      </c>
      <c r="AU153" s="14">
        <f>[1]Sheet2!V152</f>
        <v>0</v>
      </c>
      <c r="AV153" s="14">
        <f>[1]Sheet2!W152</f>
        <v>0</v>
      </c>
      <c r="AW153" s="14">
        <f>[1]Sheet2!X152</f>
        <v>0</v>
      </c>
      <c r="AX153" s="14">
        <f>[1]Sheet2!Y152</f>
        <v>0</v>
      </c>
      <c r="AY153" s="16">
        <f>Demand_LP!B$7/31</f>
        <v>855.82964911600493</v>
      </c>
      <c r="AZ153" s="16">
        <f>Demand_LP!C$7/31</f>
        <v>478.74276261373035</v>
      </c>
      <c r="BA153" s="16">
        <f>Demand_LP!D$7/31</f>
        <v>366.03598014888337</v>
      </c>
      <c r="BB153" s="16">
        <f>Demand_LP!E$7/31</f>
        <v>837.96277915632766</v>
      </c>
      <c r="BC153" s="16">
        <f>Demand_LP!F$7/31</f>
        <v>447.19049589019846</v>
      </c>
      <c r="BD153" s="16">
        <f>Demand_LP!G$7/31</f>
        <v>855.82964911600493</v>
      </c>
      <c r="BE153" s="16">
        <f>Demand_LP!H$7/31</f>
        <v>478.74276261373035</v>
      </c>
      <c r="BF153" s="16">
        <f>Demand_LP!I$7/31</f>
        <v>447.19049589019846</v>
      </c>
      <c r="BG153" s="16">
        <f>Demand_LP!J$7/31</f>
        <v>447.19049589019846</v>
      </c>
      <c r="BH153" s="16">
        <f>Demand_LP!K$7/31</f>
        <v>447.19049589019846</v>
      </c>
      <c r="BI153" s="16" t="e">
        <f t="shared" si="73"/>
        <v>#VALUE!</v>
      </c>
      <c r="BJ153" s="16">
        <f t="shared" si="74"/>
        <v>-89472.736724565795</v>
      </c>
      <c r="BK153" s="16">
        <f t="shared" si="75"/>
        <v>-44154.083250620301</v>
      </c>
      <c r="BL153" s="16">
        <f t="shared" si="76"/>
        <v>-112809.85387128167</v>
      </c>
      <c r="BM153" s="16">
        <f t="shared" si="77"/>
        <v>-68033.700008816202</v>
      </c>
      <c r="BN153" s="16">
        <f t="shared" si="78"/>
        <v>-109791.59670241347</v>
      </c>
      <c r="BO153" s="16">
        <f t="shared" si="79"/>
        <v>-91830.316211745318</v>
      </c>
      <c r="BP153" s="16">
        <f t="shared" si="80"/>
        <v>-67491.383927186806</v>
      </c>
      <c r="BQ153" s="16">
        <f t="shared" si="81"/>
        <v>-64091.383927186827</v>
      </c>
      <c r="BR153" s="16">
        <f t="shared" si="82"/>
        <v>-65291.383927186813</v>
      </c>
      <c r="BS153" s="14">
        <f>IF([1]Sheet2!CA152=999999,"NA",[1]Sheet2!CA152)</f>
        <v>151187.61607281378</v>
      </c>
      <c r="BT153" s="14">
        <f>IF([1]Sheet2!CB152=999999,"NA",[1]Sheet2!CB152)</f>
        <v>137</v>
      </c>
      <c r="BU153" s="14">
        <f>IF([1]Sheet2!CC152=999999,"NA",[1]Sheet2!CC152)</f>
        <v>215</v>
      </c>
      <c r="BV153" s="14">
        <f>IF([1]Sheet2!CD152=999999,"NA",[1]Sheet2!CD152)</f>
        <v>215</v>
      </c>
      <c r="BW153" s="14">
        <f>IF([1]Sheet2!CE152=999999,"NA",[1]Sheet2!CE152)</f>
        <v>177</v>
      </c>
      <c r="BX153" s="14">
        <f>IF([1]Sheet2!CF152=999999,"NA",[1]Sheet2!CF152)</f>
        <v>215</v>
      </c>
      <c r="BY153" s="14">
        <f>IF([1]Sheet2!CG152=999999,"NA",[1]Sheet2!CG152)</f>
        <v>109</v>
      </c>
      <c r="BZ153" s="14">
        <f>IF([1]Sheet2!CH152=999999,"NA",[1]Sheet2!CH152)</f>
        <v>215</v>
      </c>
      <c r="CA153" s="14">
        <f>IF([1]Sheet2!CI152=999999,"NA",[1]Sheet2!CI152)</f>
        <v>215</v>
      </c>
      <c r="CB153" s="14">
        <f>IF([1]Sheet2!CJ152=999999,"NA",[1]Sheet2!CJ152)</f>
        <v>215</v>
      </c>
      <c r="CC153" s="14">
        <f>[1]Sheet2!BG152</f>
        <v>0</v>
      </c>
      <c r="CD153" s="14">
        <f>[1]Sheet2!BH152</f>
        <v>0</v>
      </c>
      <c r="CE153" s="14">
        <f>[1]Sheet2!BI152</f>
        <v>0</v>
      </c>
      <c r="CF153" s="14">
        <f>[1]Sheet2!BJ152</f>
        <v>0</v>
      </c>
      <c r="CG153" s="14">
        <f>[1]Sheet2!BK152</f>
        <v>0</v>
      </c>
      <c r="CH153" s="14">
        <f>[1]Sheet2!BL152</f>
        <v>0</v>
      </c>
      <c r="CI153" s="14">
        <f>[1]Sheet2!BM152</f>
        <v>0</v>
      </c>
      <c r="CJ153" s="14">
        <f>[1]Sheet2!BN152</f>
        <v>0</v>
      </c>
      <c r="CK153" s="14">
        <f>[1]Sheet2!BO152</f>
        <v>0</v>
      </c>
      <c r="CL153" s="14">
        <f>[1]Sheet2!BP152</f>
        <v>0</v>
      </c>
      <c r="CM153" s="16">
        <f>Demand_SW!B$7/31</f>
        <v>122.8287841191067</v>
      </c>
      <c r="CN153" s="16">
        <f>Demand_SW!C$7/31</f>
        <v>0</v>
      </c>
      <c r="CO153" s="16">
        <f>Demand_SW!D$7/31</f>
        <v>0</v>
      </c>
      <c r="CP153" s="16">
        <f>Demand_SW!E$7/31</f>
        <v>0</v>
      </c>
      <c r="CQ153" s="16">
        <f>Demand_SW!F$7/31</f>
        <v>0</v>
      </c>
      <c r="CR153" s="16">
        <f>Demand_SW!G$7/31</f>
        <v>122.8287841191067</v>
      </c>
      <c r="CS153" s="16">
        <f>Demand_SW!H$7/31</f>
        <v>0</v>
      </c>
      <c r="CT153" s="16">
        <f>Demand_SW!I$7/31</f>
        <v>0</v>
      </c>
      <c r="CU153" s="16">
        <f>Demand_SW!J$7/31</f>
        <v>0</v>
      </c>
      <c r="CV153" s="16">
        <f>Demand_SW!K$7/31</f>
        <v>0</v>
      </c>
      <c r="CW153" s="16">
        <f t="shared" si="83"/>
        <v>30852.059553349922</v>
      </c>
      <c r="CX153" s="16">
        <f t="shared" si="84"/>
        <v>-423.07692307692292</v>
      </c>
      <c r="CY153" s="16">
        <f t="shared" si="85"/>
        <v>0</v>
      </c>
      <c r="CZ153" s="16">
        <f t="shared" si="86"/>
        <v>0</v>
      </c>
      <c r="DA153" s="16">
        <f t="shared" si="87"/>
        <v>0</v>
      </c>
      <c r="DB153" s="16">
        <f t="shared" si="88"/>
        <v>-18677.171215880873</v>
      </c>
      <c r="DC153" s="16">
        <f t="shared" si="89"/>
        <v>-423.07692307692292</v>
      </c>
      <c r="DD153" s="16">
        <f t="shared" si="90"/>
        <v>0</v>
      </c>
      <c r="DE153" s="16">
        <f t="shared" si="91"/>
        <v>0</v>
      </c>
      <c r="DF153" s="16">
        <f t="shared" si="92"/>
        <v>0</v>
      </c>
      <c r="DG153" s="14">
        <f>IF([1]Sheet2!DR152=999999,"NA",[1]Sheet2!DR152)</f>
        <v>73103</v>
      </c>
      <c r="DH153" s="14">
        <f>IF([1]Sheet2!DS152=999999,"NA",[1]Sheet2!DS152)</f>
        <v>215</v>
      </c>
      <c r="DI153" s="14">
        <f>IF([1]Sheet2!DT152=999999,"NA",[1]Sheet2!DT152)</f>
        <v>215</v>
      </c>
      <c r="DJ153" s="14" t="str">
        <f>IF([1]Sheet2!DU152=999999,"NA",[1]Sheet2!DU152)</f>
        <v>NA</v>
      </c>
      <c r="DK153" s="14" t="str">
        <f>IF([1]Sheet2!DV152=999999,"NA",[1]Sheet2!DV152)</f>
        <v>NA</v>
      </c>
      <c r="DL153" s="14" t="str">
        <f>IF([1]Sheet2!DW152=999999,"NA",[1]Sheet2!DW152)</f>
        <v>NA</v>
      </c>
      <c r="DM153" s="14">
        <f>IF([1]Sheet2!DX152=999999,"NA",[1]Sheet2!DX152)</f>
        <v>215</v>
      </c>
      <c r="DN153" s="14">
        <f>IF([1]Sheet2!DY152=999999,"NA",[1]Sheet2!DY152)</f>
        <v>215</v>
      </c>
      <c r="DO153" s="14" t="str">
        <f>IF([1]Sheet2!DZ152=999999,"NA",[1]Sheet2!DZ152)</f>
        <v>NA</v>
      </c>
      <c r="DP153" s="14" t="str">
        <f>IF([1]Sheet2!EA152=999999,"NA",[1]Sheet2!EA152)</f>
        <v>NA</v>
      </c>
      <c r="DQ153" s="14">
        <f>[1]Sheet2!CX152</f>
        <v>0</v>
      </c>
      <c r="DR153" s="14">
        <f>[1]Sheet2!CY152</f>
        <v>0</v>
      </c>
      <c r="DS153" s="14">
        <f>[1]Sheet2!CZ152</f>
        <v>0</v>
      </c>
      <c r="DT153" s="14">
        <f>[1]Sheet2!DA152</f>
        <v>0</v>
      </c>
      <c r="DU153" s="14">
        <f>[1]Sheet2!DB152</f>
        <v>0</v>
      </c>
      <c r="DV153" s="14">
        <f>[1]Sheet2!DC152</f>
        <v>0</v>
      </c>
      <c r="DW153" s="14">
        <f>[1]Sheet2!DD152</f>
        <v>0</v>
      </c>
      <c r="DX153" s="14">
        <f>[1]Sheet2!DE152</f>
        <v>0</v>
      </c>
      <c r="DY153" s="14">
        <f>[1]Sheet2!DF152</f>
        <v>0</v>
      </c>
      <c r="DZ153" s="14">
        <f>[1]Sheet2!DG152</f>
        <v>0</v>
      </c>
    </row>
    <row r="154" spans="1:130" x14ac:dyDescent="0.25">
      <c r="A154" s="15">
        <v>43616</v>
      </c>
      <c r="B154" s="1"/>
      <c r="C154" s="1"/>
      <c r="D154" s="1"/>
      <c r="E154" s="14">
        <f>[1]Sheet2!N153</f>
        <v>0</v>
      </c>
      <c r="F154" s="14">
        <f>[1]Sheet2!BE153</f>
        <v>0</v>
      </c>
      <c r="G154" s="14">
        <f>[1]Sheet2!CV153</f>
        <v>245.6575682382134</v>
      </c>
      <c r="H154" s="1"/>
      <c r="I154" s="1"/>
      <c r="J154" s="1"/>
      <c r="K154" s="16">
        <f>Demand_CWRS!B$7/31</f>
        <v>129.8994219137717</v>
      </c>
      <c r="L154" s="16">
        <f>Demand_CWRS!C$7/31</f>
        <v>543.3829611248965</v>
      </c>
      <c r="M154" s="16">
        <f>Demand_CWRS!D$7/31</f>
        <v>0</v>
      </c>
      <c r="N154" s="16">
        <f>Demand_CWRS!E$7/31</f>
        <v>131.84491315136475</v>
      </c>
      <c r="O154" s="16">
        <f>Demand_CWRS!F$7/31</f>
        <v>232.12592522229113</v>
      </c>
      <c r="P154" s="16">
        <f>Demand_CWRS!G$7/31</f>
        <v>129.8994219137717</v>
      </c>
      <c r="Q154" s="16">
        <f>Demand_CWRS!H$7/31</f>
        <v>543.3829611248965</v>
      </c>
      <c r="R154" s="16">
        <f>Demand_CWRS!I$7/31</f>
        <v>232.12592522229113</v>
      </c>
      <c r="S154" s="16">
        <f>Demand_CWRS!J$7/31</f>
        <v>232.12592522229113</v>
      </c>
      <c r="T154" s="16">
        <f>Demand_CWRS!K$7/31</f>
        <v>232.12592522229113</v>
      </c>
      <c r="U154" s="16">
        <f t="shared" si="63"/>
        <v>-22614.715720088807</v>
      </c>
      <c r="V154" s="16">
        <f t="shared" si="64"/>
        <v>-69360.007692307525</v>
      </c>
      <c r="W154" s="16">
        <f t="shared" si="65"/>
        <v>0</v>
      </c>
      <c r="X154" s="16">
        <f t="shared" si="66"/>
        <v>-15835.827831872772</v>
      </c>
      <c r="Y154" s="16">
        <f t="shared" si="67"/>
        <v>-33706.284940563157</v>
      </c>
      <c r="Z154" s="16">
        <f t="shared" si="68"/>
        <v>-22288.942571050356</v>
      </c>
      <c r="AA154" s="16">
        <f t="shared" si="69"/>
        <v>-68860.007692307525</v>
      </c>
      <c r="AB154" s="16">
        <f t="shared" si="70"/>
        <v>-31394.318354024686</v>
      </c>
      <c r="AC154" s="16">
        <f t="shared" si="71"/>
        <v>-31394.318354024676</v>
      </c>
      <c r="AD154" s="16">
        <f t="shared" si="72"/>
        <v>-32094.318354024679</v>
      </c>
      <c r="AE154" s="14">
        <f>IF([1]Sheet2!AJ153=999999,"NA",[1]Sheet2!AJ153)</f>
        <v>0</v>
      </c>
      <c r="AF154" s="14">
        <f>IF([1]Sheet2!AK153=999999,"NA",[1]Sheet2!AK153)</f>
        <v>0</v>
      </c>
      <c r="AG154" s="14" t="str">
        <f>IF([1]Sheet2!AL153=999999,"NA",[1]Sheet2!AL153)</f>
        <v>NA</v>
      </c>
      <c r="AH154" s="14">
        <f>IF([1]Sheet2!AM153=999999,"NA",[1]Sheet2!AM153)</f>
        <v>214</v>
      </c>
      <c r="AI154" s="14">
        <f>IF([1]Sheet2!AN153=999999,"NA",[1]Sheet2!AN153)</f>
        <v>214</v>
      </c>
      <c r="AJ154" s="14">
        <f>IF([1]Sheet2!AO153=999999,"NA",[1]Sheet2!AO153)</f>
        <v>214</v>
      </c>
      <c r="AK154" s="14">
        <f>IF([1]Sheet2!AP153=999999,"NA",[1]Sheet2!AP153)</f>
        <v>0</v>
      </c>
      <c r="AL154" s="14">
        <f>IF([1]Sheet2!AQ153=999999,"NA",[1]Sheet2!AQ153)</f>
        <v>90</v>
      </c>
      <c r="AM154" s="14">
        <f>IF([1]Sheet2!AR153=999999,"NA",[1]Sheet2!AR153)</f>
        <v>214</v>
      </c>
      <c r="AN154" s="14">
        <f>IF([1]Sheet2!AS153=999999,"NA",[1]Sheet2!AS153)</f>
        <v>146</v>
      </c>
      <c r="AO154" s="14">
        <f>[1]Sheet2!P153</f>
        <v>0</v>
      </c>
      <c r="AP154" s="14">
        <f>[1]Sheet2!Q153</f>
        <v>0</v>
      </c>
      <c r="AQ154" s="14">
        <f>[1]Sheet2!R153</f>
        <v>0</v>
      </c>
      <c r="AR154" s="14">
        <f>[1]Sheet2!S153</f>
        <v>0</v>
      </c>
      <c r="AS154" s="14">
        <f>[1]Sheet2!T153</f>
        <v>0</v>
      </c>
      <c r="AT154" s="14">
        <f>[1]Sheet2!U153</f>
        <v>0</v>
      </c>
      <c r="AU154" s="14">
        <f>[1]Sheet2!V153</f>
        <v>0</v>
      </c>
      <c r="AV154" s="14">
        <f>[1]Sheet2!W153</f>
        <v>0</v>
      </c>
      <c r="AW154" s="14">
        <f>[1]Sheet2!X153</f>
        <v>0</v>
      </c>
      <c r="AX154" s="14">
        <f>[1]Sheet2!Y153</f>
        <v>0</v>
      </c>
      <c r="AY154" s="16">
        <f>Demand_LP!B$7/31</f>
        <v>855.82964911600493</v>
      </c>
      <c r="AZ154" s="16">
        <f>Demand_LP!C$7/31</f>
        <v>478.74276261373035</v>
      </c>
      <c r="BA154" s="16">
        <f>Demand_LP!D$7/31</f>
        <v>366.03598014888337</v>
      </c>
      <c r="BB154" s="16">
        <f>Demand_LP!E$7/31</f>
        <v>837.96277915632766</v>
      </c>
      <c r="BC154" s="16">
        <f>Demand_LP!F$7/31</f>
        <v>447.19049589019846</v>
      </c>
      <c r="BD154" s="16">
        <f>Demand_LP!G$7/31</f>
        <v>855.82964911600493</v>
      </c>
      <c r="BE154" s="16">
        <f>Demand_LP!H$7/31</f>
        <v>478.74276261373035</v>
      </c>
      <c r="BF154" s="16">
        <f>Demand_LP!I$7/31</f>
        <v>447.19049589019846</v>
      </c>
      <c r="BG154" s="16">
        <f>Demand_LP!J$7/31</f>
        <v>447.19049589019846</v>
      </c>
      <c r="BH154" s="16">
        <f>Demand_LP!K$7/31</f>
        <v>447.19049589019846</v>
      </c>
      <c r="BI154" s="16" t="e">
        <f t="shared" si="73"/>
        <v>#VALUE!</v>
      </c>
      <c r="BJ154" s="16">
        <f t="shared" si="74"/>
        <v>-89951.479487179531</v>
      </c>
      <c r="BK154" s="16">
        <f t="shared" si="75"/>
        <v>-44520.119230769182</v>
      </c>
      <c r="BL154" s="16">
        <f t="shared" si="76"/>
        <v>-113647.81665043799</v>
      </c>
      <c r="BM154" s="16">
        <f t="shared" si="77"/>
        <v>-68480.890504706404</v>
      </c>
      <c r="BN154" s="16">
        <f t="shared" si="78"/>
        <v>-110647.42635152947</v>
      </c>
      <c r="BO154" s="16">
        <f t="shared" si="79"/>
        <v>-92309.058974359054</v>
      </c>
      <c r="BP154" s="16">
        <f t="shared" si="80"/>
        <v>-67938.574423077007</v>
      </c>
      <c r="BQ154" s="16">
        <f t="shared" si="81"/>
        <v>-64538.574423077029</v>
      </c>
      <c r="BR154" s="16">
        <f t="shared" si="82"/>
        <v>-65738.574423077007</v>
      </c>
      <c r="BS154" s="14">
        <f>IF([1]Sheet2!CA153=999999,"NA",[1]Sheet2!CA153)</f>
        <v>150740.42557692359</v>
      </c>
      <c r="BT154" s="14">
        <f>IF([1]Sheet2!CB153=999999,"NA",[1]Sheet2!CB153)</f>
        <v>136</v>
      </c>
      <c r="BU154" s="14">
        <f>IF([1]Sheet2!CC153=999999,"NA",[1]Sheet2!CC153)</f>
        <v>214</v>
      </c>
      <c r="BV154" s="14">
        <f>IF([1]Sheet2!CD153=999999,"NA",[1]Sheet2!CD153)</f>
        <v>214</v>
      </c>
      <c r="BW154" s="14">
        <f>IF([1]Sheet2!CE153=999999,"NA",[1]Sheet2!CE153)</f>
        <v>176</v>
      </c>
      <c r="BX154" s="14">
        <f>IF([1]Sheet2!CF153=999999,"NA",[1]Sheet2!CF153)</f>
        <v>214</v>
      </c>
      <c r="BY154" s="14">
        <f>IF([1]Sheet2!CG153=999999,"NA",[1]Sheet2!CG153)</f>
        <v>108</v>
      </c>
      <c r="BZ154" s="14">
        <f>IF([1]Sheet2!CH153=999999,"NA",[1]Sheet2!CH153)</f>
        <v>214</v>
      </c>
      <c r="CA154" s="14">
        <f>IF([1]Sheet2!CI153=999999,"NA",[1]Sheet2!CI153)</f>
        <v>214</v>
      </c>
      <c r="CB154" s="14">
        <f>IF([1]Sheet2!CJ153=999999,"NA",[1]Sheet2!CJ153)</f>
        <v>214</v>
      </c>
      <c r="CC154" s="14">
        <f>[1]Sheet2!BG153</f>
        <v>0</v>
      </c>
      <c r="CD154" s="14">
        <f>[1]Sheet2!BH153</f>
        <v>0</v>
      </c>
      <c r="CE154" s="14">
        <f>[1]Sheet2!BI153</f>
        <v>0</v>
      </c>
      <c r="CF154" s="14">
        <f>[1]Sheet2!BJ153</f>
        <v>0</v>
      </c>
      <c r="CG154" s="14">
        <f>[1]Sheet2!BK153</f>
        <v>0</v>
      </c>
      <c r="CH154" s="14">
        <f>[1]Sheet2!BL153</f>
        <v>0</v>
      </c>
      <c r="CI154" s="14">
        <f>[1]Sheet2!BM153</f>
        <v>0</v>
      </c>
      <c r="CJ154" s="14">
        <f>[1]Sheet2!BN153</f>
        <v>0</v>
      </c>
      <c r="CK154" s="14">
        <f>[1]Sheet2!BO153</f>
        <v>0</v>
      </c>
      <c r="CL154" s="14">
        <f>[1]Sheet2!BP153</f>
        <v>0</v>
      </c>
      <c r="CM154" s="16">
        <f>Demand_SW!B$7/31</f>
        <v>122.8287841191067</v>
      </c>
      <c r="CN154" s="16">
        <f>Demand_SW!C$7/31</f>
        <v>0</v>
      </c>
      <c r="CO154" s="16">
        <f>Demand_SW!D$7/31</f>
        <v>0</v>
      </c>
      <c r="CP154" s="16">
        <f>Demand_SW!E$7/31</f>
        <v>0</v>
      </c>
      <c r="CQ154" s="16">
        <f>Demand_SW!F$7/31</f>
        <v>0</v>
      </c>
      <c r="CR154" s="16">
        <f>Demand_SW!G$7/31</f>
        <v>122.8287841191067</v>
      </c>
      <c r="CS154" s="16">
        <f>Demand_SW!H$7/31</f>
        <v>0</v>
      </c>
      <c r="CT154" s="16">
        <f>Demand_SW!I$7/31</f>
        <v>0</v>
      </c>
      <c r="CU154" s="16">
        <f>Demand_SW!J$7/31</f>
        <v>0</v>
      </c>
      <c r="CV154" s="16">
        <f>Demand_SW!K$7/31</f>
        <v>0</v>
      </c>
      <c r="CW154" s="16">
        <f t="shared" si="83"/>
        <v>30729.230769230817</v>
      </c>
      <c r="CX154" s="16">
        <f t="shared" si="84"/>
        <v>-423.07692307692292</v>
      </c>
      <c r="CY154" s="16">
        <f t="shared" si="85"/>
        <v>0</v>
      </c>
      <c r="CZ154" s="16">
        <f t="shared" si="86"/>
        <v>0</v>
      </c>
      <c r="DA154" s="16">
        <f t="shared" si="87"/>
        <v>0</v>
      </c>
      <c r="DB154" s="16">
        <f t="shared" si="88"/>
        <v>-18799.999999999978</v>
      </c>
      <c r="DC154" s="16">
        <f t="shared" si="89"/>
        <v>-423.07692307692292</v>
      </c>
      <c r="DD154" s="16">
        <f t="shared" si="90"/>
        <v>0</v>
      </c>
      <c r="DE154" s="16">
        <f t="shared" si="91"/>
        <v>0</v>
      </c>
      <c r="DF154" s="16">
        <f t="shared" si="92"/>
        <v>0</v>
      </c>
      <c r="DG154" s="14">
        <f>IF([1]Sheet2!DR153=999999,"NA",[1]Sheet2!DR153)</f>
        <v>73103</v>
      </c>
      <c r="DH154" s="14">
        <f>IF([1]Sheet2!DS153=999999,"NA",[1]Sheet2!DS153)</f>
        <v>214</v>
      </c>
      <c r="DI154" s="14">
        <f>IF([1]Sheet2!DT153=999999,"NA",[1]Sheet2!DT153)</f>
        <v>214</v>
      </c>
      <c r="DJ154" s="14" t="str">
        <f>IF([1]Sheet2!DU153=999999,"NA",[1]Sheet2!DU153)</f>
        <v>NA</v>
      </c>
      <c r="DK154" s="14" t="str">
        <f>IF([1]Sheet2!DV153=999999,"NA",[1]Sheet2!DV153)</f>
        <v>NA</v>
      </c>
      <c r="DL154" s="14" t="str">
        <f>IF([1]Sheet2!DW153=999999,"NA",[1]Sheet2!DW153)</f>
        <v>NA</v>
      </c>
      <c r="DM154" s="14">
        <f>IF([1]Sheet2!DX153=999999,"NA",[1]Sheet2!DX153)</f>
        <v>214</v>
      </c>
      <c r="DN154" s="14">
        <f>IF([1]Sheet2!DY153=999999,"NA",[1]Sheet2!DY153)</f>
        <v>214</v>
      </c>
      <c r="DO154" s="14" t="str">
        <f>IF([1]Sheet2!DZ153=999999,"NA",[1]Sheet2!DZ153)</f>
        <v>NA</v>
      </c>
      <c r="DP154" s="14" t="str">
        <f>IF([1]Sheet2!EA153=999999,"NA",[1]Sheet2!EA153)</f>
        <v>NA</v>
      </c>
      <c r="DQ154" s="14">
        <f>[1]Sheet2!CX153</f>
        <v>0</v>
      </c>
      <c r="DR154" s="14">
        <f>[1]Sheet2!CY153</f>
        <v>0</v>
      </c>
      <c r="DS154" s="14">
        <f>[1]Sheet2!CZ153</f>
        <v>0</v>
      </c>
      <c r="DT154" s="14">
        <f>[1]Sheet2!DA153</f>
        <v>0</v>
      </c>
      <c r="DU154" s="14">
        <f>[1]Sheet2!DB153</f>
        <v>0</v>
      </c>
      <c r="DV154" s="14">
        <f>[1]Sheet2!DC153</f>
        <v>0</v>
      </c>
      <c r="DW154" s="14">
        <f>[1]Sheet2!DD153</f>
        <v>0</v>
      </c>
      <c r="DX154" s="14">
        <f>[1]Sheet2!DE153</f>
        <v>0</v>
      </c>
      <c r="DY154" s="14">
        <f>[1]Sheet2!DF153</f>
        <v>0</v>
      </c>
      <c r="DZ154" s="14">
        <f>[1]Sheet2!DG153</f>
        <v>0</v>
      </c>
    </row>
    <row r="155" spans="1:130" x14ac:dyDescent="0.25">
      <c r="A155" s="15">
        <v>43617</v>
      </c>
      <c r="B155" s="1"/>
      <c r="C155" s="1"/>
      <c r="D155" s="1"/>
      <c r="E155" s="14">
        <f>[1]Sheet2!N154</f>
        <v>0</v>
      </c>
      <c r="F155" s="14">
        <f>[1]Sheet2!BE154</f>
        <v>0</v>
      </c>
      <c r="G155" s="14">
        <f>[1]Sheet2!CV154</f>
        <v>288.46153846153851</v>
      </c>
      <c r="H155" s="1"/>
      <c r="I155" s="1"/>
      <c r="J155" s="1"/>
      <c r="K155" s="16">
        <f>Demand_CWRS!B$8/30</f>
        <v>124.86819391025641</v>
      </c>
      <c r="L155" s="16">
        <f>Demand_CWRS!C$8/30</f>
        <v>583.20512820512829</v>
      </c>
      <c r="M155" s="16">
        <f>Demand_CWRS!D$8/30</f>
        <v>0</v>
      </c>
      <c r="N155" s="16">
        <f>Demand_CWRS!E$8/30</f>
        <v>156.84829059829062</v>
      </c>
      <c r="O155" s="16">
        <f>Demand_CWRS!F$8/30</f>
        <v>252.39596314102559</v>
      </c>
      <c r="P155" s="16">
        <f>Demand_CWRS!G$8/30</f>
        <v>124.86819391025641</v>
      </c>
      <c r="Q155" s="16">
        <f>Demand_CWRS!H$8/30</f>
        <v>583.20512820512829</v>
      </c>
      <c r="R155" s="16">
        <f>Demand_CWRS!I$8/30</f>
        <v>246.66666666666666</v>
      </c>
      <c r="S155" s="16">
        <f>Demand_CWRS!J$8/30</f>
        <v>246.66666666666666</v>
      </c>
      <c r="T155" s="16">
        <f>Demand_CWRS!K$8/30</f>
        <v>246.66666666666666</v>
      </c>
      <c r="U155" s="16">
        <f t="shared" si="63"/>
        <v>-22739.583913999064</v>
      </c>
      <c r="V155" s="16">
        <f t="shared" si="64"/>
        <v>-69943.21282051265</v>
      </c>
      <c r="W155" s="16">
        <f t="shared" si="65"/>
        <v>0</v>
      </c>
      <c r="X155" s="16">
        <f t="shared" si="66"/>
        <v>-15992.676122471063</v>
      </c>
      <c r="Y155" s="16">
        <f t="shared" si="67"/>
        <v>-33958.680903704182</v>
      </c>
      <c r="Z155" s="16">
        <f t="shared" si="68"/>
        <v>-22413.810764960614</v>
      </c>
      <c r="AA155" s="16">
        <f t="shared" si="69"/>
        <v>-69443.21282051265</v>
      </c>
      <c r="AB155" s="16">
        <f t="shared" si="70"/>
        <v>-31640.985020691354</v>
      </c>
      <c r="AC155" s="16">
        <f t="shared" si="71"/>
        <v>-31640.985020691343</v>
      </c>
      <c r="AD155" s="16">
        <f t="shared" si="72"/>
        <v>-32340.985020691347</v>
      </c>
      <c r="AE155" s="14">
        <f>IF([1]Sheet2!AJ154=999999,"NA",[1]Sheet2!AJ154)</f>
        <v>0</v>
      </c>
      <c r="AF155" s="14">
        <f>IF([1]Sheet2!AK154=999999,"NA",[1]Sheet2!AK154)</f>
        <v>0</v>
      </c>
      <c r="AG155" s="14" t="str">
        <f>IF([1]Sheet2!AL154=999999,"NA",[1]Sheet2!AL154)</f>
        <v>NA</v>
      </c>
      <c r="AH155" s="14">
        <f>IF([1]Sheet2!AM154=999999,"NA",[1]Sheet2!AM154)</f>
        <v>213</v>
      </c>
      <c r="AI155" s="14">
        <f>IF([1]Sheet2!AN154=999999,"NA",[1]Sheet2!AN154)</f>
        <v>213</v>
      </c>
      <c r="AJ155" s="14">
        <f>IF([1]Sheet2!AO154=999999,"NA",[1]Sheet2!AO154)</f>
        <v>213</v>
      </c>
      <c r="AK155" s="14">
        <f>IF([1]Sheet2!AP154=999999,"NA",[1]Sheet2!AP154)</f>
        <v>0</v>
      </c>
      <c r="AL155" s="14">
        <f>IF([1]Sheet2!AQ154=999999,"NA",[1]Sheet2!AQ154)</f>
        <v>89</v>
      </c>
      <c r="AM155" s="14">
        <f>IF([1]Sheet2!AR154=999999,"NA",[1]Sheet2!AR154)</f>
        <v>213</v>
      </c>
      <c r="AN155" s="14">
        <f>IF([1]Sheet2!AS154=999999,"NA",[1]Sheet2!AS154)</f>
        <v>145</v>
      </c>
      <c r="AO155" s="14">
        <f>[1]Sheet2!P154</f>
        <v>0</v>
      </c>
      <c r="AP155" s="14">
        <f>[1]Sheet2!Q154</f>
        <v>0</v>
      </c>
      <c r="AQ155" s="14">
        <f>[1]Sheet2!R154</f>
        <v>0</v>
      </c>
      <c r="AR155" s="14">
        <f>[1]Sheet2!S154</f>
        <v>0</v>
      </c>
      <c r="AS155" s="14">
        <f>[1]Sheet2!T154</f>
        <v>0</v>
      </c>
      <c r="AT155" s="14">
        <f>[1]Sheet2!U154</f>
        <v>0</v>
      </c>
      <c r="AU155" s="14">
        <f>[1]Sheet2!V154</f>
        <v>0</v>
      </c>
      <c r="AV155" s="14">
        <f>[1]Sheet2!W154</f>
        <v>0</v>
      </c>
      <c r="AW155" s="14">
        <f>[1]Sheet2!X154</f>
        <v>0</v>
      </c>
      <c r="AX155" s="14">
        <f>[1]Sheet2!Y154</f>
        <v>0</v>
      </c>
      <c r="AY155" s="16">
        <f>Demand_LP!B$8/30</f>
        <v>807.81611164529909</v>
      </c>
      <c r="AZ155" s="16">
        <f>Demand_LP!C$8/30</f>
        <v>574.48717948717956</v>
      </c>
      <c r="BA155" s="16">
        <f>Demand_LP!D$8/30</f>
        <v>339.04957264957267</v>
      </c>
      <c r="BB155" s="16">
        <f>Demand_LP!E$8/30</f>
        <v>830.46965811965799</v>
      </c>
      <c r="BC155" s="16">
        <f>Demand_LP!F$8/30</f>
        <v>476.67186805555554</v>
      </c>
      <c r="BD155" s="16">
        <f>Demand_LP!G$8/30</f>
        <v>807.81611164529909</v>
      </c>
      <c r="BE155" s="16">
        <f>Demand_LP!H$8/30</f>
        <v>574.48717948717956</v>
      </c>
      <c r="BF155" s="16">
        <f>Demand_LP!I$8/30</f>
        <v>476.67186805555554</v>
      </c>
      <c r="BG155" s="16">
        <f>Demand_LP!J$8/30</f>
        <v>476.67186805555554</v>
      </c>
      <c r="BH155" s="16">
        <f>Demand_LP!K$8/30</f>
        <v>476.67186805555554</v>
      </c>
      <c r="BI155" s="16" t="e">
        <f t="shared" si="73"/>
        <v>#VALUE!</v>
      </c>
      <c r="BJ155" s="16">
        <f t="shared" si="74"/>
        <v>-90525.966666666704</v>
      </c>
      <c r="BK155" s="16">
        <f t="shared" si="75"/>
        <v>-44859.168803418754</v>
      </c>
      <c r="BL155" s="16">
        <f t="shared" si="76"/>
        <v>-114478.28630855765</v>
      </c>
      <c r="BM155" s="16">
        <f t="shared" si="77"/>
        <v>-68957.562372761953</v>
      </c>
      <c r="BN155" s="16">
        <f t="shared" si="78"/>
        <v>-111455.24246317477</v>
      </c>
      <c r="BO155" s="16">
        <f t="shared" si="79"/>
        <v>-92883.546153846226</v>
      </c>
      <c r="BP155" s="16">
        <f t="shared" si="80"/>
        <v>-68415.246291132557</v>
      </c>
      <c r="BQ155" s="16">
        <f t="shared" si="81"/>
        <v>-65015.246291132586</v>
      </c>
      <c r="BR155" s="16">
        <f t="shared" si="82"/>
        <v>-66215.246291132557</v>
      </c>
      <c r="BS155" s="14">
        <f>IF([1]Sheet2!CA154=999999,"NA",[1]Sheet2!CA154)</f>
        <v>150263.75370886803</v>
      </c>
      <c r="BT155" s="14">
        <f>IF([1]Sheet2!CB154=999999,"NA",[1]Sheet2!CB154)</f>
        <v>135</v>
      </c>
      <c r="BU155" s="14">
        <f>IF([1]Sheet2!CC154=999999,"NA",[1]Sheet2!CC154)</f>
        <v>213</v>
      </c>
      <c r="BV155" s="14">
        <f>IF([1]Sheet2!CD154=999999,"NA",[1]Sheet2!CD154)</f>
        <v>213</v>
      </c>
      <c r="BW155" s="14">
        <f>IF([1]Sheet2!CE154=999999,"NA",[1]Sheet2!CE154)</f>
        <v>175</v>
      </c>
      <c r="BX155" s="14">
        <f>IF([1]Sheet2!CF154=999999,"NA",[1]Sheet2!CF154)</f>
        <v>213</v>
      </c>
      <c r="BY155" s="14">
        <f>IF([1]Sheet2!CG154=999999,"NA",[1]Sheet2!CG154)</f>
        <v>107</v>
      </c>
      <c r="BZ155" s="14">
        <f>IF([1]Sheet2!CH154=999999,"NA",[1]Sheet2!CH154)</f>
        <v>213</v>
      </c>
      <c r="CA155" s="14">
        <f>IF([1]Sheet2!CI154=999999,"NA",[1]Sheet2!CI154)</f>
        <v>213</v>
      </c>
      <c r="CB155" s="14">
        <f>IF([1]Sheet2!CJ154=999999,"NA",[1]Sheet2!CJ154)</f>
        <v>213</v>
      </c>
      <c r="CC155" s="14">
        <f>[1]Sheet2!BG154</f>
        <v>0</v>
      </c>
      <c r="CD155" s="14">
        <f>[1]Sheet2!BH154</f>
        <v>0</v>
      </c>
      <c r="CE155" s="14">
        <f>[1]Sheet2!BI154</f>
        <v>0</v>
      </c>
      <c r="CF155" s="14">
        <f>[1]Sheet2!BJ154</f>
        <v>0</v>
      </c>
      <c r="CG155" s="14">
        <f>[1]Sheet2!BK154</f>
        <v>0</v>
      </c>
      <c r="CH155" s="14">
        <f>[1]Sheet2!BL154</f>
        <v>0</v>
      </c>
      <c r="CI155" s="14">
        <f>[1]Sheet2!BM154</f>
        <v>0</v>
      </c>
      <c r="CJ155" s="14">
        <f>[1]Sheet2!BN154</f>
        <v>0</v>
      </c>
      <c r="CK155" s="14">
        <f>[1]Sheet2!BO154</f>
        <v>0</v>
      </c>
      <c r="CL155" s="14">
        <f>[1]Sheet2!BP154</f>
        <v>0</v>
      </c>
      <c r="CM155" s="16">
        <f>Demand_SW!B$8/30</f>
        <v>144.23076923076923</v>
      </c>
      <c r="CN155" s="16">
        <f>Demand_SW!C$8/30</f>
        <v>0</v>
      </c>
      <c r="CO155" s="16">
        <f>Demand_SW!D$8/30</f>
        <v>0</v>
      </c>
      <c r="CP155" s="16">
        <f>Demand_SW!E$8/30</f>
        <v>0</v>
      </c>
      <c r="CQ155" s="16">
        <f>Demand_SW!F$8/30</f>
        <v>0</v>
      </c>
      <c r="CR155" s="16">
        <f>Demand_SW!G$8/30</f>
        <v>144.23076923076923</v>
      </c>
      <c r="CS155" s="16">
        <f>Demand_SW!H$8/30</f>
        <v>0</v>
      </c>
      <c r="CT155" s="16">
        <f>Demand_SW!I$8/30</f>
        <v>0</v>
      </c>
      <c r="CU155" s="16">
        <f>Demand_SW!J$8/30</f>
        <v>0</v>
      </c>
      <c r="CV155" s="16">
        <f>Demand_SW!K$8/30</f>
        <v>0</v>
      </c>
      <c r="CW155" s="16">
        <f t="shared" si="83"/>
        <v>30585.000000000047</v>
      </c>
      <c r="CX155" s="16">
        <f t="shared" si="84"/>
        <v>-423.07692307692292</v>
      </c>
      <c r="CY155" s="16">
        <f t="shared" si="85"/>
        <v>0</v>
      </c>
      <c r="CZ155" s="16">
        <f t="shared" si="86"/>
        <v>0</v>
      </c>
      <c r="DA155" s="16">
        <f t="shared" si="87"/>
        <v>0</v>
      </c>
      <c r="DB155" s="16">
        <f t="shared" si="88"/>
        <v>-18944.230769230748</v>
      </c>
      <c r="DC155" s="16">
        <f t="shared" si="89"/>
        <v>-423.07692307692292</v>
      </c>
      <c r="DD155" s="16">
        <f t="shared" si="90"/>
        <v>0</v>
      </c>
      <c r="DE155" s="16">
        <f t="shared" si="91"/>
        <v>0</v>
      </c>
      <c r="DF155" s="16">
        <f t="shared" si="92"/>
        <v>0</v>
      </c>
      <c r="DG155" s="14">
        <f>IF([1]Sheet2!DR154=999999,"NA",[1]Sheet2!DR154)</f>
        <v>73103</v>
      </c>
      <c r="DH155" s="14">
        <f>IF([1]Sheet2!DS154=999999,"NA",[1]Sheet2!DS154)</f>
        <v>213</v>
      </c>
      <c r="DI155" s="14">
        <f>IF([1]Sheet2!DT154=999999,"NA",[1]Sheet2!DT154)</f>
        <v>213</v>
      </c>
      <c r="DJ155" s="14" t="str">
        <f>IF([1]Sheet2!DU154=999999,"NA",[1]Sheet2!DU154)</f>
        <v>NA</v>
      </c>
      <c r="DK155" s="14" t="str">
        <f>IF([1]Sheet2!DV154=999999,"NA",[1]Sheet2!DV154)</f>
        <v>NA</v>
      </c>
      <c r="DL155" s="14" t="str">
        <f>IF([1]Sheet2!DW154=999999,"NA",[1]Sheet2!DW154)</f>
        <v>NA</v>
      </c>
      <c r="DM155" s="14">
        <f>IF([1]Sheet2!DX154=999999,"NA",[1]Sheet2!DX154)</f>
        <v>213</v>
      </c>
      <c r="DN155" s="14">
        <f>IF([1]Sheet2!DY154=999999,"NA",[1]Sheet2!DY154)</f>
        <v>213</v>
      </c>
      <c r="DO155" s="14" t="str">
        <f>IF([1]Sheet2!DZ154=999999,"NA",[1]Sheet2!DZ154)</f>
        <v>NA</v>
      </c>
      <c r="DP155" s="14" t="str">
        <f>IF([1]Sheet2!EA154=999999,"NA",[1]Sheet2!EA154)</f>
        <v>NA</v>
      </c>
      <c r="DQ155" s="14">
        <f>[1]Sheet2!CX154</f>
        <v>0</v>
      </c>
      <c r="DR155" s="14">
        <f>[1]Sheet2!CY154</f>
        <v>0</v>
      </c>
      <c r="DS155" s="14">
        <f>[1]Sheet2!CZ154</f>
        <v>0</v>
      </c>
      <c r="DT155" s="14">
        <f>[1]Sheet2!DA154</f>
        <v>0</v>
      </c>
      <c r="DU155" s="14">
        <f>[1]Sheet2!DB154</f>
        <v>0</v>
      </c>
      <c r="DV155" s="14">
        <f>[1]Sheet2!DC154</f>
        <v>0</v>
      </c>
      <c r="DW155" s="14">
        <f>[1]Sheet2!DD154</f>
        <v>0</v>
      </c>
      <c r="DX155" s="14">
        <f>[1]Sheet2!DE154</f>
        <v>0</v>
      </c>
      <c r="DY155" s="14">
        <f>[1]Sheet2!DF154</f>
        <v>0</v>
      </c>
      <c r="DZ155" s="14">
        <f>[1]Sheet2!DG154</f>
        <v>0</v>
      </c>
    </row>
    <row r="156" spans="1:130" x14ac:dyDescent="0.25">
      <c r="A156" s="15">
        <v>43618</v>
      </c>
      <c r="B156" s="1"/>
      <c r="C156" s="1"/>
      <c r="D156" s="1"/>
      <c r="E156" s="14">
        <f>[1]Sheet2!N155</f>
        <v>0</v>
      </c>
      <c r="F156" s="14">
        <f>[1]Sheet2!BE155</f>
        <v>0</v>
      </c>
      <c r="G156" s="14">
        <f>[1]Sheet2!CV155</f>
        <v>288.46153846153851</v>
      </c>
      <c r="H156" s="1"/>
      <c r="I156" s="1"/>
      <c r="J156" s="1"/>
      <c r="K156" s="16">
        <f>Demand_CWRS!B$8/30</f>
        <v>124.86819391025641</v>
      </c>
      <c r="L156" s="16">
        <f>Demand_CWRS!C$8/30</f>
        <v>583.20512820512829</v>
      </c>
      <c r="M156" s="16">
        <f>Demand_CWRS!D$8/30</f>
        <v>0</v>
      </c>
      <c r="N156" s="16">
        <f>Demand_CWRS!E$8/30</f>
        <v>156.84829059829062</v>
      </c>
      <c r="O156" s="16">
        <f>Demand_CWRS!F$8/30</f>
        <v>252.39596314102559</v>
      </c>
      <c r="P156" s="16">
        <f>Demand_CWRS!G$8/30</f>
        <v>124.86819391025641</v>
      </c>
      <c r="Q156" s="16">
        <f>Demand_CWRS!H$8/30</f>
        <v>583.20512820512829</v>
      </c>
      <c r="R156" s="16">
        <f>Demand_CWRS!I$8/30</f>
        <v>246.66666666666666</v>
      </c>
      <c r="S156" s="16">
        <f>Demand_CWRS!J$8/30</f>
        <v>246.66666666666666</v>
      </c>
      <c r="T156" s="16">
        <f>Demand_CWRS!K$8/30</f>
        <v>246.66666666666666</v>
      </c>
      <c r="U156" s="16">
        <f t="shared" si="63"/>
        <v>-22864.452107909321</v>
      </c>
      <c r="V156" s="16">
        <f t="shared" si="64"/>
        <v>-70526.417948717775</v>
      </c>
      <c r="W156" s="16">
        <f t="shared" si="65"/>
        <v>0</v>
      </c>
      <c r="X156" s="16">
        <f t="shared" si="66"/>
        <v>-16149.524413069354</v>
      </c>
      <c r="Y156" s="16">
        <f t="shared" si="67"/>
        <v>-34211.076866845207</v>
      </c>
      <c r="Z156" s="16">
        <f t="shared" si="68"/>
        <v>-22538.678958870871</v>
      </c>
      <c r="AA156" s="16">
        <f t="shared" si="69"/>
        <v>-70026.417948717775</v>
      </c>
      <c r="AB156" s="16">
        <f t="shared" si="70"/>
        <v>-31887.651687358022</v>
      </c>
      <c r="AC156" s="16">
        <f t="shared" si="71"/>
        <v>-31887.651687358011</v>
      </c>
      <c r="AD156" s="16">
        <f t="shared" si="72"/>
        <v>-32587.651687358015</v>
      </c>
      <c r="AE156" s="14">
        <f>IF([1]Sheet2!AJ155=999999,"NA",[1]Sheet2!AJ155)</f>
        <v>0</v>
      </c>
      <c r="AF156" s="14">
        <f>IF([1]Sheet2!AK155=999999,"NA",[1]Sheet2!AK155)</f>
        <v>0</v>
      </c>
      <c r="AG156" s="14" t="str">
        <f>IF([1]Sheet2!AL155=999999,"NA",[1]Sheet2!AL155)</f>
        <v>NA</v>
      </c>
      <c r="AH156" s="14">
        <f>IF([1]Sheet2!AM155=999999,"NA",[1]Sheet2!AM155)</f>
        <v>212</v>
      </c>
      <c r="AI156" s="14">
        <f>IF([1]Sheet2!AN155=999999,"NA",[1]Sheet2!AN155)</f>
        <v>212</v>
      </c>
      <c r="AJ156" s="14">
        <f>IF([1]Sheet2!AO155=999999,"NA",[1]Sheet2!AO155)</f>
        <v>212</v>
      </c>
      <c r="AK156" s="14">
        <f>IF([1]Sheet2!AP155=999999,"NA",[1]Sheet2!AP155)</f>
        <v>0</v>
      </c>
      <c r="AL156" s="14">
        <f>IF([1]Sheet2!AQ155=999999,"NA",[1]Sheet2!AQ155)</f>
        <v>88</v>
      </c>
      <c r="AM156" s="14">
        <f>IF([1]Sheet2!AR155=999999,"NA",[1]Sheet2!AR155)</f>
        <v>212</v>
      </c>
      <c r="AN156" s="14">
        <f>IF([1]Sheet2!AS155=999999,"NA",[1]Sheet2!AS155)</f>
        <v>144</v>
      </c>
      <c r="AO156" s="14">
        <f>[1]Sheet2!P155</f>
        <v>0</v>
      </c>
      <c r="AP156" s="14">
        <f>[1]Sheet2!Q155</f>
        <v>0</v>
      </c>
      <c r="AQ156" s="14">
        <f>[1]Sheet2!R155</f>
        <v>0</v>
      </c>
      <c r="AR156" s="14">
        <f>[1]Sheet2!S155</f>
        <v>0</v>
      </c>
      <c r="AS156" s="14">
        <f>[1]Sheet2!T155</f>
        <v>0</v>
      </c>
      <c r="AT156" s="14">
        <f>[1]Sheet2!U155</f>
        <v>0</v>
      </c>
      <c r="AU156" s="14">
        <f>[1]Sheet2!V155</f>
        <v>0</v>
      </c>
      <c r="AV156" s="14">
        <f>[1]Sheet2!W155</f>
        <v>0</v>
      </c>
      <c r="AW156" s="14">
        <f>[1]Sheet2!X155</f>
        <v>0</v>
      </c>
      <c r="AX156" s="14">
        <f>[1]Sheet2!Y155</f>
        <v>0</v>
      </c>
      <c r="AY156" s="16">
        <f>Demand_LP!B$8/30</f>
        <v>807.81611164529909</v>
      </c>
      <c r="AZ156" s="16">
        <f>Demand_LP!C$8/30</f>
        <v>574.48717948717956</v>
      </c>
      <c r="BA156" s="16">
        <f>Demand_LP!D$8/30</f>
        <v>339.04957264957267</v>
      </c>
      <c r="BB156" s="16">
        <f>Demand_LP!E$8/30</f>
        <v>830.46965811965799</v>
      </c>
      <c r="BC156" s="16">
        <f>Demand_LP!F$8/30</f>
        <v>476.67186805555554</v>
      </c>
      <c r="BD156" s="16">
        <f>Demand_LP!G$8/30</f>
        <v>807.81611164529909</v>
      </c>
      <c r="BE156" s="16">
        <f>Demand_LP!H$8/30</f>
        <v>574.48717948717956</v>
      </c>
      <c r="BF156" s="16">
        <f>Demand_LP!I$8/30</f>
        <v>476.67186805555554</v>
      </c>
      <c r="BG156" s="16">
        <f>Demand_LP!J$8/30</f>
        <v>476.67186805555554</v>
      </c>
      <c r="BH156" s="16">
        <f>Demand_LP!K$8/30</f>
        <v>476.67186805555554</v>
      </c>
      <c r="BI156" s="16" t="e">
        <f t="shared" si="73"/>
        <v>#VALUE!</v>
      </c>
      <c r="BJ156" s="16">
        <f t="shared" si="74"/>
        <v>-91100.453846153876</v>
      </c>
      <c r="BK156" s="16">
        <f t="shared" si="75"/>
        <v>-45198.218376068326</v>
      </c>
      <c r="BL156" s="16">
        <f t="shared" si="76"/>
        <v>-115308.75596667732</v>
      </c>
      <c r="BM156" s="16">
        <f t="shared" si="77"/>
        <v>-69434.234240817503</v>
      </c>
      <c r="BN156" s="16">
        <f t="shared" si="78"/>
        <v>-112263.05857482007</v>
      </c>
      <c r="BO156" s="16">
        <f t="shared" si="79"/>
        <v>-93458.033333333398</v>
      </c>
      <c r="BP156" s="16">
        <f t="shared" si="80"/>
        <v>-68891.918159188106</v>
      </c>
      <c r="BQ156" s="16">
        <f t="shared" si="81"/>
        <v>-65491.918159188142</v>
      </c>
      <c r="BR156" s="16">
        <f t="shared" si="82"/>
        <v>-66691.918159188106</v>
      </c>
      <c r="BS156" s="14">
        <f>IF([1]Sheet2!CA155=999999,"NA",[1]Sheet2!CA155)</f>
        <v>149787.08184081246</v>
      </c>
      <c r="BT156" s="14">
        <f>IF([1]Sheet2!CB155=999999,"NA",[1]Sheet2!CB155)</f>
        <v>134</v>
      </c>
      <c r="BU156" s="14">
        <f>IF([1]Sheet2!CC155=999999,"NA",[1]Sheet2!CC155)</f>
        <v>212</v>
      </c>
      <c r="BV156" s="14">
        <f>IF([1]Sheet2!CD155=999999,"NA",[1]Sheet2!CD155)</f>
        <v>212</v>
      </c>
      <c r="BW156" s="14">
        <f>IF([1]Sheet2!CE155=999999,"NA",[1]Sheet2!CE155)</f>
        <v>174</v>
      </c>
      <c r="BX156" s="14">
        <f>IF([1]Sheet2!CF155=999999,"NA",[1]Sheet2!CF155)</f>
        <v>212</v>
      </c>
      <c r="BY156" s="14">
        <f>IF([1]Sheet2!CG155=999999,"NA",[1]Sheet2!CG155)</f>
        <v>106</v>
      </c>
      <c r="BZ156" s="14">
        <f>IF([1]Sheet2!CH155=999999,"NA",[1]Sheet2!CH155)</f>
        <v>212</v>
      </c>
      <c r="CA156" s="14">
        <f>IF([1]Sheet2!CI155=999999,"NA",[1]Sheet2!CI155)</f>
        <v>212</v>
      </c>
      <c r="CB156" s="14">
        <f>IF([1]Sheet2!CJ155=999999,"NA",[1]Sheet2!CJ155)</f>
        <v>212</v>
      </c>
      <c r="CC156" s="14">
        <f>[1]Sheet2!BG155</f>
        <v>0</v>
      </c>
      <c r="CD156" s="14">
        <f>[1]Sheet2!BH155</f>
        <v>0</v>
      </c>
      <c r="CE156" s="14">
        <f>[1]Sheet2!BI155</f>
        <v>0</v>
      </c>
      <c r="CF156" s="14">
        <f>[1]Sheet2!BJ155</f>
        <v>0</v>
      </c>
      <c r="CG156" s="14">
        <f>[1]Sheet2!BK155</f>
        <v>0</v>
      </c>
      <c r="CH156" s="14">
        <f>[1]Sheet2!BL155</f>
        <v>0</v>
      </c>
      <c r="CI156" s="14">
        <f>[1]Sheet2!BM155</f>
        <v>0</v>
      </c>
      <c r="CJ156" s="14">
        <f>[1]Sheet2!BN155</f>
        <v>0</v>
      </c>
      <c r="CK156" s="14">
        <f>[1]Sheet2!BO155</f>
        <v>0</v>
      </c>
      <c r="CL156" s="14">
        <f>[1]Sheet2!BP155</f>
        <v>0</v>
      </c>
      <c r="CM156" s="16">
        <f>Demand_SW!B$8/30</f>
        <v>144.23076923076923</v>
      </c>
      <c r="CN156" s="16">
        <f>Demand_SW!C$8/30</f>
        <v>0</v>
      </c>
      <c r="CO156" s="16">
        <f>Demand_SW!D$8/30</f>
        <v>0</v>
      </c>
      <c r="CP156" s="16">
        <f>Demand_SW!E$8/30</f>
        <v>0</v>
      </c>
      <c r="CQ156" s="16">
        <f>Demand_SW!F$8/30</f>
        <v>0</v>
      </c>
      <c r="CR156" s="16">
        <f>Demand_SW!G$8/30</f>
        <v>144.23076923076923</v>
      </c>
      <c r="CS156" s="16">
        <f>Demand_SW!H$8/30</f>
        <v>0</v>
      </c>
      <c r="CT156" s="16">
        <f>Demand_SW!I$8/30</f>
        <v>0</v>
      </c>
      <c r="CU156" s="16">
        <f>Demand_SW!J$8/30</f>
        <v>0</v>
      </c>
      <c r="CV156" s="16">
        <f>Demand_SW!K$8/30</f>
        <v>0</v>
      </c>
      <c r="CW156" s="16">
        <f t="shared" si="83"/>
        <v>30440.769230769278</v>
      </c>
      <c r="CX156" s="16">
        <f t="shared" si="84"/>
        <v>-423.07692307692292</v>
      </c>
      <c r="CY156" s="16">
        <f t="shared" si="85"/>
        <v>0</v>
      </c>
      <c r="CZ156" s="16">
        <f t="shared" si="86"/>
        <v>0</v>
      </c>
      <c r="DA156" s="16">
        <f t="shared" si="87"/>
        <v>0</v>
      </c>
      <c r="DB156" s="16">
        <f t="shared" si="88"/>
        <v>-19088.461538461517</v>
      </c>
      <c r="DC156" s="16">
        <f t="shared" si="89"/>
        <v>-423.07692307692292</v>
      </c>
      <c r="DD156" s="16">
        <f t="shared" si="90"/>
        <v>0</v>
      </c>
      <c r="DE156" s="16">
        <f t="shared" si="91"/>
        <v>0</v>
      </c>
      <c r="DF156" s="16">
        <f t="shared" si="92"/>
        <v>0</v>
      </c>
      <c r="DG156" s="14">
        <f>IF([1]Sheet2!DR155=999999,"NA",[1]Sheet2!DR155)</f>
        <v>73103</v>
      </c>
      <c r="DH156" s="14">
        <f>IF([1]Sheet2!DS155=999999,"NA",[1]Sheet2!DS155)</f>
        <v>212</v>
      </c>
      <c r="DI156" s="14">
        <f>IF([1]Sheet2!DT155=999999,"NA",[1]Sheet2!DT155)</f>
        <v>212</v>
      </c>
      <c r="DJ156" s="14" t="str">
        <f>IF([1]Sheet2!DU155=999999,"NA",[1]Sheet2!DU155)</f>
        <v>NA</v>
      </c>
      <c r="DK156" s="14" t="str">
        <f>IF([1]Sheet2!DV155=999999,"NA",[1]Sheet2!DV155)</f>
        <v>NA</v>
      </c>
      <c r="DL156" s="14" t="str">
        <f>IF([1]Sheet2!DW155=999999,"NA",[1]Sheet2!DW155)</f>
        <v>NA</v>
      </c>
      <c r="DM156" s="14">
        <f>IF([1]Sheet2!DX155=999999,"NA",[1]Sheet2!DX155)</f>
        <v>212</v>
      </c>
      <c r="DN156" s="14">
        <f>IF([1]Sheet2!DY155=999999,"NA",[1]Sheet2!DY155)</f>
        <v>212</v>
      </c>
      <c r="DO156" s="14" t="str">
        <f>IF([1]Sheet2!DZ155=999999,"NA",[1]Sheet2!DZ155)</f>
        <v>NA</v>
      </c>
      <c r="DP156" s="14" t="str">
        <f>IF([1]Sheet2!EA155=999999,"NA",[1]Sheet2!EA155)</f>
        <v>NA</v>
      </c>
      <c r="DQ156" s="14">
        <f>[1]Sheet2!CX155</f>
        <v>0</v>
      </c>
      <c r="DR156" s="14">
        <f>[1]Sheet2!CY155</f>
        <v>0</v>
      </c>
      <c r="DS156" s="14">
        <f>[1]Sheet2!CZ155</f>
        <v>0</v>
      </c>
      <c r="DT156" s="14">
        <f>[1]Sheet2!DA155</f>
        <v>0</v>
      </c>
      <c r="DU156" s="14">
        <f>[1]Sheet2!DB155</f>
        <v>0</v>
      </c>
      <c r="DV156" s="14">
        <f>[1]Sheet2!DC155</f>
        <v>0</v>
      </c>
      <c r="DW156" s="14">
        <f>[1]Sheet2!DD155</f>
        <v>0</v>
      </c>
      <c r="DX156" s="14">
        <f>[1]Sheet2!DE155</f>
        <v>0</v>
      </c>
      <c r="DY156" s="14">
        <f>[1]Sheet2!DF155</f>
        <v>0</v>
      </c>
      <c r="DZ156" s="14">
        <f>[1]Sheet2!DG155</f>
        <v>0</v>
      </c>
    </row>
    <row r="157" spans="1:130" x14ac:dyDescent="0.25">
      <c r="A157" s="15">
        <v>43619</v>
      </c>
      <c r="B157" s="1"/>
      <c r="C157" s="1"/>
      <c r="D157" s="1"/>
      <c r="E157" s="14">
        <f>[1]Sheet2!N156</f>
        <v>0</v>
      </c>
      <c r="F157" s="14">
        <f>[1]Sheet2!BE156</f>
        <v>0</v>
      </c>
      <c r="G157" s="14">
        <f>[1]Sheet2!CV156</f>
        <v>288.46153846153851</v>
      </c>
      <c r="H157" s="1"/>
      <c r="I157" s="1"/>
      <c r="J157" s="1"/>
      <c r="K157" s="16">
        <f>Demand_CWRS!B$8/30</f>
        <v>124.86819391025641</v>
      </c>
      <c r="L157" s="16">
        <f>Demand_CWRS!C$8/30</f>
        <v>583.20512820512829</v>
      </c>
      <c r="M157" s="16">
        <f>Demand_CWRS!D$8/30</f>
        <v>0</v>
      </c>
      <c r="N157" s="16">
        <f>Demand_CWRS!E$8/30</f>
        <v>156.84829059829062</v>
      </c>
      <c r="O157" s="16">
        <f>Demand_CWRS!F$8/30</f>
        <v>252.39596314102559</v>
      </c>
      <c r="P157" s="16">
        <f>Demand_CWRS!G$8/30</f>
        <v>124.86819391025641</v>
      </c>
      <c r="Q157" s="16">
        <f>Demand_CWRS!H$8/30</f>
        <v>583.20512820512829</v>
      </c>
      <c r="R157" s="16">
        <f>Demand_CWRS!I$8/30</f>
        <v>246.66666666666666</v>
      </c>
      <c r="S157" s="16">
        <f>Demand_CWRS!J$8/30</f>
        <v>246.66666666666666</v>
      </c>
      <c r="T157" s="16">
        <f>Demand_CWRS!K$8/30</f>
        <v>246.66666666666666</v>
      </c>
      <c r="U157" s="16">
        <f t="shared" si="63"/>
        <v>-22989.320301819578</v>
      </c>
      <c r="V157" s="16">
        <f t="shared" si="64"/>
        <v>-71109.623076922901</v>
      </c>
      <c r="W157" s="16">
        <f t="shared" si="65"/>
        <v>0</v>
      </c>
      <c r="X157" s="16">
        <f t="shared" si="66"/>
        <v>-16306.372703667645</v>
      </c>
      <c r="Y157" s="16">
        <f t="shared" si="67"/>
        <v>-34463.472829986233</v>
      </c>
      <c r="Z157" s="16">
        <f t="shared" si="68"/>
        <v>-22663.547152781128</v>
      </c>
      <c r="AA157" s="16">
        <f t="shared" si="69"/>
        <v>-70609.623076922901</v>
      </c>
      <c r="AB157" s="16">
        <f t="shared" si="70"/>
        <v>-32134.31835402469</v>
      </c>
      <c r="AC157" s="16">
        <f t="shared" si="71"/>
        <v>-32134.318354024679</v>
      </c>
      <c r="AD157" s="16">
        <f t="shared" si="72"/>
        <v>-32834.318354024683</v>
      </c>
      <c r="AE157" s="14">
        <f>IF([1]Sheet2!AJ156=999999,"NA",[1]Sheet2!AJ156)</f>
        <v>0</v>
      </c>
      <c r="AF157" s="14">
        <f>IF([1]Sheet2!AK156=999999,"NA",[1]Sheet2!AK156)</f>
        <v>0</v>
      </c>
      <c r="AG157" s="14" t="str">
        <f>IF([1]Sheet2!AL156=999999,"NA",[1]Sheet2!AL156)</f>
        <v>NA</v>
      </c>
      <c r="AH157" s="14">
        <f>IF([1]Sheet2!AM156=999999,"NA",[1]Sheet2!AM156)</f>
        <v>211</v>
      </c>
      <c r="AI157" s="14">
        <f>IF([1]Sheet2!AN156=999999,"NA",[1]Sheet2!AN156)</f>
        <v>211</v>
      </c>
      <c r="AJ157" s="14">
        <f>IF([1]Sheet2!AO156=999999,"NA",[1]Sheet2!AO156)</f>
        <v>211</v>
      </c>
      <c r="AK157" s="14">
        <f>IF([1]Sheet2!AP156=999999,"NA",[1]Sheet2!AP156)</f>
        <v>0</v>
      </c>
      <c r="AL157" s="14">
        <f>IF([1]Sheet2!AQ156=999999,"NA",[1]Sheet2!AQ156)</f>
        <v>87</v>
      </c>
      <c r="AM157" s="14">
        <f>IF([1]Sheet2!AR156=999999,"NA",[1]Sheet2!AR156)</f>
        <v>211</v>
      </c>
      <c r="AN157" s="14">
        <f>IF([1]Sheet2!AS156=999999,"NA",[1]Sheet2!AS156)</f>
        <v>143</v>
      </c>
      <c r="AO157" s="14">
        <f>[1]Sheet2!P156</f>
        <v>0</v>
      </c>
      <c r="AP157" s="14">
        <f>[1]Sheet2!Q156</f>
        <v>0</v>
      </c>
      <c r="AQ157" s="14">
        <f>[1]Sheet2!R156</f>
        <v>0</v>
      </c>
      <c r="AR157" s="14">
        <f>[1]Sheet2!S156</f>
        <v>0</v>
      </c>
      <c r="AS157" s="14">
        <f>[1]Sheet2!T156</f>
        <v>0</v>
      </c>
      <c r="AT157" s="14">
        <f>[1]Sheet2!U156</f>
        <v>0</v>
      </c>
      <c r="AU157" s="14">
        <f>[1]Sheet2!V156</f>
        <v>0</v>
      </c>
      <c r="AV157" s="14">
        <f>[1]Sheet2!W156</f>
        <v>0</v>
      </c>
      <c r="AW157" s="14">
        <f>[1]Sheet2!X156</f>
        <v>0</v>
      </c>
      <c r="AX157" s="14">
        <f>[1]Sheet2!Y156</f>
        <v>0</v>
      </c>
      <c r="AY157" s="16">
        <f>Demand_LP!B$8/30</f>
        <v>807.81611164529909</v>
      </c>
      <c r="AZ157" s="16">
        <f>Demand_LP!C$8/30</f>
        <v>574.48717948717956</v>
      </c>
      <c r="BA157" s="16">
        <f>Demand_LP!D$8/30</f>
        <v>339.04957264957267</v>
      </c>
      <c r="BB157" s="16">
        <f>Demand_LP!E$8/30</f>
        <v>830.46965811965799</v>
      </c>
      <c r="BC157" s="16">
        <f>Demand_LP!F$8/30</f>
        <v>476.67186805555554</v>
      </c>
      <c r="BD157" s="16">
        <f>Demand_LP!G$8/30</f>
        <v>807.81611164529909</v>
      </c>
      <c r="BE157" s="16">
        <f>Demand_LP!H$8/30</f>
        <v>574.48717948717956</v>
      </c>
      <c r="BF157" s="16">
        <f>Demand_LP!I$8/30</f>
        <v>476.67186805555554</v>
      </c>
      <c r="BG157" s="16">
        <f>Demand_LP!J$8/30</f>
        <v>476.67186805555554</v>
      </c>
      <c r="BH157" s="16">
        <f>Demand_LP!K$8/30</f>
        <v>476.67186805555554</v>
      </c>
      <c r="BI157" s="16" t="e">
        <f t="shared" si="73"/>
        <v>#VALUE!</v>
      </c>
      <c r="BJ157" s="16">
        <f t="shared" si="74"/>
        <v>-91674.941025641048</v>
      </c>
      <c r="BK157" s="16">
        <f t="shared" si="75"/>
        <v>-45537.267948717898</v>
      </c>
      <c r="BL157" s="16">
        <f t="shared" si="76"/>
        <v>-116139.22562479698</v>
      </c>
      <c r="BM157" s="16">
        <f t="shared" si="77"/>
        <v>-69910.906108873052</v>
      </c>
      <c r="BN157" s="16">
        <f t="shared" si="78"/>
        <v>-113070.87468646537</v>
      </c>
      <c r="BO157" s="16">
        <f t="shared" si="79"/>
        <v>-94032.520512820571</v>
      </c>
      <c r="BP157" s="16">
        <f t="shared" si="80"/>
        <v>-69368.590027243656</v>
      </c>
      <c r="BQ157" s="16">
        <f t="shared" si="81"/>
        <v>-65968.590027243699</v>
      </c>
      <c r="BR157" s="16">
        <f t="shared" si="82"/>
        <v>-67168.590027243656</v>
      </c>
      <c r="BS157" s="14">
        <f>IF([1]Sheet2!CA156=999999,"NA",[1]Sheet2!CA156)</f>
        <v>149310.4099727569</v>
      </c>
      <c r="BT157" s="14">
        <f>IF([1]Sheet2!CB156=999999,"NA",[1]Sheet2!CB156)</f>
        <v>133</v>
      </c>
      <c r="BU157" s="14">
        <f>IF([1]Sheet2!CC156=999999,"NA",[1]Sheet2!CC156)</f>
        <v>211</v>
      </c>
      <c r="BV157" s="14">
        <f>IF([1]Sheet2!CD156=999999,"NA",[1]Sheet2!CD156)</f>
        <v>211</v>
      </c>
      <c r="BW157" s="14">
        <f>IF([1]Sheet2!CE156=999999,"NA",[1]Sheet2!CE156)</f>
        <v>173</v>
      </c>
      <c r="BX157" s="14">
        <f>IF([1]Sheet2!CF156=999999,"NA",[1]Sheet2!CF156)</f>
        <v>211</v>
      </c>
      <c r="BY157" s="14">
        <f>IF([1]Sheet2!CG156=999999,"NA",[1]Sheet2!CG156)</f>
        <v>105</v>
      </c>
      <c r="BZ157" s="14">
        <f>IF([1]Sheet2!CH156=999999,"NA",[1]Sheet2!CH156)</f>
        <v>211</v>
      </c>
      <c r="CA157" s="14">
        <f>IF([1]Sheet2!CI156=999999,"NA",[1]Sheet2!CI156)</f>
        <v>211</v>
      </c>
      <c r="CB157" s="14">
        <f>IF([1]Sheet2!CJ156=999999,"NA",[1]Sheet2!CJ156)</f>
        <v>211</v>
      </c>
      <c r="CC157" s="14">
        <f>[1]Sheet2!BG156</f>
        <v>0</v>
      </c>
      <c r="CD157" s="14">
        <f>[1]Sheet2!BH156</f>
        <v>0</v>
      </c>
      <c r="CE157" s="14">
        <f>[1]Sheet2!BI156</f>
        <v>0</v>
      </c>
      <c r="CF157" s="14">
        <f>[1]Sheet2!BJ156</f>
        <v>0</v>
      </c>
      <c r="CG157" s="14">
        <f>[1]Sheet2!BK156</f>
        <v>0</v>
      </c>
      <c r="CH157" s="14">
        <f>[1]Sheet2!BL156</f>
        <v>0</v>
      </c>
      <c r="CI157" s="14">
        <f>[1]Sheet2!BM156</f>
        <v>0</v>
      </c>
      <c r="CJ157" s="14">
        <f>[1]Sheet2!BN156</f>
        <v>0</v>
      </c>
      <c r="CK157" s="14">
        <f>[1]Sheet2!BO156</f>
        <v>0</v>
      </c>
      <c r="CL157" s="14">
        <f>[1]Sheet2!BP156</f>
        <v>0</v>
      </c>
      <c r="CM157" s="16">
        <f>Demand_SW!B$8/30</f>
        <v>144.23076923076923</v>
      </c>
      <c r="CN157" s="16">
        <f>Demand_SW!C$8/30</f>
        <v>0</v>
      </c>
      <c r="CO157" s="16">
        <f>Demand_SW!D$8/30</f>
        <v>0</v>
      </c>
      <c r="CP157" s="16">
        <f>Demand_SW!E$8/30</f>
        <v>0</v>
      </c>
      <c r="CQ157" s="16">
        <f>Demand_SW!F$8/30</f>
        <v>0</v>
      </c>
      <c r="CR157" s="16">
        <f>Demand_SW!G$8/30</f>
        <v>144.23076923076923</v>
      </c>
      <c r="CS157" s="16">
        <f>Demand_SW!H$8/30</f>
        <v>0</v>
      </c>
      <c r="CT157" s="16">
        <f>Demand_SW!I$8/30</f>
        <v>0</v>
      </c>
      <c r="CU157" s="16">
        <f>Demand_SW!J$8/30</f>
        <v>0</v>
      </c>
      <c r="CV157" s="16">
        <f>Demand_SW!K$8/30</f>
        <v>0</v>
      </c>
      <c r="CW157" s="16">
        <f t="shared" si="83"/>
        <v>30296.538461538508</v>
      </c>
      <c r="CX157" s="16">
        <f t="shared" si="84"/>
        <v>-423.07692307692292</v>
      </c>
      <c r="CY157" s="16">
        <f t="shared" si="85"/>
        <v>0</v>
      </c>
      <c r="CZ157" s="16">
        <f t="shared" si="86"/>
        <v>0</v>
      </c>
      <c r="DA157" s="16">
        <f t="shared" si="87"/>
        <v>0</v>
      </c>
      <c r="DB157" s="16">
        <f t="shared" si="88"/>
        <v>-19232.692307692287</v>
      </c>
      <c r="DC157" s="16">
        <f t="shared" si="89"/>
        <v>-423.07692307692292</v>
      </c>
      <c r="DD157" s="16">
        <f t="shared" si="90"/>
        <v>0</v>
      </c>
      <c r="DE157" s="16">
        <f t="shared" si="91"/>
        <v>0</v>
      </c>
      <c r="DF157" s="16">
        <f t="shared" si="92"/>
        <v>0</v>
      </c>
      <c r="DG157" s="14">
        <f>IF([1]Sheet2!DR156=999999,"NA",[1]Sheet2!DR156)</f>
        <v>73103</v>
      </c>
      <c r="DH157" s="14">
        <f>IF([1]Sheet2!DS156=999999,"NA",[1]Sheet2!DS156)</f>
        <v>211</v>
      </c>
      <c r="DI157" s="14">
        <f>IF([1]Sheet2!DT156=999999,"NA",[1]Sheet2!DT156)</f>
        <v>211</v>
      </c>
      <c r="DJ157" s="14" t="str">
        <f>IF([1]Sheet2!DU156=999999,"NA",[1]Sheet2!DU156)</f>
        <v>NA</v>
      </c>
      <c r="DK157" s="14" t="str">
        <f>IF([1]Sheet2!DV156=999999,"NA",[1]Sheet2!DV156)</f>
        <v>NA</v>
      </c>
      <c r="DL157" s="14" t="str">
        <f>IF([1]Sheet2!DW156=999999,"NA",[1]Sheet2!DW156)</f>
        <v>NA</v>
      </c>
      <c r="DM157" s="14">
        <f>IF([1]Sheet2!DX156=999999,"NA",[1]Sheet2!DX156)</f>
        <v>211</v>
      </c>
      <c r="DN157" s="14">
        <f>IF([1]Sheet2!DY156=999999,"NA",[1]Sheet2!DY156)</f>
        <v>211</v>
      </c>
      <c r="DO157" s="14" t="str">
        <f>IF([1]Sheet2!DZ156=999999,"NA",[1]Sheet2!DZ156)</f>
        <v>NA</v>
      </c>
      <c r="DP157" s="14" t="str">
        <f>IF([1]Sheet2!EA156=999999,"NA",[1]Sheet2!EA156)</f>
        <v>NA</v>
      </c>
      <c r="DQ157" s="14">
        <f>[1]Sheet2!CX156</f>
        <v>0</v>
      </c>
      <c r="DR157" s="14">
        <f>[1]Sheet2!CY156</f>
        <v>0</v>
      </c>
      <c r="DS157" s="14">
        <f>[1]Sheet2!CZ156</f>
        <v>0</v>
      </c>
      <c r="DT157" s="14">
        <f>[1]Sheet2!DA156</f>
        <v>0</v>
      </c>
      <c r="DU157" s="14">
        <f>[1]Sheet2!DB156</f>
        <v>0</v>
      </c>
      <c r="DV157" s="14">
        <f>[1]Sheet2!DC156</f>
        <v>0</v>
      </c>
      <c r="DW157" s="14">
        <f>[1]Sheet2!DD156</f>
        <v>0</v>
      </c>
      <c r="DX157" s="14">
        <f>[1]Sheet2!DE156</f>
        <v>0</v>
      </c>
      <c r="DY157" s="14">
        <f>[1]Sheet2!DF156</f>
        <v>0</v>
      </c>
      <c r="DZ157" s="14">
        <f>[1]Sheet2!DG156</f>
        <v>0</v>
      </c>
    </row>
    <row r="158" spans="1:130" x14ac:dyDescent="0.25">
      <c r="A158" s="15">
        <v>43620</v>
      </c>
      <c r="B158" s="1"/>
      <c r="C158" s="1"/>
      <c r="D158" s="1"/>
      <c r="E158" s="14">
        <f>[1]Sheet2!N157</f>
        <v>0</v>
      </c>
      <c r="F158" s="14">
        <f>[1]Sheet2!BE157</f>
        <v>0</v>
      </c>
      <c r="G158" s="14">
        <f>[1]Sheet2!CV157</f>
        <v>288.46153846153851</v>
      </c>
      <c r="H158" s="1"/>
      <c r="I158" s="1"/>
      <c r="J158" s="1"/>
      <c r="K158" s="16">
        <f>Demand_CWRS!B$8/30</f>
        <v>124.86819391025641</v>
      </c>
      <c r="L158" s="16">
        <f>Demand_CWRS!C$8/30</f>
        <v>583.20512820512829</v>
      </c>
      <c r="M158" s="16">
        <f>Demand_CWRS!D$8/30</f>
        <v>0</v>
      </c>
      <c r="N158" s="16">
        <f>Demand_CWRS!E$8/30</f>
        <v>156.84829059829062</v>
      </c>
      <c r="O158" s="16">
        <f>Demand_CWRS!F$8/30</f>
        <v>252.39596314102559</v>
      </c>
      <c r="P158" s="16">
        <f>Demand_CWRS!G$8/30</f>
        <v>124.86819391025641</v>
      </c>
      <c r="Q158" s="16">
        <f>Demand_CWRS!H$8/30</f>
        <v>583.20512820512829</v>
      </c>
      <c r="R158" s="16">
        <f>Demand_CWRS!I$8/30</f>
        <v>246.66666666666666</v>
      </c>
      <c r="S158" s="16">
        <f>Demand_CWRS!J$8/30</f>
        <v>246.66666666666666</v>
      </c>
      <c r="T158" s="16">
        <f>Demand_CWRS!K$8/30</f>
        <v>246.66666666666666</v>
      </c>
      <c r="U158" s="16">
        <f t="shared" si="63"/>
        <v>-23114.188495729835</v>
      </c>
      <c r="V158" s="16">
        <f t="shared" si="64"/>
        <v>-71692.828205128026</v>
      </c>
      <c r="W158" s="16">
        <f t="shared" si="65"/>
        <v>0</v>
      </c>
      <c r="X158" s="16">
        <f t="shared" si="66"/>
        <v>-16463.220994265936</v>
      </c>
      <c r="Y158" s="16">
        <f t="shared" si="67"/>
        <v>-34715.868793127258</v>
      </c>
      <c r="Z158" s="16">
        <f t="shared" si="68"/>
        <v>-22788.415346691385</v>
      </c>
      <c r="AA158" s="16">
        <f t="shared" si="69"/>
        <v>-71192.828205128026</v>
      </c>
      <c r="AB158" s="16">
        <f t="shared" si="70"/>
        <v>-32380.985020691358</v>
      </c>
      <c r="AC158" s="16">
        <f t="shared" si="71"/>
        <v>-32380.985020691347</v>
      </c>
      <c r="AD158" s="16">
        <f t="shared" si="72"/>
        <v>-33080.985020691347</v>
      </c>
      <c r="AE158" s="14">
        <f>IF([1]Sheet2!AJ157=999999,"NA",[1]Sheet2!AJ157)</f>
        <v>0</v>
      </c>
      <c r="AF158" s="14">
        <f>IF([1]Sheet2!AK157=999999,"NA",[1]Sheet2!AK157)</f>
        <v>0</v>
      </c>
      <c r="AG158" s="14" t="str">
        <f>IF([1]Sheet2!AL157=999999,"NA",[1]Sheet2!AL157)</f>
        <v>NA</v>
      </c>
      <c r="AH158" s="14">
        <f>IF([1]Sheet2!AM157=999999,"NA",[1]Sheet2!AM157)</f>
        <v>210</v>
      </c>
      <c r="AI158" s="14">
        <f>IF([1]Sheet2!AN157=999999,"NA",[1]Sheet2!AN157)</f>
        <v>210</v>
      </c>
      <c r="AJ158" s="14">
        <f>IF([1]Sheet2!AO157=999999,"NA",[1]Sheet2!AO157)</f>
        <v>210</v>
      </c>
      <c r="AK158" s="14">
        <f>IF([1]Sheet2!AP157=999999,"NA",[1]Sheet2!AP157)</f>
        <v>0</v>
      </c>
      <c r="AL158" s="14">
        <f>IF([1]Sheet2!AQ157=999999,"NA",[1]Sheet2!AQ157)</f>
        <v>86</v>
      </c>
      <c r="AM158" s="14">
        <f>IF([1]Sheet2!AR157=999999,"NA",[1]Sheet2!AR157)</f>
        <v>210</v>
      </c>
      <c r="AN158" s="14">
        <f>IF([1]Sheet2!AS157=999999,"NA",[1]Sheet2!AS157)</f>
        <v>142</v>
      </c>
      <c r="AO158" s="14">
        <f>[1]Sheet2!P157</f>
        <v>0</v>
      </c>
      <c r="AP158" s="14">
        <f>[1]Sheet2!Q157</f>
        <v>0</v>
      </c>
      <c r="AQ158" s="14">
        <f>[1]Sheet2!R157</f>
        <v>0</v>
      </c>
      <c r="AR158" s="14">
        <f>[1]Sheet2!S157</f>
        <v>0</v>
      </c>
      <c r="AS158" s="14">
        <f>[1]Sheet2!T157</f>
        <v>0</v>
      </c>
      <c r="AT158" s="14">
        <f>[1]Sheet2!U157</f>
        <v>0</v>
      </c>
      <c r="AU158" s="14">
        <f>[1]Sheet2!V157</f>
        <v>0</v>
      </c>
      <c r="AV158" s="14">
        <f>[1]Sheet2!W157</f>
        <v>0</v>
      </c>
      <c r="AW158" s="14">
        <f>[1]Sheet2!X157</f>
        <v>0</v>
      </c>
      <c r="AX158" s="14">
        <f>[1]Sheet2!Y157</f>
        <v>0</v>
      </c>
      <c r="AY158" s="16">
        <f>Demand_LP!B$8/30</f>
        <v>807.81611164529909</v>
      </c>
      <c r="AZ158" s="16">
        <f>Demand_LP!C$8/30</f>
        <v>574.48717948717956</v>
      </c>
      <c r="BA158" s="16">
        <f>Demand_LP!D$8/30</f>
        <v>339.04957264957267</v>
      </c>
      <c r="BB158" s="16">
        <f>Demand_LP!E$8/30</f>
        <v>830.46965811965799</v>
      </c>
      <c r="BC158" s="16">
        <f>Demand_LP!F$8/30</f>
        <v>476.67186805555554</v>
      </c>
      <c r="BD158" s="16">
        <f>Demand_LP!G$8/30</f>
        <v>807.81611164529909</v>
      </c>
      <c r="BE158" s="16">
        <f>Demand_LP!H$8/30</f>
        <v>574.48717948717956</v>
      </c>
      <c r="BF158" s="16">
        <f>Demand_LP!I$8/30</f>
        <v>476.67186805555554</v>
      </c>
      <c r="BG158" s="16">
        <f>Demand_LP!J$8/30</f>
        <v>476.67186805555554</v>
      </c>
      <c r="BH158" s="16">
        <f>Demand_LP!K$8/30</f>
        <v>476.67186805555554</v>
      </c>
      <c r="BI158" s="16" t="e">
        <f t="shared" si="73"/>
        <v>#VALUE!</v>
      </c>
      <c r="BJ158" s="16">
        <f t="shared" si="74"/>
        <v>-92249.428205128221</v>
      </c>
      <c r="BK158" s="16">
        <f t="shared" si="75"/>
        <v>-45876.317521367469</v>
      </c>
      <c r="BL158" s="16">
        <f t="shared" si="76"/>
        <v>-116969.69528291664</v>
      </c>
      <c r="BM158" s="16">
        <f t="shared" si="77"/>
        <v>-70387.577976928602</v>
      </c>
      <c r="BN158" s="16">
        <f t="shared" si="78"/>
        <v>-113878.69079811066</v>
      </c>
      <c r="BO158" s="16">
        <f t="shared" si="79"/>
        <v>-94607.007692307743</v>
      </c>
      <c r="BP158" s="16">
        <f t="shared" si="80"/>
        <v>-69845.261895299205</v>
      </c>
      <c r="BQ158" s="16">
        <f t="shared" si="81"/>
        <v>-66445.261895299249</v>
      </c>
      <c r="BR158" s="16">
        <f t="shared" si="82"/>
        <v>-67645.261895299205</v>
      </c>
      <c r="BS158" s="14">
        <f>IF([1]Sheet2!CA157=999999,"NA",[1]Sheet2!CA157)</f>
        <v>148833.73810470133</v>
      </c>
      <c r="BT158" s="14">
        <f>IF([1]Sheet2!CB157=999999,"NA",[1]Sheet2!CB157)</f>
        <v>132</v>
      </c>
      <c r="BU158" s="14">
        <f>IF([1]Sheet2!CC157=999999,"NA",[1]Sheet2!CC157)</f>
        <v>210</v>
      </c>
      <c r="BV158" s="14">
        <f>IF([1]Sheet2!CD157=999999,"NA",[1]Sheet2!CD157)</f>
        <v>210</v>
      </c>
      <c r="BW158" s="14">
        <f>IF([1]Sheet2!CE157=999999,"NA",[1]Sheet2!CE157)</f>
        <v>172</v>
      </c>
      <c r="BX158" s="14">
        <f>IF([1]Sheet2!CF157=999999,"NA",[1]Sheet2!CF157)</f>
        <v>210</v>
      </c>
      <c r="BY158" s="14">
        <f>IF([1]Sheet2!CG157=999999,"NA",[1]Sheet2!CG157)</f>
        <v>104</v>
      </c>
      <c r="BZ158" s="14">
        <f>IF([1]Sheet2!CH157=999999,"NA",[1]Sheet2!CH157)</f>
        <v>210</v>
      </c>
      <c r="CA158" s="14">
        <f>IF([1]Sheet2!CI157=999999,"NA",[1]Sheet2!CI157)</f>
        <v>210</v>
      </c>
      <c r="CB158" s="14">
        <f>IF([1]Sheet2!CJ157=999999,"NA",[1]Sheet2!CJ157)</f>
        <v>210</v>
      </c>
      <c r="CC158" s="14">
        <f>[1]Sheet2!BG157</f>
        <v>0</v>
      </c>
      <c r="CD158" s="14">
        <f>[1]Sheet2!BH157</f>
        <v>0</v>
      </c>
      <c r="CE158" s="14">
        <f>[1]Sheet2!BI157</f>
        <v>0</v>
      </c>
      <c r="CF158" s="14">
        <f>[1]Sheet2!BJ157</f>
        <v>0</v>
      </c>
      <c r="CG158" s="14">
        <f>[1]Sheet2!BK157</f>
        <v>0</v>
      </c>
      <c r="CH158" s="14">
        <f>[1]Sheet2!BL157</f>
        <v>0</v>
      </c>
      <c r="CI158" s="14">
        <f>[1]Sheet2!BM157</f>
        <v>0</v>
      </c>
      <c r="CJ158" s="14">
        <f>[1]Sheet2!BN157</f>
        <v>0</v>
      </c>
      <c r="CK158" s="14">
        <f>[1]Sheet2!BO157</f>
        <v>0</v>
      </c>
      <c r="CL158" s="14">
        <f>[1]Sheet2!BP157</f>
        <v>0</v>
      </c>
      <c r="CM158" s="16">
        <f>Demand_SW!B$8/30</f>
        <v>144.23076923076923</v>
      </c>
      <c r="CN158" s="16">
        <f>Demand_SW!C$8/30</f>
        <v>0</v>
      </c>
      <c r="CO158" s="16">
        <f>Demand_SW!D$8/30</f>
        <v>0</v>
      </c>
      <c r="CP158" s="16">
        <f>Demand_SW!E$8/30</f>
        <v>0</v>
      </c>
      <c r="CQ158" s="16">
        <f>Demand_SW!F$8/30</f>
        <v>0</v>
      </c>
      <c r="CR158" s="16">
        <f>Demand_SW!G$8/30</f>
        <v>144.23076923076923</v>
      </c>
      <c r="CS158" s="16">
        <f>Demand_SW!H$8/30</f>
        <v>0</v>
      </c>
      <c r="CT158" s="16">
        <f>Demand_SW!I$8/30</f>
        <v>0</v>
      </c>
      <c r="CU158" s="16">
        <f>Demand_SW!J$8/30</f>
        <v>0</v>
      </c>
      <c r="CV158" s="16">
        <f>Demand_SW!K$8/30</f>
        <v>0</v>
      </c>
      <c r="CW158" s="16">
        <f t="shared" si="83"/>
        <v>30152.307692307739</v>
      </c>
      <c r="CX158" s="16">
        <f t="shared" si="84"/>
        <v>-423.07692307692292</v>
      </c>
      <c r="CY158" s="16">
        <f t="shared" si="85"/>
        <v>0</v>
      </c>
      <c r="CZ158" s="16">
        <f t="shared" si="86"/>
        <v>0</v>
      </c>
      <c r="DA158" s="16">
        <f t="shared" si="87"/>
        <v>0</v>
      </c>
      <c r="DB158" s="16">
        <f t="shared" si="88"/>
        <v>-19376.923076923056</v>
      </c>
      <c r="DC158" s="16">
        <f t="shared" si="89"/>
        <v>-423.07692307692292</v>
      </c>
      <c r="DD158" s="16">
        <f t="shared" si="90"/>
        <v>0</v>
      </c>
      <c r="DE158" s="16">
        <f t="shared" si="91"/>
        <v>0</v>
      </c>
      <c r="DF158" s="16">
        <f t="shared" si="92"/>
        <v>0</v>
      </c>
      <c r="DG158" s="14">
        <f>IF([1]Sheet2!DR157=999999,"NA",[1]Sheet2!DR157)</f>
        <v>73103</v>
      </c>
      <c r="DH158" s="14">
        <f>IF([1]Sheet2!DS157=999999,"NA",[1]Sheet2!DS157)</f>
        <v>210</v>
      </c>
      <c r="DI158" s="14">
        <f>IF([1]Sheet2!DT157=999999,"NA",[1]Sheet2!DT157)</f>
        <v>210</v>
      </c>
      <c r="DJ158" s="14" t="str">
        <f>IF([1]Sheet2!DU157=999999,"NA",[1]Sheet2!DU157)</f>
        <v>NA</v>
      </c>
      <c r="DK158" s="14" t="str">
        <f>IF([1]Sheet2!DV157=999999,"NA",[1]Sheet2!DV157)</f>
        <v>NA</v>
      </c>
      <c r="DL158" s="14" t="str">
        <f>IF([1]Sheet2!DW157=999999,"NA",[1]Sheet2!DW157)</f>
        <v>NA</v>
      </c>
      <c r="DM158" s="14">
        <f>IF([1]Sheet2!DX157=999999,"NA",[1]Sheet2!DX157)</f>
        <v>210</v>
      </c>
      <c r="DN158" s="14">
        <f>IF([1]Sheet2!DY157=999999,"NA",[1]Sheet2!DY157)</f>
        <v>210</v>
      </c>
      <c r="DO158" s="14" t="str">
        <f>IF([1]Sheet2!DZ157=999999,"NA",[1]Sheet2!DZ157)</f>
        <v>NA</v>
      </c>
      <c r="DP158" s="14" t="str">
        <f>IF([1]Sheet2!EA157=999999,"NA",[1]Sheet2!EA157)</f>
        <v>NA</v>
      </c>
      <c r="DQ158" s="14">
        <f>[1]Sheet2!CX157</f>
        <v>0</v>
      </c>
      <c r="DR158" s="14">
        <f>[1]Sheet2!CY157</f>
        <v>0</v>
      </c>
      <c r="DS158" s="14">
        <f>[1]Sheet2!CZ157</f>
        <v>0</v>
      </c>
      <c r="DT158" s="14">
        <f>[1]Sheet2!DA157</f>
        <v>0</v>
      </c>
      <c r="DU158" s="14">
        <f>[1]Sheet2!DB157</f>
        <v>0</v>
      </c>
      <c r="DV158" s="14">
        <f>[1]Sheet2!DC157</f>
        <v>0</v>
      </c>
      <c r="DW158" s="14">
        <f>[1]Sheet2!DD157</f>
        <v>0</v>
      </c>
      <c r="DX158" s="14">
        <f>[1]Sheet2!DE157</f>
        <v>0</v>
      </c>
      <c r="DY158" s="14">
        <f>[1]Sheet2!DF157</f>
        <v>0</v>
      </c>
      <c r="DZ158" s="14">
        <f>[1]Sheet2!DG157</f>
        <v>0</v>
      </c>
    </row>
    <row r="159" spans="1:130" x14ac:dyDescent="0.25">
      <c r="A159" s="15">
        <v>43621</v>
      </c>
      <c r="B159" s="1"/>
      <c r="C159" s="1"/>
      <c r="D159" s="1"/>
      <c r="E159" s="14">
        <f>[1]Sheet2!N158</f>
        <v>0</v>
      </c>
      <c r="F159" s="14">
        <f>[1]Sheet2!BE158</f>
        <v>0</v>
      </c>
      <c r="G159" s="14">
        <f>[1]Sheet2!CV158</f>
        <v>288.46153846153851</v>
      </c>
      <c r="H159" s="1"/>
      <c r="I159" s="1"/>
      <c r="J159" s="1"/>
      <c r="K159" s="16">
        <f>Demand_CWRS!B$8/30</f>
        <v>124.86819391025641</v>
      </c>
      <c r="L159" s="16">
        <f>Demand_CWRS!C$8/30</f>
        <v>583.20512820512829</v>
      </c>
      <c r="M159" s="16">
        <f>Demand_CWRS!D$8/30</f>
        <v>0</v>
      </c>
      <c r="N159" s="16">
        <f>Demand_CWRS!E$8/30</f>
        <v>156.84829059829062</v>
      </c>
      <c r="O159" s="16">
        <f>Demand_CWRS!F$8/30</f>
        <v>252.39596314102559</v>
      </c>
      <c r="P159" s="16">
        <f>Demand_CWRS!G$8/30</f>
        <v>124.86819391025641</v>
      </c>
      <c r="Q159" s="16">
        <f>Demand_CWRS!H$8/30</f>
        <v>583.20512820512829</v>
      </c>
      <c r="R159" s="16">
        <f>Demand_CWRS!I$8/30</f>
        <v>246.66666666666666</v>
      </c>
      <c r="S159" s="16">
        <f>Demand_CWRS!J$8/30</f>
        <v>246.66666666666666</v>
      </c>
      <c r="T159" s="16">
        <f>Demand_CWRS!K$8/30</f>
        <v>246.66666666666666</v>
      </c>
      <c r="U159" s="16">
        <f t="shared" si="63"/>
        <v>-23239.056689640092</v>
      </c>
      <c r="V159" s="16">
        <f t="shared" si="64"/>
        <v>-72276.033333333151</v>
      </c>
      <c r="W159" s="16">
        <f t="shared" si="65"/>
        <v>0</v>
      </c>
      <c r="X159" s="16">
        <f t="shared" si="66"/>
        <v>-16620.069284864225</v>
      </c>
      <c r="Y159" s="16">
        <f t="shared" si="67"/>
        <v>-34968.264756268283</v>
      </c>
      <c r="Z159" s="16">
        <f t="shared" si="68"/>
        <v>-22913.283540601642</v>
      </c>
      <c r="AA159" s="16">
        <f t="shared" si="69"/>
        <v>-71776.033333333151</v>
      </c>
      <c r="AB159" s="16">
        <f t="shared" si="70"/>
        <v>-32627.651687358026</v>
      </c>
      <c r="AC159" s="16">
        <f t="shared" si="71"/>
        <v>-32627.651687358015</v>
      </c>
      <c r="AD159" s="16">
        <f t="shared" si="72"/>
        <v>-33327.651687358011</v>
      </c>
      <c r="AE159" s="14">
        <f>IF([1]Sheet2!AJ158=999999,"NA",[1]Sheet2!AJ158)</f>
        <v>0</v>
      </c>
      <c r="AF159" s="14">
        <f>IF([1]Sheet2!AK158=999999,"NA",[1]Sheet2!AK158)</f>
        <v>0</v>
      </c>
      <c r="AG159" s="14" t="str">
        <f>IF([1]Sheet2!AL158=999999,"NA",[1]Sheet2!AL158)</f>
        <v>NA</v>
      </c>
      <c r="AH159" s="14">
        <f>IF([1]Sheet2!AM158=999999,"NA",[1]Sheet2!AM158)</f>
        <v>209</v>
      </c>
      <c r="AI159" s="14">
        <f>IF([1]Sheet2!AN158=999999,"NA",[1]Sheet2!AN158)</f>
        <v>209</v>
      </c>
      <c r="AJ159" s="14">
        <f>IF([1]Sheet2!AO158=999999,"NA",[1]Sheet2!AO158)</f>
        <v>209</v>
      </c>
      <c r="AK159" s="14">
        <f>IF([1]Sheet2!AP158=999999,"NA",[1]Sheet2!AP158)</f>
        <v>0</v>
      </c>
      <c r="AL159" s="14">
        <f>IF([1]Sheet2!AQ158=999999,"NA",[1]Sheet2!AQ158)</f>
        <v>85</v>
      </c>
      <c r="AM159" s="14">
        <f>IF([1]Sheet2!AR158=999999,"NA",[1]Sheet2!AR158)</f>
        <v>209</v>
      </c>
      <c r="AN159" s="14">
        <f>IF([1]Sheet2!AS158=999999,"NA",[1]Sheet2!AS158)</f>
        <v>141</v>
      </c>
      <c r="AO159" s="14">
        <f>[1]Sheet2!P158</f>
        <v>0</v>
      </c>
      <c r="AP159" s="14">
        <f>[1]Sheet2!Q158</f>
        <v>0</v>
      </c>
      <c r="AQ159" s="14">
        <f>[1]Sheet2!R158</f>
        <v>0</v>
      </c>
      <c r="AR159" s="14">
        <f>[1]Sheet2!S158</f>
        <v>0</v>
      </c>
      <c r="AS159" s="14">
        <f>[1]Sheet2!T158</f>
        <v>0</v>
      </c>
      <c r="AT159" s="14">
        <f>[1]Sheet2!U158</f>
        <v>0</v>
      </c>
      <c r="AU159" s="14">
        <f>[1]Sheet2!V158</f>
        <v>0</v>
      </c>
      <c r="AV159" s="14">
        <f>[1]Sheet2!W158</f>
        <v>0</v>
      </c>
      <c r="AW159" s="14">
        <f>[1]Sheet2!X158</f>
        <v>0</v>
      </c>
      <c r="AX159" s="14">
        <f>[1]Sheet2!Y158</f>
        <v>0</v>
      </c>
      <c r="AY159" s="16">
        <f>Demand_LP!B$8/30</f>
        <v>807.81611164529909</v>
      </c>
      <c r="AZ159" s="16">
        <f>Demand_LP!C$8/30</f>
        <v>574.48717948717956</v>
      </c>
      <c r="BA159" s="16">
        <f>Demand_LP!D$8/30</f>
        <v>339.04957264957267</v>
      </c>
      <c r="BB159" s="16">
        <f>Demand_LP!E$8/30</f>
        <v>830.46965811965799</v>
      </c>
      <c r="BC159" s="16">
        <f>Demand_LP!F$8/30</f>
        <v>476.67186805555554</v>
      </c>
      <c r="BD159" s="16">
        <f>Demand_LP!G$8/30</f>
        <v>807.81611164529909</v>
      </c>
      <c r="BE159" s="16">
        <f>Demand_LP!H$8/30</f>
        <v>574.48717948717956</v>
      </c>
      <c r="BF159" s="16">
        <f>Demand_LP!I$8/30</f>
        <v>476.67186805555554</v>
      </c>
      <c r="BG159" s="16">
        <f>Demand_LP!J$8/30</f>
        <v>476.67186805555554</v>
      </c>
      <c r="BH159" s="16">
        <f>Demand_LP!K$8/30</f>
        <v>476.67186805555554</v>
      </c>
      <c r="BI159" s="16" t="e">
        <f t="shared" si="73"/>
        <v>#VALUE!</v>
      </c>
      <c r="BJ159" s="16">
        <f t="shared" si="74"/>
        <v>-92823.915384615393</v>
      </c>
      <c r="BK159" s="16">
        <f t="shared" si="75"/>
        <v>-46215.367094017041</v>
      </c>
      <c r="BL159" s="16">
        <f t="shared" si="76"/>
        <v>-117800.1649410363</v>
      </c>
      <c r="BM159" s="16">
        <f t="shared" si="77"/>
        <v>-70864.249844984151</v>
      </c>
      <c r="BN159" s="16">
        <f t="shared" si="78"/>
        <v>-114686.50690975596</v>
      </c>
      <c r="BO159" s="16">
        <f t="shared" si="79"/>
        <v>-95181.494871794916</v>
      </c>
      <c r="BP159" s="16">
        <f t="shared" si="80"/>
        <v>-70321.933763354755</v>
      </c>
      <c r="BQ159" s="16">
        <f t="shared" si="81"/>
        <v>-66921.933763354798</v>
      </c>
      <c r="BR159" s="16">
        <f t="shared" si="82"/>
        <v>-68121.933763354755</v>
      </c>
      <c r="BS159" s="14">
        <f>IF([1]Sheet2!CA158=999999,"NA",[1]Sheet2!CA158)</f>
        <v>148357.06623664577</v>
      </c>
      <c r="BT159" s="14">
        <f>IF([1]Sheet2!CB158=999999,"NA",[1]Sheet2!CB158)</f>
        <v>131</v>
      </c>
      <c r="BU159" s="14">
        <f>IF([1]Sheet2!CC158=999999,"NA",[1]Sheet2!CC158)</f>
        <v>209</v>
      </c>
      <c r="BV159" s="14">
        <f>IF([1]Sheet2!CD158=999999,"NA",[1]Sheet2!CD158)</f>
        <v>209</v>
      </c>
      <c r="BW159" s="14">
        <f>IF([1]Sheet2!CE158=999999,"NA",[1]Sheet2!CE158)</f>
        <v>171</v>
      </c>
      <c r="BX159" s="14">
        <f>IF([1]Sheet2!CF158=999999,"NA",[1]Sheet2!CF158)</f>
        <v>209</v>
      </c>
      <c r="BY159" s="14">
        <f>IF([1]Sheet2!CG158=999999,"NA",[1]Sheet2!CG158)</f>
        <v>103</v>
      </c>
      <c r="BZ159" s="14">
        <f>IF([1]Sheet2!CH158=999999,"NA",[1]Sheet2!CH158)</f>
        <v>209</v>
      </c>
      <c r="CA159" s="14">
        <f>IF([1]Sheet2!CI158=999999,"NA",[1]Sheet2!CI158)</f>
        <v>209</v>
      </c>
      <c r="CB159" s="14">
        <f>IF([1]Sheet2!CJ158=999999,"NA",[1]Sheet2!CJ158)</f>
        <v>209</v>
      </c>
      <c r="CC159" s="14">
        <f>[1]Sheet2!BG158</f>
        <v>0</v>
      </c>
      <c r="CD159" s="14">
        <f>[1]Sheet2!BH158</f>
        <v>0</v>
      </c>
      <c r="CE159" s="14">
        <f>[1]Sheet2!BI158</f>
        <v>0</v>
      </c>
      <c r="CF159" s="14">
        <f>[1]Sheet2!BJ158</f>
        <v>0</v>
      </c>
      <c r="CG159" s="14">
        <f>[1]Sheet2!BK158</f>
        <v>0</v>
      </c>
      <c r="CH159" s="14">
        <f>[1]Sheet2!BL158</f>
        <v>0</v>
      </c>
      <c r="CI159" s="14">
        <f>[1]Sheet2!BM158</f>
        <v>0</v>
      </c>
      <c r="CJ159" s="14">
        <f>[1]Sheet2!BN158</f>
        <v>0</v>
      </c>
      <c r="CK159" s="14">
        <f>[1]Sheet2!BO158</f>
        <v>0</v>
      </c>
      <c r="CL159" s="14">
        <f>[1]Sheet2!BP158</f>
        <v>0</v>
      </c>
      <c r="CM159" s="16">
        <f>Demand_SW!B$8/30</f>
        <v>144.23076923076923</v>
      </c>
      <c r="CN159" s="16">
        <f>Demand_SW!C$8/30</f>
        <v>0</v>
      </c>
      <c r="CO159" s="16">
        <f>Demand_SW!D$8/30</f>
        <v>0</v>
      </c>
      <c r="CP159" s="16">
        <f>Demand_SW!E$8/30</f>
        <v>0</v>
      </c>
      <c r="CQ159" s="16">
        <f>Demand_SW!F$8/30</f>
        <v>0</v>
      </c>
      <c r="CR159" s="16">
        <f>Demand_SW!G$8/30</f>
        <v>144.23076923076923</v>
      </c>
      <c r="CS159" s="16">
        <f>Demand_SW!H$8/30</f>
        <v>0</v>
      </c>
      <c r="CT159" s="16">
        <f>Demand_SW!I$8/30</f>
        <v>0</v>
      </c>
      <c r="CU159" s="16">
        <f>Demand_SW!J$8/30</f>
        <v>0</v>
      </c>
      <c r="CV159" s="16">
        <f>Demand_SW!K$8/30</f>
        <v>0</v>
      </c>
      <c r="CW159" s="16">
        <f t="shared" si="83"/>
        <v>30008.076923076969</v>
      </c>
      <c r="CX159" s="16">
        <f t="shared" si="84"/>
        <v>-423.07692307692292</v>
      </c>
      <c r="CY159" s="16">
        <f t="shared" si="85"/>
        <v>0</v>
      </c>
      <c r="CZ159" s="16">
        <f t="shared" si="86"/>
        <v>0</v>
      </c>
      <c r="DA159" s="16">
        <f t="shared" si="87"/>
        <v>0</v>
      </c>
      <c r="DB159" s="16">
        <f t="shared" si="88"/>
        <v>-19521.153846153826</v>
      </c>
      <c r="DC159" s="16">
        <f t="shared" si="89"/>
        <v>-423.07692307692292</v>
      </c>
      <c r="DD159" s="16">
        <f t="shared" si="90"/>
        <v>0</v>
      </c>
      <c r="DE159" s="16">
        <f t="shared" si="91"/>
        <v>0</v>
      </c>
      <c r="DF159" s="16">
        <f t="shared" si="92"/>
        <v>0</v>
      </c>
      <c r="DG159" s="14">
        <f>IF([1]Sheet2!DR158=999999,"NA",[1]Sheet2!DR158)</f>
        <v>73103</v>
      </c>
      <c r="DH159" s="14">
        <f>IF([1]Sheet2!DS158=999999,"NA",[1]Sheet2!DS158)</f>
        <v>209</v>
      </c>
      <c r="DI159" s="14">
        <f>IF([1]Sheet2!DT158=999999,"NA",[1]Sheet2!DT158)</f>
        <v>209</v>
      </c>
      <c r="DJ159" s="14" t="str">
        <f>IF([1]Sheet2!DU158=999999,"NA",[1]Sheet2!DU158)</f>
        <v>NA</v>
      </c>
      <c r="DK159" s="14" t="str">
        <f>IF([1]Sheet2!DV158=999999,"NA",[1]Sheet2!DV158)</f>
        <v>NA</v>
      </c>
      <c r="DL159" s="14" t="str">
        <f>IF([1]Sheet2!DW158=999999,"NA",[1]Sheet2!DW158)</f>
        <v>NA</v>
      </c>
      <c r="DM159" s="14">
        <f>IF([1]Sheet2!DX158=999999,"NA",[1]Sheet2!DX158)</f>
        <v>209</v>
      </c>
      <c r="DN159" s="14">
        <f>IF([1]Sheet2!DY158=999999,"NA",[1]Sheet2!DY158)</f>
        <v>209</v>
      </c>
      <c r="DO159" s="14" t="str">
        <f>IF([1]Sheet2!DZ158=999999,"NA",[1]Sheet2!DZ158)</f>
        <v>NA</v>
      </c>
      <c r="DP159" s="14" t="str">
        <f>IF([1]Sheet2!EA158=999999,"NA",[1]Sheet2!EA158)</f>
        <v>NA</v>
      </c>
      <c r="DQ159" s="14">
        <f>[1]Sheet2!CX158</f>
        <v>0</v>
      </c>
      <c r="DR159" s="14">
        <f>[1]Sheet2!CY158</f>
        <v>0</v>
      </c>
      <c r="DS159" s="14">
        <f>[1]Sheet2!CZ158</f>
        <v>0</v>
      </c>
      <c r="DT159" s="14">
        <f>[1]Sheet2!DA158</f>
        <v>0</v>
      </c>
      <c r="DU159" s="14">
        <f>[1]Sheet2!DB158</f>
        <v>0</v>
      </c>
      <c r="DV159" s="14">
        <f>[1]Sheet2!DC158</f>
        <v>0</v>
      </c>
      <c r="DW159" s="14">
        <f>[1]Sheet2!DD158</f>
        <v>0</v>
      </c>
      <c r="DX159" s="14">
        <f>[1]Sheet2!DE158</f>
        <v>0</v>
      </c>
      <c r="DY159" s="14">
        <f>[1]Sheet2!DF158</f>
        <v>0</v>
      </c>
      <c r="DZ159" s="14">
        <f>[1]Sheet2!DG158</f>
        <v>0</v>
      </c>
    </row>
    <row r="160" spans="1:130" x14ac:dyDescent="0.25">
      <c r="A160" s="15">
        <v>43622</v>
      </c>
      <c r="B160" s="1"/>
      <c r="C160" s="1"/>
      <c r="D160" s="1"/>
      <c r="E160" s="14">
        <f>[1]Sheet2!N159</f>
        <v>0</v>
      </c>
      <c r="F160" s="14">
        <f>[1]Sheet2!BE159</f>
        <v>0</v>
      </c>
      <c r="G160" s="14">
        <f>[1]Sheet2!CV159</f>
        <v>288.46153846153851</v>
      </c>
      <c r="H160" s="1"/>
      <c r="I160" s="1"/>
      <c r="J160" s="1"/>
      <c r="K160" s="16">
        <f>Demand_CWRS!B$8/30</f>
        <v>124.86819391025641</v>
      </c>
      <c r="L160" s="16">
        <f>Demand_CWRS!C$8/30</f>
        <v>583.20512820512829</v>
      </c>
      <c r="M160" s="16">
        <f>Demand_CWRS!D$8/30</f>
        <v>0</v>
      </c>
      <c r="N160" s="16">
        <f>Demand_CWRS!E$8/30</f>
        <v>156.84829059829062</v>
      </c>
      <c r="O160" s="16">
        <f>Demand_CWRS!F$8/30</f>
        <v>252.39596314102559</v>
      </c>
      <c r="P160" s="16">
        <f>Demand_CWRS!G$8/30</f>
        <v>124.86819391025641</v>
      </c>
      <c r="Q160" s="16">
        <f>Demand_CWRS!H$8/30</f>
        <v>583.20512820512829</v>
      </c>
      <c r="R160" s="16">
        <f>Demand_CWRS!I$8/30</f>
        <v>246.66666666666666</v>
      </c>
      <c r="S160" s="16">
        <f>Demand_CWRS!J$8/30</f>
        <v>246.66666666666666</v>
      </c>
      <c r="T160" s="16">
        <f>Demand_CWRS!K$8/30</f>
        <v>246.66666666666666</v>
      </c>
      <c r="U160" s="16">
        <f t="shared" si="63"/>
        <v>-23363.924883550349</v>
      </c>
      <c r="V160" s="16">
        <f t="shared" si="64"/>
        <v>-72859.238461538276</v>
      </c>
      <c r="W160" s="16">
        <f t="shared" si="65"/>
        <v>0</v>
      </c>
      <c r="X160" s="16">
        <f t="shared" si="66"/>
        <v>-16776.917575462514</v>
      </c>
      <c r="Y160" s="16">
        <f t="shared" si="67"/>
        <v>-35220.660719409309</v>
      </c>
      <c r="Z160" s="16">
        <f t="shared" si="68"/>
        <v>-23038.151734511899</v>
      </c>
      <c r="AA160" s="16">
        <f t="shared" si="69"/>
        <v>-72359.238461538276</v>
      </c>
      <c r="AB160" s="16">
        <f t="shared" si="70"/>
        <v>-32874.31835402469</v>
      </c>
      <c r="AC160" s="16">
        <f t="shared" si="71"/>
        <v>-32874.318354024683</v>
      </c>
      <c r="AD160" s="16">
        <f t="shared" si="72"/>
        <v>-33574.318354024676</v>
      </c>
      <c r="AE160" s="14">
        <f>IF([1]Sheet2!AJ159=999999,"NA",[1]Sheet2!AJ159)</f>
        <v>0</v>
      </c>
      <c r="AF160" s="14">
        <f>IF([1]Sheet2!AK159=999999,"NA",[1]Sheet2!AK159)</f>
        <v>0</v>
      </c>
      <c r="AG160" s="14" t="str">
        <f>IF([1]Sheet2!AL159=999999,"NA",[1]Sheet2!AL159)</f>
        <v>NA</v>
      </c>
      <c r="AH160" s="14">
        <f>IF([1]Sheet2!AM159=999999,"NA",[1]Sheet2!AM159)</f>
        <v>208</v>
      </c>
      <c r="AI160" s="14">
        <f>IF([1]Sheet2!AN159=999999,"NA",[1]Sheet2!AN159)</f>
        <v>208</v>
      </c>
      <c r="AJ160" s="14">
        <f>IF([1]Sheet2!AO159=999999,"NA",[1]Sheet2!AO159)</f>
        <v>208</v>
      </c>
      <c r="AK160" s="14">
        <f>IF([1]Sheet2!AP159=999999,"NA",[1]Sheet2!AP159)</f>
        <v>0</v>
      </c>
      <c r="AL160" s="14">
        <f>IF([1]Sheet2!AQ159=999999,"NA",[1]Sheet2!AQ159)</f>
        <v>84</v>
      </c>
      <c r="AM160" s="14">
        <f>IF([1]Sheet2!AR159=999999,"NA",[1]Sheet2!AR159)</f>
        <v>208</v>
      </c>
      <c r="AN160" s="14">
        <f>IF([1]Sheet2!AS159=999999,"NA",[1]Sheet2!AS159)</f>
        <v>140</v>
      </c>
      <c r="AO160" s="14">
        <f>[1]Sheet2!P159</f>
        <v>0</v>
      </c>
      <c r="AP160" s="14">
        <f>[1]Sheet2!Q159</f>
        <v>0</v>
      </c>
      <c r="AQ160" s="14">
        <f>[1]Sheet2!R159</f>
        <v>0</v>
      </c>
      <c r="AR160" s="14">
        <f>[1]Sheet2!S159</f>
        <v>0</v>
      </c>
      <c r="AS160" s="14">
        <f>[1]Sheet2!T159</f>
        <v>0</v>
      </c>
      <c r="AT160" s="14">
        <f>[1]Sheet2!U159</f>
        <v>0</v>
      </c>
      <c r="AU160" s="14">
        <f>[1]Sheet2!V159</f>
        <v>0</v>
      </c>
      <c r="AV160" s="14">
        <f>[1]Sheet2!W159</f>
        <v>0</v>
      </c>
      <c r="AW160" s="14">
        <f>[1]Sheet2!X159</f>
        <v>0</v>
      </c>
      <c r="AX160" s="14">
        <f>[1]Sheet2!Y159</f>
        <v>0</v>
      </c>
      <c r="AY160" s="16">
        <f>Demand_LP!B$8/30</f>
        <v>807.81611164529909</v>
      </c>
      <c r="AZ160" s="16">
        <f>Demand_LP!C$8/30</f>
        <v>574.48717948717956</v>
      </c>
      <c r="BA160" s="16">
        <f>Demand_LP!D$8/30</f>
        <v>339.04957264957267</v>
      </c>
      <c r="BB160" s="16">
        <f>Demand_LP!E$8/30</f>
        <v>830.46965811965799</v>
      </c>
      <c r="BC160" s="16">
        <f>Demand_LP!F$8/30</f>
        <v>476.67186805555554</v>
      </c>
      <c r="BD160" s="16">
        <f>Demand_LP!G$8/30</f>
        <v>807.81611164529909</v>
      </c>
      <c r="BE160" s="16">
        <f>Demand_LP!H$8/30</f>
        <v>574.48717948717956</v>
      </c>
      <c r="BF160" s="16">
        <f>Demand_LP!I$8/30</f>
        <v>476.67186805555554</v>
      </c>
      <c r="BG160" s="16">
        <f>Demand_LP!J$8/30</f>
        <v>476.67186805555554</v>
      </c>
      <c r="BH160" s="16">
        <f>Demand_LP!K$8/30</f>
        <v>476.67186805555554</v>
      </c>
      <c r="BI160" s="16" t="e">
        <f t="shared" si="73"/>
        <v>#VALUE!</v>
      </c>
      <c r="BJ160" s="16">
        <f t="shared" si="74"/>
        <v>-93398.402564102566</v>
      </c>
      <c r="BK160" s="16">
        <f t="shared" si="75"/>
        <v>-46554.416666666613</v>
      </c>
      <c r="BL160" s="16">
        <f t="shared" si="76"/>
        <v>-118630.63459915596</v>
      </c>
      <c r="BM160" s="16">
        <f t="shared" si="77"/>
        <v>-71340.921713039701</v>
      </c>
      <c r="BN160" s="16">
        <f t="shared" si="78"/>
        <v>-115494.32302140126</v>
      </c>
      <c r="BO160" s="16">
        <f t="shared" si="79"/>
        <v>-95755.982051282088</v>
      </c>
      <c r="BP160" s="16">
        <f t="shared" si="80"/>
        <v>-70798.605631410304</v>
      </c>
      <c r="BQ160" s="16">
        <f t="shared" si="81"/>
        <v>-67398.605631410348</v>
      </c>
      <c r="BR160" s="16">
        <f t="shared" si="82"/>
        <v>-68598.605631410304</v>
      </c>
      <c r="BS160" s="14">
        <f>IF([1]Sheet2!CA159=999999,"NA",[1]Sheet2!CA159)</f>
        <v>147880.3943685902</v>
      </c>
      <c r="BT160" s="14">
        <f>IF([1]Sheet2!CB159=999999,"NA",[1]Sheet2!CB159)</f>
        <v>130</v>
      </c>
      <c r="BU160" s="14">
        <f>IF([1]Sheet2!CC159=999999,"NA",[1]Sheet2!CC159)</f>
        <v>208</v>
      </c>
      <c r="BV160" s="14">
        <f>IF([1]Sheet2!CD159=999999,"NA",[1]Sheet2!CD159)</f>
        <v>208</v>
      </c>
      <c r="BW160" s="14">
        <f>IF([1]Sheet2!CE159=999999,"NA",[1]Sheet2!CE159)</f>
        <v>170</v>
      </c>
      <c r="BX160" s="14">
        <f>IF([1]Sheet2!CF159=999999,"NA",[1]Sheet2!CF159)</f>
        <v>208</v>
      </c>
      <c r="BY160" s="14">
        <f>IF([1]Sheet2!CG159=999999,"NA",[1]Sheet2!CG159)</f>
        <v>102</v>
      </c>
      <c r="BZ160" s="14">
        <f>IF([1]Sheet2!CH159=999999,"NA",[1]Sheet2!CH159)</f>
        <v>208</v>
      </c>
      <c r="CA160" s="14">
        <f>IF([1]Sheet2!CI159=999999,"NA",[1]Sheet2!CI159)</f>
        <v>208</v>
      </c>
      <c r="CB160" s="14">
        <f>IF([1]Sheet2!CJ159=999999,"NA",[1]Sheet2!CJ159)</f>
        <v>208</v>
      </c>
      <c r="CC160" s="14">
        <f>[1]Sheet2!BG159</f>
        <v>0</v>
      </c>
      <c r="CD160" s="14">
        <f>[1]Sheet2!BH159</f>
        <v>0</v>
      </c>
      <c r="CE160" s="14">
        <f>[1]Sheet2!BI159</f>
        <v>0</v>
      </c>
      <c r="CF160" s="14">
        <f>[1]Sheet2!BJ159</f>
        <v>0</v>
      </c>
      <c r="CG160" s="14">
        <f>[1]Sheet2!BK159</f>
        <v>0</v>
      </c>
      <c r="CH160" s="14">
        <f>[1]Sheet2!BL159</f>
        <v>0</v>
      </c>
      <c r="CI160" s="14">
        <f>[1]Sheet2!BM159</f>
        <v>0</v>
      </c>
      <c r="CJ160" s="14">
        <f>[1]Sheet2!BN159</f>
        <v>0</v>
      </c>
      <c r="CK160" s="14">
        <f>[1]Sheet2!BO159</f>
        <v>0</v>
      </c>
      <c r="CL160" s="14">
        <f>[1]Sheet2!BP159</f>
        <v>0</v>
      </c>
      <c r="CM160" s="16">
        <f>Demand_SW!B$8/30</f>
        <v>144.23076923076923</v>
      </c>
      <c r="CN160" s="16">
        <f>Demand_SW!C$8/30</f>
        <v>0</v>
      </c>
      <c r="CO160" s="16">
        <f>Demand_SW!D$8/30</f>
        <v>0</v>
      </c>
      <c r="CP160" s="16">
        <f>Demand_SW!E$8/30</f>
        <v>0</v>
      </c>
      <c r="CQ160" s="16">
        <f>Demand_SW!F$8/30</f>
        <v>0</v>
      </c>
      <c r="CR160" s="16">
        <f>Demand_SW!G$8/30</f>
        <v>144.23076923076923</v>
      </c>
      <c r="CS160" s="16">
        <f>Demand_SW!H$8/30</f>
        <v>0</v>
      </c>
      <c r="CT160" s="16">
        <f>Demand_SW!I$8/30</f>
        <v>0</v>
      </c>
      <c r="CU160" s="16">
        <f>Demand_SW!J$8/30</f>
        <v>0</v>
      </c>
      <c r="CV160" s="16">
        <f>Demand_SW!K$8/30</f>
        <v>0</v>
      </c>
      <c r="CW160" s="16">
        <f t="shared" si="83"/>
        <v>29863.8461538462</v>
      </c>
      <c r="CX160" s="16">
        <f t="shared" si="84"/>
        <v>-423.07692307692292</v>
      </c>
      <c r="CY160" s="16">
        <f t="shared" si="85"/>
        <v>0</v>
      </c>
      <c r="CZ160" s="16">
        <f t="shared" si="86"/>
        <v>0</v>
      </c>
      <c r="DA160" s="16">
        <f t="shared" si="87"/>
        <v>0</v>
      </c>
      <c r="DB160" s="16">
        <f t="shared" si="88"/>
        <v>-19665.384615384595</v>
      </c>
      <c r="DC160" s="16">
        <f t="shared" si="89"/>
        <v>-423.07692307692292</v>
      </c>
      <c r="DD160" s="16">
        <f t="shared" si="90"/>
        <v>0</v>
      </c>
      <c r="DE160" s="16">
        <f t="shared" si="91"/>
        <v>0</v>
      </c>
      <c r="DF160" s="16">
        <f t="shared" si="92"/>
        <v>0</v>
      </c>
      <c r="DG160" s="14">
        <f>IF([1]Sheet2!DR159=999999,"NA",[1]Sheet2!DR159)</f>
        <v>73103</v>
      </c>
      <c r="DH160" s="14">
        <f>IF([1]Sheet2!DS159=999999,"NA",[1]Sheet2!DS159)</f>
        <v>208</v>
      </c>
      <c r="DI160" s="14">
        <f>IF([1]Sheet2!DT159=999999,"NA",[1]Sheet2!DT159)</f>
        <v>208</v>
      </c>
      <c r="DJ160" s="14" t="str">
        <f>IF([1]Sheet2!DU159=999999,"NA",[1]Sheet2!DU159)</f>
        <v>NA</v>
      </c>
      <c r="DK160" s="14" t="str">
        <f>IF([1]Sheet2!DV159=999999,"NA",[1]Sheet2!DV159)</f>
        <v>NA</v>
      </c>
      <c r="DL160" s="14" t="str">
        <f>IF([1]Sheet2!DW159=999999,"NA",[1]Sheet2!DW159)</f>
        <v>NA</v>
      </c>
      <c r="DM160" s="14">
        <f>IF([1]Sheet2!DX159=999999,"NA",[1]Sheet2!DX159)</f>
        <v>208</v>
      </c>
      <c r="DN160" s="14">
        <f>IF([1]Sheet2!DY159=999999,"NA",[1]Sheet2!DY159)</f>
        <v>208</v>
      </c>
      <c r="DO160" s="14" t="str">
        <f>IF([1]Sheet2!DZ159=999999,"NA",[1]Sheet2!DZ159)</f>
        <v>NA</v>
      </c>
      <c r="DP160" s="14" t="str">
        <f>IF([1]Sheet2!EA159=999999,"NA",[1]Sheet2!EA159)</f>
        <v>NA</v>
      </c>
      <c r="DQ160" s="14">
        <f>[1]Sheet2!CX159</f>
        <v>0</v>
      </c>
      <c r="DR160" s="14">
        <f>[1]Sheet2!CY159</f>
        <v>0</v>
      </c>
      <c r="DS160" s="14">
        <f>[1]Sheet2!CZ159</f>
        <v>0</v>
      </c>
      <c r="DT160" s="14">
        <f>[1]Sheet2!DA159</f>
        <v>0</v>
      </c>
      <c r="DU160" s="14">
        <f>[1]Sheet2!DB159</f>
        <v>0</v>
      </c>
      <c r="DV160" s="14">
        <f>[1]Sheet2!DC159</f>
        <v>0</v>
      </c>
      <c r="DW160" s="14">
        <f>[1]Sheet2!DD159</f>
        <v>0</v>
      </c>
      <c r="DX160" s="14">
        <f>[1]Sheet2!DE159</f>
        <v>0</v>
      </c>
      <c r="DY160" s="14">
        <f>[1]Sheet2!DF159</f>
        <v>0</v>
      </c>
      <c r="DZ160" s="14">
        <f>[1]Sheet2!DG159</f>
        <v>0</v>
      </c>
    </row>
    <row r="161" spans="1:130" x14ac:dyDescent="0.25">
      <c r="A161" s="15">
        <v>43623</v>
      </c>
      <c r="B161" s="1"/>
      <c r="C161" s="1"/>
      <c r="D161" s="1"/>
      <c r="E161" s="14">
        <f>[1]Sheet2!N160</f>
        <v>0</v>
      </c>
      <c r="F161" s="14">
        <f>[1]Sheet2!BE160</f>
        <v>0</v>
      </c>
      <c r="G161" s="14">
        <f>[1]Sheet2!CV160</f>
        <v>288.46153846153851</v>
      </c>
      <c r="H161" s="1"/>
      <c r="I161" s="1"/>
      <c r="J161" s="1"/>
      <c r="K161" s="16">
        <f>Demand_CWRS!B$8/30</f>
        <v>124.86819391025641</v>
      </c>
      <c r="L161" s="16">
        <f>Demand_CWRS!C$8/30</f>
        <v>583.20512820512829</v>
      </c>
      <c r="M161" s="16">
        <f>Demand_CWRS!D$8/30</f>
        <v>0</v>
      </c>
      <c r="N161" s="16">
        <f>Demand_CWRS!E$8/30</f>
        <v>156.84829059829062</v>
      </c>
      <c r="O161" s="16">
        <f>Demand_CWRS!F$8/30</f>
        <v>252.39596314102559</v>
      </c>
      <c r="P161" s="16">
        <f>Demand_CWRS!G$8/30</f>
        <v>124.86819391025641</v>
      </c>
      <c r="Q161" s="16">
        <f>Demand_CWRS!H$8/30</f>
        <v>583.20512820512829</v>
      </c>
      <c r="R161" s="16">
        <f>Demand_CWRS!I$8/30</f>
        <v>246.66666666666666</v>
      </c>
      <c r="S161" s="16">
        <f>Demand_CWRS!J$8/30</f>
        <v>246.66666666666666</v>
      </c>
      <c r="T161" s="16">
        <f>Demand_CWRS!K$8/30</f>
        <v>246.66666666666666</v>
      </c>
      <c r="U161" s="16">
        <f t="shared" si="63"/>
        <v>-23488.793077460607</v>
      </c>
      <c r="V161" s="16">
        <f t="shared" si="64"/>
        <v>-73442.443589743401</v>
      </c>
      <c r="W161" s="16">
        <f t="shared" si="65"/>
        <v>0</v>
      </c>
      <c r="X161" s="16">
        <f t="shared" si="66"/>
        <v>-16933.765866060803</v>
      </c>
      <c r="Y161" s="16">
        <f t="shared" si="67"/>
        <v>-35473.056682550334</v>
      </c>
      <c r="Z161" s="16">
        <f t="shared" si="68"/>
        <v>-23163.019928422156</v>
      </c>
      <c r="AA161" s="16">
        <f t="shared" si="69"/>
        <v>-72942.443589743401</v>
      </c>
      <c r="AB161" s="16">
        <f t="shared" si="70"/>
        <v>-33120.985020691354</v>
      </c>
      <c r="AC161" s="16">
        <f t="shared" si="71"/>
        <v>-33120.985020691347</v>
      </c>
      <c r="AD161" s="16">
        <f t="shared" si="72"/>
        <v>-33820.98502069134</v>
      </c>
      <c r="AE161" s="14">
        <f>IF([1]Sheet2!AJ160=999999,"NA",[1]Sheet2!AJ160)</f>
        <v>0</v>
      </c>
      <c r="AF161" s="14">
        <f>IF([1]Sheet2!AK160=999999,"NA",[1]Sheet2!AK160)</f>
        <v>0</v>
      </c>
      <c r="AG161" s="14" t="str">
        <f>IF([1]Sheet2!AL160=999999,"NA",[1]Sheet2!AL160)</f>
        <v>NA</v>
      </c>
      <c r="AH161" s="14">
        <f>IF([1]Sheet2!AM160=999999,"NA",[1]Sheet2!AM160)</f>
        <v>207</v>
      </c>
      <c r="AI161" s="14">
        <f>IF([1]Sheet2!AN160=999999,"NA",[1]Sheet2!AN160)</f>
        <v>207</v>
      </c>
      <c r="AJ161" s="14">
        <f>IF([1]Sheet2!AO160=999999,"NA",[1]Sheet2!AO160)</f>
        <v>207</v>
      </c>
      <c r="AK161" s="14">
        <f>IF([1]Sheet2!AP160=999999,"NA",[1]Sheet2!AP160)</f>
        <v>0</v>
      </c>
      <c r="AL161" s="14">
        <f>IF([1]Sheet2!AQ160=999999,"NA",[1]Sheet2!AQ160)</f>
        <v>83</v>
      </c>
      <c r="AM161" s="14">
        <f>IF([1]Sheet2!AR160=999999,"NA",[1]Sheet2!AR160)</f>
        <v>207</v>
      </c>
      <c r="AN161" s="14">
        <f>IF([1]Sheet2!AS160=999999,"NA",[1]Sheet2!AS160)</f>
        <v>139</v>
      </c>
      <c r="AO161" s="14">
        <f>[1]Sheet2!P160</f>
        <v>0</v>
      </c>
      <c r="AP161" s="14">
        <f>[1]Sheet2!Q160</f>
        <v>0</v>
      </c>
      <c r="AQ161" s="14">
        <f>[1]Sheet2!R160</f>
        <v>0</v>
      </c>
      <c r="AR161" s="14">
        <f>[1]Sheet2!S160</f>
        <v>0</v>
      </c>
      <c r="AS161" s="14">
        <f>[1]Sheet2!T160</f>
        <v>0</v>
      </c>
      <c r="AT161" s="14">
        <f>[1]Sheet2!U160</f>
        <v>0</v>
      </c>
      <c r="AU161" s="14">
        <f>[1]Sheet2!V160</f>
        <v>0</v>
      </c>
      <c r="AV161" s="14">
        <f>[1]Sheet2!W160</f>
        <v>0</v>
      </c>
      <c r="AW161" s="14">
        <f>[1]Sheet2!X160</f>
        <v>0</v>
      </c>
      <c r="AX161" s="14">
        <f>[1]Sheet2!Y160</f>
        <v>0</v>
      </c>
      <c r="AY161" s="16">
        <f>Demand_LP!B$8/30</f>
        <v>807.81611164529909</v>
      </c>
      <c r="AZ161" s="16">
        <f>Demand_LP!C$8/30</f>
        <v>574.48717948717956</v>
      </c>
      <c r="BA161" s="16">
        <f>Demand_LP!D$8/30</f>
        <v>339.04957264957267</v>
      </c>
      <c r="BB161" s="16">
        <f>Demand_LP!E$8/30</f>
        <v>830.46965811965799</v>
      </c>
      <c r="BC161" s="16">
        <f>Demand_LP!F$8/30</f>
        <v>476.67186805555554</v>
      </c>
      <c r="BD161" s="16">
        <f>Demand_LP!G$8/30</f>
        <v>807.81611164529909</v>
      </c>
      <c r="BE161" s="16">
        <f>Demand_LP!H$8/30</f>
        <v>574.48717948717956</v>
      </c>
      <c r="BF161" s="16">
        <f>Demand_LP!I$8/30</f>
        <v>476.67186805555554</v>
      </c>
      <c r="BG161" s="16">
        <f>Demand_LP!J$8/30</f>
        <v>476.67186805555554</v>
      </c>
      <c r="BH161" s="16">
        <f>Demand_LP!K$8/30</f>
        <v>476.67186805555554</v>
      </c>
      <c r="BI161" s="16" t="e">
        <f t="shared" si="73"/>
        <v>#VALUE!</v>
      </c>
      <c r="BJ161" s="16">
        <f t="shared" si="74"/>
        <v>-93972.889743589738</v>
      </c>
      <c r="BK161" s="16">
        <f t="shared" si="75"/>
        <v>-46893.466239316185</v>
      </c>
      <c r="BL161" s="16">
        <f t="shared" si="76"/>
        <v>-119461.10425727563</v>
      </c>
      <c r="BM161" s="16">
        <f t="shared" si="77"/>
        <v>-71817.593581095251</v>
      </c>
      <c r="BN161" s="16">
        <f t="shared" si="78"/>
        <v>-116302.13913304656</v>
      </c>
      <c r="BO161" s="16">
        <f t="shared" si="79"/>
        <v>-96330.46923076926</v>
      </c>
      <c r="BP161" s="16">
        <f t="shared" si="80"/>
        <v>-71275.277499465854</v>
      </c>
      <c r="BQ161" s="16">
        <f t="shared" si="81"/>
        <v>-67875.277499465898</v>
      </c>
      <c r="BR161" s="16">
        <f t="shared" si="82"/>
        <v>-69075.277499465854</v>
      </c>
      <c r="BS161" s="14">
        <f>IF([1]Sheet2!CA160=999999,"NA",[1]Sheet2!CA160)</f>
        <v>147403.72250053464</v>
      </c>
      <c r="BT161" s="14">
        <f>IF([1]Sheet2!CB160=999999,"NA",[1]Sheet2!CB160)</f>
        <v>129</v>
      </c>
      <c r="BU161" s="14">
        <f>IF([1]Sheet2!CC160=999999,"NA",[1]Sheet2!CC160)</f>
        <v>207</v>
      </c>
      <c r="BV161" s="14">
        <f>IF([1]Sheet2!CD160=999999,"NA",[1]Sheet2!CD160)</f>
        <v>207</v>
      </c>
      <c r="BW161" s="14">
        <f>IF([1]Sheet2!CE160=999999,"NA",[1]Sheet2!CE160)</f>
        <v>169</v>
      </c>
      <c r="BX161" s="14">
        <f>IF([1]Sheet2!CF160=999999,"NA",[1]Sheet2!CF160)</f>
        <v>207</v>
      </c>
      <c r="BY161" s="14">
        <f>IF([1]Sheet2!CG160=999999,"NA",[1]Sheet2!CG160)</f>
        <v>101</v>
      </c>
      <c r="BZ161" s="14">
        <f>IF([1]Sheet2!CH160=999999,"NA",[1]Sheet2!CH160)</f>
        <v>207</v>
      </c>
      <c r="CA161" s="14">
        <f>IF([1]Sheet2!CI160=999999,"NA",[1]Sheet2!CI160)</f>
        <v>207</v>
      </c>
      <c r="CB161" s="14">
        <f>IF([1]Sheet2!CJ160=999999,"NA",[1]Sheet2!CJ160)</f>
        <v>207</v>
      </c>
      <c r="CC161" s="14">
        <f>[1]Sheet2!BG160</f>
        <v>0</v>
      </c>
      <c r="CD161" s="14">
        <f>[1]Sheet2!BH160</f>
        <v>0</v>
      </c>
      <c r="CE161" s="14">
        <f>[1]Sheet2!BI160</f>
        <v>0</v>
      </c>
      <c r="CF161" s="14">
        <f>[1]Sheet2!BJ160</f>
        <v>0</v>
      </c>
      <c r="CG161" s="14">
        <f>[1]Sheet2!BK160</f>
        <v>0</v>
      </c>
      <c r="CH161" s="14">
        <f>[1]Sheet2!BL160</f>
        <v>0</v>
      </c>
      <c r="CI161" s="14">
        <f>[1]Sheet2!BM160</f>
        <v>0</v>
      </c>
      <c r="CJ161" s="14">
        <f>[1]Sheet2!BN160</f>
        <v>0</v>
      </c>
      <c r="CK161" s="14">
        <f>[1]Sheet2!BO160</f>
        <v>0</v>
      </c>
      <c r="CL161" s="14">
        <f>[1]Sheet2!BP160</f>
        <v>0</v>
      </c>
      <c r="CM161" s="16">
        <f>Demand_SW!B$8/30</f>
        <v>144.23076923076923</v>
      </c>
      <c r="CN161" s="16">
        <f>Demand_SW!C$8/30</f>
        <v>0</v>
      </c>
      <c r="CO161" s="16">
        <f>Demand_SW!D$8/30</f>
        <v>0</v>
      </c>
      <c r="CP161" s="16">
        <f>Demand_SW!E$8/30</f>
        <v>0</v>
      </c>
      <c r="CQ161" s="16">
        <f>Demand_SW!F$8/30</f>
        <v>0</v>
      </c>
      <c r="CR161" s="16">
        <f>Demand_SW!G$8/30</f>
        <v>144.23076923076923</v>
      </c>
      <c r="CS161" s="16">
        <f>Demand_SW!H$8/30</f>
        <v>0</v>
      </c>
      <c r="CT161" s="16">
        <f>Demand_SW!I$8/30</f>
        <v>0</v>
      </c>
      <c r="CU161" s="16">
        <f>Demand_SW!J$8/30</f>
        <v>0</v>
      </c>
      <c r="CV161" s="16">
        <f>Demand_SW!K$8/30</f>
        <v>0</v>
      </c>
      <c r="CW161" s="16">
        <f t="shared" si="83"/>
        <v>29719.61538461543</v>
      </c>
      <c r="CX161" s="16">
        <f t="shared" si="84"/>
        <v>-423.07692307692292</v>
      </c>
      <c r="CY161" s="16">
        <f t="shared" si="85"/>
        <v>0</v>
      </c>
      <c r="CZ161" s="16">
        <f t="shared" si="86"/>
        <v>0</v>
      </c>
      <c r="DA161" s="16">
        <f t="shared" si="87"/>
        <v>0</v>
      </c>
      <c r="DB161" s="16">
        <f t="shared" si="88"/>
        <v>-19809.615384615365</v>
      </c>
      <c r="DC161" s="16">
        <f t="shared" si="89"/>
        <v>-423.07692307692292</v>
      </c>
      <c r="DD161" s="16">
        <f t="shared" si="90"/>
        <v>0</v>
      </c>
      <c r="DE161" s="16">
        <f t="shared" si="91"/>
        <v>0</v>
      </c>
      <c r="DF161" s="16">
        <f t="shared" si="92"/>
        <v>0</v>
      </c>
      <c r="DG161" s="14">
        <f>IF([1]Sheet2!DR160=999999,"NA",[1]Sheet2!DR160)</f>
        <v>73103</v>
      </c>
      <c r="DH161" s="14">
        <f>IF([1]Sheet2!DS160=999999,"NA",[1]Sheet2!DS160)</f>
        <v>207</v>
      </c>
      <c r="DI161" s="14">
        <f>IF([1]Sheet2!DT160=999999,"NA",[1]Sheet2!DT160)</f>
        <v>207</v>
      </c>
      <c r="DJ161" s="14" t="str">
        <f>IF([1]Sheet2!DU160=999999,"NA",[1]Sheet2!DU160)</f>
        <v>NA</v>
      </c>
      <c r="DK161" s="14" t="str">
        <f>IF([1]Sheet2!DV160=999999,"NA",[1]Sheet2!DV160)</f>
        <v>NA</v>
      </c>
      <c r="DL161" s="14" t="str">
        <f>IF([1]Sheet2!DW160=999999,"NA",[1]Sheet2!DW160)</f>
        <v>NA</v>
      </c>
      <c r="DM161" s="14">
        <f>IF([1]Sheet2!DX160=999999,"NA",[1]Sheet2!DX160)</f>
        <v>207</v>
      </c>
      <c r="DN161" s="14">
        <f>IF([1]Sheet2!DY160=999999,"NA",[1]Sheet2!DY160)</f>
        <v>207</v>
      </c>
      <c r="DO161" s="14" t="str">
        <f>IF([1]Sheet2!DZ160=999999,"NA",[1]Sheet2!DZ160)</f>
        <v>NA</v>
      </c>
      <c r="DP161" s="14" t="str">
        <f>IF([1]Sheet2!EA160=999999,"NA",[1]Sheet2!EA160)</f>
        <v>NA</v>
      </c>
      <c r="DQ161" s="14">
        <f>[1]Sheet2!CX160</f>
        <v>0</v>
      </c>
      <c r="DR161" s="14">
        <f>[1]Sheet2!CY160</f>
        <v>0</v>
      </c>
      <c r="DS161" s="14">
        <f>[1]Sheet2!CZ160</f>
        <v>0</v>
      </c>
      <c r="DT161" s="14">
        <f>[1]Sheet2!DA160</f>
        <v>0</v>
      </c>
      <c r="DU161" s="14">
        <f>[1]Sheet2!DB160</f>
        <v>0</v>
      </c>
      <c r="DV161" s="14">
        <f>[1]Sheet2!DC160</f>
        <v>0</v>
      </c>
      <c r="DW161" s="14">
        <f>[1]Sheet2!DD160</f>
        <v>0</v>
      </c>
      <c r="DX161" s="14">
        <f>[1]Sheet2!DE160</f>
        <v>0</v>
      </c>
      <c r="DY161" s="14">
        <f>[1]Sheet2!DF160</f>
        <v>0</v>
      </c>
      <c r="DZ161" s="14">
        <f>[1]Sheet2!DG160</f>
        <v>0</v>
      </c>
    </row>
    <row r="162" spans="1:130" x14ac:dyDescent="0.25">
      <c r="A162" s="15">
        <v>43624</v>
      </c>
      <c r="B162" s="1"/>
      <c r="C162" s="1"/>
      <c r="D162" s="1"/>
      <c r="E162" s="14">
        <f>[1]Sheet2!N161</f>
        <v>0</v>
      </c>
      <c r="F162" s="14">
        <f>[1]Sheet2!BE161</f>
        <v>0</v>
      </c>
      <c r="G162" s="14">
        <f>[1]Sheet2!CV161</f>
        <v>288.46153846153851</v>
      </c>
      <c r="H162" s="1"/>
      <c r="I162" s="1"/>
      <c r="J162" s="1"/>
      <c r="K162" s="16">
        <f>Demand_CWRS!B$8/30</f>
        <v>124.86819391025641</v>
      </c>
      <c r="L162" s="16">
        <f>Demand_CWRS!C$8/30</f>
        <v>583.20512820512829</v>
      </c>
      <c r="M162" s="16">
        <f>Demand_CWRS!D$8/30</f>
        <v>0</v>
      </c>
      <c r="N162" s="16">
        <f>Demand_CWRS!E$8/30</f>
        <v>156.84829059829062</v>
      </c>
      <c r="O162" s="16">
        <f>Demand_CWRS!F$8/30</f>
        <v>252.39596314102559</v>
      </c>
      <c r="P162" s="16">
        <f>Demand_CWRS!G$8/30</f>
        <v>124.86819391025641</v>
      </c>
      <c r="Q162" s="16">
        <f>Demand_CWRS!H$8/30</f>
        <v>583.20512820512829</v>
      </c>
      <c r="R162" s="16">
        <f>Demand_CWRS!I$8/30</f>
        <v>246.66666666666666</v>
      </c>
      <c r="S162" s="16">
        <f>Demand_CWRS!J$8/30</f>
        <v>246.66666666666666</v>
      </c>
      <c r="T162" s="16">
        <f>Demand_CWRS!K$8/30</f>
        <v>246.66666666666666</v>
      </c>
      <c r="U162" s="16">
        <f t="shared" si="63"/>
        <v>-23613.661271370864</v>
      </c>
      <c r="V162" s="16">
        <f t="shared" si="64"/>
        <v>-74025.648717948527</v>
      </c>
      <c r="W162" s="16">
        <f t="shared" si="65"/>
        <v>0</v>
      </c>
      <c r="X162" s="16">
        <f t="shared" si="66"/>
        <v>-17090.614156659092</v>
      </c>
      <c r="Y162" s="16">
        <f t="shared" si="67"/>
        <v>-35725.452645691359</v>
      </c>
      <c r="Z162" s="16">
        <f t="shared" si="68"/>
        <v>-23287.888122332413</v>
      </c>
      <c r="AA162" s="16">
        <f t="shared" si="69"/>
        <v>-73525.648717948527</v>
      </c>
      <c r="AB162" s="16">
        <f t="shared" si="70"/>
        <v>-33367.651687358019</v>
      </c>
      <c r="AC162" s="16">
        <f t="shared" si="71"/>
        <v>-33367.651687358011</v>
      </c>
      <c r="AD162" s="16">
        <f t="shared" si="72"/>
        <v>-34067.651687358004</v>
      </c>
      <c r="AE162" s="14">
        <f>IF([1]Sheet2!AJ161=999999,"NA",[1]Sheet2!AJ161)</f>
        <v>0</v>
      </c>
      <c r="AF162" s="14">
        <f>IF([1]Sheet2!AK161=999999,"NA",[1]Sheet2!AK161)</f>
        <v>0</v>
      </c>
      <c r="AG162" s="14" t="str">
        <f>IF([1]Sheet2!AL161=999999,"NA",[1]Sheet2!AL161)</f>
        <v>NA</v>
      </c>
      <c r="AH162" s="14">
        <f>IF([1]Sheet2!AM161=999999,"NA",[1]Sheet2!AM161)</f>
        <v>206</v>
      </c>
      <c r="AI162" s="14">
        <f>IF([1]Sheet2!AN161=999999,"NA",[1]Sheet2!AN161)</f>
        <v>206</v>
      </c>
      <c r="AJ162" s="14">
        <f>IF([1]Sheet2!AO161=999999,"NA",[1]Sheet2!AO161)</f>
        <v>206</v>
      </c>
      <c r="AK162" s="14">
        <f>IF([1]Sheet2!AP161=999999,"NA",[1]Sheet2!AP161)</f>
        <v>0</v>
      </c>
      <c r="AL162" s="14">
        <f>IF([1]Sheet2!AQ161=999999,"NA",[1]Sheet2!AQ161)</f>
        <v>82</v>
      </c>
      <c r="AM162" s="14">
        <f>IF([1]Sheet2!AR161=999999,"NA",[1]Sheet2!AR161)</f>
        <v>206</v>
      </c>
      <c r="AN162" s="14">
        <f>IF([1]Sheet2!AS161=999999,"NA",[1]Sheet2!AS161)</f>
        <v>138</v>
      </c>
      <c r="AO162" s="14">
        <f>[1]Sheet2!P161</f>
        <v>0</v>
      </c>
      <c r="AP162" s="14">
        <f>[1]Sheet2!Q161</f>
        <v>0</v>
      </c>
      <c r="AQ162" s="14">
        <f>[1]Sheet2!R161</f>
        <v>0</v>
      </c>
      <c r="AR162" s="14">
        <f>[1]Sheet2!S161</f>
        <v>0</v>
      </c>
      <c r="AS162" s="14">
        <f>[1]Sheet2!T161</f>
        <v>0</v>
      </c>
      <c r="AT162" s="14">
        <f>[1]Sheet2!U161</f>
        <v>0</v>
      </c>
      <c r="AU162" s="14">
        <f>[1]Sheet2!V161</f>
        <v>0</v>
      </c>
      <c r="AV162" s="14">
        <f>[1]Sheet2!W161</f>
        <v>0</v>
      </c>
      <c r="AW162" s="14">
        <f>[1]Sheet2!X161</f>
        <v>0</v>
      </c>
      <c r="AX162" s="14">
        <f>[1]Sheet2!Y161</f>
        <v>0</v>
      </c>
      <c r="AY162" s="16">
        <f>Demand_LP!B$8/30</f>
        <v>807.81611164529909</v>
      </c>
      <c r="AZ162" s="16">
        <f>Demand_LP!C$8/30</f>
        <v>574.48717948717956</v>
      </c>
      <c r="BA162" s="16">
        <f>Demand_LP!D$8/30</f>
        <v>339.04957264957267</v>
      </c>
      <c r="BB162" s="16">
        <f>Demand_LP!E$8/30</f>
        <v>830.46965811965799</v>
      </c>
      <c r="BC162" s="16">
        <f>Demand_LP!F$8/30</f>
        <v>476.67186805555554</v>
      </c>
      <c r="BD162" s="16">
        <f>Demand_LP!G$8/30</f>
        <v>807.81611164529909</v>
      </c>
      <c r="BE162" s="16">
        <f>Demand_LP!H$8/30</f>
        <v>574.48717948717956</v>
      </c>
      <c r="BF162" s="16">
        <f>Demand_LP!I$8/30</f>
        <v>476.67186805555554</v>
      </c>
      <c r="BG162" s="16">
        <f>Demand_LP!J$8/30</f>
        <v>476.67186805555554</v>
      </c>
      <c r="BH162" s="16">
        <f>Demand_LP!K$8/30</f>
        <v>476.67186805555554</v>
      </c>
      <c r="BI162" s="16" t="e">
        <f t="shared" si="73"/>
        <v>#VALUE!</v>
      </c>
      <c r="BJ162" s="16">
        <f t="shared" si="74"/>
        <v>-94547.37692307691</v>
      </c>
      <c r="BK162" s="16">
        <f t="shared" si="75"/>
        <v>-47232.515811965757</v>
      </c>
      <c r="BL162" s="16">
        <f t="shared" si="76"/>
        <v>-120291.57391539529</v>
      </c>
      <c r="BM162" s="16">
        <f t="shared" si="77"/>
        <v>-72294.2654491508</v>
      </c>
      <c r="BN162" s="16">
        <f t="shared" si="78"/>
        <v>-117109.95524469185</v>
      </c>
      <c r="BO162" s="16">
        <f t="shared" si="79"/>
        <v>-96904.956410256433</v>
      </c>
      <c r="BP162" s="16">
        <f t="shared" si="80"/>
        <v>-71751.949367521403</v>
      </c>
      <c r="BQ162" s="16">
        <f t="shared" si="81"/>
        <v>-68351.949367521447</v>
      </c>
      <c r="BR162" s="16">
        <f t="shared" si="82"/>
        <v>-69551.949367521403</v>
      </c>
      <c r="BS162" s="14">
        <f>IF([1]Sheet2!CA161=999999,"NA",[1]Sheet2!CA161)</f>
        <v>146927.05063247908</v>
      </c>
      <c r="BT162" s="14">
        <f>IF([1]Sheet2!CB161=999999,"NA",[1]Sheet2!CB161)</f>
        <v>128</v>
      </c>
      <c r="BU162" s="14">
        <f>IF([1]Sheet2!CC161=999999,"NA",[1]Sheet2!CC161)</f>
        <v>206</v>
      </c>
      <c r="BV162" s="14">
        <f>IF([1]Sheet2!CD161=999999,"NA",[1]Sheet2!CD161)</f>
        <v>206</v>
      </c>
      <c r="BW162" s="14">
        <f>IF([1]Sheet2!CE161=999999,"NA",[1]Sheet2!CE161)</f>
        <v>168</v>
      </c>
      <c r="BX162" s="14">
        <f>IF([1]Sheet2!CF161=999999,"NA",[1]Sheet2!CF161)</f>
        <v>206</v>
      </c>
      <c r="BY162" s="14">
        <f>IF([1]Sheet2!CG161=999999,"NA",[1]Sheet2!CG161)</f>
        <v>100</v>
      </c>
      <c r="BZ162" s="14">
        <f>IF([1]Sheet2!CH161=999999,"NA",[1]Sheet2!CH161)</f>
        <v>206</v>
      </c>
      <c r="CA162" s="14">
        <f>IF([1]Sheet2!CI161=999999,"NA",[1]Sheet2!CI161)</f>
        <v>206</v>
      </c>
      <c r="CB162" s="14">
        <f>IF([1]Sheet2!CJ161=999999,"NA",[1]Sheet2!CJ161)</f>
        <v>206</v>
      </c>
      <c r="CC162" s="14">
        <f>[1]Sheet2!BG161</f>
        <v>0</v>
      </c>
      <c r="CD162" s="14">
        <f>[1]Sheet2!BH161</f>
        <v>0</v>
      </c>
      <c r="CE162" s="14">
        <f>[1]Sheet2!BI161</f>
        <v>0</v>
      </c>
      <c r="CF162" s="14">
        <f>[1]Sheet2!BJ161</f>
        <v>0</v>
      </c>
      <c r="CG162" s="14">
        <f>[1]Sheet2!BK161</f>
        <v>0</v>
      </c>
      <c r="CH162" s="14">
        <f>[1]Sheet2!BL161</f>
        <v>0</v>
      </c>
      <c r="CI162" s="14">
        <f>[1]Sheet2!BM161</f>
        <v>0</v>
      </c>
      <c r="CJ162" s="14">
        <f>[1]Sheet2!BN161</f>
        <v>0</v>
      </c>
      <c r="CK162" s="14">
        <f>[1]Sheet2!BO161</f>
        <v>0</v>
      </c>
      <c r="CL162" s="14">
        <f>[1]Sheet2!BP161</f>
        <v>0</v>
      </c>
      <c r="CM162" s="16">
        <f>Demand_SW!B$8/30</f>
        <v>144.23076923076923</v>
      </c>
      <c r="CN162" s="16">
        <f>Demand_SW!C$8/30</f>
        <v>0</v>
      </c>
      <c r="CO162" s="16">
        <f>Demand_SW!D$8/30</f>
        <v>0</v>
      </c>
      <c r="CP162" s="16">
        <f>Demand_SW!E$8/30</f>
        <v>0</v>
      </c>
      <c r="CQ162" s="16">
        <f>Demand_SW!F$8/30</f>
        <v>0</v>
      </c>
      <c r="CR162" s="16">
        <f>Demand_SW!G$8/30</f>
        <v>144.23076923076923</v>
      </c>
      <c r="CS162" s="16">
        <f>Demand_SW!H$8/30</f>
        <v>0</v>
      </c>
      <c r="CT162" s="16">
        <f>Demand_SW!I$8/30</f>
        <v>0</v>
      </c>
      <c r="CU162" s="16">
        <f>Demand_SW!J$8/30</f>
        <v>0</v>
      </c>
      <c r="CV162" s="16">
        <f>Demand_SW!K$8/30</f>
        <v>0</v>
      </c>
      <c r="CW162" s="16">
        <f t="shared" si="83"/>
        <v>29575.384615384661</v>
      </c>
      <c r="CX162" s="16">
        <f t="shared" si="84"/>
        <v>-423.07692307692292</v>
      </c>
      <c r="CY162" s="16">
        <f t="shared" si="85"/>
        <v>0</v>
      </c>
      <c r="CZ162" s="16">
        <f t="shared" si="86"/>
        <v>0</v>
      </c>
      <c r="DA162" s="16">
        <f t="shared" si="87"/>
        <v>0</v>
      </c>
      <c r="DB162" s="16">
        <f t="shared" si="88"/>
        <v>-19953.846153846134</v>
      </c>
      <c r="DC162" s="16">
        <f t="shared" si="89"/>
        <v>-423.07692307692292</v>
      </c>
      <c r="DD162" s="16">
        <f t="shared" si="90"/>
        <v>0</v>
      </c>
      <c r="DE162" s="16">
        <f t="shared" si="91"/>
        <v>0</v>
      </c>
      <c r="DF162" s="16">
        <f t="shared" si="92"/>
        <v>0</v>
      </c>
      <c r="DG162" s="14">
        <f>IF([1]Sheet2!DR161=999999,"NA",[1]Sheet2!DR161)</f>
        <v>73103</v>
      </c>
      <c r="DH162" s="14">
        <f>IF([1]Sheet2!DS161=999999,"NA",[1]Sheet2!DS161)</f>
        <v>206</v>
      </c>
      <c r="DI162" s="14">
        <f>IF([1]Sheet2!DT161=999999,"NA",[1]Sheet2!DT161)</f>
        <v>206</v>
      </c>
      <c r="DJ162" s="14" t="str">
        <f>IF([1]Sheet2!DU161=999999,"NA",[1]Sheet2!DU161)</f>
        <v>NA</v>
      </c>
      <c r="DK162" s="14" t="str">
        <f>IF([1]Sheet2!DV161=999999,"NA",[1]Sheet2!DV161)</f>
        <v>NA</v>
      </c>
      <c r="DL162" s="14" t="str">
        <f>IF([1]Sheet2!DW161=999999,"NA",[1]Sheet2!DW161)</f>
        <v>NA</v>
      </c>
      <c r="DM162" s="14">
        <f>IF([1]Sheet2!DX161=999999,"NA",[1]Sheet2!DX161)</f>
        <v>206</v>
      </c>
      <c r="DN162" s="14">
        <f>IF([1]Sheet2!DY161=999999,"NA",[1]Sheet2!DY161)</f>
        <v>206</v>
      </c>
      <c r="DO162" s="14" t="str">
        <f>IF([1]Sheet2!DZ161=999999,"NA",[1]Sheet2!DZ161)</f>
        <v>NA</v>
      </c>
      <c r="DP162" s="14" t="str">
        <f>IF([1]Sheet2!EA161=999999,"NA",[1]Sheet2!EA161)</f>
        <v>NA</v>
      </c>
      <c r="DQ162" s="14">
        <f>[1]Sheet2!CX161</f>
        <v>0</v>
      </c>
      <c r="DR162" s="14">
        <f>[1]Sheet2!CY161</f>
        <v>0</v>
      </c>
      <c r="DS162" s="14">
        <f>[1]Sheet2!CZ161</f>
        <v>0</v>
      </c>
      <c r="DT162" s="14">
        <f>[1]Sheet2!DA161</f>
        <v>0</v>
      </c>
      <c r="DU162" s="14">
        <f>[1]Sheet2!DB161</f>
        <v>0</v>
      </c>
      <c r="DV162" s="14">
        <f>[1]Sheet2!DC161</f>
        <v>0</v>
      </c>
      <c r="DW162" s="14">
        <f>[1]Sheet2!DD161</f>
        <v>0</v>
      </c>
      <c r="DX162" s="14">
        <f>[1]Sheet2!DE161</f>
        <v>0</v>
      </c>
      <c r="DY162" s="14">
        <f>[1]Sheet2!DF161</f>
        <v>0</v>
      </c>
      <c r="DZ162" s="14">
        <f>[1]Sheet2!DG161</f>
        <v>0</v>
      </c>
    </row>
    <row r="163" spans="1:130" x14ac:dyDescent="0.25">
      <c r="A163" s="15">
        <v>43625</v>
      </c>
      <c r="B163" s="1"/>
      <c r="C163" s="1"/>
      <c r="D163" s="1"/>
      <c r="E163" s="14">
        <f>[1]Sheet2!N162</f>
        <v>0</v>
      </c>
      <c r="F163" s="14">
        <f>[1]Sheet2!BE162</f>
        <v>0</v>
      </c>
      <c r="G163" s="14">
        <f>[1]Sheet2!CV162</f>
        <v>288.46153846153851</v>
      </c>
      <c r="H163" s="1"/>
      <c r="I163" s="1"/>
      <c r="J163" s="1"/>
      <c r="K163" s="16">
        <f>Demand_CWRS!B$8/30</f>
        <v>124.86819391025641</v>
      </c>
      <c r="L163" s="16">
        <f>Demand_CWRS!C$8/30</f>
        <v>583.20512820512829</v>
      </c>
      <c r="M163" s="16">
        <f>Demand_CWRS!D$8/30</f>
        <v>0</v>
      </c>
      <c r="N163" s="16">
        <f>Demand_CWRS!E$8/30</f>
        <v>156.84829059829062</v>
      </c>
      <c r="O163" s="16">
        <f>Demand_CWRS!F$8/30</f>
        <v>252.39596314102559</v>
      </c>
      <c r="P163" s="16">
        <f>Demand_CWRS!G$8/30</f>
        <v>124.86819391025641</v>
      </c>
      <c r="Q163" s="16">
        <f>Demand_CWRS!H$8/30</f>
        <v>583.20512820512829</v>
      </c>
      <c r="R163" s="16">
        <f>Demand_CWRS!I$8/30</f>
        <v>246.66666666666666</v>
      </c>
      <c r="S163" s="16">
        <f>Demand_CWRS!J$8/30</f>
        <v>246.66666666666666</v>
      </c>
      <c r="T163" s="16">
        <f>Demand_CWRS!K$8/30</f>
        <v>246.66666666666666</v>
      </c>
      <c r="U163" s="16">
        <f t="shared" si="63"/>
        <v>-23738.529465281121</v>
      </c>
      <c r="V163" s="16">
        <f t="shared" si="64"/>
        <v>-74608.853846153652</v>
      </c>
      <c r="W163" s="16">
        <f t="shared" si="65"/>
        <v>0</v>
      </c>
      <c r="X163" s="16">
        <f t="shared" si="66"/>
        <v>-17247.462447257381</v>
      </c>
      <c r="Y163" s="16">
        <f t="shared" si="67"/>
        <v>-35977.848608832384</v>
      </c>
      <c r="Z163" s="16">
        <f t="shared" si="68"/>
        <v>-23412.75631624267</v>
      </c>
      <c r="AA163" s="16">
        <f t="shared" si="69"/>
        <v>-74108.853846153652</v>
      </c>
      <c r="AB163" s="16">
        <f t="shared" si="70"/>
        <v>-33614.318354024683</v>
      </c>
      <c r="AC163" s="16">
        <f t="shared" si="71"/>
        <v>-33614.318354024676</v>
      </c>
      <c r="AD163" s="16">
        <f t="shared" si="72"/>
        <v>-34314.318354024668</v>
      </c>
      <c r="AE163" s="14">
        <f>IF([1]Sheet2!AJ162=999999,"NA",[1]Sheet2!AJ162)</f>
        <v>0</v>
      </c>
      <c r="AF163" s="14">
        <f>IF([1]Sheet2!AK162=999999,"NA",[1]Sheet2!AK162)</f>
        <v>0</v>
      </c>
      <c r="AG163" s="14" t="str">
        <f>IF([1]Sheet2!AL162=999999,"NA",[1]Sheet2!AL162)</f>
        <v>NA</v>
      </c>
      <c r="AH163" s="14">
        <f>IF([1]Sheet2!AM162=999999,"NA",[1]Sheet2!AM162)</f>
        <v>205</v>
      </c>
      <c r="AI163" s="14">
        <f>IF([1]Sheet2!AN162=999999,"NA",[1]Sheet2!AN162)</f>
        <v>205</v>
      </c>
      <c r="AJ163" s="14">
        <f>IF([1]Sheet2!AO162=999999,"NA",[1]Sheet2!AO162)</f>
        <v>205</v>
      </c>
      <c r="AK163" s="14">
        <f>IF([1]Sheet2!AP162=999999,"NA",[1]Sheet2!AP162)</f>
        <v>0</v>
      </c>
      <c r="AL163" s="14">
        <f>IF([1]Sheet2!AQ162=999999,"NA",[1]Sheet2!AQ162)</f>
        <v>81</v>
      </c>
      <c r="AM163" s="14">
        <f>IF([1]Sheet2!AR162=999999,"NA",[1]Sheet2!AR162)</f>
        <v>205</v>
      </c>
      <c r="AN163" s="14">
        <f>IF([1]Sheet2!AS162=999999,"NA",[1]Sheet2!AS162)</f>
        <v>137</v>
      </c>
      <c r="AO163" s="14">
        <f>[1]Sheet2!P162</f>
        <v>0</v>
      </c>
      <c r="AP163" s="14">
        <f>[1]Sheet2!Q162</f>
        <v>0</v>
      </c>
      <c r="AQ163" s="14">
        <f>[1]Sheet2!R162</f>
        <v>0</v>
      </c>
      <c r="AR163" s="14">
        <f>[1]Sheet2!S162</f>
        <v>0</v>
      </c>
      <c r="AS163" s="14">
        <f>[1]Sheet2!T162</f>
        <v>0</v>
      </c>
      <c r="AT163" s="14">
        <f>[1]Sheet2!U162</f>
        <v>0</v>
      </c>
      <c r="AU163" s="14">
        <f>[1]Sheet2!V162</f>
        <v>0</v>
      </c>
      <c r="AV163" s="14">
        <f>[1]Sheet2!W162</f>
        <v>0</v>
      </c>
      <c r="AW163" s="14">
        <f>[1]Sheet2!X162</f>
        <v>0</v>
      </c>
      <c r="AX163" s="14">
        <f>[1]Sheet2!Y162</f>
        <v>0</v>
      </c>
      <c r="AY163" s="16">
        <f>Demand_LP!B$8/30</f>
        <v>807.81611164529909</v>
      </c>
      <c r="AZ163" s="16">
        <f>Demand_LP!C$8/30</f>
        <v>574.48717948717956</v>
      </c>
      <c r="BA163" s="16">
        <f>Demand_LP!D$8/30</f>
        <v>339.04957264957267</v>
      </c>
      <c r="BB163" s="16">
        <f>Demand_LP!E$8/30</f>
        <v>830.46965811965799</v>
      </c>
      <c r="BC163" s="16">
        <f>Demand_LP!F$8/30</f>
        <v>476.67186805555554</v>
      </c>
      <c r="BD163" s="16">
        <f>Demand_LP!G$8/30</f>
        <v>807.81611164529909</v>
      </c>
      <c r="BE163" s="16">
        <f>Demand_LP!H$8/30</f>
        <v>574.48717948717956</v>
      </c>
      <c r="BF163" s="16">
        <f>Demand_LP!I$8/30</f>
        <v>476.67186805555554</v>
      </c>
      <c r="BG163" s="16">
        <f>Demand_LP!J$8/30</f>
        <v>476.67186805555554</v>
      </c>
      <c r="BH163" s="16">
        <f>Demand_LP!K$8/30</f>
        <v>476.67186805555554</v>
      </c>
      <c r="BI163" s="16" t="e">
        <f t="shared" si="73"/>
        <v>#VALUE!</v>
      </c>
      <c r="BJ163" s="16">
        <f t="shared" si="74"/>
        <v>-95121.864102564083</v>
      </c>
      <c r="BK163" s="16">
        <f t="shared" si="75"/>
        <v>-47571.565384615329</v>
      </c>
      <c r="BL163" s="16">
        <f t="shared" si="76"/>
        <v>-121122.04357351495</v>
      </c>
      <c r="BM163" s="16">
        <f t="shared" si="77"/>
        <v>-72770.93731720635</v>
      </c>
      <c r="BN163" s="16">
        <f t="shared" si="78"/>
        <v>-117917.77135633715</v>
      </c>
      <c r="BO163" s="16">
        <f t="shared" si="79"/>
        <v>-97479.443589743605</v>
      </c>
      <c r="BP163" s="16">
        <f t="shared" si="80"/>
        <v>-72228.621235576953</v>
      </c>
      <c r="BQ163" s="16">
        <f t="shared" si="81"/>
        <v>-68828.621235576997</v>
      </c>
      <c r="BR163" s="16">
        <f t="shared" si="82"/>
        <v>-70028.621235576953</v>
      </c>
      <c r="BS163" s="14">
        <f>IF([1]Sheet2!CA162=999999,"NA",[1]Sheet2!CA162)</f>
        <v>146450.37876442351</v>
      </c>
      <c r="BT163" s="14">
        <f>IF([1]Sheet2!CB162=999999,"NA",[1]Sheet2!CB162)</f>
        <v>127</v>
      </c>
      <c r="BU163" s="14">
        <f>IF([1]Sheet2!CC162=999999,"NA",[1]Sheet2!CC162)</f>
        <v>205</v>
      </c>
      <c r="BV163" s="14">
        <f>IF([1]Sheet2!CD162=999999,"NA",[1]Sheet2!CD162)</f>
        <v>205</v>
      </c>
      <c r="BW163" s="14">
        <f>IF([1]Sheet2!CE162=999999,"NA",[1]Sheet2!CE162)</f>
        <v>167</v>
      </c>
      <c r="BX163" s="14">
        <f>IF([1]Sheet2!CF162=999999,"NA",[1]Sheet2!CF162)</f>
        <v>205</v>
      </c>
      <c r="BY163" s="14">
        <f>IF([1]Sheet2!CG162=999999,"NA",[1]Sheet2!CG162)</f>
        <v>99</v>
      </c>
      <c r="BZ163" s="14">
        <f>IF([1]Sheet2!CH162=999999,"NA",[1]Sheet2!CH162)</f>
        <v>205</v>
      </c>
      <c r="CA163" s="14">
        <f>IF([1]Sheet2!CI162=999999,"NA",[1]Sheet2!CI162)</f>
        <v>205</v>
      </c>
      <c r="CB163" s="14">
        <f>IF([1]Sheet2!CJ162=999999,"NA",[1]Sheet2!CJ162)</f>
        <v>205</v>
      </c>
      <c r="CC163" s="14">
        <f>[1]Sheet2!BG162</f>
        <v>0</v>
      </c>
      <c r="CD163" s="14">
        <f>[1]Sheet2!BH162</f>
        <v>0</v>
      </c>
      <c r="CE163" s="14">
        <f>[1]Sheet2!BI162</f>
        <v>0</v>
      </c>
      <c r="CF163" s="14">
        <f>[1]Sheet2!BJ162</f>
        <v>0</v>
      </c>
      <c r="CG163" s="14">
        <f>[1]Sheet2!BK162</f>
        <v>0</v>
      </c>
      <c r="CH163" s="14">
        <f>[1]Sheet2!BL162</f>
        <v>0</v>
      </c>
      <c r="CI163" s="14">
        <f>[1]Sheet2!BM162</f>
        <v>0</v>
      </c>
      <c r="CJ163" s="14">
        <f>[1]Sheet2!BN162</f>
        <v>0</v>
      </c>
      <c r="CK163" s="14">
        <f>[1]Sheet2!BO162</f>
        <v>0</v>
      </c>
      <c r="CL163" s="14">
        <f>[1]Sheet2!BP162</f>
        <v>0</v>
      </c>
      <c r="CM163" s="16">
        <f>Demand_SW!B$8/30</f>
        <v>144.23076923076923</v>
      </c>
      <c r="CN163" s="16">
        <f>Demand_SW!C$8/30</f>
        <v>0</v>
      </c>
      <c r="CO163" s="16">
        <f>Demand_SW!D$8/30</f>
        <v>0</v>
      </c>
      <c r="CP163" s="16">
        <f>Demand_SW!E$8/30</f>
        <v>0</v>
      </c>
      <c r="CQ163" s="16">
        <f>Demand_SW!F$8/30</f>
        <v>0</v>
      </c>
      <c r="CR163" s="16">
        <f>Demand_SW!G$8/30</f>
        <v>144.23076923076923</v>
      </c>
      <c r="CS163" s="16">
        <f>Demand_SW!H$8/30</f>
        <v>0</v>
      </c>
      <c r="CT163" s="16">
        <f>Demand_SW!I$8/30</f>
        <v>0</v>
      </c>
      <c r="CU163" s="16">
        <f>Demand_SW!J$8/30</f>
        <v>0</v>
      </c>
      <c r="CV163" s="16">
        <f>Demand_SW!K$8/30</f>
        <v>0</v>
      </c>
      <c r="CW163" s="16">
        <f t="shared" si="83"/>
        <v>29431.153846153891</v>
      </c>
      <c r="CX163" s="16">
        <f t="shared" si="84"/>
        <v>-423.07692307692292</v>
      </c>
      <c r="CY163" s="16">
        <f t="shared" si="85"/>
        <v>0</v>
      </c>
      <c r="CZ163" s="16">
        <f t="shared" si="86"/>
        <v>0</v>
      </c>
      <c r="DA163" s="16">
        <f t="shared" si="87"/>
        <v>0</v>
      </c>
      <c r="DB163" s="16">
        <f t="shared" si="88"/>
        <v>-20098.076923076904</v>
      </c>
      <c r="DC163" s="16">
        <f t="shared" si="89"/>
        <v>-423.07692307692292</v>
      </c>
      <c r="DD163" s="16">
        <f t="shared" si="90"/>
        <v>0</v>
      </c>
      <c r="DE163" s="16">
        <f t="shared" si="91"/>
        <v>0</v>
      </c>
      <c r="DF163" s="16">
        <f t="shared" si="92"/>
        <v>0</v>
      </c>
      <c r="DG163" s="14">
        <f>IF([1]Sheet2!DR162=999999,"NA",[1]Sheet2!DR162)</f>
        <v>73103</v>
      </c>
      <c r="DH163" s="14">
        <f>IF([1]Sheet2!DS162=999999,"NA",[1]Sheet2!DS162)</f>
        <v>205</v>
      </c>
      <c r="DI163" s="14">
        <f>IF([1]Sheet2!DT162=999999,"NA",[1]Sheet2!DT162)</f>
        <v>205</v>
      </c>
      <c r="DJ163" s="14" t="str">
        <f>IF([1]Sheet2!DU162=999999,"NA",[1]Sheet2!DU162)</f>
        <v>NA</v>
      </c>
      <c r="DK163" s="14" t="str">
        <f>IF([1]Sheet2!DV162=999999,"NA",[1]Sheet2!DV162)</f>
        <v>NA</v>
      </c>
      <c r="DL163" s="14" t="str">
        <f>IF([1]Sheet2!DW162=999999,"NA",[1]Sheet2!DW162)</f>
        <v>NA</v>
      </c>
      <c r="DM163" s="14">
        <f>IF([1]Sheet2!DX162=999999,"NA",[1]Sheet2!DX162)</f>
        <v>205</v>
      </c>
      <c r="DN163" s="14">
        <f>IF([1]Sheet2!DY162=999999,"NA",[1]Sheet2!DY162)</f>
        <v>205</v>
      </c>
      <c r="DO163" s="14" t="str">
        <f>IF([1]Sheet2!DZ162=999999,"NA",[1]Sheet2!DZ162)</f>
        <v>NA</v>
      </c>
      <c r="DP163" s="14" t="str">
        <f>IF([1]Sheet2!EA162=999999,"NA",[1]Sheet2!EA162)</f>
        <v>NA</v>
      </c>
      <c r="DQ163" s="14">
        <f>[1]Sheet2!CX162</f>
        <v>0</v>
      </c>
      <c r="DR163" s="14">
        <f>[1]Sheet2!CY162</f>
        <v>0</v>
      </c>
      <c r="DS163" s="14">
        <f>[1]Sheet2!CZ162</f>
        <v>0</v>
      </c>
      <c r="DT163" s="14">
        <f>[1]Sheet2!DA162</f>
        <v>0</v>
      </c>
      <c r="DU163" s="14">
        <f>[1]Sheet2!DB162</f>
        <v>0</v>
      </c>
      <c r="DV163" s="14">
        <f>[1]Sheet2!DC162</f>
        <v>0</v>
      </c>
      <c r="DW163" s="14">
        <f>[1]Sheet2!DD162</f>
        <v>0</v>
      </c>
      <c r="DX163" s="14">
        <f>[1]Sheet2!DE162</f>
        <v>0</v>
      </c>
      <c r="DY163" s="14">
        <f>[1]Sheet2!DF162</f>
        <v>0</v>
      </c>
      <c r="DZ163" s="14">
        <f>[1]Sheet2!DG162</f>
        <v>0</v>
      </c>
    </row>
    <row r="164" spans="1:130" x14ac:dyDescent="0.25">
      <c r="A164" s="15">
        <v>43626</v>
      </c>
      <c r="B164" s="1"/>
      <c r="C164" s="1"/>
      <c r="D164" s="1"/>
      <c r="E164" s="14">
        <f>[1]Sheet2!N163</f>
        <v>0</v>
      </c>
      <c r="F164" s="14">
        <f>[1]Sheet2!BE163</f>
        <v>0</v>
      </c>
      <c r="G164" s="14">
        <f>[1]Sheet2!CV163</f>
        <v>288.46153846153851</v>
      </c>
      <c r="H164" s="1"/>
      <c r="I164" s="1"/>
      <c r="J164" s="1"/>
      <c r="K164" s="16">
        <f>Demand_CWRS!B$8/30</f>
        <v>124.86819391025641</v>
      </c>
      <c r="L164" s="16">
        <f>Demand_CWRS!C$8/30</f>
        <v>583.20512820512829</v>
      </c>
      <c r="M164" s="16">
        <f>Demand_CWRS!D$8/30</f>
        <v>0</v>
      </c>
      <c r="N164" s="16">
        <f>Demand_CWRS!E$8/30</f>
        <v>156.84829059829062</v>
      </c>
      <c r="O164" s="16">
        <f>Demand_CWRS!F$8/30</f>
        <v>252.39596314102559</v>
      </c>
      <c r="P164" s="16">
        <f>Demand_CWRS!G$8/30</f>
        <v>124.86819391025641</v>
      </c>
      <c r="Q164" s="16">
        <f>Demand_CWRS!H$8/30</f>
        <v>583.20512820512829</v>
      </c>
      <c r="R164" s="16">
        <f>Demand_CWRS!I$8/30</f>
        <v>246.66666666666666</v>
      </c>
      <c r="S164" s="16">
        <f>Demand_CWRS!J$8/30</f>
        <v>246.66666666666666</v>
      </c>
      <c r="T164" s="16">
        <f>Demand_CWRS!K$8/30</f>
        <v>246.66666666666666</v>
      </c>
      <c r="U164" s="16">
        <f t="shared" si="63"/>
        <v>-23863.397659191378</v>
      </c>
      <c r="V164" s="16">
        <f t="shared" si="64"/>
        <v>-75192.058974358777</v>
      </c>
      <c r="W164" s="16">
        <f t="shared" si="65"/>
        <v>0</v>
      </c>
      <c r="X164" s="16">
        <f t="shared" si="66"/>
        <v>-17404.310737855671</v>
      </c>
      <c r="Y164" s="16">
        <f t="shared" si="67"/>
        <v>-36230.24457197341</v>
      </c>
      <c r="Z164" s="16">
        <f t="shared" si="68"/>
        <v>-23537.624510152928</v>
      </c>
      <c r="AA164" s="16">
        <f t="shared" si="69"/>
        <v>-74692.058974358777</v>
      </c>
      <c r="AB164" s="16">
        <f t="shared" si="70"/>
        <v>-33860.985020691347</v>
      </c>
      <c r="AC164" s="16">
        <f t="shared" si="71"/>
        <v>-33860.98502069134</v>
      </c>
      <c r="AD164" s="16">
        <f t="shared" si="72"/>
        <v>-34560.985020691332</v>
      </c>
      <c r="AE164" s="14">
        <f>IF([1]Sheet2!AJ163=999999,"NA",[1]Sheet2!AJ163)</f>
        <v>0</v>
      </c>
      <c r="AF164" s="14">
        <f>IF([1]Sheet2!AK163=999999,"NA",[1]Sheet2!AK163)</f>
        <v>0</v>
      </c>
      <c r="AG164" s="14" t="str">
        <f>IF([1]Sheet2!AL163=999999,"NA",[1]Sheet2!AL163)</f>
        <v>NA</v>
      </c>
      <c r="AH164" s="14">
        <f>IF([1]Sheet2!AM163=999999,"NA",[1]Sheet2!AM163)</f>
        <v>204</v>
      </c>
      <c r="AI164" s="14">
        <f>IF([1]Sheet2!AN163=999999,"NA",[1]Sheet2!AN163)</f>
        <v>204</v>
      </c>
      <c r="AJ164" s="14">
        <f>IF([1]Sheet2!AO163=999999,"NA",[1]Sheet2!AO163)</f>
        <v>204</v>
      </c>
      <c r="AK164" s="14">
        <f>IF([1]Sheet2!AP163=999999,"NA",[1]Sheet2!AP163)</f>
        <v>0</v>
      </c>
      <c r="AL164" s="14">
        <f>IF([1]Sheet2!AQ163=999999,"NA",[1]Sheet2!AQ163)</f>
        <v>80</v>
      </c>
      <c r="AM164" s="14">
        <f>IF([1]Sheet2!AR163=999999,"NA",[1]Sheet2!AR163)</f>
        <v>204</v>
      </c>
      <c r="AN164" s="14">
        <f>IF([1]Sheet2!AS163=999999,"NA",[1]Sheet2!AS163)</f>
        <v>136</v>
      </c>
      <c r="AO164" s="14">
        <f>[1]Sheet2!P163</f>
        <v>0</v>
      </c>
      <c r="AP164" s="14">
        <f>[1]Sheet2!Q163</f>
        <v>0</v>
      </c>
      <c r="AQ164" s="14">
        <f>[1]Sheet2!R163</f>
        <v>0</v>
      </c>
      <c r="AR164" s="14">
        <f>[1]Sheet2!S163</f>
        <v>0</v>
      </c>
      <c r="AS164" s="14">
        <f>[1]Sheet2!T163</f>
        <v>0</v>
      </c>
      <c r="AT164" s="14">
        <f>[1]Sheet2!U163</f>
        <v>0</v>
      </c>
      <c r="AU164" s="14">
        <f>[1]Sheet2!V163</f>
        <v>0</v>
      </c>
      <c r="AV164" s="14">
        <f>[1]Sheet2!W163</f>
        <v>0</v>
      </c>
      <c r="AW164" s="14">
        <f>[1]Sheet2!X163</f>
        <v>0</v>
      </c>
      <c r="AX164" s="14">
        <f>[1]Sheet2!Y163</f>
        <v>0</v>
      </c>
      <c r="AY164" s="16">
        <f>Demand_LP!B$8/30</f>
        <v>807.81611164529909</v>
      </c>
      <c r="AZ164" s="16">
        <f>Demand_LP!C$8/30</f>
        <v>574.48717948717956</v>
      </c>
      <c r="BA164" s="16">
        <f>Demand_LP!D$8/30</f>
        <v>339.04957264957267</v>
      </c>
      <c r="BB164" s="16">
        <f>Demand_LP!E$8/30</f>
        <v>830.46965811965799</v>
      </c>
      <c r="BC164" s="16">
        <f>Demand_LP!F$8/30</f>
        <v>476.67186805555554</v>
      </c>
      <c r="BD164" s="16">
        <f>Demand_LP!G$8/30</f>
        <v>807.81611164529909</v>
      </c>
      <c r="BE164" s="16">
        <f>Demand_LP!H$8/30</f>
        <v>574.48717948717956</v>
      </c>
      <c r="BF164" s="16">
        <f>Demand_LP!I$8/30</f>
        <v>476.67186805555554</v>
      </c>
      <c r="BG164" s="16">
        <f>Demand_LP!J$8/30</f>
        <v>476.67186805555554</v>
      </c>
      <c r="BH164" s="16">
        <f>Demand_LP!K$8/30</f>
        <v>476.67186805555554</v>
      </c>
      <c r="BI164" s="16" t="e">
        <f t="shared" si="73"/>
        <v>#VALUE!</v>
      </c>
      <c r="BJ164" s="16">
        <f t="shared" si="74"/>
        <v>-95696.351282051255</v>
      </c>
      <c r="BK164" s="16">
        <f t="shared" si="75"/>
        <v>-47910.614957264901</v>
      </c>
      <c r="BL164" s="16">
        <f t="shared" si="76"/>
        <v>-121952.51323163461</v>
      </c>
      <c r="BM164" s="16">
        <f t="shared" si="77"/>
        <v>-73247.609185261899</v>
      </c>
      <c r="BN164" s="16">
        <f t="shared" si="78"/>
        <v>-118725.58746798245</v>
      </c>
      <c r="BO164" s="16">
        <f t="shared" si="79"/>
        <v>-98053.930769230778</v>
      </c>
      <c r="BP164" s="16">
        <f t="shared" si="80"/>
        <v>-72705.293103632503</v>
      </c>
      <c r="BQ164" s="16">
        <f t="shared" si="81"/>
        <v>-69305.293103632546</v>
      </c>
      <c r="BR164" s="16">
        <f t="shared" si="82"/>
        <v>-70505.293103632503</v>
      </c>
      <c r="BS164" s="14">
        <f>IF([1]Sheet2!CA163=999999,"NA",[1]Sheet2!CA163)</f>
        <v>145973.70689636795</v>
      </c>
      <c r="BT164" s="14">
        <f>IF([1]Sheet2!CB163=999999,"NA",[1]Sheet2!CB163)</f>
        <v>126</v>
      </c>
      <c r="BU164" s="14">
        <f>IF([1]Sheet2!CC163=999999,"NA",[1]Sheet2!CC163)</f>
        <v>204</v>
      </c>
      <c r="BV164" s="14">
        <f>IF([1]Sheet2!CD163=999999,"NA",[1]Sheet2!CD163)</f>
        <v>204</v>
      </c>
      <c r="BW164" s="14">
        <f>IF([1]Sheet2!CE163=999999,"NA",[1]Sheet2!CE163)</f>
        <v>166</v>
      </c>
      <c r="BX164" s="14">
        <f>IF([1]Sheet2!CF163=999999,"NA",[1]Sheet2!CF163)</f>
        <v>204</v>
      </c>
      <c r="BY164" s="14">
        <f>IF([1]Sheet2!CG163=999999,"NA",[1]Sheet2!CG163)</f>
        <v>98</v>
      </c>
      <c r="BZ164" s="14">
        <f>IF([1]Sheet2!CH163=999999,"NA",[1]Sheet2!CH163)</f>
        <v>204</v>
      </c>
      <c r="CA164" s="14">
        <f>IF([1]Sheet2!CI163=999999,"NA",[1]Sheet2!CI163)</f>
        <v>204</v>
      </c>
      <c r="CB164" s="14">
        <f>IF([1]Sheet2!CJ163=999999,"NA",[1]Sheet2!CJ163)</f>
        <v>204</v>
      </c>
      <c r="CC164" s="14">
        <f>[1]Sheet2!BG163</f>
        <v>0</v>
      </c>
      <c r="CD164" s="14">
        <f>[1]Sheet2!BH163</f>
        <v>0</v>
      </c>
      <c r="CE164" s="14">
        <f>[1]Sheet2!BI163</f>
        <v>0</v>
      </c>
      <c r="CF164" s="14">
        <f>[1]Sheet2!BJ163</f>
        <v>0</v>
      </c>
      <c r="CG164" s="14">
        <f>[1]Sheet2!BK163</f>
        <v>0</v>
      </c>
      <c r="CH164" s="14">
        <f>[1]Sheet2!BL163</f>
        <v>0</v>
      </c>
      <c r="CI164" s="14">
        <f>[1]Sheet2!BM163</f>
        <v>0</v>
      </c>
      <c r="CJ164" s="14">
        <f>[1]Sheet2!BN163</f>
        <v>0</v>
      </c>
      <c r="CK164" s="14">
        <f>[1]Sheet2!BO163</f>
        <v>0</v>
      </c>
      <c r="CL164" s="14">
        <f>[1]Sheet2!BP163</f>
        <v>0</v>
      </c>
      <c r="CM164" s="16">
        <f>Demand_SW!B$8/30</f>
        <v>144.23076923076923</v>
      </c>
      <c r="CN164" s="16">
        <f>Demand_SW!C$8/30</f>
        <v>0</v>
      </c>
      <c r="CO164" s="16">
        <f>Demand_SW!D$8/30</f>
        <v>0</v>
      </c>
      <c r="CP164" s="16">
        <f>Demand_SW!E$8/30</f>
        <v>0</v>
      </c>
      <c r="CQ164" s="16">
        <f>Demand_SW!F$8/30</f>
        <v>0</v>
      </c>
      <c r="CR164" s="16">
        <f>Demand_SW!G$8/30</f>
        <v>144.23076923076923</v>
      </c>
      <c r="CS164" s="16">
        <f>Demand_SW!H$8/30</f>
        <v>0</v>
      </c>
      <c r="CT164" s="16">
        <f>Demand_SW!I$8/30</f>
        <v>0</v>
      </c>
      <c r="CU164" s="16">
        <f>Demand_SW!J$8/30</f>
        <v>0</v>
      </c>
      <c r="CV164" s="16">
        <f>Demand_SW!K$8/30</f>
        <v>0</v>
      </c>
      <c r="CW164" s="16">
        <f t="shared" si="83"/>
        <v>29286.923076923122</v>
      </c>
      <c r="CX164" s="16">
        <f t="shared" si="84"/>
        <v>-423.07692307692292</v>
      </c>
      <c r="CY164" s="16">
        <f t="shared" si="85"/>
        <v>0</v>
      </c>
      <c r="CZ164" s="16">
        <f t="shared" si="86"/>
        <v>0</v>
      </c>
      <c r="DA164" s="16">
        <f t="shared" si="87"/>
        <v>0</v>
      </c>
      <c r="DB164" s="16">
        <f t="shared" si="88"/>
        <v>-20242.307692307673</v>
      </c>
      <c r="DC164" s="16">
        <f t="shared" si="89"/>
        <v>-423.07692307692292</v>
      </c>
      <c r="DD164" s="16">
        <f t="shared" si="90"/>
        <v>0</v>
      </c>
      <c r="DE164" s="16">
        <f t="shared" si="91"/>
        <v>0</v>
      </c>
      <c r="DF164" s="16">
        <f t="shared" si="92"/>
        <v>0</v>
      </c>
      <c r="DG164" s="14">
        <f>IF([1]Sheet2!DR163=999999,"NA",[1]Sheet2!DR163)</f>
        <v>73103</v>
      </c>
      <c r="DH164" s="14">
        <f>IF([1]Sheet2!DS163=999999,"NA",[1]Sheet2!DS163)</f>
        <v>204</v>
      </c>
      <c r="DI164" s="14">
        <f>IF([1]Sheet2!DT163=999999,"NA",[1]Sheet2!DT163)</f>
        <v>204</v>
      </c>
      <c r="DJ164" s="14" t="str">
        <f>IF([1]Sheet2!DU163=999999,"NA",[1]Sheet2!DU163)</f>
        <v>NA</v>
      </c>
      <c r="DK164" s="14" t="str">
        <f>IF([1]Sheet2!DV163=999999,"NA",[1]Sheet2!DV163)</f>
        <v>NA</v>
      </c>
      <c r="DL164" s="14" t="str">
        <f>IF([1]Sheet2!DW163=999999,"NA",[1]Sheet2!DW163)</f>
        <v>NA</v>
      </c>
      <c r="DM164" s="14">
        <f>IF([1]Sheet2!DX163=999999,"NA",[1]Sheet2!DX163)</f>
        <v>204</v>
      </c>
      <c r="DN164" s="14">
        <f>IF([1]Sheet2!DY163=999999,"NA",[1]Sheet2!DY163)</f>
        <v>204</v>
      </c>
      <c r="DO164" s="14" t="str">
        <f>IF([1]Sheet2!DZ163=999999,"NA",[1]Sheet2!DZ163)</f>
        <v>NA</v>
      </c>
      <c r="DP164" s="14" t="str">
        <f>IF([1]Sheet2!EA163=999999,"NA",[1]Sheet2!EA163)</f>
        <v>NA</v>
      </c>
      <c r="DQ164" s="14">
        <f>[1]Sheet2!CX163</f>
        <v>0</v>
      </c>
      <c r="DR164" s="14">
        <f>[1]Sheet2!CY163</f>
        <v>0</v>
      </c>
      <c r="DS164" s="14">
        <f>[1]Sheet2!CZ163</f>
        <v>0</v>
      </c>
      <c r="DT164" s="14">
        <f>[1]Sheet2!DA163</f>
        <v>0</v>
      </c>
      <c r="DU164" s="14">
        <f>[1]Sheet2!DB163</f>
        <v>0</v>
      </c>
      <c r="DV164" s="14">
        <f>[1]Sheet2!DC163</f>
        <v>0</v>
      </c>
      <c r="DW164" s="14">
        <f>[1]Sheet2!DD163</f>
        <v>0</v>
      </c>
      <c r="DX164" s="14">
        <f>[1]Sheet2!DE163</f>
        <v>0</v>
      </c>
      <c r="DY164" s="14">
        <f>[1]Sheet2!DF163</f>
        <v>0</v>
      </c>
      <c r="DZ164" s="14">
        <f>[1]Sheet2!DG163</f>
        <v>0</v>
      </c>
    </row>
    <row r="165" spans="1:130" x14ac:dyDescent="0.25">
      <c r="A165" s="15">
        <v>43627</v>
      </c>
      <c r="B165" s="1"/>
      <c r="C165" s="1"/>
      <c r="D165" s="1"/>
      <c r="E165" s="14">
        <f>[1]Sheet2!N164</f>
        <v>0</v>
      </c>
      <c r="F165" s="14">
        <f>[1]Sheet2!BE164</f>
        <v>0</v>
      </c>
      <c r="G165" s="14">
        <f>[1]Sheet2!CV164</f>
        <v>288.46153846153851</v>
      </c>
      <c r="H165" s="1"/>
      <c r="I165" s="1"/>
      <c r="J165" s="1"/>
      <c r="K165" s="16">
        <f>Demand_CWRS!B$8/30</f>
        <v>124.86819391025641</v>
      </c>
      <c r="L165" s="16">
        <f>Demand_CWRS!C$8/30</f>
        <v>583.20512820512829</v>
      </c>
      <c r="M165" s="16">
        <f>Demand_CWRS!D$8/30</f>
        <v>0</v>
      </c>
      <c r="N165" s="16">
        <f>Demand_CWRS!E$8/30</f>
        <v>156.84829059829062</v>
      </c>
      <c r="O165" s="16">
        <f>Demand_CWRS!F$8/30</f>
        <v>252.39596314102559</v>
      </c>
      <c r="P165" s="16">
        <f>Demand_CWRS!G$8/30</f>
        <v>124.86819391025641</v>
      </c>
      <c r="Q165" s="16">
        <f>Demand_CWRS!H$8/30</f>
        <v>583.20512820512829</v>
      </c>
      <c r="R165" s="16">
        <f>Demand_CWRS!I$8/30</f>
        <v>246.66666666666666</v>
      </c>
      <c r="S165" s="16">
        <f>Demand_CWRS!J$8/30</f>
        <v>246.66666666666666</v>
      </c>
      <c r="T165" s="16">
        <f>Demand_CWRS!K$8/30</f>
        <v>246.66666666666666</v>
      </c>
      <c r="U165" s="16">
        <f t="shared" si="63"/>
        <v>-23988.265853101635</v>
      </c>
      <c r="V165" s="16">
        <f t="shared" si="64"/>
        <v>-75775.264102563902</v>
      </c>
      <c r="W165" s="16">
        <f t="shared" si="65"/>
        <v>0</v>
      </c>
      <c r="X165" s="16">
        <f t="shared" si="66"/>
        <v>-17561.15902845396</v>
      </c>
      <c r="Y165" s="16">
        <f t="shared" si="67"/>
        <v>-36482.640535114435</v>
      </c>
      <c r="Z165" s="16">
        <f t="shared" si="68"/>
        <v>-23662.492704063185</v>
      </c>
      <c r="AA165" s="16">
        <f t="shared" si="69"/>
        <v>-75275.264102563902</v>
      </c>
      <c r="AB165" s="16">
        <f t="shared" si="70"/>
        <v>-34107.651687358011</v>
      </c>
      <c r="AC165" s="16">
        <f t="shared" si="71"/>
        <v>-34107.651687358004</v>
      </c>
      <c r="AD165" s="16">
        <f t="shared" si="72"/>
        <v>-34807.651687357997</v>
      </c>
      <c r="AE165" s="14">
        <f>IF([1]Sheet2!AJ164=999999,"NA",[1]Sheet2!AJ164)</f>
        <v>0</v>
      </c>
      <c r="AF165" s="14">
        <f>IF([1]Sheet2!AK164=999999,"NA",[1]Sheet2!AK164)</f>
        <v>0</v>
      </c>
      <c r="AG165" s="14" t="str">
        <f>IF([1]Sheet2!AL164=999999,"NA",[1]Sheet2!AL164)</f>
        <v>NA</v>
      </c>
      <c r="AH165" s="14">
        <f>IF([1]Sheet2!AM164=999999,"NA",[1]Sheet2!AM164)</f>
        <v>203</v>
      </c>
      <c r="AI165" s="14">
        <f>IF([1]Sheet2!AN164=999999,"NA",[1]Sheet2!AN164)</f>
        <v>203</v>
      </c>
      <c r="AJ165" s="14">
        <f>IF([1]Sheet2!AO164=999999,"NA",[1]Sheet2!AO164)</f>
        <v>203</v>
      </c>
      <c r="AK165" s="14">
        <f>IF([1]Sheet2!AP164=999999,"NA",[1]Sheet2!AP164)</f>
        <v>0</v>
      </c>
      <c r="AL165" s="14">
        <f>IF([1]Sheet2!AQ164=999999,"NA",[1]Sheet2!AQ164)</f>
        <v>79</v>
      </c>
      <c r="AM165" s="14">
        <f>IF([1]Sheet2!AR164=999999,"NA",[1]Sheet2!AR164)</f>
        <v>203</v>
      </c>
      <c r="AN165" s="14">
        <f>IF([1]Sheet2!AS164=999999,"NA",[1]Sheet2!AS164)</f>
        <v>135</v>
      </c>
      <c r="AO165" s="14">
        <f>[1]Sheet2!P164</f>
        <v>0</v>
      </c>
      <c r="AP165" s="14">
        <f>[1]Sheet2!Q164</f>
        <v>0</v>
      </c>
      <c r="AQ165" s="14">
        <f>[1]Sheet2!R164</f>
        <v>0</v>
      </c>
      <c r="AR165" s="14">
        <f>[1]Sheet2!S164</f>
        <v>0</v>
      </c>
      <c r="AS165" s="14">
        <f>[1]Sheet2!T164</f>
        <v>0</v>
      </c>
      <c r="AT165" s="14">
        <f>[1]Sheet2!U164</f>
        <v>0</v>
      </c>
      <c r="AU165" s="14">
        <f>[1]Sheet2!V164</f>
        <v>0</v>
      </c>
      <c r="AV165" s="14">
        <f>[1]Sheet2!W164</f>
        <v>0</v>
      </c>
      <c r="AW165" s="14">
        <f>[1]Sheet2!X164</f>
        <v>0</v>
      </c>
      <c r="AX165" s="14">
        <f>[1]Sheet2!Y164</f>
        <v>0</v>
      </c>
      <c r="AY165" s="16">
        <f>Demand_LP!B$8/30</f>
        <v>807.81611164529909</v>
      </c>
      <c r="AZ165" s="16">
        <f>Demand_LP!C$8/30</f>
        <v>574.48717948717956</v>
      </c>
      <c r="BA165" s="16">
        <f>Demand_LP!D$8/30</f>
        <v>339.04957264957267</v>
      </c>
      <c r="BB165" s="16">
        <f>Demand_LP!E$8/30</f>
        <v>830.46965811965799</v>
      </c>
      <c r="BC165" s="16">
        <f>Demand_LP!F$8/30</f>
        <v>476.67186805555554</v>
      </c>
      <c r="BD165" s="16">
        <f>Demand_LP!G$8/30</f>
        <v>807.81611164529909</v>
      </c>
      <c r="BE165" s="16">
        <f>Demand_LP!H$8/30</f>
        <v>574.48717948717956</v>
      </c>
      <c r="BF165" s="16">
        <f>Demand_LP!I$8/30</f>
        <v>476.67186805555554</v>
      </c>
      <c r="BG165" s="16">
        <f>Demand_LP!J$8/30</f>
        <v>476.67186805555554</v>
      </c>
      <c r="BH165" s="16">
        <f>Demand_LP!K$8/30</f>
        <v>476.67186805555554</v>
      </c>
      <c r="BI165" s="16" t="e">
        <f t="shared" si="73"/>
        <v>#VALUE!</v>
      </c>
      <c r="BJ165" s="16">
        <f t="shared" si="74"/>
        <v>-96270.838461538428</v>
      </c>
      <c r="BK165" s="16">
        <f t="shared" si="75"/>
        <v>-48249.664529914473</v>
      </c>
      <c r="BL165" s="16">
        <f t="shared" si="76"/>
        <v>-122782.98288975428</v>
      </c>
      <c r="BM165" s="16">
        <f t="shared" si="77"/>
        <v>-73724.281053317449</v>
      </c>
      <c r="BN165" s="16">
        <f t="shared" si="78"/>
        <v>-119533.40357962775</v>
      </c>
      <c r="BO165" s="16">
        <f t="shared" si="79"/>
        <v>-98628.41794871795</v>
      </c>
      <c r="BP165" s="16">
        <f t="shared" si="80"/>
        <v>-73181.964971688052</v>
      </c>
      <c r="BQ165" s="16">
        <f t="shared" si="81"/>
        <v>-69781.964971688096</v>
      </c>
      <c r="BR165" s="16">
        <f t="shared" si="82"/>
        <v>-70981.964971688052</v>
      </c>
      <c r="BS165" s="14">
        <f>IF([1]Sheet2!CA164=999999,"NA",[1]Sheet2!CA164)</f>
        <v>145497.03502831238</v>
      </c>
      <c r="BT165" s="14">
        <f>IF([1]Sheet2!CB164=999999,"NA",[1]Sheet2!CB164)</f>
        <v>125</v>
      </c>
      <c r="BU165" s="14">
        <f>IF([1]Sheet2!CC164=999999,"NA",[1]Sheet2!CC164)</f>
        <v>203</v>
      </c>
      <c r="BV165" s="14">
        <f>IF([1]Sheet2!CD164=999999,"NA",[1]Sheet2!CD164)</f>
        <v>203</v>
      </c>
      <c r="BW165" s="14">
        <f>IF([1]Sheet2!CE164=999999,"NA",[1]Sheet2!CE164)</f>
        <v>165</v>
      </c>
      <c r="BX165" s="14">
        <f>IF([1]Sheet2!CF164=999999,"NA",[1]Sheet2!CF164)</f>
        <v>203</v>
      </c>
      <c r="BY165" s="14">
        <f>IF([1]Sheet2!CG164=999999,"NA",[1]Sheet2!CG164)</f>
        <v>97</v>
      </c>
      <c r="BZ165" s="14">
        <f>IF([1]Sheet2!CH164=999999,"NA",[1]Sheet2!CH164)</f>
        <v>203</v>
      </c>
      <c r="CA165" s="14">
        <f>IF([1]Sheet2!CI164=999999,"NA",[1]Sheet2!CI164)</f>
        <v>203</v>
      </c>
      <c r="CB165" s="14">
        <f>IF([1]Sheet2!CJ164=999999,"NA",[1]Sheet2!CJ164)</f>
        <v>203</v>
      </c>
      <c r="CC165" s="14">
        <f>[1]Sheet2!BG164</f>
        <v>0</v>
      </c>
      <c r="CD165" s="14">
        <f>[1]Sheet2!BH164</f>
        <v>0</v>
      </c>
      <c r="CE165" s="14">
        <f>[1]Sheet2!BI164</f>
        <v>0</v>
      </c>
      <c r="CF165" s="14">
        <f>[1]Sheet2!BJ164</f>
        <v>0</v>
      </c>
      <c r="CG165" s="14">
        <f>[1]Sheet2!BK164</f>
        <v>0</v>
      </c>
      <c r="CH165" s="14">
        <f>[1]Sheet2!BL164</f>
        <v>0</v>
      </c>
      <c r="CI165" s="14">
        <f>[1]Sheet2!BM164</f>
        <v>0</v>
      </c>
      <c r="CJ165" s="14">
        <f>[1]Sheet2!BN164</f>
        <v>0</v>
      </c>
      <c r="CK165" s="14">
        <f>[1]Sheet2!BO164</f>
        <v>0</v>
      </c>
      <c r="CL165" s="14">
        <f>[1]Sheet2!BP164</f>
        <v>0</v>
      </c>
      <c r="CM165" s="16">
        <f>Demand_SW!B$8/30</f>
        <v>144.23076923076923</v>
      </c>
      <c r="CN165" s="16">
        <f>Demand_SW!C$8/30</f>
        <v>0</v>
      </c>
      <c r="CO165" s="16">
        <f>Demand_SW!D$8/30</f>
        <v>0</v>
      </c>
      <c r="CP165" s="16">
        <f>Demand_SW!E$8/30</f>
        <v>0</v>
      </c>
      <c r="CQ165" s="16">
        <f>Demand_SW!F$8/30</f>
        <v>0</v>
      </c>
      <c r="CR165" s="16">
        <f>Demand_SW!G$8/30</f>
        <v>144.23076923076923</v>
      </c>
      <c r="CS165" s="16">
        <f>Demand_SW!H$8/30</f>
        <v>0</v>
      </c>
      <c r="CT165" s="16">
        <f>Demand_SW!I$8/30</f>
        <v>0</v>
      </c>
      <c r="CU165" s="16">
        <f>Demand_SW!J$8/30</f>
        <v>0</v>
      </c>
      <c r="CV165" s="16">
        <f>Demand_SW!K$8/30</f>
        <v>0</v>
      </c>
      <c r="CW165" s="16">
        <f t="shared" si="83"/>
        <v>29142.692307692352</v>
      </c>
      <c r="CX165" s="16">
        <f t="shared" si="84"/>
        <v>-423.07692307692292</v>
      </c>
      <c r="CY165" s="16">
        <f t="shared" si="85"/>
        <v>0</v>
      </c>
      <c r="CZ165" s="16">
        <f t="shared" si="86"/>
        <v>0</v>
      </c>
      <c r="DA165" s="16">
        <f t="shared" si="87"/>
        <v>0</v>
      </c>
      <c r="DB165" s="16">
        <f t="shared" si="88"/>
        <v>-20386.538461538443</v>
      </c>
      <c r="DC165" s="16">
        <f t="shared" si="89"/>
        <v>-423.07692307692292</v>
      </c>
      <c r="DD165" s="16">
        <f t="shared" si="90"/>
        <v>0</v>
      </c>
      <c r="DE165" s="16">
        <f t="shared" si="91"/>
        <v>0</v>
      </c>
      <c r="DF165" s="16">
        <f t="shared" si="92"/>
        <v>0</v>
      </c>
      <c r="DG165" s="14">
        <f>IF([1]Sheet2!DR164=999999,"NA",[1]Sheet2!DR164)</f>
        <v>73103</v>
      </c>
      <c r="DH165" s="14">
        <f>IF([1]Sheet2!DS164=999999,"NA",[1]Sheet2!DS164)</f>
        <v>203</v>
      </c>
      <c r="DI165" s="14">
        <f>IF([1]Sheet2!DT164=999999,"NA",[1]Sheet2!DT164)</f>
        <v>203</v>
      </c>
      <c r="DJ165" s="14" t="str">
        <f>IF([1]Sheet2!DU164=999999,"NA",[1]Sheet2!DU164)</f>
        <v>NA</v>
      </c>
      <c r="DK165" s="14" t="str">
        <f>IF([1]Sheet2!DV164=999999,"NA",[1]Sheet2!DV164)</f>
        <v>NA</v>
      </c>
      <c r="DL165" s="14" t="str">
        <f>IF([1]Sheet2!DW164=999999,"NA",[1]Sheet2!DW164)</f>
        <v>NA</v>
      </c>
      <c r="DM165" s="14">
        <f>IF([1]Sheet2!DX164=999999,"NA",[1]Sheet2!DX164)</f>
        <v>203</v>
      </c>
      <c r="DN165" s="14">
        <f>IF([1]Sheet2!DY164=999999,"NA",[1]Sheet2!DY164)</f>
        <v>203</v>
      </c>
      <c r="DO165" s="14" t="str">
        <f>IF([1]Sheet2!DZ164=999999,"NA",[1]Sheet2!DZ164)</f>
        <v>NA</v>
      </c>
      <c r="DP165" s="14" t="str">
        <f>IF([1]Sheet2!EA164=999999,"NA",[1]Sheet2!EA164)</f>
        <v>NA</v>
      </c>
      <c r="DQ165" s="14">
        <f>[1]Sheet2!CX164</f>
        <v>0</v>
      </c>
      <c r="DR165" s="14">
        <f>[1]Sheet2!CY164</f>
        <v>0</v>
      </c>
      <c r="DS165" s="14">
        <f>[1]Sheet2!CZ164</f>
        <v>0</v>
      </c>
      <c r="DT165" s="14">
        <f>[1]Sheet2!DA164</f>
        <v>0</v>
      </c>
      <c r="DU165" s="14">
        <f>[1]Sheet2!DB164</f>
        <v>0</v>
      </c>
      <c r="DV165" s="14">
        <f>[1]Sheet2!DC164</f>
        <v>0</v>
      </c>
      <c r="DW165" s="14">
        <f>[1]Sheet2!DD164</f>
        <v>0</v>
      </c>
      <c r="DX165" s="14">
        <f>[1]Sheet2!DE164</f>
        <v>0</v>
      </c>
      <c r="DY165" s="14">
        <f>[1]Sheet2!DF164</f>
        <v>0</v>
      </c>
      <c r="DZ165" s="14">
        <f>[1]Sheet2!DG164</f>
        <v>0</v>
      </c>
    </row>
    <row r="166" spans="1:130" x14ac:dyDescent="0.25">
      <c r="A166" s="15">
        <v>43628</v>
      </c>
      <c r="B166" s="1"/>
      <c r="C166" s="1"/>
      <c r="D166" s="1"/>
      <c r="E166" s="14">
        <f>[1]Sheet2!N165</f>
        <v>0</v>
      </c>
      <c r="F166" s="14">
        <f>[1]Sheet2!BE165</f>
        <v>0</v>
      </c>
      <c r="G166" s="14">
        <f>[1]Sheet2!CV165</f>
        <v>288.46153846153851</v>
      </c>
      <c r="H166" s="1"/>
      <c r="I166" s="1"/>
      <c r="J166" s="1"/>
      <c r="K166" s="16">
        <f>Demand_CWRS!B$8/30</f>
        <v>124.86819391025641</v>
      </c>
      <c r="L166" s="16">
        <f>Demand_CWRS!C$8/30</f>
        <v>583.20512820512829</v>
      </c>
      <c r="M166" s="16">
        <f>Demand_CWRS!D$8/30</f>
        <v>0</v>
      </c>
      <c r="N166" s="16">
        <f>Demand_CWRS!E$8/30</f>
        <v>156.84829059829062</v>
      </c>
      <c r="O166" s="16">
        <f>Demand_CWRS!F$8/30</f>
        <v>252.39596314102559</v>
      </c>
      <c r="P166" s="16">
        <f>Demand_CWRS!G$8/30</f>
        <v>124.86819391025641</v>
      </c>
      <c r="Q166" s="16">
        <f>Demand_CWRS!H$8/30</f>
        <v>583.20512820512829</v>
      </c>
      <c r="R166" s="16">
        <f>Demand_CWRS!I$8/30</f>
        <v>246.66666666666666</v>
      </c>
      <c r="S166" s="16">
        <f>Demand_CWRS!J$8/30</f>
        <v>246.66666666666666</v>
      </c>
      <c r="T166" s="16">
        <f>Demand_CWRS!K$8/30</f>
        <v>246.66666666666666</v>
      </c>
      <c r="U166" s="16">
        <f t="shared" si="63"/>
        <v>-24113.134047011892</v>
      </c>
      <c r="V166" s="16">
        <f t="shared" si="64"/>
        <v>-76358.469230769027</v>
      </c>
      <c r="W166" s="16">
        <f t="shared" si="65"/>
        <v>0</v>
      </c>
      <c r="X166" s="16">
        <f t="shared" si="66"/>
        <v>-17718.007319052249</v>
      </c>
      <c r="Y166" s="16">
        <f t="shared" si="67"/>
        <v>-36735.03649825546</v>
      </c>
      <c r="Z166" s="16">
        <f t="shared" si="68"/>
        <v>-23787.360897973442</v>
      </c>
      <c r="AA166" s="16">
        <f t="shared" si="69"/>
        <v>-75858.469230769027</v>
      </c>
      <c r="AB166" s="16">
        <f t="shared" si="70"/>
        <v>-34354.318354024676</v>
      </c>
      <c r="AC166" s="16">
        <f t="shared" si="71"/>
        <v>-34354.318354024668</v>
      </c>
      <c r="AD166" s="16">
        <f t="shared" si="72"/>
        <v>-35054.318354024661</v>
      </c>
      <c r="AE166" s="14">
        <f>IF([1]Sheet2!AJ165=999999,"NA",[1]Sheet2!AJ165)</f>
        <v>0</v>
      </c>
      <c r="AF166" s="14">
        <f>IF([1]Sheet2!AK165=999999,"NA",[1]Sheet2!AK165)</f>
        <v>0</v>
      </c>
      <c r="AG166" s="14" t="str">
        <f>IF([1]Sheet2!AL165=999999,"NA",[1]Sheet2!AL165)</f>
        <v>NA</v>
      </c>
      <c r="AH166" s="14">
        <f>IF([1]Sheet2!AM165=999999,"NA",[1]Sheet2!AM165)</f>
        <v>202</v>
      </c>
      <c r="AI166" s="14">
        <f>IF([1]Sheet2!AN165=999999,"NA",[1]Sheet2!AN165)</f>
        <v>202</v>
      </c>
      <c r="AJ166" s="14">
        <f>IF([1]Sheet2!AO165=999999,"NA",[1]Sheet2!AO165)</f>
        <v>202</v>
      </c>
      <c r="AK166" s="14">
        <f>IF([1]Sheet2!AP165=999999,"NA",[1]Sheet2!AP165)</f>
        <v>0</v>
      </c>
      <c r="AL166" s="14">
        <f>IF([1]Sheet2!AQ165=999999,"NA",[1]Sheet2!AQ165)</f>
        <v>78</v>
      </c>
      <c r="AM166" s="14">
        <f>IF([1]Sheet2!AR165=999999,"NA",[1]Sheet2!AR165)</f>
        <v>202</v>
      </c>
      <c r="AN166" s="14">
        <f>IF([1]Sheet2!AS165=999999,"NA",[1]Sheet2!AS165)</f>
        <v>134</v>
      </c>
      <c r="AO166" s="14">
        <f>[1]Sheet2!P165</f>
        <v>0</v>
      </c>
      <c r="AP166" s="14">
        <f>[1]Sheet2!Q165</f>
        <v>0</v>
      </c>
      <c r="AQ166" s="14">
        <f>[1]Sheet2!R165</f>
        <v>0</v>
      </c>
      <c r="AR166" s="14">
        <f>[1]Sheet2!S165</f>
        <v>0</v>
      </c>
      <c r="AS166" s="14">
        <f>[1]Sheet2!T165</f>
        <v>0</v>
      </c>
      <c r="AT166" s="14">
        <f>[1]Sheet2!U165</f>
        <v>0</v>
      </c>
      <c r="AU166" s="14">
        <f>[1]Sheet2!V165</f>
        <v>0</v>
      </c>
      <c r="AV166" s="14">
        <f>[1]Sheet2!W165</f>
        <v>0</v>
      </c>
      <c r="AW166" s="14">
        <f>[1]Sheet2!X165</f>
        <v>0</v>
      </c>
      <c r="AX166" s="14">
        <f>[1]Sheet2!Y165</f>
        <v>0</v>
      </c>
      <c r="AY166" s="16">
        <f>Demand_LP!B$8/30</f>
        <v>807.81611164529909</v>
      </c>
      <c r="AZ166" s="16">
        <f>Demand_LP!C$8/30</f>
        <v>574.48717948717956</v>
      </c>
      <c r="BA166" s="16">
        <f>Demand_LP!D$8/30</f>
        <v>339.04957264957267</v>
      </c>
      <c r="BB166" s="16">
        <f>Demand_LP!E$8/30</f>
        <v>830.46965811965799</v>
      </c>
      <c r="BC166" s="16">
        <f>Demand_LP!F$8/30</f>
        <v>476.67186805555554</v>
      </c>
      <c r="BD166" s="16">
        <f>Demand_LP!G$8/30</f>
        <v>807.81611164529909</v>
      </c>
      <c r="BE166" s="16">
        <f>Demand_LP!H$8/30</f>
        <v>574.48717948717956</v>
      </c>
      <c r="BF166" s="16">
        <f>Demand_LP!I$8/30</f>
        <v>476.67186805555554</v>
      </c>
      <c r="BG166" s="16">
        <f>Demand_LP!J$8/30</f>
        <v>476.67186805555554</v>
      </c>
      <c r="BH166" s="16">
        <f>Demand_LP!K$8/30</f>
        <v>476.67186805555554</v>
      </c>
      <c r="BI166" s="16" t="e">
        <f t="shared" si="73"/>
        <v>#VALUE!</v>
      </c>
      <c r="BJ166" s="16">
        <f t="shared" si="74"/>
        <v>-96845.3256410256</v>
      </c>
      <c r="BK166" s="16">
        <f t="shared" si="75"/>
        <v>-48588.714102564045</v>
      </c>
      <c r="BL166" s="16">
        <f t="shared" si="76"/>
        <v>-123613.45254787394</v>
      </c>
      <c r="BM166" s="16">
        <f t="shared" si="77"/>
        <v>-74200.952921372998</v>
      </c>
      <c r="BN166" s="16">
        <f t="shared" si="78"/>
        <v>-120341.21969127304</v>
      </c>
      <c r="BO166" s="16">
        <f t="shared" si="79"/>
        <v>-99202.905128205122</v>
      </c>
      <c r="BP166" s="16">
        <f t="shared" si="80"/>
        <v>-73658.636839743602</v>
      </c>
      <c r="BQ166" s="16">
        <f t="shared" si="81"/>
        <v>-70258.636839743645</v>
      </c>
      <c r="BR166" s="16">
        <f t="shared" si="82"/>
        <v>-71458.636839743602</v>
      </c>
      <c r="BS166" s="14">
        <f>IF([1]Sheet2!CA165=999999,"NA",[1]Sheet2!CA165)</f>
        <v>145020.36316025682</v>
      </c>
      <c r="BT166" s="14">
        <f>IF([1]Sheet2!CB165=999999,"NA",[1]Sheet2!CB165)</f>
        <v>124</v>
      </c>
      <c r="BU166" s="14">
        <f>IF([1]Sheet2!CC165=999999,"NA",[1]Sheet2!CC165)</f>
        <v>202</v>
      </c>
      <c r="BV166" s="14">
        <f>IF([1]Sheet2!CD165=999999,"NA",[1]Sheet2!CD165)</f>
        <v>202</v>
      </c>
      <c r="BW166" s="14">
        <f>IF([1]Sheet2!CE165=999999,"NA",[1]Sheet2!CE165)</f>
        <v>164</v>
      </c>
      <c r="BX166" s="14">
        <f>IF([1]Sheet2!CF165=999999,"NA",[1]Sheet2!CF165)</f>
        <v>202</v>
      </c>
      <c r="BY166" s="14">
        <f>IF([1]Sheet2!CG165=999999,"NA",[1]Sheet2!CG165)</f>
        <v>96</v>
      </c>
      <c r="BZ166" s="14">
        <f>IF([1]Sheet2!CH165=999999,"NA",[1]Sheet2!CH165)</f>
        <v>202</v>
      </c>
      <c r="CA166" s="14">
        <f>IF([1]Sheet2!CI165=999999,"NA",[1]Sheet2!CI165)</f>
        <v>202</v>
      </c>
      <c r="CB166" s="14">
        <f>IF([1]Sheet2!CJ165=999999,"NA",[1]Sheet2!CJ165)</f>
        <v>202</v>
      </c>
      <c r="CC166" s="14">
        <f>[1]Sheet2!BG165</f>
        <v>0</v>
      </c>
      <c r="CD166" s="14">
        <f>[1]Sheet2!BH165</f>
        <v>0</v>
      </c>
      <c r="CE166" s="14">
        <f>[1]Sheet2!BI165</f>
        <v>0</v>
      </c>
      <c r="CF166" s="14">
        <f>[1]Sheet2!BJ165</f>
        <v>0</v>
      </c>
      <c r="CG166" s="14">
        <f>[1]Sheet2!BK165</f>
        <v>0</v>
      </c>
      <c r="CH166" s="14">
        <f>[1]Sheet2!BL165</f>
        <v>0</v>
      </c>
      <c r="CI166" s="14">
        <f>[1]Sheet2!BM165</f>
        <v>0</v>
      </c>
      <c r="CJ166" s="14">
        <f>[1]Sheet2!BN165</f>
        <v>0</v>
      </c>
      <c r="CK166" s="14">
        <f>[1]Sheet2!BO165</f>
        <v>0</v>
      </c>
      <c r="CL166" s="14">
        <f>[1]Sheet2!BP165</f>
        <v>0</v>
      </c>
      <c r="CM166" s="16">
        <f>Demand_SW!B$8/30</f>
        <v>144.23076923076923</v>
      </c>
      <c r="CN166" s="16">
        <f>Demand_SW!C$8/30</f>
        <v>0</v>
      </c>
      <c r="CO166" s="16">
        <f>Demand_SW!D$8/30</f>
        <v>0</v>
      </c>
      <c r="CP166" s="16">
        <f>Demand_SW!E$8/30</f>
        <v>0</v>
      </c>
      <c r="CQ166" s="16">
        <f>Demand_SW!F$8/30</f>
        <v>0</v>
      </c>
      <c r="CR166" s="16">
        <f>Demand_SW!G$8/30</f>
        <v>144.23076923076923</v>
      </c>
      <c r="CS166" s="16">
        <f>Demand_SW!H$8/30</f>
        <v>0</v>
      </c>
      <c r="CT166" s="16">
        <f>Demand_SW!I$8/30</f>
        <v>0</v>
      </c>
      <c r="CU166" s="16">
        <f>Demand_SW!J$8/30</f>
        <v>0</v>
      </c>
      <c r="CV166" s="16">
        <f>Demand_SW!K$8/30</f>
        <v>0</v>
      </c>
      <c r="CW166" s="16">
        <f t="shared" si="83"/>
        <v>28998.461538461583</v>
      </c>
      <c r="CX166" s="16">
        <f t="shared" si="84"/>
        <v>-423.07692307692292</v>
      </c>
      <c r="CY166" s="16">
        <f t="shared" si="85"/>
        <v>0</v>
      </c>
      <c r="CZ166" s="16">
        <f t="shared" si="86"/>
        <v>0</v>
      </c>
      <c r="DA166" s="16">
        <f t="shared" si="87"/>
        <v>0</v>
      </c>
      <c r="DB166" s="16">
        <f t="shared" si="88"/>
        <v>-20530.769230769212</v>
      </c>
      <c r="DC166" s="16">
        <f t="shared" si="89"/>
        <v>-423.07692307692292</v>
      </c>
      <c r="DD166" s="16">
        <f t="shared" si="90"/>
        <v>0</v>
      </c>
      <c r="DE166" s="16">
        <f t="shared" si="91"/>
        <v>0</v>
      </c>
      <c r="DF166" s="16">
        <f t="shared" si="92"/>
        <v>0</v>
      </c>
      <c r="DG166" s="14">
        <f>IF([1]Sheet2!DR165=999999,"NA",[1]Sheet2!DR165)</f>
        <v>73103</v>
      </c>
      <c r="DH166" s="14">
        <f>IF([1]Sheet2!DS165=999999,"NA",[1]Sheet2!DS165)</f>
        <v>202</v>
      </c>
      <c r="DI166" s="14">
        <f>IF([1]Sheet2!DT165=999999,"NA",[1]Sheet2!DT165)</f>
        <v>202</v>
      </c>
      <c r="DJ166" s="14" t="str">
        <f>IF([1]Sheet2!DU165=999999,"NA",[1]Sheet2!DU165)</f>
        <v>NA</v>
      </c>
      <c r="DK166" s="14" t="str">
        <f>IF([1]Sheet2!DV165=999999,"NA",[1]Sheet2!DV165)</f>
        <v>NA</v>
      </c>
      <c r="DL166" s="14" t="str">
        <f>IF([1]Sheet2!DW165=999999,"NA",[1]Sheet2!DW165)</f>
        <v>NA</v>
      </c>
      <c r="DM166" s="14">
        <f>IF([1]Sheet2!DX165=999999,"NA",[1]Sheet2!DX165)</f>
        <v>202</v>
      </c>
      <c r="DN166" s="14">
        <f>IF([1]Sheet2!DY165=999999,"NA",[1]Sheet2!DY165)</f>
        <v>202</v>
      </c>
      <c r="DO166" s="14" t="str">
        <f>IF([1]Sheet2!DZ165=999999,"NA",[1]Sheet2!DZ165)</f>
        <v>NA</v>
      </c>
      <c r="DP166" s="14" t="str">
        <f>IF([1]Sheet2!EA165=999999,"NA",[1]Sheet2!EA165)</f>
        <v>NA</v>
      </c>
      <c r="DQ166" s="14">
        <f>[1]Sheet2!CX165</f>
        <v>0</v>
      </c>
      <c r="DR166" s="14">
        <f>[1]Sheet2!CY165</f>
        <v>0</v>
      </c>
      <c r="DS166" s="14">
        <f>[1]Sheet2!CZ165</f>
        <v>0</v>
      </c>
      <c r="DT166" s="14">
        <f>[1]Sheet2!DA165</f>
        <v>0</v>
      </c>
      <c r="DU166" s="14">
        <f>[1]Sheet2!DB165</f>
        <v>0</v>
      </c>
      <c r="DV166" s="14">
        <f>[1]Sheet2!DC165</f>
        <v>0</v>
      </c>
      <c r="DW166" s="14">
        <f>[1]Sheet2!DD165</f>
        <v>0</v>
      </c>
      <c r="DX166" s="14">
        <f>[1]Sheet2!DE165</f>
        <v>0</v>
      </c>
      <c r="DY166" s="14">
        <f>[1]Sheet2!DF165</f>
        <v>0</v>
      </c>
      <c r="DZ166" s="14">
        <f>[1]Sheet2!DG165</f>
        <v>0</v>
      </c>
    </row>
    <row r="167" spans="1:130" x14ac:dyDescent="0.25">
      <c r="A167" s="15">
        <v>43629</v>
      </c>
      <c r="B167" s="1"/>
      <c r="C167" s="1"/>
      <c r="D167" s="1"/>
      <c r="E167" s="14">
        <f>[1]Sheet2!N166</f>
        <v>0</v>
      </c>
      <c r="F167" s="14">
        <f>[1]Sheet2!BE166</f>
        <v>0</v>
      </c>
      <c r="G167" s="14">
        <f>[1]Sheet2!CV166</f>
        <v>288.46153846153851</v>
      </c>
      <c r="H167" s="1"/>
      <c r="I167" s="1"/>
      <c r="J167" s="1"/>
      <c r="K167" s="16">
        <f>Demand_CWRS!B$8/30</f>
        <v>124.86819391025641</v>
      </c>
      <c r="L167" s="16">
        <f>Demand_CWRS!C$8/30</f>
        <v>583.20512820512829</v>
      </c>
      <c r="M167" s="16">
        <f>Demand_CWRS!D$8/30</f>
        <v>0</v>
      </c>
      <c r="N167" s="16">
        <f>Demand_CWRS!E$8/30</f>
        <v>156.84829059829062</v>
      </c>
      <c r="O167" s="16">
        <f>Demand_CWRS!F$8/30</f>
        <v>252.39596314102559</v>
      </c>
      <c r="P167" s="16">
        <f>Demand_CWRS!G$8/30</f>
        <v>124.86819391025641</v>
      </c>
      <c r="Q167" s="16">
        <f>Demand_CWRS!H$8/30</f>
        <v>583.20512820512829</v>
      </c>
      <c r="R167" s="16">
        <f>Demand_CWRS!I$8/30</f>
        <v>246.66666666666666</v>
      </c>
      <c r="S167" s="16">
        <f>Demand_CWRS!J$8/30</f>
        <v>246.66666666666666</v>
      </c>
      <c r="T167" s="16">
        <f>Demand_CWRS!K$8/30</f>
        <v>246.66666666666666</v>
      </c>
      <c r="U167" s="16">
        <f t="shared" si="63"/>
        <v>-24238.002240922149</v>
      </c>
      <c r="V167" s="16">
        <f t="shared" si="64"/>
        <v>-76941.674358974153</v>
      </c>
      <c r="W167" s="16">
        <f t="shared" si="65"/>
        <v>0</v>
      </c>
      <c r="X167" s="16">
        <f t="shared" si="66"/>
        <v>-17874.855609650538</v>
      </c>
      <c r="Y167" s="16">
        <f t="shared" si="67"/>
        <v>-36987.432461396485</v>
      </c>
      <c r="Z167" s="16">
        <f t="shared" si="68"/>
        <v>-23912.229091883699</v>
      </c>
      <c r="AA167" s="16">
        <f t="shared" si="69"/>
        <v>-76441.674358974153</v>
      </c>
      <c r="AB167" s="16">
        <f t="shared" si="70"/>
        <v>-34600.98502069134</v>
      </c>
      <c r="AC167" s="16">
        <f t="shared" si="71"/>
        <v>-34600.985020691332</v>
      </c>
      <c r="AD167" s="16">
        <f t="shared" si="72"/>
        <v>-35300.985020691325</v>
      </c>
      <c r="AE167" s="14">
        <f>IF([1]Sheet2!AJ166=999999,"NA",[1]Sheet2!AJ166)</f>
        <v>0</v>
      </c>
      <c r="AF167" s="14">
        <f>IF([1]Sheet2!AK166=999999,"NA",[1]Sheet2!AK166)</f>
        <v>0</v>
      </c>
      <c r="AG167" s="14" t="str">
        <f>IF([1]Sheet2!AL166=999999,"NA",[1]Sheet2!AL166)</f>
        <v>NA</v>
      </c>
      <c r="AH167" s="14">
        <f>IF([1]Sheet2!AM166=999999,"NA",[1]Sheet2!AM166)</f>
        <v>201</v>
      </c>
      <c r="AI167" s="14">
        <f>IF([1]Sheet2!AN166=999999,"NA",[1]Sheet2!AN166)</f>
        <v>201</v>
      </c>
      <c r="AJ167" s="14">
        <f>IF([1]Sheet2!AO166=999999,"NA",[1]Sheet2!AO166)</f>
        <v>201</v>
      </c>
      <c r="AK167" s="14">
        <f>IF([1]Sheet2!AP166=999999,"NA",[1]Sheet2!AP166)</f>
        <v>0</v>
      </c>
      <c r="AL167" s="14">
        <f>IF([1]Sheet2!AQ166=999999,"NA",[1]Sheet2!AQ166)</f>
        <v>77</v>
      </c>
      <c r="AM167" s="14">
        <f>IF([1]Sheet2!AR166=999999,"NA",[1]Sheet2!AR166)</f>
        <v>201</v>
      </c>
      <c r="AN167" s="14">
        <f>IF([1]Sheet2!AS166=999999,"NA",[1]Sheet2!AS166)</f>
        <v>133</v>
      </c>
      <c r="AO167" s="14">
        <f>[1]Sheet2!P166</f>
        <v>0</v>
      </c>
      <c r="AP167" s="14">
        <f>[1]Sheet2!Q166</f>
        <v>0</v>
      </c>
      <c r="AQ167" s="14">
        <f>[1]Sheet2!R166</f>
        <v>0</v>
      </c>
      <c r="AR167" s="14">
        <f>[1]Sheet2!S166</f>
        <v>0</v>
      </c>
      <c r="AS167" s="14">
        <f>[1]Sheet2!T166</f>
        <v>0</v>
      </c>
      <c r="AT167" s="14">
        <f>[1]Sheet2!U166</f>
        <v>0</v>
      </c>
      <c r="AU167" s="14">
        <f>[1]Sheet2!V166</f>
        <v>0</v>
      </c>
      <c r="AV167" s="14">
        <f>[1]Sheet2!W166</f>
        <v>0</v>
      </c>
      <c r="AW167" s="14">
        <f>[1]Sheet2!X166</f>
        <v>0</v>
      </c>
      <c r="AX167" s="14">
        <f>[1]Sheet2!Y166</f>
        <v>0</v>
      </c>
      <c r="AY167" s="16">
        <f>Demand_LP!B$8/30</f>
        <v>807.81611164529909</v>
      </c>
      <c r="AZ167" s="16">
        <f>Demand_LP!C$8/30</f>
        <v>574.48717948717956</v>
      </c>
      <c r="BA167" s="16">
        <f>Demand_LP!D$8/30</f>
        <v>339.04957264957267</v>
      </c>
      <c r="BB167" s="16">
        <f>Demand_LP!E$8/30</f>
        <v>830.46965811965799</v>
      </c>
      <c r="BC167" s="16">
        <f>Demand_LP!F$8/30</f>
        <v>476.67186805555554</v>
      </c>
      <c r="BD167" s="16">
        <f>Demand_LP!G$8/30</f>
        <v>807.81611164529909</v>
      </c>
      <c r="BE167" s="16">
        <f>Demand_LP!H$8/30</f>
        <v>574.48717948717956</v>
      </c>
      <c r="BF167" s="16">
        <f>Demand_LP!I$8/30</f>
        <v>476.67186805555554</v>
      </c>
      <c r="BG167" s="16">
        <f>Demand_LP!J$8/30</f>
        <v>476.67186805555554</v>
      </c>
      <c r="BH167" s="16">
        <f>Demand_LP!K$8/30</f>
        <v>476.67186805555554</v>
      </c>
      <c r="BI167" s="16" t="e">
        <f t="shared" si="73"/>
        <v>#VALUE!</v>
      </c>
      <c r="BJ167" s="16">
        <f t="shared" si="74"/>
        <v>-97419.812820512772</v>
      </c>
      <c r="BK167" s="16">
        <f t="shared" si="75"/>
        <v>-48927.763675213617</v>
      </c>
      <c r="BL167" s="16">
        <f t="shared" si="76"/>
        <v>-124443.9222059936</v>
      </c>
      <c r="BM167" s="16">
        <f t="shared" si="77"/>
        <v>-74677.624789428548</v>
      </c>
      <c r="BN167" s="16">
        <f t="shared" si="78"/>
        <v>-121149.03580291834</v>
      </c>
      <c r="BO167" s="16">
        <f t="shared" si="79"/>
        <v>-99777.392307692295</v>
      </c>
      <c r="BP167" s="16">
        <f t="shared" si="80"/>
        <v>-74135.308707799151</v>
      </c>
      <c r="BQ167" s="16">
        <f t="shared" si="81"/>
        <v>-70735.308707799195</v>
      </c>
      <c r="BR167" s="16">
        <f t="shared" si="82"/>
        <v>-71935.308707799151</v>
      </c>
      <c r="BS167" s="14">
        <f>IF([1]Sheet2!CA166=999999,"NA",[1]Sheet2!CA166)</f>
        <v>144543.69129220126</v>
      </c>
      <c r="BT167" s="14">
        <f>IF([1]Sheet2!CB166=999999,"NA",[1]Sheet2!CB166)</f>
        <v>123</v>
      </c>
      <c r="BU167" s="14">
        <f>IF([1]Sheet2!CC166=999999,"NA",[1]Sheet2!CC166)</f>
        <v>201</v>
      </c>
      <c r="BV167" s="14">
        <f>IF([1]Sheet2!CD166=999999,"NA",[1]Sheet2!CD166)</f>
        <v>201</v>
      </c>
      <c r="BW167" s="14">
        <f>IF([1]Sheet2!CE166=999999,"NA",[1]Sheet2!CE166)</f>
        <v>163</v>
      </c>
      <c r="BX167" s="14">
        <f>IF([1]Sheet2!CF166=999999,"NA",[1]Sheet2!CF166)</f>
        <v>201</v>
      </c>
      <c r="BY167" s="14">
        <f>IF([1]Sheet2!CG166=999999,"NA",[1]Sheet2!CG166)</f>
        <v>95</v>
      </c>
      <c r="BZ167" s="14">
        <f>IF([1]Sheet2!CH166=999999,"NA",[1]Sheet2!CH166)</f>
        <v>201</v>
      </c>
      <c r="CA167" s="14">
        <f>IF([1]Sheet2!CI166=999999,"NA",[1]Sheet2!CI166)</f>
        <v>201</v>
      </c>
      <c r="CB167" s="14">
        <f>IF([1]Sheet2!CJ166=999999,"NA",[1]Sheet2!CJ166)</f>
        <v>201</v>
      </c>
      <c r="CC167" s="14">
        <f>[1]Sheet2!BG166</f>
        <v>0</v>
      </c>
      <c r="CD167" s="14">
        <f>[1]Sheet2!BH166</f>
        <v>0</v>
      </c>
      <c r="CE167" s="14">
        <f>[1]Sheet2!BI166</f>
        <v>0</v>
      </c>
      <c r="CF167" s="14">
        <f>[1]Sheet2!BJ166</f>
        <v>0</v>
      </c>
      <c r="CG167" s="14">
        <f>[1]Sheet2!BK166</f>
        <v>0</v>
      </c>
      <c r="CH167" s="14">
        <f>[1]Sheet2!BL166</f>
        <v>0</v>
      </c>
      <c r="CI167" s="14">
        <f>[1]Sheet2!BM166</f>
        <v>0</v>
      </c>
      <c r="CJ167" s="14">
        <f>[1]Sheet2!BN166</f>
        <v>0</v>
      </c>
      <c r="CK167" s="14">
        <f>[1]Sheet2!BO166</f>
        <v>0</v>
      </c>
      <c r="CL167" s="14">
        <f>[1]Sheet2!BP166</f>
        <v>0</v>
      </c>
      <c r="CM167" s="16">
        <f>Demand_SW!B$8/30</f>
        <v>144.23076923076923</v>
      </c>
      <c r="CN167" s="16">
        <f>Demand_SW!C$8/30</f>
        <v>0</v>
      </c>
      <c r="CO167" s="16">
        <f>Demand_SW!D$8/30</f>
        <v>0</v>
      </c>
      <c r="CP167" s="16">
        <f>Demand_SW!E$8/30</f>
        <v>0</v>
      </c>
      <c r="CQ167" s="16">
        <f>Demand_SW!F$8/30</f>
        <v>0</v>
      </c>
      <c r="CR167" s="16">
        <f>Demand_SW!G$8/30</f>
        <v>144.23076923076923</v>
      </c>
      <c r="CS167" s="16">
        <f>Demand_SW!H$8/30</f>
        <v>0</v>
      </c>
      <c r="CT167" s="16">
        <f>Demand_SW!I$8/30</f>
        <v>0</v>
      </c>
      <c r="CU167" s="16">
        <f>Demand_SW!J$8/30</f>
        <v>0</v>
      </c>
      <c r="CV167" s="16">
        <f>Demand_SW!K$8/30</f>
        <v>0</v>
      </c>
      <c r="CW167" s="16">
        <f t="shared" si="83"/>
        <v>28854.230769230813</v>
      </c>
      <c r="CX167" s="16">
        <f t="shared" si="84"/>
        <v>-423.07692307692292</v>
      </c>
      <c r="CY167" s="16">
        <f t="shared" si="85"/>
        <v>0</v>
      </c>
      <c r="CZ167" s="16">
        <f t="shared" si="86"/>
        <v>0</v>
      </c>
      <c r="DA167" s="16">
        <f t="shared" si="87"/>
        <v>0</v>
      </c>
      <c r="DB167" s="16">
        <f t="shared" si="88"/>
        <v>-20674.999999999982</v>
      </c>
      <c r="DC167" s="16">
        <f t="shared" si="89"/>
        <v>-423.07692307692292</v>
      </c>
      <c r="DD167" s="16">
        <f t="shared" si="90"/>
        <v>0</v>
      </c>
      <c r="DE167" s="16">
        <f t="shared" si="91"/>
        <v>0</v>
      </c>
      <c r="DF167" s="16">
        <f t="shared" si="92"/>
        <v>0</v>
      </c>
      <c r="DG167" s="14">
        <f>IF([1]Sheet2!DR166=999999,"NA",[1]Sheet2!DR166)</f>
        <v>73103</v>
      </c>
      <c r="DH167" s="14">
        <f>IF([1]Sheet2!DS166=999999,"NA",[1]Sheet2!DS166)</f>
        <v>201</v>
      </c>
      <c r="DI167" s="14">
        <f>IF([1]Sheet2!DT166=999999,"NA",[1]Sheet2!DT166)</f>
        <v>201</v>
      </c>
      <c r="DJ167" s="14" t="str">
        <f>IF([1]Sheet2!DU166=999999,"NA",[1]Sheet2!DU166)</f>
        <v>NA</v>
      </c>
      <c r="DK167" s="14" t="str">
        <f>IF([1]Sheet2!DV166=999999,"NA",[1]Sheet2!DV166)</f>
        <v>NA</v>
      </c>
      <c r="DL167" s="14" t="str">
        <f>IF([1]Sheet2!DW166=999999,"NA",[1]Sheet2!DW166)</f>
        <v>NA</v>
      </c>
      <c r="DM167" s="14">
        <f>IF([1]Sheet2!DX166=999999,"NA",[1]Sheet2!DX166)</f>
        <v>201</v>
      </c>
      <c r="DN167" s="14">
        <f>IF([1]Sheet2!DY166=999999,"NA",[1]Sheet2!DY166)</f>
        <v>201</v>
      </c>
      <c r="DO167" s="14" t="str">
        <f>IF([1]Sheet2!DZ166=999999,"NA",[1]Sheet2!DZ166)</f>
        <v>NA</v>
      </c>
      <c r="DP167" s="14" t="str">
        <f>IF([1]Sheet2!EA166=999999,"NA",[1]Sheet2!EA166)</f>
        <v>NA</v>
      </c>
      <c r="DQ167" s="14">
        <f>[1]Sheet2!CX166</f>
        <v>0</v>
      </c>
      <c r="DR167" s="14">
        <f>[1]Sheet2!CY166</f>
        <v>0</v>
      </c>
      <c r="DS167" s="14">
        <f>[1]Sheet2!CZ166</f>
        <v>0</v>
      </c>
      <c r="DT167" s="14">
        <f>[1]Sheet2!DA166</f>
        <v>0</v>
      </c>
      <c r="DU167" s="14">
        <f>[1]Sheet2!DB166</f>
        <v>0</v>
      </c>
      <c r="DV167" s="14">
        <f>[1]Sheet2!DC166</f>
        <v>0</v>
      </c>
      <c r="DW167" s="14">
        <f>[1]Sheet2!DD166</f>
        <v>0</v>
      </c>
      <c r="DX167" s="14">
        <f>[1]Sheet2!DE166</f>
        <v>0</v>
      </c>
      <c r="DY167" s="14">
        <f>[1]Sheet2!DF166</f>
        <v>0</v>
      </c>
      <c r="DZ167" s="14">
        <f>[1]Sheet2!DG166</f>
        <v>0</v>
      </c>
    </row>
    <row r="168" spans="1:130" x14ac:dyDescent="0.25">
      <c r="A168" s="15">
        <v>43630</v>
      </c>
      <c r="B168" s="1"/>
      <c r="C168" s="1"/>
      <c r="D168" s="1"/>
      <c r="E168" s="14">
        <f>[1]Sheet2!N167</f>
        <v>0</v>
      </c>
      <c r="F168" s="14">
        <f>[1]Sheet2!BE167</f>
        <v>0</v>
      </c>
      <c r="G168" s="14">
        <f>[1]Sheet2!CV167</f>
        <v>288.46153846153851</v>
      </c>
      <c r="H168" s="1"/>
      <c r="I168" s="1"/>
      <c r="J168" s="1"/>
      <c r="K168" s="16">
        <f>Demand_CWRS!B$8/30</f>
        <v>124.86819391025641</v>
      </c>
      <c r="L168" s="16">
        <f>Demand_CWRS!C$8/30</f>
        <v>583.20512820512829</v>
      </c>
      <c r="M168" s="16">
        <f>Demand_CWRS!D$8/30</f>
        <v>0</v>
      </c>
      <c r="N168" s="16">
        <f>Demand_CWRS!E$8/30</f>
        <v>156.84829059829062</v>
      </c>
      <c r="O168" s="16">
        <f>Demand_CWRS!F$8/30</f>
        <v>252.39596314102559</v>
      </c>
      <c r="P168" s="16">
        <f>Demand_CWRS!G$8/30</f>
        <v>124.86819391025641</v>
      </c>
      <c r="Q168" s="16">
        <f>Demand_CWRS!H$8/30</f>
        <v>583.20512820512829</v>
      </c>
      <c r="R168" s="16">
        <f>Demand_CWRS!I$8/30</f>
        <v>246.66666666666666</v>
      </c>
      <c r="S168" s="16">
        <f>Demand_CWRS!J$8/30</f>
        <v>246.66666666666666</v>
      </c>
      <c r="T168" s="16">
        <f>Demand_CWRS!K$8/30</f>
        <v>246.66666666666666</v>
      </c>
      <c r="U168" s="16">
        <f t="shared" si="63"/>
        <v>-24362.870434832406</v>
      </c>
      <c r="V168" s="16">
        <f t="shared" si="64"/>
        <v>-77524.879487179278</v>
      </c>
      <c r="W168" s="16">
        <f t="shared" si="65"/>
        <v>0</v>
      </c>
      <c r="X168" s="16">
        <f t="shared" si="66"/>
        <v>-18031.703900248827</v>
      </c>
      <c r="Y168" s="16">
        <f t="shared" si="67"/>
        <v>-37239.828424537511</v>
      </c>
      <c r="Z168" s="16">
        <f t="shared" si="68"/>
        <v>-24037.097285793956</v>
      </c>
      <c r="AA168" s="16">
        <f t="shared" si="69"/>
        <v>-77024.879487179278</v>
      </c>
      <c r="AB168" s="16">
        <f t="shared" si="70"/>
        <v>-34847.651687358004</v>
      </c>
      <c r="AC168" s="16">
        <f t="shared" si="71"/>
        <v>-34847.651687357997</v>
      </c>
      <c r="AD168" s="16">
        <f t="shared" si="72"/>
        <v>-35547.651687357989</v>
      </c>
      <c r="AE168" s="14">
        <f>IF([1]Sheet2!AJ167=999999,"NA",[1]Sheet2!AJ167)</f>
        <v>0</v>
      </c>
      <c r="AF168" s="14">
        <f>IF([1]Sheet2!AK167=999999,"NA",[1]Sheet2!AK167)</f>
        <v>0</v>
      </c>
      <c r="AG168" s="14" t="str">
        <f>IF([1]Sheet2!AL167=999999,"NA",[1]Sheet2!AL167)</f>
        <v>NA</v>
      </c>
      <c r="AH168" s="14">
        <f>IF([1]Sheet2!AM167=999999,"NA",[1]Sheet2!AM167)</f>
        <v>200</v>
      </c>
      <c r="AI168" s="14">
        <f>IF([1]Sheet2!AN167=999999,"NA",[1]Sheet2!AN167)</f>
        <v>200</v>
      </c>
      <c r="AJ168" s="14">
        <f>IF([1]Sheet2!AO167=999999,"NA",[1]Sheet2!AO167)</f>
        <v>200</v>
      </c>
      <c r="AK168" s="14">
        <f>IF([1]Sheet2!AP167=999999,"NA",[1]Sheet2!AP167)</f>
        <v>0</v>
      </c>
      <c r="AL168" s="14">
        <f>IF([1]Sheet2!AQ167=999999,"NA",[1]Sheet2!AQ167)</f>
        <v>76</v>
      </c>
      <c r="AM168" s="14">
        <f>IF([1]Sheet2!AR167=999999,"NA",[1]Sheet2!AR167)</f>
        <v>200</v>
      </c>
      <c r="AN168" s="14">
        <f>IF([1]Sheet2!AS167=999999,"NA",[1]Sheet2!AS167)</f>
        <v>132</v>
      </c>
      <c r="AO168" s="14">
        <f>[1]Sheet2!P167</f>
        <v>0</v>
      </c>
      <c r="AP168" s="14">
        <f>[1]Sheet2!Q167</f>
        <v>0</v>
      </c>
      <c r="AQ168" s="14">
        <f>[1]Sheet2!R167</f>
        <v>0</v>
      </c>
      <c r="AR168" s="14">
        <f>[1]Sheet2!S167</f>
        <v>0</v>
      </c>
      <c r="AS168" s="14">
        <f>[1]Sheet2!T167</f>
        <v>0</v>
      </c>
      <c r="AT168" s="14">
        <f>[1]Sheet2!U167</f>
        <v>0</v>
      </c>
      <c r="AU168" s="14">
        <f>[1]Sheet2!V167</f>
        <v>0</v>
      </c>
      <c r="AV168" s="14">
        <f>[1]Sheet2!W167</f>
        <v>0</v>
      </c>
      <c r="AW168" s="14">
        <f>[1]Sheet2!X167</f>
        <v>0</v>
      </c>
      <c r="AX168" s="14">
        <f>[1]Sheet2!Y167</f>
        <v>0</v>
      </c>
      <c r="AY168" s="16">
        <f>Demand_LP!B$8/30</f>
        <v>807.81611164529909</v>
      </c>
      <c r="AZ168" s="16">
        <f>Demand_LP!C$8/30</f>
        <v>574.48717948717956</v>
      </c>
      <c r="BA168" s="16">
        <f>Demand_LP!D$8/30</f>
        <v>339.04957264957267</v>
      </c>
      <c r="BB168" s="16">
        <f>Demand_LP!E$8/30</f>
        <v>830.46965811965799</v>
      </c>
      <c r="BC168" s="16">
        <f>Demand_LP!F$8/30</f>
        <v>476.67186805555554</v>
      </c>
      <c r="BD168" s="16">
        <f>Demand_LP!G$8/30</f>
        <v>807.81611164529909</v>
      </c>
      <c r="BE168" s="16">
        <f>Demand_LP!H$8/30</f>
        <v>574.48717948717956</v>
      </c>
      <c r="BF168" s="16">
        <f>Demand_LP!I$8/30</f>
        <v>476.67186805555554</v>
      </c>
      <c r="BG168" s="16">
        <f>Demand_LP!J$8/30</f>
        <v>476.67186805555554</v>
      </c>
      <c r="BH168" s="16">
        <f>Demand_LP!K$8/30</f>
        <v>476.67186805555554</v>
      </c>
      <c r="BI168" s="16" t="e">
        <f t="shared" si="73"/>
        <v>#VALUE!</v>
      </c>
      <c r="BJ168" s="16">
        <f t="shared" si="74"/>
        <v>-97994.299999999945</v>
      </c>
      <c r="BK168" s="16">
        <f t="shared" si="75"/>
        <v>-49266.813247863189</v>
      </c>
      <c r="BL168" s="16">
        <f t="shared" si="76"/>
        <v>-125274.39186411326</v>
      </c>
      <c r="BM168" s="16">
        <f t="shared" si="77"/>
        <v>-75154.296657484098</v>
      </c>
      <c r="BN168" s="16">
        <f t="shared" si="78"/>
        <v>-121956.85191456364</v>
      </c>
      <c r="BO168" s="16">
        <f t="shared" si="79"/>
        <v>-100351.87948717947</v>
      </c>
      <c r="BP168" s="16">
        <f t="shared" si="80"/>
        <v>-74611.980575854701</v>
      </c>
      <c r="BQ168" s="16">
        <f t="shared" si="81"/>
        <v>-71211.980575854745</v>
      </c>
      <c r="BR168" s="16">
        <f t="shared" si="82"/>
        <v>-72411.980575854701</v>
      </c>
      <c r="BS168" s="14">
        <f>IF([1]Sheet2!CA167=999999,"NA",[1]Sheet2!CA167)</f>
        <v>144067.01942414569</v>
      </c>
      <c r="BT168" s="14">
        <f>IF([1]Sheet2!CB167=999999,"NA",[1]Sheet2!CB167)</f>
        <v>122</v>
      </c>
      <c r="BU168" s="14">
        <f>IF([1]Sheet2!CC167=999999,"NA",[1]Sheet2!CC167)</f>
        <v>200</v>
      </c>
      <c r="BV168" s="14">
        <f>IF([1]Sheet2!CD167=999999,"NA",[1]Sheet2!CD167)</f>
        <v>200</v>
      </c>
      <c r="BW168" s="14">
        <f>IF([1]Sheet2!CE167=999999,"NA",[1]Sheet2!CE167)</f>
        <v>162</v>
      </c>
      <c r="BX168" s="14">
        <f>IF([1]Sheet2!CF167=999999,"NA",[1]Sheet2!CF167)</f>
        <v>200</v>
      </c>
      <c r="BY168" s="14">
        <f>IF([1]Sheet2!CG167=999999,"NA",[1]Sheet2!CG167)</f>
        <v>94</v>
      </c>
      <c r="BZ168" s="14">
        <f>IF([1]Sheet2!CH167=999999,"NA",[1]Sheet2!CH167)</f>
        <v>200</v>
      </c>
      <c r="CA168" s="14">
        <f>IF([1]Sheet2!CI167=999999,"NA",[1]Sheet2!CI167)</f>
        <v>200</v>
      </c>
      <c r="CB168" s="14">
        <f>IF([1]Sheet2!CJ167=999999,"NA",[1]Sheet2!CJ167)</f>
        <v>200</v>
      </c>
      <c r="CC168" s="14">
        <f>[1]Sheet2!BG167</f>
        <v>0</v>
      </c>
      <c r="CD168" s="14">
        <f>[1]Sheet2!BH167</f>
        <v>0</v>
      </c>
      <c r="CE168" s="14">
        <f>[1]Sheet2!BI167</f>
        <v>0</v>
      </c>
      <c r="CF168" s="14">
        <f>[1]Sheet2!BJ167</f>
        <v>0</v>
      </c>
      <c r="CG168" s="14">
        <f>[1]Sheet2!BK167</f>
        <v>0</v>
      </c>
      <c r="CH168" s="14">
        <f>[1]Sheet2!BL167</f>
        <v>0</v>
      </c>
      <c r="CI168" s="14">
        <f>[1]Sheet2!BM167</f>
        <v>0</v>
      </c>
      <c r="CJ168" s="14">
        <f>[1]Sheet2!BN167</f>
        <v>0</v>
      </c>
      <c r="CK168" s="14">
        <f>[1]Sheet2!BO167</f>
        <v>0</v>
      </c>
      <c r="CL168" s="14">
        <f>[1]Sheet2!BP167</f>
        <v>0</v>
      </c>
      <c r="CM168" s="16">
        <f>Demand_SW!B$8/30</f>
        <v>144.23076923076923</v>
      </c>
      <c r="CN168" s="16">
        <f>Demand_SW!C$8/30</f>
        <v>0</v>
      </c>
      <c r="CO168" s="16">
        <f>Demand_SW!D$8/30</f>
        <v>0</v>
      </c>
      <c r="CP168" s="16">
        <f>Demand_SW!E$8/30</f>
        <v>0</v>
      </c>
      <c r="CQ168" s="16">
        <f>Demand_SW!F$8/30</f>
        <v>0</v>
      </c>
      <c r="CR168" s="16">
        <f>Demand_SW!G$8/30</f>
        <v>144.23076923076923</v>
      </c>
      <c r="CS168" s="16">
        <f>Demand_SW!H$8/30</f>
        <v>0</v>
      </c>
      <c r="CT168" s="16">
        <f>Demand_SW!I$8/30</f>
        <v>0</v>
      </c>
      <c r="CU168" s="16">
        <f>Demand_SW!J$8/30</f>
        <v>0</v>
      </c>
      <c r="CV168" s="16">
        <f>Demand_SW!K$8/30</f>
        <v>0</v>
      </c>
      <c r="CW168" s="16">
        <f t="shared" si="83"/>
        <v>28710.000000000044</v>
      </c>
      <c r="CX168" s="16">
        <f t="shared" si="84"/>
        <v>-423.07692307692292</v>
      </c>
      <c r="CY168" s="16">
        <f t="shared" si="85"/>
        <v>0</v>
      </c>
      <c r="CZ168" s="16">
        <f t="shared" si="86"/>
        <v>0</v>
      </c>
      <c r="DA168" s="16">
        <f t="shared" si="87"/>
        <v>0</v>
      </c>
      <c r="DB168" s="16">
        <f t="shared" si="88"/>
        <v>-20819.230769230751</v>
      </c>
      <c r="DC168" s="16">
        <f t="shared" si="89"/>
        <v>-423.07692307692292</v>
      </c>
      <c r="DD168" s="16">
        <f t="shared" si="90"/>
        <v>0</v>
      </c>
      <c r="DE168" s="16">
        <f t="shared" si="91"/>
        <v>0</v>
      </c>
      <c r="DF168" s="16">
        <f t="shared" si="92"/>
        <v>0</v>
      </c>
      <c r="DG168" s="14">
        <f>IF([1]Sheet2!DR167=999999,"NA",[1]Sheet2!DR167)</f>
        <v>73103</v>
      </c>
      <c r="DH168" s="14">
        <f>IF([1]Sheet2!DS167=999999,"NA",[1]Sheet2!DS167)</f>
        <v>200</v>
      </c>
      <c r="DI168" s="14">
        <f>IF([1]Sheet2!DT167=999999,"NA",[1]Sheet2!DT167)</f>
        <v>200</v>
      </c>
      <c r="DJ168" s="14" t="str">
        <f>IF([1]Sheet2!DU167=999999,"NA",[1]Sheet2!DU167)</f>
        <v>NA</v>
      </c>
      <c r="DK168" s="14" t="str">
        <f>IF([1]Sheet2!DV167=999999,"NA",[1]Sheet2!DV167)</f>
        <v>NA</v>
      </c>
      <c r="DL168" s="14" t="str">
        <f>IF([1]Sheet2!DW167=999999,"NA",[1]Sheet2!DW167)</f>
        <v>NA</v>
      </c>
      <c r="DM168" s="14">
        <f>IF([1]Sheet2!DX167=999999,"NA",[1]Sheet2!DX167)</f>
        <v>200</v>
      </c>
      <c r="DN168" s="14">
        <f>IF([1]Sheet2!DY167=999999,"NA",[1]Sheet2!DY167)</f>
        <v>200</v>
      </c>
      <c r="DO168" s="14" t="str">
        <f>IF([1]Sheet2!DZ167=999999,"NA",[1]Sheet2!DZ167)</f>
        <v>NA</v>
      </c>
      <c r="DP168" s="14" t="str">
        <f>IF([1]Sheet2!EA167=999999,"NA",[1]Sheet2!EA167)</f>
        <v>NA</v>
      </c>
      <c r="DQ168" s="14">
        <f>[1]Sheet2!CX167</f>
        <v>0</v>
      </c>
      <c r="DR168" s="14">
        <f>[1]Sheet2!CY167</f>
        <v>0</v>
      </c>
      <c r="DS168" s="14">
        <f>[1]Sheet2!CZ167</f>
        <v>0</v>
      </c>
      <c r="DT168" s="14">
        <f>[1]Sheet2!DA167</f>
        <v>0</v>
      </c>
      <c r="DU168" s="14">
        <f>[1]Sheet2!DB167</f>
        <v>0</v>
      </c>
      <c r="DV168" s="14">
        <f>[1]Sheet2!DC167</f>
        <v>0</v>
      </c>
      <c r="DW168" s="14">
        <f>[1]Sheet2!DD167</f>
        <v>0</v>
      </c>
      <c r="DX168" s="14">
        <f>[1]Sheet2!DE167</f>
        <v>0</v>
      </c>
      <c r="DY168" s="14">
        <f>[1]Sheet2!DF167</f>
        <v>0</v>
      </c>
      <c r="DZ168" s="14">
        <f>[1]Sheet2!DG167</f>
        <v>0</v>
      </c>
    </row>
    <row r="169" spans="1:130" x14ac:dyDescent="0.25">
      <c r="A169" s="15">
        <v>43631</v>
      </c>
      <c r="B169" s="1"/>
      <c r="C169" s="1"/>
      <c r="D169" s="1"/>
      <c r="E169" s="14">
        <f>[1]Sheet2!N168</f>
        <v>0</v>
      </c>
      <c r="F169" s="14">
        <f>[1]Sheet2!BE168</f>
        <v>0</v>
      </c>
      <c r="G169" s="14">
        <f>[1]Sheet2!CV168</f>
        <v>288.46153846153851</v>
      </c>
      <c r="H169" s="1"/>
      <c r="I169" s="1"/>
      <c r="J169" s="1"/>
      <c r="K169" s="16">
        <f>Demand_CWRS!B$8/30</f>
        <v>124.86819391025641</v>
      </c>
      <c r="L169" s="16">
        <f>Demand_CWRS!C$8/30</f>
        <v>583.20512820512829</v>
      </c>
      <c r="M169" s="16">
        <f>Demand_CWRS!D$8/30</f>
        <v>0</v>
      </c>
      <c r="N169" s="16">
        <f>Demand_CWRS!E$8/30</f>
        <v>156.84829059829062</v>
      </c>
      <c r="O169" s="16">
        <f>Demand_CWRS!F$8/30</f>
        <v>252.39596314102559</v>
      </c>
      <c r="P169" s="16">
        <f>Demand_CWRS!G$8/30</f>
        <v>124.86819391025641</v>
      </c>
      <c r="Q169" s="16">
        <f>Demand_CWRS!H$8/30</f>
        <v>583.20512820512829</v>
      </c>
      <c r="R169" s="16">
        <f>Demand_CWRS!I$8/30</f>
        <v>246.66666666666666</v>
      </c>
      <c r="S169" s="16">
        <f>Demand_CWRS!J$8/30</f>
        <v>246.66666666666666</v>
      </c>
      <c r="T169" s="16">
        <f>Demand_CWRS!K$8/30</f>
        <v>246.66666666666666</v>
      </c>
      <c r="U169" s="16">
        <f t="shared" si="63"/>
        <v>-24487.738628742663</v>
      </c>
      <c r="V169" s="16">
        <f t="shared" si="64"/>
        <v>-78108.084615384403</v>
      </c>
      <c r="W169" s="16">
        <f t="shared" si="65"/>
        <v>0</v>
      </c>
      <c r="X169" s="16">
        <f t="shared" si="66"/>
        <v>-18188.552190847116</v>
      </c>
      <c r="Y169" s="16">
        <f t="shared" si="67"/>
        <v>-37492.224387678536</v>
      </c>
      <c r="Z169" s="16">
        <f t="shared" si="68"/>
        <v>-24161.965479704213</v>
      </c>
      <c r="AA169" s="16">
        <f t="shared" si="69"/>
        <v>-77608.084615384403</v>
      </c>
      <c r="AB169" s="16">
        <f t="shared" si="70"/>
        <v>-35094.318354024668</v>
      </c>
      <c r="AC169" s="16">
        <f t="shared" si="71"/>
        <v>-35094.318354024661</v>
      </c>
      <c r="AD169" s="16">
        <f t="shared" si="72"/>
        <v>-35794.318354024654</v>
      </c>
      <c r="AE169" s="14">
        <f>IF([1]Sheet2!AJ168=999999,"NA",[1]Sheet2!AJ168)</f>
        <v>0</v>
      </c>
      <c r="AF169" s="14">
        <f>IF([1]Sheet2!AK168=999999,"NA",[1]Sheet2!AK168)</f>
        <v>0</v>
      </c>
      <c r="AG169" s="14" t="str">
        <f>IF([1]Sheet2!AL168=999999,"NA",[1]Sheet2!AL168)</f>
        <v>NA</v>
      </c>
      <c r="AH169" s="14">
        <f>IF([1]Sheet2!AM168=999999,"NA",[1]Sheet2!AM168)</f>
        <v>199</v>
      </c>
      <c r="AI169" s="14">
        <f>IF([1]Sheet2!AN168=999999,"NA",[1]Sheet2!AN168)</f>
        <v>199</v>
      </c>
      <c r="AJ169" s="14">
        <f>IF([1]Sheet2!AO168=999999,"NA",[1]Sheet2!AO168)</f>
        <v>199</v>
      </c>
      <c r="AK169" s="14">
        <f>IF([1]Sheet2!AP168=999999,"NA",[1]Sheet2!AP168)</f>
        <v>0</v>
      </c>
      <c r="AL169" s="14">
        <f>IF([1]Sheet2!AQ168=999999,"NA",[1]Sheet2!AQ168)</f>
        <v>75</v>
      </c>
      <c r="AM169" s="14">
        <f>IF([1]Sheet2!AR168=999999,"NA",[1]Sheet2!AR168)</f>
        <v>199</v>
      </c>
      <c r="AN169" s="14">
        <f>IF([1]Sheet2!AS168=999999,"NA",[1]Sheet2!AS168)</f>
        <v>131</v>
      </c>
      <c r="AO169" s="14">
        <f>[1]Sheet2!P168</f>
        <v>0</v>
      </c>
      <c r="AP169" s="14">
        <f>[1]Sheet2!Q168</f>
        <v>0</v>
      </c>
      <c r="AQ169" s="14">
        <f>[1]Sheet2!R168</f>
        <v>0</v>
      </c>
      <c r="AR169" s="14">
        <f>[1]Sheet2!S168</f>
        <v>0</v>
      </c>
      <c r="AS169" s="14">
        <f>[1]Sheet2!T168</f>
        <v>0</v>
      </c>
      <c r="AT169" s="14">
        <f>[1]Sheet2!U168</f>
        <v>0</v>
      </c>
      <c r="AU169" s="14">
        <f>[1]Sheet2!V168</f>
        <v>0</v>
      </c>
      <c r="AV169" s="14">
        <f>[1]Sheet2!W168</f>
        <v>0</v>
      </c>
      <c r="AW169" s="14">
        <f>[1]Sheet2!X168</f>
        <v>0</v>
      </c>
      <c r="AX169" s="14">
        <f>[1]Sheet2!Y168</f>
        <v>0</v>
      </c>
      <c r="AY169" s="16">
        <f>Demand_LP!B$8/30</f>
        <v>807.81611164529909</v>
      </c>
      <c r="AZ169" s="16">
        <f>Demand_LP!C$8/30</f>
        <v>574.48717948717956</v>
      </c>
      <c r="BA169" s="16">
        <f>Demand_LP!D$8/30</f>
        <v>339.04957264957267</v>
      </c>
      <c r="BB169" s="16">
        <f>Demand_LP!E$8/30</f>
        <v>830.46965811965799</v>
      </c>
      <c r="BC169" s="16">
        <f>Demand_LP!F$8/30</f>
        <v>476.67186805555554</v>
      </c>
      <c r="BD169" s="16">
        <f>Demand_LP!G$8/30</f>
        <v>807.81611164529909</v>
      </c>
      <c r="BE169" s="16">
        <f>Demand_LP!H$8/30</f>
        <v>574.48717948717956</v>
      </c>
      <c r="BF169" s="16">
        <f>Demand_LP!I$8/30</f>
        <v>476.67186805555554</v>
      </c>
      <c r="BG169" s="16">
        <f>Demand_LP!J$8/30</f>
        <v>476.67186805555554</v>
      </c>
      <c r="BH169" s="16">
        <f>Demand_LP!K$8/30</f>
        <v>476.67186805555554</v>
      </c>
      <c r="BI169" s="16" t="e">
        <f t="shared" si="73"/>
        <v>#VALUE!</v>
      </c>
      <c r="BJ169" s="16">
        <f t="shared" si="74"/>
        <v>-98568.787179487117</v>
      </c>
      <c r="BK169" s="16">
        <f t="shared" si="75"/>
        <v>-49605.862820512761</v>
      </c>
      <c r="BL169" s="16">
        <f t="shared" si="76"/>
        <v>-126104.86152223292</v>
      </c>
      <c r="BM169" s="16">
        <f t="shared" si="77"/>
        <v>-75630.968525539647</v>
      </c>
      <c r="BN169" s="16">
        <f t="shared" si="78"/>
        <v>-122764.66802620894</v>
      </c>
      <c r="BO169" s="16">
        <f t="shared" si="79"/>
        <v>-100926.36666666664</v>
      </c>
      <c r="BP169" s="16">
        <f t="shared" si="80"/>
        <v>-75088.65244391025</v>
      </c>
      <c r="BQ169" s="16">
        <f t="shared" si="81"/>
        <v>-71688.652443910294</v>
      </c>
      <c r="BR169" s="16">
        <f t="shared" si="82"/>
        <v>-72888.65244391025</v>
      </c>
      <c r="BS169" s="14">
        <f>IF([1]Sheet2!CA168=999999,"NA",[1]Sheet2!CA168)</f>
        <v>143590.34755609013</v>
      </c>
      <c r="BT169" s="14">
        <f>IF([1]Sheet2!CB168=999999,"NA",[1]Sheet2!CB168)</f>
        <v>121</v>
      </c>
      <c r="BU169" s="14">
        <f>IF([1]Sheet2!CC168=999999,"NA",[1]Sheet2!CC168)</f>
        <v>199</v>
      </c>
      <c r="BV169" s="14">
        <f>IF([1]Sheet2!CD168=999999,"NA",[1]Sheet2!CD168)</f>
        <v>199</v>
      </c>
      <c r="BW169" s="14">
        <f>IF([1]Sheet2!CE168=999999,"NA",[1]Sheet2!CE168)</f>
        <v>161</v>
      </c>
      <c r="BX169" s="14">
        <f>IF([1]Sheet2!CF168=999999,"NA",[1]Sheet2!CF168)</f>
        <v>199</v>
      </c>
      <c r="BY169" s="14">
        <f>IF([1]Sheet2!CG168=999999,"NA",[1]Sheet2!CG168)</f>
        <v>93</v>
      </c>
      <c r="BZ169" s="14">
        <f>IF([1]Sheet2!CH168=999999,"NA",[1]Sheet2!CH168)</f>
        <v>199</v>
      </c>
      <c r="CA169" s="14">
        <f>IF([1]Sheet2!CI168=999999,"NA",[1]Sheet2!CI168)</f>
        <v>199</v>
      </c>
      <c r="CB169" s="14">
        <f>IF([1]Sheet2!CJ168=999999,"NA",[1]Sheet2!CJ168)</f>
        <v>199</v>
      </c>
      <c r="CC169" s="14">
        <f>[1]Sheet2!BG168</f>
        <v>0</v>
      </c>
      <c r="CD169" s="14">
        <f>[1]Sheet2!BH168</f>
        <v>0</v>
      </c>
      <c r="CE169" s="14">
        <f>[1]Sheet2!BI168</f>
        <v>0</v>
      </c>
      <c r="CF169" s="14">
        <f>[1]Sheet2!BJ168</f>
        <v>0</v>
      </c>
      <c r="CG169" s="14">
        <f>[1]Sheet2!BK168</f>
        <v>0</v>
      </c>
      <c r="CH169" s="14">
        <f>[1]Sheet2!BL168</f>
        <v>0</v>
      </c>
      <c r="CI169" s="14">
        <f>[1]Sheet2!BM168</f>
        <v>0</v>
      </c>
      <c r="CJ169" s="14">
        <f>[1]Sheet2!BN168</f>
        <v>0</v>
      </c>
      <c r="CK169" s="14">
        <f>[1]Sheet2!BO168</f>
        <v>0</v>
      </c>
      <c r="CL169" s="14">
        <f>[1]Sheet2!BP168</f>
        <v>0</v>
      </c>
      <c r="CM169" s="16">
        <f>Demand_SW!B$8/30</f>
        <v>144.23076923076923</v>
      </c>
      <c r="CN169" s="16">
        <f>Demand_SW!C$8/30</f>
        <v>0</v>
      </c>
      <c r="CO169" s="16">
        <f>Demand_SW!D$8/30</f>
        <v>0</v>
      </c>
      <c r="CP169" s="16">
        <f>Demand_SW!E$8/30</f>
        <v>0</v>
      </c>
      <c r="CQ169" s="16">
        <f>Demand_SW!F$8/30</f>
        <v>0</v>
      </c>
      <c r="CR169" s="16">
        <f>Demand_SW!G$8/30</f>
        <v>144.23076923076923</v>
      </c>
      <c r="CS169" s="16">
        <f>Demand_SW!H$8/30</f>
        <v>0</v>
      </c>
      <c r="CT169" s="16">
        <f>Demand_SW!I$8/30</f>
        <v>0</v>
      </c>
      <c r="CU169" s="16">
        <f>Demand_SW!J$8/30</f>
        <v>0</v>
      </c>
      <c r="CV169" s="16">
        <f>Demand_SW!K$8/30</f>
        <v>0</v>
      </c>
      <c r="CW169" s="16">
        <f t="shared" si="83"/>
        <v>28565.769230769274</v>
      </c>
      <c r="CX169" s="16">
        <f t="shared" si="84"/>
        <v>-423.07692307692292</v>
      </c>
      <c r="CY169" s="16">
        <f t="shared" si="85"/>
        <v>0</v>
      </c>
      <c r="CZ169" s="16">
        <f t="shared" si="86"/>
        <v>0</v>
      </c>
      <c r="DA169" s="16">
        <f t="shared" si="87"/>
        <v>0</v>
      </c>
      <c r="DB169" s="16">
        <f t="shared" si="88"/>
        <v>-20963.461538461521</v>
      </c>
      <c r="DC169" s="16">
        <f t="shared" si="89"/>
        <v>-423.07692307692292</v>
      </c>
      <c r="DD169" s="16">
        <f t="shared" si="90"/>
        <v>0</v>
      </c>
      <c r="DE169" s="16">
        <f t="shared" si="91"/>
        <v>0</v>
      </c>
      <c r="DF169" s="16">
        <f t="shared" si="92"/>
        <v>0</v>
      </c>
      <c r="DG169" s="14">
        <f>IF([1]Sheet2!DR168=999999,"NA",[1]Sheet2!DR168)</f>
        <v>73103</v>
      </c>
      <c r="DH169" s="14">
        <f>IF([1]Sheet2!DS168=999999,"NA",[1]Sheet2!DS168)</f>
        <v>199</v>
      </c>
      <c r="DI169" s="14">
        <f>IF([1]Sheet2!DT168=999999,"NA",[1]Sheet2!DT168)</f>
        <v>199</v>
      </c>
      <c r="DJ169" s="14" t="str">
        <f>IF([1]Sheet2!DU168=999999,"NA",[1]Sheet2!DU168)</f>
        <v>NA</v>
      </c>
      <c r="DK169" s="14" t="str">
        <f>IF([1]Sheet2!DV168=999999,"NA",[1]Sheet2!DV168)</f>
        <v>NA</v>
      </c>
      <c r="DL169" s="14" t="str">
        <f>IF([1]Sheet2!DW168=999999,"NA",[1]Sheet2!DW168)</f>
        <v>NA</v>
      </c>
      <c r="DM169" s="14">
        <f>IF([1]Sheet2!DX168=999999,"NA",[1]Sheet2!DX168)</f>
        <v>199</v>
      </c>
      <c r="DN169" s="14">
        <f>IF([1]Sheet2!DY168=999999,"NA",[1]Sheet2!DY168)</f>
        <v>199</v>
      </c>
      <c r="DO169" s="14" t="str">
        <f>IF([1]Sheet2!DZ168=999999,"NA",[1]Sheet2!DZ168)</f>
        <v>NA</v>
      </c>
      <c r="DP169" s="14" t="str">
        <f>IF([1]Sheet2!EA168=999999,"NA",[1]Sheet2!EA168)</f>
        <v>NA</v>
      </c>
      <c r="DQ169" s="14">
        <f>[1]Sheet2!CX168</f>
        <v>0</v>
      </c>
      <c r="DR169" s="14">
        <f>[1]Sheet2!CY168</f>
        <v>0</v>
      </c>
      <c r="DS169" s="14">
        <f>[1]Sheet2!CZ168</f>
        <v>0</v>
      </c>
      <c r="DT169" s="14">
        <f>[1]Sheet2!DA168</f>
        <v>0</v>
      </c>
      <c r="DU169" s="14">
        <f>[1]Sheet2!DB168</f>
        <v>0</v>
      </c>
      <c r="DV169" s="14">
        <f>[1]Sheet2!DC168</f>
        <v>0</v>
      </c>
      <c r="DW169" s="14">
        <f>[1]Sheet2!DD168</f>
        <v>0</v>
      </c>
      <c r="DX169" s="14">
        <f>[1]Sheet2!DE168</f>
        <v>0</v>
      </c>
      <c r="DY169" s="14">
        <f>[1]Sheet2!DF168</f>
        <v>0</v>
      </c>
      <c r="DZ169" s="14">
        <f>[1]Sheet2!DG168</f>
        <v>0</v>
      </c>
    </row>
    <row r="170" spans="1:130" x14ac:dyDescent="0.25">
      <c r="A170" s="15">
        <v>43632</v>
      </c>
      <c r="B170" s="1"/>
      <c r="C170" s="1"/>
      <c r="D170" s="1"/>
      <c r="E170" s="14">
        <f>[1]Sheet2!N169</f>
        <v>0</v>
      </c>
      <c r="F170" s="14">
        <f>[1]Sheet2!BE169</f>
        <v>0</v>
      </c>
      <c r="G170" s="14">
        <f>[1]Sheet2!CV169</f>
        <v>288.46153846153851</v>
      </c>
      <c r="H170" s="1"/>
      <c r="I170" s="1"/>
      <c r="J170" s="1"/>
      <c r="K170" s="16">
        <f>Demand_CWRS!B$8/30</f>
        <v>124.86819391025641</v>
      </c>
      <c r="L170" s="16">
        <f>Demand_CWRS!C$8/30</f>
        <v>583.20512820512829</v>
      </c>
      <c r="M170" s="16">
        <f>Demand_CWRS!D$8/30</f>
        <v>0</v>
      </c>
      <c r="N170" s="16">
        <f>Demand_CWRS!E$8/30</f>
        <v>156.84829059829062</v>
      </c>
      <c r="O170" s="16">
        <f>Demand_CWRS!F$8/30</f>
        <v>252.39596314102559</v>
      </c>
      <c r="P170" s="16">
        <f>Demand_CWRS!G$8/30</f>
        <v>124.86819391025641</v>
      </c>
      <c r="Q170" s="16">
        <f>Demand_CWRS!H$8/30</f>
        <v>583.20512820512829</v>
      </c>
      <c r="R170" s="16">
        <f>Demand_CWRS!I$8/30</f>
        <v>246.66666666666666</v>
      </c>
      <c r="S170" s="16">
        <f>Demand_CWRS!J$8/30</f>
        <v>246.66666666666666</v>
      </c>
      <c r="T170" s="16">
        <f>Demand_CWRS!K$8/30</f>
        <v>246.66666666666666</v>
      </c>
      <c r="U170" s="16">
        <f t="shared" si="63"/>
        <v>-24612.606822652921</v>
      </c>
      <c r="V170" s="16">
        <f t="shared" si="64"/>
        <v>-78691.289743589528</v>
      </c>
      <c r="W170" s="16">
        <f t="shared" si="65"/>
        <v>0</v>
      </c>
      <c r="X170" s="16">
        <f t="shared" si="66"/>
        <v>-18345.400481445406</v>
      </c>
      <c r="Y170" s="16">
        <f t="shared" si="67"/>
        <v>-37744.620350819561</v>
      </c>
      <c r="Z170" s="16">
        <f t="shared" si="68"/>
        <v>-24286.83367361447</v>
      </c>
      <c r="AA170" s="16">
        <f t="shared" si="69"/>
        <v>-78191.289743589528</v>
      </c>
      <c r="AB170" s="16">
        <f t="shared" si="70"/>
        <v>-35340.985020691332</v>
      </c>
      <c r="AC170" s="16">
        <f t="shared" si="71"/>
        <v>-35340.985020691325</v>
      </c>
      <c r="AD170" s="16">
        <f t="shared" si="72"/>
        <v>-36040.985020691318</v>
      </c>
      <c r="AE170" s="14">
        <f>IF([1]Sheet2!AJ169=999999,"NA",[1]Sheet2!AJ169)</f>
        <v>0</v>
      </c>
      <c r="AF170" s="14">
        <f>IF([1]Sheet2!AK169=999999,"NA",[1]Sheet2!AK169)</f>
        <v>0</v>
      </c>
      <c r="AG170" s="14" t="str">
        <f>IF([1]Sheet2!AL169=999999,"NA",[1]Sheet2!AL169)</f>
        <v>NA</v>
      </c>
      <c r="AH170" s="14">
        <f>IF([1]Sheet2!AM169=999999,"NA",[1]Sheet2!AM169)</f>
        <v>198</v>
      </c>
      <c r="AI170" s="14">
        <f>IF([1]Sheet2!AN169=999999,"NA",[1]Sheet2!AN169)</f>
        <v>198</v>
      </c>
      <c r="AJ170" s="14">
        <f>IF([1]Sheet2!AO169=999999,"NA",[1]Sheet2!AO169)</f>
        <v>198</v>
      </c>
      <c r="AK170" s="14">
        <f>IF([1]Sheet2!AP169=999999,"NA",[1]Sheet2!AP169)</f>
        <v>0</v>
      </c>
      <c r="AL170" s="14">
        <f>IF([1]Sheet2!AQ169=999999,"NA",[1]Sheet2!AQ169)</f>
        <v>74</v>
      </c>
      <c r="AM170" s="14">
        <f>IF([1]Sheet2!AR169=999999,"NA",[1]Sheet2!AR169)</f>
        <v>198</v>
      </c>
      <c r="AN170" s="14">
        <f>IF([1]Sheet2!AS169=999999,"NA",[1]Sheet2!AS169)</f>
        <v>130</v>
      </c>
      <c r="AO170" s="14">
        <f>[1]Sheet2!P169</f>
        <v>0</v>
      </c>
      <c r="AP170" s="14">
        <f>[1]Sheet2!Q169</f>
        <v>0</v>
      </c>
      <c r="AQ170" s="14">
        <f>[1]Sheet2!R169</f>
        <v>0</v>
      </c>
      <c r="AR170" s="14">
        <f>[1]Sheet2!S169</f>
        <v>0</v>
      </c>
      <c r="AS170" s="14">
        <f>[1]Sheet2!T169</f>
        <v>0</v>
      </c>
      <c r="AT170" s="14">
        <f>[1]Sheet2!U169</f>
        <v>0</v>
      </c>
      <c r="AU170" s="14">
        <f>[1]Sheet2!V169</f>
        <v>0</v>
      </c>
      <c r="AV170" s="14">
        <f>[1]Sheet2!W169</f>
        <v>0</v>
      </c>
      <c r="AW170" s="14">
        <f>[1]Sheet2!X169</f>
        <v>0</v>
      </c>
      <c r="AX170" s="14">
        <f>[1]Sheet2!Y169</f>
        <v>0</v>
      </c>
      <c r="AY170" s="16">
        <f>Demand_LP!B$8/30</f>
        <v>807.81611164529909</v>
      </c>
      <c r="AZ170" s="16">
        <f>Demand_LP!C$8/30</f>
        <v>574.48717948717956</v>
      </c>
      <c r="BA170" s="16">
        <f>Demand_LP!D$8/30</f>
        <v>339.04957264957267</v>
      </c>
      <c r="BB170" s="16">
        <f>Demand_LP!E$8/30</f>
        <v>830.46965811965799</v>
      </c>
      <c r="BC170" s="16">
        <f>Demand_LP!F$8/30</f>
        <v>476.67186805555554</v>
      </c>
      <c r="BD170" s="16">
        <f>Demand_LP!G$8/30</f>
        <v>807.81611164529909</v>
      </c>
      <c r="BE170" s="16">
        <f>Demand_LP!H$8/30</f>
        <v>574.48717948717956</v>
      </c>
      <c r="BF170" s="16">
        <f>Demand_LP!I$8/30</f>
        <v>476.67186805555554</v>
      </c>
      <c r="BG170" s="16">
        <f>Demand_LP!J$8/30</f>
        <v>476.67186805555554</v>
      </c>
      <c r="BH170" s="16">
        <f>Demand_LP!K$8/30</f>
        <v>476.67186805555554</v>
      </c>
      <c r="BI170" s="16" t="e">
        <f t="shared" si="73"/>
        <v>#VALUE!</v>
      </c>
      <c r="BJ170" s="16">
        <f t="shared" si="74"/>
        <v>-99143.274358974289</v>
      </c>
      <c r="BK170" s="16">
        <f t="shared" si="75"/>
        <v>-49944.912393162333</v>
      </c>
      <c r="BL170" s="16">
        <f t="shared" si="76"/>
        <v>-126935.33118035259</v>
      </c>
      <c r="BM170" s="16">
        <f t="shared" si="77"/>
        <v>-76107.640393595197</v>
      </c>
      <c r="BN170" s="16">
        <f t="shared" si="78"/>
        <v>-123572.48413785423</v>
      </c>
      <c r="BO170" s="16">
        <f t="shared" si="79"/>
        <v>-101500.85384615381</v>
      </c>
      <c r="BP170" s="16">
        <f t="shared" si="80"/>
        <v>-75565.3243119658</v>
      </c>
      <c r="BQ170" s="16">
        <f t="shared" si="81"/>
        <v>-72165.324311965844</v>
      </c>
      <c r="BR170" s="16">
        <f t="shared" si="82"/>
        <v>-73365.3243119658</v>
      </c>
      <c r="BS170" s="14">
        <f>IF([1]Sheet2!CA169=999999,"NA",[1]Sheet2!CA169)</f>
        <v>143113.67568803456</v>
      </c>
      <c r="BT170" s="14">
        <f>IF([1]Sheet2!CB169=999999,"NA",[1]Sheet2!CB169)</f>
        <v>120</v>
      </c>
      <c r="BU170" s="14">
        <f>IF([1]Sheet2!CC169=999999,"NA",[1]Sheet2!CC169)</f>
        <v>198</v>
      </c>
      <c r="BV170" s="14">
        <f>IF([1]Sheet2!CD169=999999,"NA",[1]Sheet2!CD169)</f>
        <v>198</v>
      </c>
      <c r="BW170" s="14">
        <f>IF([1]Sheet2!CE169=999999,"NA",[1]Sheet2!CE169)</f>
        <v>160</v>
      </c>
      <c r="BX170" s="14">
        <f>IF([1]Sheet2!CF169=999999,"NA",[1]Sheet2!CF169)</f>
        <v>198</v>
      </c>
      <c r="BY170" s="14">
        <f>IF([1]Sheet2!CG169=999999,"NA",[1]Sheet2!CG169)</f>
        <v>92</v>
      </c>
      <c r="BZ170" s="14">
        <f>IF([1]Sheet2!CH169=999999,"NA",[1]Sheet2!CH169)</f>
        <v>198</v>
      </c>
      <c r="CA170" s="14">
        <f>IF([1]Sheet2!CI169=999999,"NA",[1]Sheet2!CI169)</f>
        <v>198</v>
      </c>
      <c r="CB170" s="14">
        <f>IF([1]Sheet2!CJ169=999999,"NA",[1]Sheet2!CJ169)</f>
        <v>198</v>
      </c>
      <c r="CC170" s="14">
        <f>[1]Sheet2!BG169</f>
        <v>0</v>
      </c>
      <c r="CD170" s="14">
        <f>[1]Sheet2!BH169</f>
        <v>0</v>
      </c>
      <c r="CE170" s="14">
        <f>[1]Sheet2!BI169</f>
        <v>0</v>
      </c>
      <c r="CF170" s="14">
        <f>[1]Sheet2!BJ169</f>
        <v>0</v>
      </c>
      <c r="CG170" s="14">
        <f>[1]Sheet2!BK169</f>
        <v>0</v>
      </c>
      <c r="CH170" s="14">
        <f>[1]Sheet2!BL169</f>
        <v>0</v>
      </c>
      <c r="CI170" s="14">
        <f>[1]Sheet2!BM169</f>
        <v>0</v>
      </c>
      <c r="CJ170" s="14">
        <f>[1]Sheet2!BN169</f>
        <v>0</v>
      </c>
      <c r="CK170" s="14">
        <f>[1]Sheet2!BO169</f>
        <v>0</v>
      </c>
      <c r="CL170" s="14">
        <f>[1]Sheet2!BP169</f>
        <v>0</v>
      </c>
      <c r="CM170" s="16">
        <f>Demand_SW!B$8/30</f>
        <v>144.23076923076923</v>
      </c>
      <c r="CN170" s="16">
        <f>Demand_SW!C$8/30</f>
        <v>0</v>
      </c>
      <c r="CO170" s="16">
        <f>Demand_SW!D$8/30</f>
        <v>0</v>
      </c>
      <c r="CP170" s="16">
        <f>Demand_SW!E$8/30</f>
        <v>0</v>
      </c>
      <c r="CQ170" s="16">
        <f>Demand_SW!F$8/30</f>
        <v>0</v>
      </c>
      <c r="CR170" s="16">
        <f>Demand_SW!G$8/30</f>
        <v>144.23076923076923</v>
      </c>
      <c r="CS170" s="16">
        <f>Demand_SW!H$8/30</f>
        <v>0</v>
      </c>
      <c r="CT170" s="16">
        <f>Demand_SW!I$8/30</f>
        <v>0</v>
      </c>
      <c r="CU170" s="16">
        <f>Demand_SW!J$8/30</f>
        <v>0</v>
      </c>
      <c r="CV170" s="16">
        <f>Demand_SW!K$8/30</f>
        <v>0</v>
      </c>
      <c r="CW170" s="16">
        <f t="shared" si="83"/>
        <v>28421.538461538505</v>
      </c>
      <c r="CX170" s="16">
        <f t="shared" si="84"/>
        <v>-423.07692307692292</v>
      </c>
      <c r="CY170" s="16">
        <f t="shared" si="85"/>
        <v>0</v>
      </c>
      <c r="CZ170" s="16">
        <f t="shared" si="86"/>
        <v>0</v>
      </c>
      <c r="DA170" s="16">
        <f t="shared" si="87"/>
        <v>0</v>
      </c>
      <c r="DB170" s="16">
        <f t="shared" si="88"/>
        <v>-21107.69230769229</v>
      </c>
      <c r="DC170" s="16">
        <f t="shared" si="89"/>
        <v>-423.07692307692292</v>
      </c>
      <c r="DD170" s="16">
        <f t="shared" si="90"/>
        <v>0</v>
      </c>
      <c r="DE170" s="16">
        <f t="shared" si="91"/>
        <v>0</v>
      </c>
      <c r="DF170" s="16">
        <f t="shared" si="92"/>
        <v>0</v>
      </c>
      <c r="DG170" s="14">
        <f>IF([1]Sheet2!DR169=999999,"NA",[1]Sheet2!DR169)</f>
        <v>73103</v>
      </c>
      <c r="DH170" s="14">
        <f>IF([1]Sheet2!DS169=999999,"NA",[1]Sheet2!DS169)</f>
        <v>198</v>
      </c>
      <c r="DI170" s="14">
        <f>IF([1]Sheet2!DT169=999999,"NA",[1]Sheet2!DT169)</f>
        <v>198</v>
      </c>
      <c r="DJ170" s="14" t="str">
        <f>IF([1]Sheet2!DU169=999999,"NA",[1]Sheet2!DU169)</f>
        <v>NA</v>
      </c>
      <c r="DK170" s="14" t="str">
        <f>IF([1]Sheet2!DV169=999999,"NA",[1]Sheet2!DV169)</f>
        <v>NA</v>
      </c>
      <c r="DL170" s="14" t="str">
        <f>IF([1]Sheet2!DW169=999999,"NA",[1]Sheet2!DW169)</f>
        <v>NA</v>
      </c>
      <c r="DM170" s="14">
        <f>IF([1]Sheet2!DX169=999999,"NA",[1]Sheet2!DX169)</f>
        <v>198</v>
      </c>
      <c r="DN170" s="14">
        <f>IF([1]Sheet2!DY169=999999,"NA",[1]Sheet2!DY169)</f>
        <v>198</v>
      </c>
      <c r="DO170" s="14" t="str">
        <f>IF([1]Sheet2!DZ169=999999,"NA",[1]Sheet2!DZ169)</f>
        <v>NA</v>
      </c>
      <c r="DP170" s="14" t="str">
        <f>IF([1]Sheet2!EA169=999999,"NA",[1]Sheet2!EA169)</f>
        <v>NA</v>
      </c>
      <c r="DQ170" s="14">
        <f>[1]Sheet2!CX169</f>
        <v>0</v>
      </c>
      <c r="DR170" s="14">
        <f>[1]Sheet2!CY169</f>
        <v>0</v>
      </c>
      <c r="DS170" s="14">
        <f>[1]Sheet2!CZ169</f>
        <v>0</v>
      </c>
      <c r="DT170" s="14">
        <f>[1]Sheet2!DA169</f>
        <v>0</v>
      </c>
      <c r="DU170" s="14">
        <f>[1]Sheet2!DB169</f>
        <v>0</v>
      </c>
      <c r="DV170" s="14">
        <f>[1]Sheet2!DC169</f>
        <v>0</v>
      </c>
      <c r="DW170" s="14">
        <f>[1]Sheet2!DD169</f>
        <v>0</v>
      </c>
      <c r="DX170" s="14">
        <f>[1]Sheet2!DE169</f>
        <v>0</v>
      </c>
      <c r="DY170" s="14">
        <f>[1]Sheet2!DF169</f>
        <v>0</v>
      </c>
      <c r="DZ170" s="14">
        <f>[1]Sheet2!DG169</f>
        <v>0</v>
      </c>
    </row>
    <row r="171" spans="1:130" x14ac:dyDescent="0.25">
      <c r="A171" s="15">
        <v>43633</v>
      </c>
      <c r="B171" s="1"/>
      <c r="C171" s="1"/>
      <c r="D171" s="1"/>
      <c r="E171" s="14">
        <f>[1]Sheet2!N170</f>
        <v>0</v>
      </c>
      <c r="F171" s="14">
        <f>[1]Sheet2!BE170</f>
        <v>0</v>
      </c>
      <c r="G171" s="14">
        <f>[1]Sheet2!CV170</f>
        <v>288.46153846153851</v>
      </c>
      <c r="H171" s="1"/>
      <c r="I171" s="1"/>
      <c r="J171" s="1"/>
      <c r="K171" s="16">
        <f>Demand_CWRS!B$8/30</f>
        <v>124.86819391025641</v>
      </c>
      <c r="L171" s="16">
        <f>Demand_CWRS!C$8/30</f>
        <v>583.20512820512829</v>
      </c>
      <c r="M171" s="16">
        <f>Demand_CWRS!D$8/30</f>
        <v>0</v>
      </c>
      <c r="N171" s="16">
        <f>Demand_CWRS!E$8/30</f>
        <v>156.84829059829062</v>
      </c>
      <c r="O171" s="16">
        <f>Demand_CWRS!F$8/30</f>
        <v>252.39596314102559</v>
      </c>
      <c r="P171" s="16">
        <f>Demand_CWRS!G$8/30</f>
        <v>124.86819391025641</v>
      </c>
      <c r="Q171" s="16">
        <f>Demand_CWRS!H$8/30</f>
        <v>583.20512820512829</v>
      </c>
      <c r="R171" s="16">
        <f>Demand_CWRS!I$8/30</f>
        <v>246.66666666666666</v>
      </c>
      <c r="S171" s="16">
        <f>Demand_CWRS!J$8/30</f>
        <v>246.66666666666666</v>
      </c>
      <c r="T171" s="16">
        <f>Demand_CWRS!K$8/30</f>
        <v>246.66666666666666</v>
      </c>
      <c r="U171" s="16">
        <f t="shared" si="63"/>
        <v>-24737.475016563178</v>
      </c>
      <c r="V171" s="16">
        <f t="shared" si="64"/>
        <v>-79274.494871794654</v>
      </c>
      <c r="W171" s="16">
        <f t="shared" si="65"/>
        <v>0</v>
      </c>
      <c r="X171" s="16">
        <f t="shared" si="66"/>
        <v>-18502.248772043695</v>
      </c>
      <c r="Y171" s="16">
        <f t="shared" si="67"/>
        <v>-37997.016313960587</v>
      </c>
      <c r="Z171" s="16">
        <f t="shared" si="68"/>
        <v>-24411.701867524727</v>
      </c>
      <c r="AA171" s="16">
        <f t="shared" si="69"/>
        <v>-78774.494871794654</v>
      </c>
      <c r="AB171" s="16">
        <f t="shared" si="70"/>
        <v>-35587.651687357997</v>
      </c>
      <c r="AC171" s="16">
        <f t="shared" si="71"/>
        <v>-35587.651687357989</v>
      </c>
      <c r="AD171" s="16">
        <f t="shared" si="72"/>
        <v>-36287.651687357982</v>
      </c>
      <c r="AE171" s="14">
        <f>IF([1]Sheet2!AJ170=999999,"NA",[1]Sheet2!AJ170)</f>
        <v>0</v>
      </c>
      <c r="AF171" s="14">
        <f>IF([1]Sheet2!AK170=999999,"NA",[1]Sheet2!AK170)</f>
        <v>0</v>
      </c>
      <c r="AG171" s="14" t="str">
        <f>IF([1]Sheet2!AL170=999999,"NA",[1]Sheet2!AL170)</f>
        <v>NA</v>
      </c>
      <c r="AH171" s="14">
        <f>IF([1]Sheet2!AM170=999999,"NA",[1]Sheet2!AM170)</f>
        <v>197</v>
      </c>
      <c r="AI171" s="14">
        <f>IF([1]Sheet2!AN170=999999,"NA",[1]Sheet2!AN170)</f>
        <v>197</v>
      </c>
      <c r="AJ171" s="14">
        <f>IF([1]Sheet2!AO170=999999,"NA",[1]Sheet2!AO170)</f>
        <v>197</v>
      </c>
      <c r="AK171" s="14">
        <f>IF([1]Sheet2!AP170=999999,"NA",[1]Sheet2!AP170)</f>
        <v>0</v>
      </c>
      <c r="AL171" s="14">
        <f>IF([1]Sheet2!AQ170=999999,"NA",[1]Sheet2!AQ170)</f>
        <v>73</v>
      </c>
      <c r="AM171" s="14">
        <f>IF([1]Sheet2!AR170=999999,"NA",[1]Sheet2!AR170)</f>
        <v>197</v>
      </c>
      <c r="AN171" s="14">
        <f>IF([1]Sheet2!AS170=999999,"NA",[1]Sheet2!AS170)</f>
        <v>129</v>
      </c>
      <c r="AO171" s="14">
        <f>[1]Sheet2!P170</f>
        <v>0</v>
      </c>
      <c r="AP171" s="14">
        <f>[1]Sheet2!Q170</f>
        <v>0</v>
      </c>
      <c r="AQ171" s="14">
        <f>[1]Sheet2!R170</f>
        <v>0</v>
      </c>
      <c r="AR171" s="14">
        <f>[1]Sheet2!S170</f>
        <v>0</v>
      </c>
      <c r="AS171" s="14">
        <f>[1]Sheet2!T170</f>
        <v>0</v>
      </c>
      <c r="AT171" s="14">
        <f>[1]Sheet2!U170</f>
        <v>0</v>
      </c>
      <c r="AU171" s="14">
        <f>[1]Sheet2!V170</f>
        <v>0</v>
      </c>
      <c r="AV171" s="14">
        <f>[1]Sheet2!W170</f>
        <v>0</v>
      </c>
      <c r="AW171" s="14">
        <f>[1]Sheet2!X170</f>
        <v>0</v>
      </c>
      <c r="AX171" s="14">
        <f>[1]Sheet2!Y170</f>
        <v>0</v>
      </c>
      <c r="AY171" s="16">
        <f>Demand_LP!B$8/30</f>
        <v>807.81611164529909</v>
      </c>
      <c r="AZ171" s="16">
        <f>Demand_LP!C$8/30</f>
        <v>574.48717948717956</v>
      </c>
      <c r="BA171" s="16">
        <f>Demand_LP!D$8/30</f>
        <v>339.04957264957267</v>
      </c>
      <c r="BB171" s="16">
        <f>Demand_LP!E$8/30</f>
        <v>830.46965811965799</v>
      </c>
      <c r="BC171" s="16">
        <f>Demand_LP!F$8/30</f>
        <v>476.67186805555554</v>
      </c>
      <c r="BD171" s="16">
        <f>Demand_LP!G$8/30</f>
        <v>807.81611164529909</v>
      </c>
      <c r="BE171" s="16">
        <f>Demand_LP!H$8/30</f>
        <v>574.48717948717956</v>
      </c>
      <c r="BF171" s="16">
        <f>Demand_LP!I$8/30</f>
        <v>476.67186805555554</v>
      </c>
      <c r="BG171" s="16">
        <f>Demand_LP!J$8/30</f>
        <v>476.67186805555554</v>
      </c>
      <c r="BH171" s="16">
        <f>Demand_LP!K$8/30</f>
        <v>476.67186805555554</v>
      </c>
      <c r="BI171" s="16" t="e">
        <f t="shared" si="73"/>
        <v>#VALUE!</v>
      </c>
      <c r="BJ171" s="16">
        <f t="shared" si="74"/>
        <v>-99717.761538461462</v>
      </c>
      <c r="BK171" s="16">
        <f t="shared" si="75"/>
        <v>-50283.961965811905</v>
      </c>
      <c r="BL171" s="16">
        <f t="shared" si="76"/>
        <v>-127765.80083847225</v>
      </c>
      <c r="BM171" s="16">
        <f t="shared" si="77"/>
        <v>-76584.312261650746</v>
      </c>
      <c r="BN171" s="16">
        <f t="shared" si="78"/>
        <v>-124380.30024949953</v>
      </c>
      <c r="BO171" s="16">
        <f t="shared" si="79"/>
        <v>-102075.34102564098</v>
      </c>
      <c r="BP171" s="16">
        <f t="shared" si="80"/>
        <v>-76041.99618002135</v>
      </c>
      <c r="BQ171" s="16">
        <f t="shared" si="81"/>
        <v>-72641.996180021393</v>
      </c>
      <c r="BR171" s="16">
        <f t="shared" si="82"/>
        <v>-73841.99618002135</v>
      </c>
      <c r="BS171" s="14">
        <f>IF([1]Sheet2!CA170=999999,"NA",[1]Sheet2!CA170)</f>
        <v>142637.003819979</v>
      </c>
      <c r="BT171" s="14">
        <f>IF([1]Sheet2!CB170=999999,"NA",[1]Sheet2!CB170)</f>
        <v>119</v>
      </c>
      <c r="BU171" s="14">
        <f>IF([1]Sheet2!CC170=999999,"NA",[1]Sheet2!CC170)</f>
        <v>197</v>
      </c>
      <c r="BV171" s="14">
        <f>IF([1]Sheet2!CD170=999999,"NA",[1]Sheet2!CD170)</f>
        <v>197</v>
      </c>
      <c r="BW171" s="14">
        <f>IF([1]Sheet2!CE170=999999,"NA",[1]Sheet2!CE170)</f>
        <v>159</v>
      </c>
      <c r="BX171" s="14">
        <f>IF([1]Sheet2!CF170=999999,"NA",[1]Sheet2!CF170)</f>
        <v>197</v>
      </c>
      <c r="BY171" s="14">
        <f>IF([1]Sheet2!CG170=999999,"NA",[1]Sheet2!CG170)</f>
        <v>91</v>
      </c>
      <c r="BZ171" s="14">
        <f>IF([1]Sheet2!CH170=999999,"NA",[1]Sheet2!CH170)</f>
        <v>197</v>
      </c>
      <c r="CA171" s="14">
        <f>IF([1]Sheet2!CI170=999999,"NA",[1]Sheet2!CI170)</f>
        <v>197</v>
      </c>
      <c r="CB171" s="14">
        <f>IF([1]Sheet2!CJ170=999999,"NA",[1]Sheet2!CJ170)</f>
        <v>197</v>
      </c>
      <c r="CC171" s="14">
        <f>[1]Sheet2!BG170</f>
        <v>0</v>
      </c>
      <c r="CD171" s="14">
        <f>[1]Sheet2!BH170</f>
        <v>0</v>
      </c>
      <c r="CE171" s="14">
        <f>[1]Sheet2!BI170</f>
        <v>0</v>
      </c>
      <c r="CF171" s="14">
        <f>[1]Sheet2!BJ170</f>
        <v>0</v>
      </c>
      <c r="CG171" s="14">
        <f>[1]Sheet2!BK170</f>
        <v>0</v>
      </c>
      <c r="CH171" s="14">
        <f>[1]Sheet2!BL170</f>
        <v>0</v>
      </c>
      <c r="CI171" s="14">
        <f>[1]Sheet2!BM170</f>
        <v>0</v>
      </c>
      <c r="CJ171" s="14">
        <f>[1]Sheet2!BN170</f>
        <v>0</v>
      </c>
      <c r="CK171" s="14">
        <f>[1]Sheet2!BO170</f>
        <v>0</v>
      </c>
      <c r="CL171" s="14">
        <f>[1]Sheet2!BP170</f>
        <v>0</v>
      </c>
      <c r="CM171" s="16">
        <f>Demand_SW!B$8/30</f>
        <v>144.23076923076923</v>
      </c>
      <c r="CN171" s="16">
        <f>Demand_SW!C$8/30</f>
        <v>0</v>
      </c>
      <c r="CO171" s="16">
        <f>Demand_SW!D$8/30</f>
        <v>0</v>
      </c>
      <c r="CP171" s="16">
        <f>Demand_SW!E$8/30</f>
        <v>0</v>
      </c>
      <c r="CQ171" s="16">
        <f>Demand_SW!F$8/30</f>
        <v>0</v>
      </c>
      <c r="CR171" s="16">
        <f>Demand_SW!G$8/30</f>
        <v>144.23076923076923</v>
      </c>
      <c r="CS171" s="16">
        <f>Demand_SW!H$8/30</f>
        <v>0</v>
      </c>
      <c r="CT171" s="16">
        <f>Demand_SW!I$8/30</f>
        <v>0</v>
      </c>
      <c r="CU171" s="16">
        <f>Demand_SW!J$8/30</f>
        <v>0</v>
      </c>
      <c r="CV171" s="16">
        <f>Demand_SW!K$8/30</f>
        <v>0</v>
      </c>
      <c r="CW171" s="16">
        <f t="shared" si="83"/>
        <v>28277.307692307735</v>
      </c>
      <c r="CX171" s="16">
        <f t="shared" si="84"/>
        <v>-423.07692307692292</v>
      </c>
      <c r="CY171" s="16">
        <f t="shared" si="85"/>
        <v>0</v>
      </c>
      <c r="CZ171" s="16">
        <f t="shared" si="86"/>
        <v>0</v>
      </c>
      <c r="DA171" s="16">
        <f t="shared" si="87"/>
        <v>0</v>
      </c>
      <c r="DB171" s="16">
        <f t="shared" si="88"/>
        <v>-21251.92307692306</v>
      </c>
      <c r="DC171" s="16">
        <f t="shared" si="89"/>
        <v>-423.07692307692292</v>
      </c>
      <c r="DD171" s="16">
        <f t="shared" si="90"/>
        <v>0</v>
      </c>
      <c r="DE171" s="16">
        <f t="shared" si="91"/>
        <v>0</v>
      </c>
      <c r="DF171" s="16">
        <f t="shared" si="92"/>
        <v>0</v>
      </c>
      <c r="DG171" s="14">
        <f>IF([1]Sheet2!DR170=999999,"NA",[1]Sheet2!DR170)</f>
        <v>73103</v>
      </c>
      <c r="DH171" s="14">
        <f>IF([1]Sheet2!DS170=999999,"NA",[1]Sheet2!DS170)</f>
        <v>197</v>
      </c>
      <c r="DI171" s="14">
        <f>IF([1]Sheet2!DT170=999999,"NA",[1]Sheet2!DT170)</f>
        <v>197</v>
      </c>
      <c r="DJ171" s="14" t="str">
        <f>IF([1]Sheet2!DU170=999999,"NA",[1]Sheet2!DU170)</f>
        <v>NA</v>
      </c>
      <c r="DK171" s="14" t="str">
        <f>IF([1]Sheet2!DV170=999999,"NA",[1]Sheet2!DV170)</f>
        <v>NA</v>
      </c>
      <c r="DL171" s="14" t="str">
        <f>IF([1]Sheet2!DW170=999999,"NA",[1]Sheet2!DW170)</f>
        <v>NA</v>
      </c>
      <c r="DM171" s="14">
        <f>IF([1]Sheet2!DX170=999999,"NA",[1]Sheet2!DX170)</f>
        <v>197</v>
      </c>
      <c r="DN171" s="14">
        <f>IF([1]Sheet2!DY170=999999,"NA",[1]Sheet2!DY170)</f>
        <v>197</v>
      </c>
      <c r="DO171" s="14" t="str">
        <f>IF([1]Sheet2!DZ170=999999,"NA",[1]Sheet2!DZ170)</f>
        <v>NA</v>
      </c>
      <c r="DP171" s="14" t="str">
        <f>IF([1]Sheet2!EA170=999999,"NA",[1]Sheet2!EA170)</f>
        <v>NA</v>
      </c>
      <c r="DQ171" s="14">
        <f>[1]Sheet2!CX170</f>
        <v>0</v>
      </c>
      <c r="DR171" s="14">
        <f>[1]Sheet2!CY170</f>
        <v>0</v>
      </c>
      <c r="DS171" s="14">
        <f>[1]Sheet2!CZ170</f>
        <v>0</v>
      </c>
      <c r="DT171" s="14">
        <f>[1]Sheet2!DA170</f>
        <v>0</v>
      </c>
      <c r="DU171" s="14">
        <f>[1]Sheet2!DB170</f>
        <v>0</v>
      </c>
      <c r="DV171" s="14">
        <f>[1]Sheet2!DC170</f>
        <v>0</v>
      </c>
      <c r="DW171" s="14">
        <f>[1]Sheet2!DD170</f>
        <v>0</v>
      </c>
      <c r="DX171" s="14">
        <f>[1]Sheet2!DE170</f>
        <v>0</v>
      </c>
      <c r="DY171" s="14">
        <f>[1]Sheet2!DF170</f>
        <v>0</v>
      </c>
      <c r="DZ171" s="14">
        <f>[1]Sheet2!DG170</f>
        <v>0</v>
      </c>
    </row>
    <row r="172" spans="1:130" x14ac:dyDescent="0.25">
      <c r="A172" s="15">
        <v>43634</v>
      </c>
      <c r="B172" s="1"/>
      <c r="C172" s="1"/>
      <c r="D172" s="1"/>
      <c r="E172" s="14">
        <f>[1]Sheet2!N171</f>
        <v>0</v>
      </c>
      <c r="F172" s="14">
        <f>[1]Sheet2!BE171</f>
        <v>0</v>
      </c>
      <c r="G172" s="14">
        <f>[1]Sheet2!CV171</f>
        <v>288.46153846153851</v>
      </c>
      <c r="H172" s="1"/>
      <c r="I172" s="1"/>
      <c r="J172" s="1"/>
      <c r="K172" s="16">
        <f>Demand_CWRS!B$8/30</f>
        <v>124.86819391025641</v>
      </c>
      <c r="L172" s="16">
        <f>Demand_CWRS!C$8/30</f>
        <v>583.20512820512829</v>
      </c>
      <c r="M172" s="16">
        <f>Demand_CWRS!D$8/30</f>
        <v>0</v>
      </c>
      <c r="N172" s="16">
        <f>Demand_CWRS!E$8/30</f>
        <v>156.84829059829062</v>
      </c>
      <c r="O172" s="16">
        <f>Demand_CWRS!F$8/30</f>
        <v>252.39596314102559</v>
      </c>
      <c r="P172" s="16">
        <f>Demand_CWRS!G$8/30</f>
        <v>124.86819391025641</v>
      </c>
      <c r="Q172" s="16">
        <f>Demand_CWRS!H$8/30</f>
        <v>583.20512820512829</v>
      </c>
      <c r="R172" s="16">
        <f>Demand_CWRS!I$8/30</f>
        <v>246.66666666666666</v>
      </c>
      <c r="S172" s="16">
        <f>Demand_CWRS!J$8/30</f>
        <v>246.66666666666666</v>
      </c>
      <c r="T172" s="16">
        <f>Demand_CWRS!K$8/30</f>
        <v>246.66666666666666</v>
      </c>
      <c r="U172" s="16">
        <f t="shared" si="63"/>
        <v>-24862.343210473435</v>
      </c>
      <c r="V172" s="16">
        <f t="shared" si="64"/>
        <v>-79857.699999999779</v>
      </c>
      <c r="W172" s="16">
        <f t="shared" si="65"/>
        <v>0</v>
      </c>
      <c r="X172" s="16">
        <f t="shared" si="66"/>
        <v>-18659.097062641984</v>
      </c>
      <c r="Y172" s="16">
        <f t="shared" si="67"/>
        <v>-38249.412277101612</v>
      </c>
      <c r="Z172" s="16">
        <f t="shared" si="68"/>
        <v>-24536.570061434984</v>
      </c>
      <c r="AA172" s="16">
        <f t="shared" si="69"/>
        <v>-79357.699999999779</v>
      </c>
      <c r="AB172" s="16">
        <f t="shared" si="70"/>
        <v>-35834.318354024661</v>
      </c>
      <c r="AC172" s="16">
        <f t="shared" si="71"/>
        <v>-35834.318354024654</v>
      </c>
      <c r="AD172" s="16">
        <f t="shared" si="72"/>
        <v>-36534.318354024646</v>
      </c>
      <c r="AE172" s="14">
        <f>IF([1]Sheet2!AJ171=999999,"NA",[1]Sheet2!AJ171)</f>
        <v>0</v>
      </c>
      <c r="AF172" s="14">
        <f>IF([1]Sheet2!AK171=999999,"NA",[1]Sheet2!AK171)</f>
        <v>0</v>
      </c>
      <c r="AG172" s="14" t="str">
        <f>IF([1]Sheet2!AL171=999999,"NA",[1]Sheet2!AL171)</f>
        <v>NA</v>
      </c>
      <c r="AH172" s="14">
        <f>IF([1]Sheet2!AM171=999999,"NA",[1]Sheet2!AM171)</f>
        <v>196</v>
      </c>
      <c r="AI172" s="14">
        <f>IF([1]Sheet2!AN171=999999,"NA",[1]Sheet2!AN171)</f>
        <v>196</v>
      </c>
      <c r="AJ172" s="14">
        <f>IF([1]Sheet2!AO171=999999,"NA",[1]Sheet2!AO171)</f>
        <v>196</v>
      </c>
      <c r="AK172" s="14">
        <f>IF([1]Sheet2!AP171=999999,"NA",[1]Sheet2!AP171)</f>
        <v>0</v>
      </c>
      <c r="AL172" s="14">
        <f>IF([1]Sheet2!AQ171=999999,"NA",[1]Sheet2!AQ171)</f>
        <v>72</v>
      </c>
      <c r="AM172" s="14">
        <f>IF([1]Sheet2!AR171=999999,"NA",[1]Sheet2!AR171)</f>
        <v>196</v>
      </c>
      <c r="AN172" s="14">
        <f>IF([1]Sheet2!AS171=999999,"NA",[1]Sheet2!AS171)</f>
        <v>128</v>
      </c>
      <c r="AO172" s="14">
        <f>[1]Sheet2!P171</f>
        <v>0</v>
      </c>
      <c r="AP172" s="14">
        <f>[1]Sheet2!Q171</f>
        <v>0</v>
      </c>
      <c r="AQ172" s="14">
        <f>[1]Sheet2!R171</f>
        <v>0</v>
      </c>
      <c r="AR172" s="14">
        <f>[1]Sheet2!S171</f>
        <v>0</v>
      </c>
      <c r="AS172" s="14">
        <f>[1]Sheet2!T171</f>
        <v>0</v>
      </c>
      <c r="AT172" s="14">
        <f>[1]Sheet2!U171</f>
        <v>0</v>
      </c>
      <c r="AU172" s="14">
        <f>[1]Sheet2!V171</f>
        <v>0</v>
      </c>
      <c r="AV172" s="14">
        <f>[1]Sheet2!W171</f>
        <v>0</v>
      </c>
      <c r="AW172" s="14">
        <f>[1]Sheet2!X171</f>
        <v>0</v>
      </c>
      <c r="AX172" s="14">
        <f>[1]Sheet2!Y171</f>
        <v>0</v>
      </c>
      <c r="AY172" s="16">
        <f>Demand_LP!B$8/30</f>
        <v>807.81611164529909</v>
      </c>
      <c r="AZ172" s="16">
        <f>Demand_LP!C$8/30</f>
        <v>574.48717948717956</v>
      </c>
      <c r="BA172" s="16">
        <f>Demand_LP!D$8/30</f>
        <v>339.04957264957267</v>
      </c>
      <c r="BB172" s="16">
        <f>Demand_LP!E$8/30</f>
        <v>830.46965811965799</v>
      </c>
      <c r="BC172" s="16">
        <f>Demand_LP!F$8/30</f>
        <v>476.67186805555554</v>
      </c>
      <c r="BD172" s="16">
        <f>Demand_LP!G$8/30</f>
        <v>807.81611164529909</v>
      </c>
      <c r="BE172" s="16">
        <f>Demand_LP!H$8/30</f>
        <v>574.48717948717956</v>
      </c>
      <c r="BF172" s="16">
        <f>Demand_LP!I$8/30</f>
        <v>476.67186805555554</v>
      </c>
      <c r="BG172" s="16">
        <f>Demand_LP!J$8/30</f>
        <v>476.67186805555554</v>
      </c>
      <c r="BH172" s="16">
        <f>Demand_LP!K$8/30</f>
        <v>476.67186805555554</v>
      </c>
      <c r="BI172" s="16" t="e">
        <f t="shared" si="73"/>
        <v>#VALUE!</v>
      </c>
      <c r="BJ172" s="16">
        <f t="shared" si="74"/>
        <v>-100292.24871794863</v>
      </c>
      <c r="BK172" s="16">
        <f t="shared" si="75"/>
        <v>-50623.011538461476</v>
      </c>
      <c r="BL172" s="16">
        <f t="shared" si="76"/>
        <v>-128596.27049659191</v>
      </c>
      <c r="BM172" s="16">
        <f t="shared" si="77"/>
        <v>-77060.984129706296</v>
      </c>
      <c r="BN172" s="16">
        <f t="shared" si="78"/>
        <v>-125188.11636114483</v>
      </c>
      <c r="BO172" s="16">
        <f t="shared" si="79"/>
        <v>-102649.82820512816</v>
      </c>
      <c r="BP172" s="16">
        <f t="shared" si="80"/>
        <v>-76518.668048076899</v>
      </c>
      <c r="BQ172" s="16">
        <f t="shared" si="81"/>
        <v>-73118.668048076943</v>
      </c>
      <c r="BR172" s="16">
        <f t="shared" si="82"/>
        <v>-74318.668048076899</v>
      </c>
      <c r="BS172" s="14">
        <f>IF([1]Sheet2!CA171=999999,"NA",[1]Sheet2!CA171)</f>
        <v>142160.33195192344</v>
      </c>
      <c r="BT172" s="14">
        <f>IF([1]Sheet2!CB171=999999,"NA",[1]Sheet2!CB171)</f>
        <v>118</v>
      </c>
      <c r="BU172" s="14">
        <f>IF([1]Sheet2!CC171=999999,"NA",[1]Sheet2!CC171)</f>
        <v>196</v>
      </c>
      <c r="BV172" s="14">
        <f>IF([1]Sheet2!CD171=999999,"NA",[1]Sheet2!CD171)</f>
        <v>196</v>
      </c>
      <c r="BW172" s="14">
        <f>IF([1]Sheet2!CE171=999999,"NA",[1]Sheet2!CE171)</f>
        <v>158</v>
      </c>
      <c r="BX172" s="14">
        <f>IF([1]Sheet2!CF171=999999,"NA",[1]Sheet2!CF171)</f>
        <v>196</v>
      </c>
      <c r="BY172" s="14">
        <f>IF([1]Sheet2!CG171=999999,"NA",[1]Sheet2!CG171)</f>
        <v>90</v>
      </c>
      <c r="BZ172" s="14">
        <f>IF([1]Sheet2!CH171=999999,"NA",[1]Sheet2!CH171)</f>
        <v>196</v>
      </c>
      <c r="CA172" s="14">
        <f>IF([1]Sheet2!CI171=999999,"NA",[1]Sheet2!CI171)</f>
        <v>196</v>
      </c>
      <c r="CB172" s="14">
        <f>IF([1]Sheet2!CJ171=999999,"NA",[1]Sheet2!CJ171)</f>
        <v>196</v>
      </c>
      <c r="CC172" s="14">
        <f>[1]Sheet2!BG171</f>
        <v>0</v>
      </c>
      <c r="CD172" s="14">
        <f>[1]Sheet2!BH171</f>
        <v>0</v>
      </c>
      <c r="CE172" s="14">
        <f>[1]Sheet2!BI171</f>
        <v>0</v>
      </c>
      <c r="CF172" s="14">
        <f>[1]Sheet2!BJ171</f>
        <v>0</v>
      </c>
      <c r="CG172" s="14">
        <f>[1]Sheet2!BK171</f>
        <v>0</v>
      </c>
      <c r="CH172" s="14">
        <f>[1]Sheet2!BL171</f>
        <v>0</v>
      </c>
      <c r="CI172" s="14">
        <f>[1]Sheet2!BM171</f>
        <v>0</v>
      </c>
      <c r="CJ172" s="14">
        <f>[1]Sheet2!BN171</f>
        <v>0</v>
      </c>
      <c r="CK172" s="14">
        <f>[1]Sheet2!BO171</f>
        <v>0</v>
      </c>
      <c r="CL172" s="14">
        <f>[1]Sheet2!BP171</f>
        <v>0</v>
      </c>
      <c r="CM172" s="16">
        <f>Demand_SW!B$8/30</f>
        <v>144.23076923076923</v>
      </c>
      <c r="CN172" s="16">
        <f>Demand_SW!C$8/30</f>
        <v>0</v>
      </c>
      <c r="CO172" s="16">
        <f>Demand_SW!D$8/30</f>
        <v>0</v>
      </c>
      <c r="CP172" s="16">
        <f>Demand_SW!E$8/30</f>
        <v>0</v>
      </c>
      <c r="CQ172" s="16">
        <f>Demand_SW!F$8/30</f>
        <v>0</v>
      </c>
      <c r="CR172" s="16">
        <f>Demand_SW!G$8/30</f>
        <v>144.23076923076923</v>
      </c>
      <c r="CS172" s="16">
        <f>Demand_SW!H$8/30</f>
        <v>0</v>
      </c>
      <c r="CT172" s="16">
        <f>Demand_SW!I$8/30</f>
        <v>0</v>
      </c>
      <c r="CU172" s="16">
        <f>Demand_SW!J$8/30</f>
        <v>0</v>
      </c>
      <c r="CV172" s="16">
        <f>Demand_SW!K$8/30</f>
        <v>0</v>
      </c>
      <c r="CW172" s="16">
        <f t="shared" si="83"/>
        <v>28133.076923076966</v>
      </c>
      <c r="CX172" s="16">
        <f t="shared" si="84"/>
        <v>-423.07692307692292</v>
      </c>
      <c r="CY172" s="16">
        <f t="shared" si="85"/>
        <v>0</v>
      </c>
      <c r="CZ172" s="16">
        <f t="shared" si="86"/>
        <v>0</v>
      </c>
      <c r="DA172" s="16">
        <f t="shared" si="87"/>
        <v>0</v>
      </c>
      <c r="DB172" s="16">
        <f t="shared" si="88"/>
        <v>-21396.153846153829</v>
      </c>
      <c r="DC172" s="16">
        <f t="shared" si="89"/>
        <v>-423.07692307692292</v>
      </c>
      <c r="DD172" s="16">
        <f t="shared" si="90"/>
        <v>0</v>
      </c>
      <c r="DE172" s="16">
        <f t="shared" si="91"/>
        <v>0</v>
      </c>
      <c r="DF172" s="16">
        <f t="shared" si="92"/>
        <v>0</v>
      </c>
      <c r="DG172" s="14">
        <f>IF([1]Sheet2!DR171=999999,"NA",[1]Sheet2!DR171)</f>
        <v>73103</v>
      </c>
      <c r="DH172" s="14">
        <f>IF([1]Sheet2!DS171=999999,"NA",[1]Sheet2!DS171)</f>
        <v>196</v>
      </c>
      <c r="DI172" s="14">
        <f>IF([1]Sheet2!DT171=999999,"NA",[1]Sheet2!DT171)</f>
        <v>196</v>
      </c>
      <c r="DJ172" s="14" t="str">
        <f>IF([1]Sheet2!DU171=999999,"NA",[1]Sheet2!DU171)</f>
        <v>NA</v>
      </c>
      <c r="DK172" s="14" t="str">
        <f>IF([1]Sheet2!DV171=999999,"NA",[1]Sheet2!DV171)</f>
        <v>NA</v>
      </c>
      <c r="DL172" s="14" t="str">
        <f>IF([1]Sheet2!DW171=999999,"NA",[1]Sheet2!DW171)</f>
        <v>NA</v>
      </c>
      <c r="DM172" s="14">
        <f>IF([1]Sheet2!DX171=999999,"NA",[1]Sheet2!DX171)</f>
        <v>196</v>
      </c>
      <c r="DN172" s="14">
        <f>IF([1]Sheet2!DY171=999999,"NA",[1]Sheet2!DY171)</f>
        <v>196</v>
      </c>
      <c r="DO172" s="14" t="str">
        <f>IF([1]Sheet2!DZ171=999999,"NA",[1]Sheet2!DZ171)</f>
        <v>NA</v>
      </c>
      <c r="DP172" s="14" t="str">
        <f>IF([1]Sheet2!EA171=999999,"NA",[1]Sheet2!EA171)</f>
        <v>NA</v>
      </c>
      <c r="DQ172" s="14">
        <f>[1]Sheet2!CX171</f>
        <v>0</v>
      </c>
      <c r="DR172" s="14">
        <f>[1]Sheet2!CY171</f>
        <v>0</v>
      </c>
      <c r="DS172" s="14">
        <f>[1]Sheet2!CZ171</f>
        <v>0</v>
      </c>
      <c r="DT172" s="14">
        <f>[1]Sheet2!DA171</f>
        <v>0</v>
      </c>
      <c r="DU172" s="14">
        <f>[1]Sheet2!DB171</f>
        <v>0</v>
      </c>
      <c r="DV172" s="14">
        <f>[1]Sheet2!DC171</f>
        <v>0</v>
      </c>
      <c r="DW172" s="14">
        <f>[1]Sheet2!DD171</f>
        <v>0</v>
      </c>
      <c r="DX172" s="14">
        <f>[1]Sheet2!DE171</f>
        <v>0</v>
      </c>
      <c r="DY172" s="14">
        <f>[1]Sheet2!DF171</f>
        <v>0</v>
      </c>
      <c r="DZ172" s="14">
        <f>[1]Sheet2!DG171</f>
        <v>0</v>
      </c>
    </row>
    <row r="173" spans="1:130" x14ac:dyDescent="0.25">
      <c r="A173" s="15">
        <v>43635</v>
      </c>
      <c r="B173" s="1"/>
      <c r="C173" s="1"/>
      <c r="D173" s="1"/>
      <c r="E173" s="14">
        <f>[1]Sheet2!N172</f>
        <v>0</v>
      </c>
      <c r="F173" s="14">
        <f>[1]Sheet2!BE172</f>
        <v>0</v>
      </c>
      <c r="G173" s="14">
        <f>[1]Sheet2!CV172</f>
        <v>288.46153846153851</v>
      </c>
      <c r="H173" s="1"/>
      <c r="I173" s="1"/>
      <c r="J173" s="1"/>
      <c r="K173" s="16">
        <f>Demand_CWRS!B$8/30</f>
        <v>124.86819391025641</v>
      </c>
      <c r="L173" s="16">
        <f>Demand_CWRS!C$8/30</f>
        <v>583.20512820512829</v>
      </c>
      <c r="M173" s="16">
        <f>Demand_CWRS!D$8/30</f>
        <v>0</v>
      </c>
      <c r="N173" s="16">
        <f>Demand_CWRS!E$8/30</f>
        <v>156.84829059829062</v>
      </c>
      <c r="O173" s="16">
        <f>Demand_CWRS!F$8/30</f>
        <v>252.39596314102559</v>
      </c>
      <c r="P173" s="16">
        <f>Demand_CWRS!G$8/30</f>
        <v>124.86819391025641</v>
      </c>
      <c r="Q173" s="16">
        <f>Demand_CWRS!H$8/30</f>
        <v>583.20512820512829</v>
      </c>
      <c r="R173" s="16">
        <f>Demand_CWRS!I$8/30</f>
        <v>246.66666666666666</v>
      </c>
      <c r="S173" s="16">
        <f>Demand_CWRS!J$8/30</f>
        <v>246.66666666666666</v>
      </c>
      <c r="T173" s="16">
        <f>Demand_CWRS!K$8/30</f>
        <v>246.66666666666666</v>
      </c>
      <c r="U173" s="16">
        <f t="shared" si="63"/>
        <v>-24987.211404383692</v>
      </c>
      <c r="V173" s="16">
        <f t="shared" si="64"/>
        <v>-80440.905128204904</v>
      </c>
      <c r="W173" s="16">
        <f t="shared" si="65"/>
        <v>0</v>
      </c>
      <c r="X173" s="16">
        <f t="shared" si="66"/>
        <v>-18815.945353240273</v>
      </c>
      <c r="Y173" s="16">
        <f t="shared" si="67"/>
        <v>-38501.808240242637</v>
      </c>
      <c r="Z173" s="16">
        <f t="shared" si="68"/>
        <v>-24661.438255345241</v>
      </c>
      <c r="AA173" s="16">
        <f t="shared" si="69"/>
        <v>-79940.905128204904</v>
      </c>
      <c r="AB173" s="16">
        <f t="shared" si="70"/>
        <v>-36080.985020691325</v>
      </c>
      <c r="AC173" s="16">
        <f t="shared" si="71"/>
        <v>-36080.985020691318</v>
      </c>
      <c r="AD173" s="16">
        <f t="shared" si="72"/>
        <v>-36780.985020691311</v>
      </c>
      <c r="AE173" s="14">
        <f>IF([1]Sheet2!AJ172=999999,"NA",[1]Sheet2!AJ172)</f>
        <v>0</v>
      </c>
      <c r="AF173" s="14">
        <f>IF([1]Sheet2!AK172=999999,"NA",[1]Sheet2!AK172)</f>
        <v>0</v>
      </c>
      <c r="AG173" s="14" t="str">
        <f>IF([1]Sheet2!AL172=999999,"NA",[1]Sheet2!AL172)</f>
        <v>NA</v>
      </c>
      <c r="AH173" s="14">
        <f>IF([1]Sheet2!AM172=999999,"NA",[1]Sheet2!AM172)</f>
        <v>195</v>
      </c>
      <c r="AI173" s="14">
        <f>IF([1]Sheet2!AN172=999999,"NA",[1]Sheet2!AN172)</f>
        <v>195</v>
      </c>
      <c r="AJ173" s="14">
        <f>IF([1]Sheet2!AO172=999999,"NA",[1]Sheet2!AO172)</f>
        <v>195</v>
      </c>
      <c r="AK173" s="14">
        <f>IF([1]Sheet2!AP172=999999,"NA",[1]Sheet2!AP172)</f>
        <v>0</v>
      </c>
      <c r="AL173" s="14">
        <f>IF([1]Sheet2!AQ172=999999,"NA",[1]Sheet2!AQ172)</f>
        <v>71</v>
      </c>
      <c r="AM173" s="14">
        <f>IF([1]Sheet2!AR172=999999,"NA",[1]Sheet2!AR172)</f>
        <v>195</v>
      </c>
      <c r="AN173" s="14">
        <f>IF([1]Sheet2!AS172=999999,"NA",[1]Sheet2!AS172)</f>
        <v>127</v>
      </c>
      <c r="AO173" s="14">
        <f>[1]Sheet2!P172</f>
        <v>0</v>
      </c>
      <c r="AP173" s="14">
        <f>[1]Sheet2!Q172</f>
        <v>0</v>
      </c>
      <c r="AQ173" s="14">
        <f>[1]Sheet2!R172</f>
        <v>0</v>
      </c>
      <c r="AR173" s="14">
        <f>[1]Sheet2!S172</f>
        <v>0</v>
      </c>
      <c r="AS173" s="14">
        <f>[1]Sheet2!T172</f>
        <v>0</v>
      </c>
      <c r="AT173" s="14">
        <f>[1]Sheet2!U172</f>
        <v>0</v>
      </c>
      <c r="AU173" s="14">
        <f>[1]Sheet2!V172</f>
        <v>0</v>
      </c>
      <c r="AV173" s="14">
        <f>[1]Sheet2!W172</f>
        <v>0</v>
      </c>
      <c r="AW173" s="14">
        <f>[1]Sheet2!X172</f>
        <v>0</v>
      </c>
      <c r="AX173" s="14">
        <f>[1]Sheet2!Y172</f>
        <v>0</v>
      </c>
      <c r="AY173" s="16">
        <f>Demand_LP!B$8/30</f>
        <v>807.81611164529909</v>
      </c>
      <c r="AZ173" s="16">
        <f>Demand_LP!C$8/30</f>
        <v>574.48717948717956</v>
      </c>
      <c r="BA173" s="16">
        <f>Demand_LP!D$8/30</f>
        <v>339.04957264957267</v>
      </c>
      <c r="BB173" s="16">
        <f>Demand_LP!E$8/30</f>
        <v>830.46965811965799</v>
      </c>
      <c r="BC173" s="16">
        <f>Demand_LP!F$8/30</f>
        <v>476.67186805555554</v>
      </c>
      <c r="BD173" s="16">
        <f>Demand_LP!G$8/30</f>
        <v>807.81611164529909</v>
      </c>
      <c r="BE173" s="16">
        <f>Demand_LP!H$8/30</f>
        <v>574.48717948717956</v>
      </c>
      <c r="BF173" s="16">
        <f>Demand_LP!I$8/30</f>
        <v>476.67186805555554</v>
      </c>
      <c r="BG173" s="16">
        <f>Demand_LP!J$8/30</f>
        <v>476.67186805555554</v>
      </c>
      <c r="BH173" s="16">
        <f>Demand_LP!K$8/30</f>
        <v>476.67186805555554</v>
      </c>
      <c r="BI173" s="16" t="e">
        <f t="shared" si="73"/>
        <v>#VALUE!</v>
      </c>
      <c r="BJ173" s="16">
        <f t="shared" si="74"/>
        <v>-100866.73589743581</v>
      </c>
      <c r="BK173" s="16">
        <f t="shared" si="75"/>
        <v>-50962.061111111048</v>
      </c>
      <c r="BL173" s="16">
        <f t="shared" si="76"/>
        <v>-129426.74015471157</v>
      </c>
      <c r="BM173" s="16">
        <f t="shared" si="77"/>
        <v>-77537.655997761845</v>
      </c>
      <c r="BN173" s="16">
        <f t="shared" si="78"/>
        <v>-125995.93247279013</v>
      </c>
      <c r="BO173" s="16">
        <f t="shared" si="79"/>
        <v>-103224.31538461533</v>
      </c>
      <c r="BP173" s="16">
        <f t="shared" si="80"/>
        <v>-76995.339916132449</v>
      </c>
      <c r="BQ173" s="16">
        <f t="shared" si="81"/>
        <v>-73595.339916132492</v>
      </c>
      <c r="BR173" s="16">
        <f t="shared" si="82"/>
        <v>-74795.339916132449</v>
      </c>
      <c r="BS173" s="14">
        <f>IF([1]Sheet2!CA172=999999,"NA",[1]Sheet2!CA172)</f>
        <v>141683.66008386787</v>
      </c>
      <c r="BT173" s="14">
        <f>IF([1]Sheet2!CB172=999999,"NA",[1]Sheet2!CB172)</f>
        <v>117</v>
      </c>
      <c r="BU173" s="14">
        <f>IF([1]Sheet2!CC172=999999,"NA",[1]Sheet2!CC172)</f>
        <v>195</v>
      </c>
      <c r="BV173" s="14">
        <f>IF([1]Sheet2!CD172=999999,"NA",[1]Sheet2!CD172)</f>
        <v>195</v>
      </c>
      <c r="BW173" s="14">
        <f>IF([1]Sheet2!CE172=999999,"NA",[1]Sheet2!CE172)</f>
        <v>157</v>
      </c>
      <c r="BX173" s="14">
        <f>IF([1]Sheet2!CF172=999999,"NA",[1]Sheet2!CF172)</f>
        <v>195</v>
      </c>
      <c r="BY173" s="14">
        <f>IF([1]Sheet2!CG172=999999,"NA",[1]Sheet2!CG172)</f>
        <v>89</v>
      </c>
      <c r="BZ173" s="14">
        <f>IF([1]Sheet2!CH172=999999,"NA",[1]Sheet2!CH172)</f>
        <v>195</v>
      </c>
      <c r="CA173" s="14">
        <f>IF([1]Sheet2!CI172=999999,"NA",[1]Sheet2!CI172)</f>
        <v>195</v>
      </c>
      <c r="CB173" s="14">
        <f>IF([1]Sheet2!CJ172=999999,"NA",[1]Sheet2!CJ172)</f>
        <v>195</v>
      </c>
      <c r="CC173" s="14">
        <f>[1]Sheet2!BG172</f>
        <v>0</v>
      </c>
      <c r="CD173" s="14">
        <f>[1]Sheet2!BH172</f>
        <v>0</v>
      </c>
      <c r="CE173" s="14">
        <f>[1]Sheet2!BI172</f>
        <v>0</v>
      </c>
      <c r="CF173" s="14">
        <f>[1]Sheet2!BJ172</f>
        <v>0</v>
      </c>
      <c r="CG173" s="14">
        <f>[1]Sheet2!BK172</f>
        <v>0</v>
      </c>
      <c r="CH173" s="14">
        <f>[1]Sheet2!BL172</f>
        <v>0</v>
      </c>
      <c r="CI173" s="14">
        <f>[1]Sheet2!BM172</f>
        <v>0</v>
      </c>
      <c r="CJ173" s="14">
        <f>[1]Sheet2!BN172</f>
        <v>0</v>
      </c>
      <c r="CK173" s="14">
        <f>[1]Sheet2!BO172</f>
        <v>0</v>
      </c>
      <c r="CL173" s="14">
        <f>[1]Sheet2!BP172</f>
        <v>0</v>
      </c>
      <c r="CM173" s="16">
        <f>Demand_SW!B$8/30</f>
        <v>144.23076923076923</v>
      </c>
      <c r="CN173" s="16">
        <f>Demand_SW!C$8/30</f>
        <v>0</v>
      </c>
      <c r="CO173" s="16">
        <f>Demand_SW!D$8/30</f>
        <v>0</v>
      </c>
      <c r="CP173" s="16">
        <f>Demand_SW!E$8/30</f>
        <v>0</v>
      </c>
      <c r="CQ173" s="16">
        <f>Demand_SW!F$8/30</f>
        <v>0</v>
      </c>
      <c r="CR173" s="16">
        <f>Demand_SW!G$8/30</f>
        <v>144.23076923076923</v>
      </c>
      <c r="CS173" s="16">
        <f>Demand_SW!H$8/30</f>
        <v>0</v>
      </c>
      <c r="CT173" s="16">
        <f>Demand_SW!I$8/30</f>
        <v>0</v>
      </c>
      <c r="CU173" s="16">
        <f>Demand_SW!J$8/30</f>
        <v>0</v>
      </c>
      <c r="CV173" s="16">
        <f>Demand_SW!K$8/30</f>
        <v>0</v>
      </c>
      <c r="CW173" s="16">
        <f t="shared" si="83"/>
        <v>27988.846153846196</v>
      </c>
      <c r="CX173" s="16">
        <f t="shared" si="84"/>
        <v>-423.07692307692292</v>
      </c>
      <c r="CY173" s="16">
        <f t="shared" si="85"/>
        <v>0</v>
      </c>
      <c r="CZ173" s="16">
        <f t="shared" si="86"/>
        <v>0</v>
      </c>
      <c r="DA173" s="16">
        <f t="shared" si="87"/>
        <v>0</v>
      </c>
      <c r="DB173" s="16">
        <f t="shared" si="88"/>
        <v>-21540.384615384599</v>
      </c>
      <c r="DC173" s="16">
        <f t="shared" si="89"/>
        <v>-423.07692307692292</v>
      </c>
      <c r="DD173" s="16">
        <f t="shared" si="90"/>
        <v>0</v>
      </c>
      <c r="DE173" s="16">
        <f t="shared" si="91"/>
        <v>0</v>
      </c>
      <c r="DF173" s="16">
        <f t="shared" si="92"/>
        <v>0</v>
      </c>
      <c r="DG173" s="14">
        <f>IF([1]Sheet2!DR172=999999,"NA",[1]Sheet2!DR172)</f>
        <v>73103</v>
      </c>
      <c r="DH173" s="14">
        <f>IF([1]Sheet2!DS172=999999,"NA",[1]Sheet2!DS172)</f>
        <v>195</v>
      </c>
      <c r="DI173" s="14">
        <f>IF([1]Sheet2!DT172=999999,"NA",[1]Sheet2!DT172)</f>
        <v>195</v>
      </c>
      <c r="DJ173" s="14" t="str">
        <f>IF([1]Sheet2!DU172=999999,"NA",[1]Sheet2!DU172)</f>
        <v>NA</v>
      </c>
      <c r="DK173" s="14" t="str">
        <f>IF([1]Sheet2!DV172=999999,"NA",[1]Sheet2!DV172)</f>
        <v>NA</v>
      </c>
      <c r="DL173" s="14" t="str">
        <f>IF([1]Sheet2!DW172=999999,"NA",[1]Sheet2!DW172)</f>
        <v>NA</v>
      </c>
      <c r="DM173" s="14">
        <f>IF([1]Sheet2!DX172=999999,"NA",[1]Sheet2!DX172)</f>
        <v>195</v>
      </c>
      <c r="DN173" s="14">
        <f>IF([1]Sheet2!DY172=999999,"NA",[1]Sheet2!DY172)</f>
        <v>195</v>
      </c>
      <c r="DO173" s="14" t="str">
        <f>IF([1]Sheet2!DZ172=999999,"NA",[1]Sheet2!DZ172)</f>
        <v>NA</v>
      </c>
      <c r="DP173" s="14" t="str">
        <f>IF([1]Sheet2!EA172=999999,"NA",[1]Sheet2!EA172)</f>
        <v>NA</v>
      </c>
      <c r="DQ173" s="14">
        <f>[1]Sheet2!CX172</f>
        <v>0</v>
      </c>
      <c r="DR173" s="14">
        <f>[1]Sheet2!CY172</f>
        <v>0</v>
      </c>
      <c r="DS173" s="14">
        <f>[1]Sheet2!CZ172</f>
        <v>0</v>
      </c>
      <c r="DT173" s="14">
        <f>[1]Sheet2!DA172</f>
        <v>0</v>
      </c>
      <c r="DU173" s="14">
        <f>[1]Sheet2!DB172</f>
        <v>0</v>
      </c>
      <c r="DV173" s="14">
        <f>[1]Sheet2!DC172</f>
        <v>0</v>
      </c>
      <c r="DW173" s="14">
        <f>[1]Sheet2!DD172</f>
        <v>0</v>
      </c>
      <c r="DX173" s="14">
        <f>[1]Sheet2!DE172</f>
        <v>0</v>
      </c>
      <c r="DY173" s="14">
        <f>[1]Sheet2!DF172</f>
        <v>0</v>
      </c>
      <c r="DZ173" s="14">
        <f>[1]Sheet2!DG172</f>
        <v>0</v>
      </c>
    </row>
    <row r="174" spans="1:130" x14ac:dyDescent="0.25">
      <c r="A174" s="15">
        <v>43636</v>
      </c>
      <c r="B174" s="1"/>
      <c r="C174" s="1"/>
      <c r="D174" s="1"/>
      <c r="E174" s="14">
        <f>[1]Sheet2!N173</f>
        <v>0</v>
      </c>
      <c r="F174" s="14">
        <f>[1]Sheet2!BE173</f>
        <v>0</v>
      </c>
      <c r="G174" s="14">
        <f>[1]Sheet2!CV173</f>
        <v>288.46153846153851</v>
      </c>
      <c r="H174" s="1"/>
      <c r="I174" s="1"/>
      <c r="J174" s="1"/>
      <c r="K174" s="16">
        <f>Demand_CWRS!B$8/30</f>
        <v>124.86819391025641</v>
      </c>
      <c r="L174" s="16">
        <f>Demand_CWRS!C$8/30</f>
        <v>583.20512820512829</v>
      </c>
      <c r="M174" s="16">
        <f>Demand_CWRS!D$8/30</f>
        <v>0</v>
      </c>
      <c r="N174" s="16">
        <f>Demand_CWRS!E$8/30</f>
        <v>156.84829059829062</v>
      </c>
      <c r="O174" s="16">
        <f>Demand_CWRS!F$8/30</f>
        <v>252.39596314102559</v>
      </c>
      <c r="P174" s="16">
        <f>Demand_CWRS!G$8/30</f>
        <v>124.86819391025641</v>
      </c>
      <c r="Q174" s="16">
        <f>Demand_CWRS!H$8/30</f>
        <v>583.20512820512829</v>
      </c>
      <c r="R174" s="16">
        <f>Demand_CWRS!I$8/30</f>
        <v>246.66666666666666</v>
      </c>
      <c r="S174" s="16">
        <f>Demand_CWRS!J$8/30</f>
        <v>246.66666666666666</v>
      </c>
      <c r="T174" s="16">
        <f>Demand_CWRS!K$8/30</f>
        <v>246.66666666666666</v>
      </c>
      <c r="U174" s="16">
        <f t="shared" si="63"/>
        <v>-25112.079598293949</v>
      </c>
      <c r="V174" s="16">
        <f t="shared" si="64"/>
        <v>-81024.110256410029</v>
      </c>
      <c r="W174" s="16">
        <f t="shared" si="65"/>
        <v>0</v>
      </c>
      <c r="X174" s="16">
        <f t="shared" si="66"/>
        <v>-18972.793643838562</v>
      </c>
      <c r="Y174" s="16">
        <f t="shared" si="67"/>
        <v>-38754.204203383662</v>
      </c>
      <c r="Z174" s="16">
        <f t="shared" si="68"/>
        <v>-24786.306449255499</v>
      </c>
      <c r="AA174" s="16">
        <f t="shared" si="69"/>
        <v>-80524.110256410029</v>
      </c>
      <c r="AB174" s="16">
        <f t="shared" si="70"/>
        <v>-36327.651687357989</v>
      </c>
      <c r="AC174" s="16">
        <f t="shared" si="71"/>
        <v>-36327.651687357982</v>
      </c>
      <c r="AD174" s="16">
        <f t="shared" si="72"/>
        <v>-37027.651687357975</v>
      </c>
      <c r="AE174" s="14">
        <f>IF([1]Sheet2!AJ173=999999,"NA",[1]Sheet2!AJ173)</f>
        <v>0</v>
      </c>
      <c r="AF174" s="14">
        <f>IF([1]Sheet2!AK173=999999,"NA",[1]Sheet2!AK173)</f>
        <v>0</v>
      </c>
      <c r="AG174" s="14" t="str">
        <f>IF([1]Sheet2!AL173=999999,"NA",[1]Sheet2!AL173)</f>
        <v>NA</v>
      </c>
      <c r="AH174" s="14">
        <f>IF([1]Sheet2!AM173=999999,"NA",[1]Sheet2!AM173)</f>
        <v>194</v>
      </c>
      <c r="AI174" s="14">
        <f>IF([1]Sheet2!AN173=999999,"NA",[1]Sheet2!AN173)</f>
        <v>194</v>
      </c>
      <c r="AJ174" s="14">
        <f>IF([1]Sheet2!AO173=999999,"NA",[1]Sheet2!AO173)</f>
        <v>194</v>
      </c>
      <c r="AK174" s="14">
        <f>IF([1]Sheet2!AP173=999999,"NA",[1]Sheet2!AP173)</f>
        <v>0</v>
      </c>
      <c r="AL174" s="14">
        <f>IF([1]Sheet2!AQ173=999999,"NA",[1]Sheet2!AQ173)</f>
        <v>70</v>
      </c>
      <c r="AM174" s="14">
        <f>IF([1]Sheet2!AR173=999999,"NA",[1]Sheet2!AR173)</f>
        <v>194</v>
      </c>
      <c r="AN174" s="14">
        <f>IF([1]Sheet2!AS173=999999,"NA",[1]Sheet2!AS173)</f>
        <v>126</v>
      </c>
      <c r="AO174" s="14">
        <f>[1]Sheet2!P173</f>
        <v>0</v>
      </c>
      <c r="AP174" s="14">
        <f>[1]Sheet2!Q173</f>
        <v>0</v>
      </c>
      <c r="AQ174" s="14">
        <f>[1]Sheet2!R173</f>
        <v>0</v>
      </c>
      <c r="AR174" s="14">
        <f>[1]Sheet2!S173</f>
        <v>0</v>
      </c>
      <c r="AS174" s="14">
        <f>[1]Sheet2!T173</f>
        <v>0</v>
      </c>
      <c r="AT174" s="14">
        <f>[1]Sheet2!U173</f>
        <v>0</v>
      </c>
      <c r="AU174" s="14">
        <f>[1]Sheet2!V173</f>
        <v>0</v>
      </c>
      <c r="AV174" s="14">
        <f>[1]Sheet2!W173</f>
        <v>0</v>
      </c>
      <c r="AW174" s="14">
        <f>[1]Sheet2!X173</f>
        <v>0</v>
      </c>
      <c r="AX174" s="14">
        <f>[1]Sheet2!Y173</f>
        <v>0</v>
      </c>
      <c r="AY174" s="16">
        <f>Demand_LP!B$8/30</f>
        <v>807.81611164529909</v>
      </c>
      <c r="AZ174" s="16">
        <f>Demand_LP!C$8/30</f>
        <v>574.48717948717956</v>
      </c>
      <c r="BA174" s="16">
        <f>Demand_LP!D$8/30</f>
        <v>339.04957264957267</v>
      </c>
      <c r="BB174" s="16">
        <f>Demand_LP!E$8/30</f>
        <v>830.46965811965799</v>
      </c>
      <c r="BC174" s="16">
        <f>Demand_LP!F$8/30</f>
        <v>476.67186805555554</v>
      </c>
      <c r="BD174" s="16">
        <f>Demand_LP!G$8/30</f>
        <v>807.81611164529909</v>
      </c>
      <c r="BE174" s="16">
        <f>Demand_LP!H$8/30</f>
        <v>574.48717948717956</v>
      </c>
      <c r="BF174" s="16">
        <f>Demand_LP!I$8/30</f>
        <v>476.67186805555554</v>
      </c>
      <c r="BG174" s="16">
        <f>Demand_LP!J$8/30</f>
        <v>476.67186805555554</v>
      </c>
      <c r="BH174" s="16">
        <f>Demand_LP!K$8/30</f>
        <v>476.67186805555554</v>
      </c>
      <c r="BI174" s="16" t="e">
        <f t="shared" si="73"/>
        <v>#VALUE!</v>
      </c>
      <c r="BJ174" s="16">
        <f t="shared" si="74"/>
        <v>-101441.22307692298</v>
      </c>
      <c r="BK174" s="16">
        <f t="shared" si="75"/>
        <v>-51301.11068376062</v>
      </c>
      <c r="BL174" s="16">
        <f t="shared" si="76"/>
        <v>-130257.20981283124</v>
      </c>
      <c r="BM174" s="16">
        <f t="shared" si="77"/>
        <v>-78014.327865817395</v>
      </c>
      <c r="BN174" s="16">
        <f t="shared" si="78"/>
        <v>-126803.74858443542</v>
      </c>
      <c r="BO174" s="16">
        <f t="shared" si="79"/>
        <v>-103798.8025641025</v>
      </c>
      <c r="BP174" s="16">
        <f t="shared" si="80"/>
        <v>-77472.011784187998</v>
      </c>
      <c r="BQ174" s="16">
        <f t="shared" si="81"/>
        <v>-74072.011784188042</v>
      </c>
      <c r="BR174" s="16">
        <f t="shared" si="82"/>
        <v>-75272.011784187998</v>
      </c>
      <c r="BS174" s="14">
        <f>IF([1]Sheet2!CA173=999999,"NA",[1]Sheet2!CA173)</f>
        <v>141206.98821581231</v>
      </c>
      <c r="BT174" s="14">
        <f>IF([1]Sheet2!CB173=999999,"NA",[1]Sheet2!CB173)</f>
        <v>116</v>
      </c>
      <c r="BU174" s="14">
        <f>IF([1]Sheet2!CC173=999999,"NA",[1]Sheet2!CC173)</f>
        <v>194</v>
      </c>
      <c r="BV174" s="14">
        <f>IF([1]Sheet2!CD173=999999,"NA",[1]Sheet2!CD173)</f>
        <v>194</v>
      </c>
      <c r="BW174" s="14">
        <f>IF([1]Sheet2!CE173=999999,"NA",[1]Sheet2!CE173)</f>
        <v>156</v>
      </c>
      <c r="BX174" s="14">
        <f>IF([1]Sheet2!CF173=999999,"NA",[1]Sheet2!CF173)</f>
        <v>194</v>
      </c>
      <c r="BY174" s="14">
        <f>IF([1]Sheet2!CG173=999999,"NA",[1]Sheet2!CG173)</f>
        <v>88</v>
      </c>
      <c r="BZ174" s="14">
        <f>IF([1]Sheet2!CH173=999999,"NA",[1]Sheet2!CH173)</f>
        <v>194</v>
      </c>
      <c r="CA174" s="14">
        <f>IF([1]Sheet2!CI173=999999,"NA",[1]Sheet2!CI173)</f>
        <v>194</v>
      </c>
      <c r="CB174" s="14">
        <f>IF([1]Sheet2!CJ173=999999,"NA",[1]Sheet2!CJ173)</f>
        <v>194</v>
      </c>
      <c r="CC174" s="14">
        <f>[1]Sheet2!BG173</f>
        <v>0</v>
      </c>
      <c r="CD174" s="14">
        <f>[1]Sheet2!BH173</f>
        <v>0</v>
      </c>
      <c r="CE174" s="14">
        <f>[1]Sheet2!BI173</f>
        <v>0</v>
      </c>
      <c r="CF174" s="14">
        <f>[1]Sheet2!BJ173</f>
        <v>0</v>
      </c>
      <c r="CG174" s="14">
        <f>[1]Sheet2!BK173</f>
        <v>0</v>
      </c>
      <c r="CH174" s="14">
        <f>[1]Sheet2!BL173</f>
        <v>0</v>
      </c>
      <c r="CI174" s="14">
        <f>[1]Sheet2!BM173</f>
        <v>0</v>
      </c>
      <c r="CJ174" s="14">
        <f>[1]Sheet2!BN173</f>
        <v>0</v>
      </c>
      <c r="CK174" s="14">
        <f>[1]Sheet2!BO173</f>
        <v>0</v>
      </c>
      <c r="CL174" s="14">
        <f>[1]Sheet2!BP173</f>
        <v>0</v>
      </c>
      <c r="CM174" s="16">
        <f>Demand_SW!B$8/30</f>
        <v>144.23076923076923</v>
      </c>
      <c r="CN174" s="16">
        <f>Demand_SW!C$8/30</f>
        <v>0</v>
      </c>
      <c r="CO174" s="16">
        <f>Demand_SW!D$8/30</f>
        <v>0</v>
      </c>
      <c r="CP174" s="16">
        <f>Demand_SW!E$8/30</f>
        <v>0</v>
      </c>
      <c r="CQ174" s="16">
        <f>Demand_SW!F$8/30</f>
        <v>0</v>
      </c>
      <c r="CR174" s="16">
        <f>Demand_SW!G$8/30</f>
        <v>144.23076923076923</v>
      </c>
      <c r="CS174" s="16">
        <f>Demand_SW!H$8/30</f>
        <v>0</v>
      </c>
      <c r="CT174" s="16">
        <f>Demand_SW!I$8/30</f>
        <v>0</v>
      </c>
      <c r="CU174" s="16">
        <f>Demand_SW!J$8/30</f>
        <v>0</v>
      </c>
      <c r="CV174" s="16">
        <f>Demand_SW!K$8/30</f>
        <v>0</v>
      </c>
      <c r="CW174" s="16">
        <f t="shared" si="83"/>
        <v>27844.615384615427</v>
      </c>
      <c r="CX174" s="16">
        <f t="shared" si="84"/>
        <v>-423.07692307692292</v>
      </c>
      <c r="CY174" s="16">
        <f t="shared" si="85"/>
        <v>0</v>
      </c>
      <c r="CZ174" s="16">
        <f t="shared" si="86"/>
        <v>0</v>
      </c>
      <c r="DA174" s="16">
        <f t="shared" si="87"/>
        <v>0</v>
      </c>
      <c r="DB174" s="16">
        <f t="shared" si="88"/>
        <v>-21684.615384615368</v>
      </c>
      <c r="DC174" s="16">
        <f t="shared" si="89"/>
        <v>-423.07692307692292</v>
      </c>
      <c r="DD174" s="16">
        <f t="shared" si="90"/>
        <v>0</v>
      </c>
      <c r="DE174" s="16">
        <f t="shared" si="91"/>
        <v>0</v>
      </c>
      <c r="DF174" s="16">
        <f t="shared" si="92"/>
        <v>0</v>
      </c>
      <c r="DG174" s="14">
        <f>IF([1]Sheet2!DR173=999999,"NA",[1]Sheet2!DR173)</f>
        <v>73103</v>
      </c>
      <c r="DH174" s="14">
        <f>IF([1]Sheet2!DS173=999999,"NA",[1]Sheet2!DS173)</f>
        <v>194</v>
      </c>
      <c r="DI174" s="14">
        <f>IF([1]Sheet2!DT173=999999,"NA",[1]Sheet2!DT173)</f>
        <v>194</v>
      </c>
      <c r="DJ174" s="14" t="str">
        <f>IF([1]Sheet2!DU173=999999,"NA",[1]Sheet2!DU173)</f>
        <v>NA</v>
      </c>
      <c r="DK174" s="14" t="str">
        <f>IF([1]Sheet2!DV173=999999,"NA",[1]Sheet2!DV173)</f>
        <v>NA</v>
      </c>
      <c r="DL174" s="14" t="str">
        <f>IF([1]Sheet2!DW173=999999,"NA",[1]Sheet2!DW173)</f>
        <v>NA</v>
      </c>
      <c r="DM174" s="14">
        <f>IF([1]Sheet2!DX173=999999,"NA",[1]Sheet2!DX173)</f>
        <v>194</v>
      </c>
      <c r="DN174" s="14">
        <f>IF([1]Sheet2!DY173=999999,"NA",[1]Sheet2!DY173)</f>
        <v>194</v>
      </c>
      <c r="DO174" s="14" t="str">
        <f>IF([1]Sheet2!DZ173=999999,"NA",[1]Sheet2!DZ173)</f>
        <v>NA</v>
      </c>
      <c r="DP174" s="14" t="str">
        <f>IF([1]Sheet2!EA173=999999,"NA",[1]Sheet2!EA173)</f>
        <v>NA</v>
      </c>
      <c r="DQ174" s="14">
        <f>[1]Sheet2!CX173</f>
        <v>0</v>
      </c>
      <c r="DR174" s="14">
        <f>[1]Sheet2!CY173</f>
        <v>0</v>
      </c>
      <c r="DS174" s="14">
        <f>[1]Sheet2!CZ173</f>
        <v>0</v>
      </c>
      <c r="DT174" s="14">
        <f>[1]Sheet2!DA173</f>
        <v>0</v>
      </c>
      <c r="DU174" s="14">
        <f>[1]Sheet2!DB173</f>
        <v>0</v>
      </c>
      <c r="DV174" s="14">
        <f>[1]Sheet2!DC173</f>
        <v>0</v>
      </c>
      <c r="DW174" s="14">
        <f>[1]Sheet2!DD173</f>
        <v>0</v>
      </c>
      <c r="DX174" s="14">
        <f>[1]Sheet2!DE173</f>
        <v>0</v>
      </c>
      <c r="DY174" s="14">
        <f>[1]Sheet2!DF173</f>
        <v>0</v>
      </c>
      <c r="DZ174" s="14">
        <f>[1]Sheet2!DG173</f>
        <v>0</v>
      </c>
    </row>
    <row r="175" spans="1:130" x14ac:dyDescent="0.25">
      <c r="A175" s="15">
        <v>43637</v>
      </c>
      <c r="B175" s="1"/>
      <c r="C175" s="1"/>
      <c r="D175" s="1"/>
      <c r="E175" s="14">
        <f>[1]Sheet2!N174</f>
        <v>0</v>
      </c>
      <c r="F175" s="14">
        <f>[1]Sheet2!BE174</f>
        <v>0</v>
      </c>
      <c r="G175" s="14">
        <f>[1]Sheet2!CV174</f>
        <v>288.46153846153851</v>
      </c>
      <c r="H175" s="1"/>
      <c r="I175" s="1"/>
      <c r="J175" s="1"/>
      <c r="K175" s="16">
        <f>Demand_CWRS!B$8/30</f>
        <v>124.86819391025641</v>
      </c>
      <c r="L175" s="16">
        <f>Demand_CWRS!C$8/30</f>
        <v>583.20512820512829</v>
      </c>
      <c r="M175" s="16">
        <f>Demand_CWRS!D$8/30</f>
        <v>0</v>
      </c>
      <c r="N175" s="16">
        <f>Demand_CWRS!E$8/30</f>
        <v>156.84829059829062</v>
      </c>
      <c r="O175" s="16">
        <f>Demand_CWRS!F$8/30</f>
        <v>252.39596314102559</v>
      </c>
      <c r="P175" s="16">
        <f>Demand_CWRS!G$8/30</f>
        <v>124.86819391025641</v>
      </c>
      <c r="Q175" s="16">
        <f>Demand_CWRS!H$8/30</f>
        <v>583.20512820512829</v>
      </c>
      <c r="R175" s="16">
        <f>Demand_CWRS!I$8/30</f>
        <v>246.66666666666666</v>
      </c>
      <c r="S175" s="16">
        <f>Demand_CWRS!J$8/30</f>
        <v>246.66666666666666</v>
      </c>
      <c r="T175" s="16">
        <f>Demand_CWRS!K$8/30</f>
        <v>246.66666666666666</v>
      </c>
      <c r="U175" s="16">
        <f t="shared" si="63"/>
        <v>-25236.947792204206</v>
      </c>
      <c r="V175" s="16">
        <f t="shared" si="64"/>
        <v>-81607.315384615154</v>
      </c>
      <c r="W175" s="16">
        <f t="shared" si="65"/>
        <v>0</v>
      </c>
      <c r="X175" s="16">
        <f t="shared" si="66"/>
        <v>-19129.641934436851</v>
      </c>
      <c r="Y175" s="16">
        <f t="shared" si="67"/>
        <v>-39006.600166524688</v>
      </c>
      <c r="Z175" s="16">
        <f t="shared" si="68"/>
        <v>-24911.174643165756</v>
      </c>
      <c r="AA175" s="16">
        <f t="shared" si="69"/>
        <v>-81107.315384615154</v>
      </c>
      <c r="AB175" s="16">
        <f t="shared" si="70"/>
        <v>-36574.318354024654</v>
      </c>
      <c r="AC175" s="16">
        <f t="shared" si="71"/>
        <v>-36574.318354024646</v>
      </c>
      <c r="AD175" s="16">
        <f t="shared" si="72"/>
        <v>-37274.318354024639</v>
      </c>
      <c r="AE175" s="14">
        <f>IF([1]Sheet2!AJ174=999999,"NA",[1]Sheet2!AJ174)</f>
        <v>0</v>
      </c>
      <c r="AF175" s="14">
        <f>IF([1]Sheet2!AK174=999999,"NA",[1]Sheet2!AK174)</f>
        <v>0</v>
      </c>
      <c r="AG175" s="14" t="str">
        <f>IF([1]Sheet2!AL174=999999,"NA",[1]Sheet2!AL174)</f>
        <v>NA</v>
      </c>
      <c r="AH175" s="14">
        <f>IF([1]Sheet2!AM174=999999,"NA",[1]Sheet2!AM174)</f>
        <v>193</v>
      </c>
      <c r="AI175" s="14">
        <f>IF([1]Sheet2!AN174=999999,"NA",[1]Sheet2!AN174)</f>
        <v>193</v>
      </c>
      <c r="AJ175" s="14">
        <f>IF([1]Sheet2!AO174=999999,"NA",[1]Sheet2!AO174)</f>
        <v>193</v>
      </c>
      <c r="AK175" s="14">
        <f>IF([1]Sheet2!AP174=999999,"NA",[1]Sheet2!AP174)</f>
        <v>0</v>
      </c>
      <c r="AL175" s="14">
        <f>IF([1]Sheet2!AQ174=999999,"NA",[1]Sheet2!AQ174)</f>
        <v>69</v>
      </c>
      <c r="AM175" s="14">
        <f>IF([1]Sheet2!AR174=999999,"NA",[1]Sheet2!AR174)</f>
        <v>193</v>
      </c>
      <c r="AN175" s="14">
        <f>IF([1]Sheet2!AS174=999999,"NA",[1]Sheet2!AS174)</f>
        <v>125</v>
      </c>
      <c r="AO175" s="14">
        <f>[1]Sheet2!P174</f>
        <v>0</v>
      </c>
      <c r="AP175" s="14">
        <f>[1]Sheet2!Q174</f>
        <v>0</v>
      </c>
      <c r="AQ175" s="14">
        <f>[1]Sheet2!R174</f>
        <v>0</v>
      </c>
      <c r="AR175" s="14">
        <f>[1]Sheet2!S174</f>
        <v>0</v>
      </c>
      <c r="AS175" s="14">
        <f>[1]Sheet2!T174</f>
        <v>0</v>
      </c>
      <c r="AT175" s="14">
        <f>[1]Sheet2!U174</f>
        <v>0</v>
      </c>
      <c r="AU175" s="14">
        <f>[1]Sheet2!V174</f>
        <v>0</v>
      </c>
      <c r="AV175" s="14">
        <f>[1]Sheet2!W174</f>
        <v>0</v>
      </c>
      <c r="AW175" s="14">
        <f>[1]Sheet2!X174</f>
        <v>0</v>
      </c>
      <c r="AX175" s="14">
        <f>[1]Sheet2!Y174</f>
        <v>0</v>
      </c>
      <c r="AY175" s="16">
        <f>Demand_LP!B$8/30</f>
        <v>807.81611164529909</v>
      </c>
      <c r="AZ175" s="16">
        <f>Demand_LP!C$8/30</f>
        <v>574.48717948717956</v>
      </c>
      <c r="BA175" s="16">
        <f>Demand_LP!D$8/30</f>
        <v>339.04957264957267</v>
      </c>
      <c r="BB175" s="16">
        <f>Demand_LP!E$8/30</f>
        <v>830.46965811965799</v>
      </c>
      <c r="BC175" s="16">
        <f>Demand_LP!F$8/30</f>
        <v>476.67186805555554</v>
      </c>
      <c r="BD175" s="16">
        <f>Demand_LP!G$8/30</f>
        <v>807.81611164529909</v>
      </c>
      <c r="BE175" s="16">
        <f>Demand_LP!H$8/30</f>
        <v>574.48717948717956</v>
      </c>
      <c r="BF175" s="16">
        <f>Demand_LP!I$8/30</f>
        <v>476.67186805555554</v>
      </c>
      <c r="BG175" s="16">
        <f>Demand_LP!J$8/30</f>
        <v>476.67186805555554</v>
      </c>
      <c r="BH175" s="16">
        <f>Demand_LP!K$8/30</f>
        <v>476.67186805555554</v>
      </c>
      <c r="BI175" s="16" t="e">
        <f t="shared" si="73"/>
        <v>#VALUE!</v>
      </c>
      <c r="BJ175" s="16">
        <f t="shared" si="74"/>
        <v>-102015.71025641015</v>
      </c>
      <c r="BK175" s="16">
        <f t="shared" si="75"/>
        <v>-51640.160256410192</v>
      </c>
      <c r="BL175" s="16">
        <f t="shared" si="76"/>
        <v>-131087.67947095088</v>
      </c>
      <c r="BM175" s="16">
        <f t="shared" si="77"/>
        <v>-78490.999733872944</v>
      </c>
      <c r="BN175" s="16">
        <f t="shared" si="78"/>
        <v>-127611.56469608072</v>
      </c>
      <c r="BO175" s="16">
        <f t="shared" si="79"/>
        <v>-104373.28974358967</v>
      </c>
      <c r="BP175" s="16">
        <f t="shared" si="80"/>
        <v>-77948.683652243548</v>
      </c>
      <c r="BQ175" s="16">
        <f t="shared" si="81"/>
        <v>-74548.683652243591</v>
      </c>
      <c r="BR175" s="16">
        <f t="shared" si="82"/>
        <v>-75748.683652243548</v>
      </c>
      <c r="BS175" s="14">
        <f>IF([1]Sheet2!CA174=999999,"NA",[1]Sheet2!CA174)</f>
        <v>140730.31634775674</v>
      </c>
      <c r="BT175" s="14">
        <f>IF([1]Sheet2!CB174=999999,"NA",[1]Sheet2!CB174)</f>
        <v>115</v>
      </c>
      <c r="BU175" s="14">
        <f>IF([1]Sheet2!CC174=999999,"NA",[1]Sheet2!CC174)</f>
        <v>193</v>
      </c>
      <c r="BV175" s="14">
        <f>IF([1]Sheet2!CD174=999999,"NA",[1]Sheet2!CD174)</f>
        <v>193</v>
      </c>
      <c r="BW175" s="14">
        <f>IF([1]Sheet2!CE174=999999,"NA",[1]Sheet2!CE174)</f>
        <v>155</v>
      </c>
      <c r="BX175" s="14">
        <f>IF([1]Sheet2!CF174=999999,"NA",[1]Sheet2!CF174)</f>
        <v>193</v>
      </c>
      <c r="BY175" s="14">
        <f>IF([1]Sheet2!CG174=999999,"NA",[1]Sheet2!CG174)</f>
        <v>87</v>
      </c>
      <c r="BZ175" s="14">
        <f>IF([1]Sheet2!CH174=999999,"NA",[1]Sheet2!CH174)</f>
        <v>193</v>
      </c>
      <c r="CA175" s="14">
        <f>IF([1]Sheet2!CI174=999999,"NA",[1]Sheet2!CI174)</f>
        <v>193</v>
      </c>
      <c r="CB175" s="14">
        <f>IF([1]Sheet2!CJ174=999999,"NA",[1]Sheet2!CJ174)</f>
        <v>193</v>
      </c>
      <c r="CC175" s="14">
        <f>[1]Sheet2!BG174</f>
        <v>0</v>
      </c>
      <c r="CD175" s="14">
        <f>[1]Sheet2!BH174</f>
        <v>0</v>
      </c>
      <c r="CE175" s="14">
        <f>[1]Sheet2!BI174</f>
        <v>0</v>
      </c>
      <c r="CF175" s="14">
        <f>[1]Sheet2!BJ174</f>
        <v>0</v>
      </c>
      <c r="CG175" s="14">
        <f>[1]Sheet2!BK174</f>
        <v>0</v>
      </c>
      <c r="CH175" s="14">
        <f>[1]Sheet2!BL174</f>
        <v>0</v>
      </c>
      <c r="CI175" s="14">
        <f>[1]Sheet2!BM174</f>
        <v>0</v>
      </c>
      <c r="CJ175" s="14">
        <f>[1]Sheet2!BN174</f>
        <v>0</v>
      </c>
      <c r="CK175" s="14">
        <f>[1]Sheet2!BO174</f>
        <v>0</v>
      </c>
      <c r="CL175" s="14">
        <f>[1]Sheet2!BP174</f>
        <v>0</v>
      </c>
      <c r="CM175" s="16">
        <f>Demand_SW!B$8/30</f>
        <v>144.23076923076923</v>
      </c>
      <c r="CN175" s="16">
        <f>Demand_SW!C$8/30</f>
        <v>0</v>
      </c>
      <c r="CO175" s="16">
        <f>Demand_SW!D$8/30</f>
        <v>0</v>
      </c>
      <c r="CP175" s="16">
        <f>Demand_SW!E$8/30</f>
        <v>0</v>
      </c>
      <c r="CQ175" s="16">
        <f>Demand_SW!F$8/30</f>
        <v>0</v>
      </c>
      <c r="CR175" s="16">
        <f>Demand_SW!G$8/30</f>
        <v>144.23076923076923</v>
      </c>
      <c r="CS175" s="16">
        <f>Demand_SW!H$8/30</f>
        <v>0</v>
      </c>
      <c r="CT175" s="16">
        <f>Demand_SW!I$8/30</f>
        <v>0</v>
      </c>
      <c r="CU175" s="16">
        <f>Demand_SW!J$8/30</f>
        <v>0</v>
      </c>
      <c r="CV175" s="16">
        <f>Demand_SW!K$8/30</f>
        <v>0</v>
      </c>
      <c r="CW175" s="16">
        <f t="shared" si="83"/>
        <v>27700.384615384657</v>
      </c>
      <c r="CX175" s="16">
        <f t="shared" si="84"/>
        <v>-423.07692307692292</v>
      </c>
      <c r="CY175" s="16">
        <f t="shared" si="85"/>
        <v>0</v>
      </c>
      <c r="CZ175" s="16">
        <f t="shared" si="86"/>
        <v>0</v>
      </c>
      <c r="DA175" s="16">
        <f t="shared" si="87"/>
        <v>0</v>
      </c>
      <c r="DB175" s="16">
        <f t="shared" si="88"/>
        <v>-21828.846153846138</v>
      </c>
      <c r="DC175" s="16">
        <f t="shared" si="89"/>
        <v>-423.07692307692292</v>
      </c>
      <c r="DD175" s="16">
        <f t="shared" si="90"/>
        <v>0</v>
      </c>
      <c r="DE175" s="16">
        <f t="shared" si="91"/>
        <v>0</v>
      </c>
      <c r="DF175" s="16">
        <f t="shared" si="92"/>
        <v>0</v>
      </c>
      <c r="DG175" s="14">
        <f>IF([1]Sheet2!DR174=999999,"NA",[1]Sheet2!DR174)</f>
        <v>73103</v>
      </c>
      <c r="DH175" s="14">
        <f>IF([1]Sheet2!DS174=999999,"NA",[1]Sheet2!DS174)</f>
        <v>193</v>
      </c>
      <c r="DI175" s="14">
        <f>IF([1]Sheet2!DT174=999999,"NA",[1]Sheet2!DT174)</f>
        <v>193</v>
      </c>
      <c r="DJ175" s="14" t="str">
        <f>IF([1]Sheet2!DU174=999999,"NA",[1]Sheet2!DU174)</f>
        <v>NA</v>
      </c>
      <c r="DK175" s="14" t="str">
        <f>IF([1]Sheet2!DV174=999999,"NA",[1]Sheet2!DV174)</f>
        <v>NA</v>
      </c>
      <c r="DL175" s="14" t="str">
        <f>IF([1]Sheet2!DW174=999999,"NA",[1]Sheet2!DW174)</f>
        <v>NA</v>
      </c>
      <c r="DM175" s="14">
        <f>IF([1]Sheet2!DX174=999999,"NA",[1]Sheet2!DX174)</f>
        <v>193</v>
      </c>
      <c r="DN175" s="14">
        <f>IF([1]Sheet2!DY174=999999,"NA",[1]Sheet2!DY174)</f>
        <v>193</v>
      </c>
      <c r="DO175" s="14" t="str">
        <f>IF([1]Sheet2!DZ174=999999,"NA",[1]Sheet2!DZ174)</f>
        <v>NA</v>
      </c>
      <c r="DP175" s="14" t="str">
        <f>IF([1]Sheet2!EA174=999999,"NA",[1]Sheet2!EA174)</f>
        <v>NA</v>
      </c>
      <c r="DQ175" s="14">
        <f>[1]Sheet2!CX174</f>
        <v>0</v>
      </c>
      <c r="DR175" s="14">
        <f>[1]Sheet2!CY174</f>
        <v>0</v>
      </c>
      <c r="DS175" s="14">
        <f>[1]Sheet2!CZ174</f>
        <v>0</v>
      </c>
      <c r="DT175" s="14">
        <f>[1]Sheet2!DA174</f>
        <v>0</v>
      </c>
      <c r="DU175" s="14">
        <f>[1]Sheet2!DB174</f>
        <v>0</v>
      </c>
      <c r="DV175" s="14">
        <f>[1]Sheet2!DC174</f>
        <v>0</v>
      </c>
      <c r="DW175" s="14">
        <f>[1]Sheet2!DD174</f>
        <v>0</v>
      </c>
      <c r="DX175" s="14">
        <f>[1]Sheet2!DE174</f>
        <v>0</v>
      </c>
      <c r="DY175" s="14">
        <f>[1]Sheet2!DF174</f>
        <v>0</v>
      </c>
      <c r="DZ175" s="14">
        <f>[1]Sheet2!DG174</f>
        <v>0</v>
      </c>
    </row>
    <row r="176" spans="1:130" x14ac:dyDescent="0.25">
      <c r="A176" s="15">
        <v>43638</v>
      </c>
      <c r="B176" s="1"/>
      <c r="C176" s="1"/>
      <c r="D176" s="1"/>
      <c r="E176" s="14">
        <f>[1]Sheet2!N175</f>
        <v>0</v>
      </c>
      <c r="F176" s="14">
        <f>[1]Sheet2!BE175</f>
        <v>0</v>
      </c>
      <c r="G176" s="14">
        <f>[1]Sheet2!CV175</f>
        <v>288.46153846153851</v>
      </c>
      <c r="H176" s="1"/>
      <c r="I176" s="1"/>
      <c r="J176" s="1"/>
      <c r="K176" s="16">
        <f>Demand_CWRS!B$8/30</f>
        <v>124.86819391025641</v>
      </c>
      <c r="L176" s="16">
        <f>Demand_CWRS!C$8/30</f>
        <v>583.20512820512829</v>
      </c>
      <c r="M176" s="16">
        <f>Demand_CWRS!D$8/30</f>
        <v>0</v>
      </c>
      <c r="N176" s="16">
        <f>Demand_CWRS!E$8/30</f>
        <v>156.84829059829062</v>
      </c>
      <c r="O176" s="16">
        <f>Demand_CWRS!F$8/30</f>
        <v>252.39596314102559</v>
      </c>
      <c r="P176" s="16">
        <f>Demand_CWRS!G$8/30</f>
        <v>124.86819391025641</v>
      </c>
      <c r="Q176" s="16">
        <f>Demand_CWRS!H$8/30</f>
        <v>583.20512820512829</v>
      </c>
      <c r="R176" s="16">
        <f>Demand_CWRS!I$8/30</f>
        <v>246.66666666666666</v>
      </c>
      <c r="S176" s="16">
        <f>Demand_CWRS!J$8/30</f>
        <v>246.66666666666666</v>
      </c>
      <c r="T176" s="16">
        <f>Demand_CWRS!K$8/30</f>
        <v>246.66666666666666</v>
      </c>
      <c r="U176" s="16">
        <f t="shared" si="63"/>
        <v>-25361.815986114463</v>
      </c>
      <c r="V176" s="16">
        <f t="shared" si="64"/>
        <v>-82190.52051282028</v>
      </c>
      <c r="W176" s="16">
        <f t="shared" si="65"/>
        <v>0</v>
      </c>
      <c r="X176" s="16">
        <f t="shared" si="66"/>
        <v>-19286.490225035141</v>
      </c>
      <c r="Y176" s="16">
        <f t="shared" si="67"/>
        <v>-39258.996129665713</v>
      </c>
      <c r="Z176" s="16">
        <f t="shared" si="68"/>
        <v>-25036.042837076013</v>
      </c>
      <c r="AA176" s="16">
        <f t="shared" si="69"/>
        <v>-81690.52051282028</v>
      </c>
      <c r="AB176" s="16">
        <f t="shared" si="70"/>
        <v>-36820.985020691318</v>
      </c>
      <c r="AC176" s="16">
        <f t="shared" si="71"/>
        <v>-36820.985020691311</v>
      </c>
      <c r="AD176" s="16">
        <f t="shared" si="72"/>
        <v>-37520.985020691303</v>
      </c>
      <c r="AE176" s="14">
        <f>IF([1]Sheet2!AJ175=999999,"NA",[1]Sheet2!AJ175)</f>
        <v>0</v>
      </c>
      <c r="AF176" s="14">
        <f>IF([1]Sheet2!AK175=999999,"NA",[1]Sheet2!AK175)</f>
        <v>0</v>
      </c>
      <c r="AG176" s="14" t="str">
        <f>IF([1]Sheet2!AL175=999999,"NA",[1]Sheet2!AL175)</f>
        <v>NA</v>
      </c>
      <c r="AH176" s="14">
        <f>IF([1]Sheet2!AM175=999999,"NA",[1]Sheet2!AM175)</f>
        <v>192</v>
      </c>
      <c r="AI176" s="14">
        <f>IF([1]Sheet2!AN175=999999,"NA",[1]Sheet2!AN175)</f>
        <v>192</v>
      </c>
      <c r="AJ176" s="14">
        <f>IF([1]Sheet2!AO175=999999,"NA",[1]Sheet2!AO175)</f>
        <v>192</v>
      </c>
      <c r="AK176" s="14">
        <f>IF([1]Sheet2!AP175=999999,"NA",[1]Sheet2!AP175)</f>
        <v>0</v>
      </c>
      <c r="AL176" s="14">
        <f>IF([1]Sheet2!AQ175=999999,"NA",[1]Sheet2!AQ175)</f>
        <v>68</v>
      </c>
      <c r="AM176" s="14">
        <f>IF([1]Sheet2!AR175=999999,"NA",[1]Sheet2!AR175)</f>
        <v>192</v>
      </c>
      <c r="AN176" s="14">
        <f>IF([1]Sheet2!AS175=999999,"NA",[1]Sheet2!AS175)</f>
        <v>124</v>
      </c>
      <c r="AO176" s="14">
        <f>[1]Sheet2!P175</f>
        <v>0</v>
      </c>
      <c r="AP176" s="14">
        <f>[1]Sheet2!Q175</f>
        <v>0</v>
      </c>
      <c r="AQ176" s="14">
        <f>[1]Sheet2!R175</f>
        <v>0</v>
      </c>
      <c r="AR176" s="14">
        <f>[1]Sheet2!S175</f>
        <v>0</v>
      </c>
      <c r="AS176" s="14">
        <f>[1]Sheet2!T175</f>
        <v>0</v>
      </c>
      <c r="AT176" s="14">
        <f>[1]Sheet2!U175</f>
        <v>0</v>
      </c>
      <c r="AU176" s="14">
        <f>[1]Sheet2!V175</f>
        <v>0</v>
      </c>
      <c r="AV176" s="14">
        <f>[1]Sheet2!W175</f>
        <v>0</v>
      </c>
      <c r="AW176" s="14">
        <f>[1]Sheet2!X175</f>
        <v>0</v>
      </c>
      <c r="AX176" s="14">
        <f>[1]Sheet2!Y175</f>
        <v>0</v>
      </c>
      <c r="AY176" s="16">
        <f>Demand_LP!B$8/30</f>
        <v>807.81611164529909</v>
      </c>
      <c r="AZ176" s="16">
        <f>Demand_LP!C$8/30</f>
        <v>574.48717948717956</v>
      </c>
      <c r="BA176" s="16">
        <f>Demand_LP!D$8/30</f>
        <v>339.04957264957267</v>
      </c>
      <c r="BB176" s="16">
        <f>Demand_LP!E$8/30</f>
        <v>830.46965811965799</v>
      </c>
      <c r="BC176" s="16">
        <f>Demand_LP!F$8/30</f>
        <v>476.67186805555554</v>
      </c>
      <c r="BD176" s="16">
        <f>Demand_LP!G$8/30</f>
        <v>807.81611164529909</v>
      </c>
      <c r="BE176" s="16">
        <f>Demand_LP!H$8/30</f>
        <v>574.48717948717956</v>
      </c>
      <c r="BF176" s="16">
        <f>Demand_LP!I$8/30</f>
        <v>476.67186805555554</v>
      </c>
      <c r="BG176" s="16">
        <f>Demand_LP!J$8/30</f>
        <v>476.67186805555554</v>
      </c>
      <c r="BH176" s="16">
        <f>Demand_LP!K$8/30</f>
        <v>476.67186805555554</v>
      </c>
      <c r="BI176" s="16" t="e">
        <f t="shared" si="73"/>
        <v>#VALUE!</v>
      </c>
      <c r="BJ176" s="16">
        <f t="shared" si="74"/>
        <v>-102590.19743589732</v>
      </c>
      <c r="BK176" s="16">
        <f t="shared" si="75"/>
        <v>-51979.209829059764</v>
      </c>
      <c r="BL176" s="16">
        <f t="shared" si="76"/>
        <v>-131918.14912907055</v>
      </c>
      <c r="BM176" s="16">
        <f t="shared" si="77"/>
        <v>-78967.671601928494</v>
      </c>
      <c r="BN176" s="16">
        <f t="shared" si="78"/>
        <v>-128419.38080772602</v>
      </c>
      <c r="BO176" s="16">
        <f t="shared" si="79"/>
        <v>-104947.77692307685</v>
      </c>
      <c r="BP176" s="16">
        <f t="shared" si="80"/>
        <v>-78425.355520299097</v>
      </c>
      <c r="BQ176" s="16">
        <f t="shared" si="81"/>
        <v>-75025.355520299141</v>
      </c>
      <c r="BR176" s="16">
        <f t="shared" si="82"/>
        <v>-76225.355520299097</v>
      </c>
      <c r="BS176" s="14">
        <f>IF([1]Sheet2!CA175=999999,"NA",[1]Sheet2!CA175)</f>
        <v>140253.64447970118</v>
      </c>
      <c r="BT176" s="14">
        <f>IF([1]Sheet2!CB175=999999,"NA",[1]Sheet2!CB175)</f>
        <v>114</v>
      </c>
      <c r="BU176" s="14">
        <f>IF([1]Sheet2!CC175=999999,"NA",[1]Sheet2!CC175)</f>
        <v>192</v>
      </c>
      <c r="BV176" s="14">
        <f>IF([1]Sheet2!CD175=999999,"NA",[1]Sheet2!CD175)</f>
        <v>192</v>
      </c>
      <c r="BW176" s="14">
        <f>IF([1]Sheet2!CE175=999999,"NA",[1]Sheet2!CE175)</f>
        <v>154</v>
      </c>
      <c r="BX176" s="14">
        <f>IF([1]Sheet2!CF175=999999,"NA",[1]Sheet2!CF175)</f>
        <v>192</v>
      </c>
      <c r="BY176" s="14">
        <f>IF([1]Sheet2!CG175=999999,"NA",[1]Sheet2!CG175)</f>
        <v>86</v>
      </c>
      <c r="BZ176" s="14">
        <f>IF([1]Sheet2!CH175=999999,"NA",[1]Sheet2!CH175)</f>
        <v>192</v>
      </c>
      <c r="CA176" s="14">
        <f>IF([1]Sheet2!CI175=999999,"NA",[1]Sheet2!CI175)</f>
        <v>192</v>
      </c>
      <c r="CB176" s="14">
        <f>IF([1]Sheet2!CJ175=999999,"NA",[1]Sheet2!CJ175)</f>
        <v>192</v>
      </c>
      <c r="CC176" s="14">
        <f>[1]Sheet2!BG175</f>
        <v>0</v>
      </c>
      <c r="CD176" s="14">
        <f>[1]Sheet2!BH175</f>
        <v>0</v>
      </c>
      <c r="CE176" s="14">
        <f>[1]Sheet2!BI175</f>
        <v>0</v>
      </c>
      <c r="CF176" s="14">
        <f>[1]Sheet2!BJ175</f>
        <v>0</v>
      </c>
      <c r="CG176" s="14">
        <f>[1]Sheet2!BK175</f>
        <v>0</v>
      </c>
      <c r="CH176" s="14">
        <f>[1]Sheet2!BL175</f>
        <v>0</v>
      </c>
      <c r="CI176" s="14">
        <f>[1]Sheet2!BM175</f>
        <v>0</v>
      </c>
      <c r="CJ176" s="14">
        <f>[1]Sheet2!BN175</f>
        <v>0</v>
      </c>
      <c r="CK176" s="14">
        <f>[1]Sheet2!BO175</f>
        <v>0</v>
      </c>
      <c r="CL176" s="14">
        <f>[1]Sheet2!BP175</f>
        <v>0</v>
      </c>
      <c r="CM176" s="16">
        <f>Demand_SW!B$8/30</f>
        <v>144.23076923076923</v>
      </c>
      <c r="CN176" s="16">
        <f>Demand_SW!C$8/30</f>
        <v>0</v>
      </c>
      <c r="CO176" s="16">
        <f>Demand_SW!D$8/30</f>
        <v>0</v>
      </c>
      <c r="CP176" s="16">
        <f>Demand_SW!E$8/30</f>
        <v>0</v>
      </c>
      <c r="CQ176" s="16">
        <f>Demand_SW!F$8/30</f>
        <v>0</v>
      </c>
      <c r="CR176" s="16">
        <f>Demand_SW!G$8/30</f>
        <v>144.23076923076923</v>
      </c>
      <c r="CS176" s="16">
        <f>Demand_SW!H$8/30</f>
        <v>0</v>
      </c>
      <c r="CT176" s="16">
        <f>Demand_SW!I$8/30</f>
        <v>0</v>
      </c>
      <c r="CU176" s="16">
        <f>Demand_SW!J$8/30</f>
        <v>0</v>
      </c>
      <c r="CV176" s="16">
        <f>Demand_SW!K$8/30</f>
        <v>0</v>
      </c>
      <c r="CW176" s="16">
        <f t="shared" si="83"/>
        <v>27556.153846153888</v>
      </c>
      <c r="CX176" s="16">
        <f t="shared" si="84"/>
        <v>-423.07692307692292</v>
      </c>
      <c r="CY176" s="16">
        <f t="shared" si="85"/>
        <v>0</v>
      </c>
      <c r="CZ176" s="16">
        <f t="shared" si="86"/>
        <v>0</v>
      </c>
      <c r="DA176" s="16">
        <f t="shared" si="87"/>
        <v>0</v>
      </c>
      <c r="DB176" s="16">
        <f t="shared" si="88"/>
        <v>-21973.076923076907</v>
      </c>
      <c r="DC176" s="16">
        <f t="shared" si="89"/>
        <v>-423.07692307692292</v>
      </c>
      <c r="DD176" s="16">
        <f t="shared" si="90"/>
        <v>0</v>
      </c>
      <c r="DE176" s="16">
        <f t="shared" si="91"/>
        <v>0</v>
      </c>
      <c r="DF176" s="16">
        <f t="shared" si="92"/>
        <v>0</v>
      </c>
      <c r="DG176" s="14">
        <f>IF([1]Sheet2!DR175=999999,"NA",[1]Sheet2!DR175)</f>
        <v>73103</v>
      </c>
      <c r="DH176" s="14">
        <f>IF([1]Sheet2!DS175=999999,"NA",[1]Sheet2!DS175)</f>
        <v>192</v>
      </c>
      <c r="DI176" s="14">
        <f>IF([1]Sheet2!DT175=999999,"NA",[1]Sheet2!DT175)</f>
        <v>192</v>
      </c>
      <c r="DJ176" s="14" t="str">
        <f>IF([1]Sheet2!DU175=999999,"NA",[1]Sheet2!DU175)</f>
        <v>NA</v>
      </c>
      <c r="DK176" s="14" t="str">
        <f>IF([1]Sheet2!DV175=999999,"NA",[1]Sheet2!DV175)</f>
        <v>NA</v>
      </c>
      <c r="DL176" s="14" t="str">
        <f>IF([1]Sheet2!DW175=999999,"NA",[1]Sheet2!DW175)</f>
        <v>NA</v>
      </c>
      <c r="DM176" s="14">
        <f>IF([1]Sheet2!DX175=999999,"NA",[1]Sheet2!DX175)</f>
        <v>192</v>
      </c>
      <c r="DN176" s="14">
        <f>IF([1]Sheet2!DY175=999999,"NA",[1]Sheet2!DY175)</f>
        <v>192</v>
      </c>
      <c r="DO176" s="14" t="str">
        <f>IF([1]Sheet2!DZ175=999999,"NA",[1]Sheet2!DZ175)</f>
        <v>NA</v>
      </c>
      <c r="DP176" s="14" t="str">
        <f>IF([1]Sheet2!EA175=999999,"NA",[1]Sheet2!EA175)</f>
        <v>NA</v>
      </c>
      <c r="DQ176" s="14">
        <f>[1]Sheet2!CX175</f>
        <v>0</v>
      </c>
      <c r="DR176" s="14">
        <f>[1]Sheet2!CY175</f>
        <v>0</v>
      </c>
      <c r="DS176" s="14">
        <f>[1]Sheet2!CZ175</f>
        <v>0</v>
      </c>
      <c r="DT176" s="14">
        <f>[1]Sheet2!DA175</f>
        <v>0</v>
      </c>
      <c r="DU176" s="14">
        <f>[1]Sheet2!DB175</f>
        <v>0</v>
      </c>
      <c r="DV176" s="14">
        <f>[1]Sheet2!DC175</f>
        <v>0</v>
      </c>
      <c r="DW176" s="14">
        <f>[1]Sheet2!DD175</f>
        <v>0</v>
      </c>
      <c r="DX176" s="14">
        <f>[1]Sheet2!DE175</f>
        <v>0</v>
      </c>
      <c r="DY176" s="14">
        <f>[1]Sheet2!DF175</f>
        <v>0</v>
      </c>
      <c r="DZ176" s="14">
        <f>[1]Sheet2!DG175</f>
        <v>0</v>
      </c>
    </row>
    <row r="177" spans="1:130" x14ac:dyDescent="0.25">
      <c r="A177" s="15">
        <v>43639</v>
      </c>
      <c r="B177" s="1"/>
      <c r="C177" s="1"/>
      <c r="D177" s="1"/>
      <c r="E177" s="14">
        <f>[1]Sheet2!N176</f>
        <v>0</v>
      </c>
      <c r="F177" s="14">
        <f>[1]Sheet2!BE176</f>
        <v>0</v>
      </c>
      <c r="G177" s="14">
        <f>[1]Sheet2!CV176</f>
        <v>288.46153846153851</v>
      </c>
      <c r="H177" s="1"/>
      <c r="I177" s="1"/>
      <c r="J177" s="1"/>
      <c r="K177" s="16">
        <f>Demand_CWRS!B$8/30</f>
        <v>124.86819391025641</v>
      </c>
      <c r="L177" s="16">
        <f>Demand_CWRS!C$8/30</f>
        <v>583.20512820512829</v>
      </c>
      <c r="M177" s="16">
        <f>Demand_CWRS!D$8/30</f>
        <v>0</v>
      </c>
      <c r="N177" s="16">
        <f>Demand_CWRS!E$8/30</f>
        <v>156.84829059829062</v>
      </c>
      <c r="O177" s="16">
        <f>Demand_CWRS!F$8/30</f>
        <v>252.39596314102559</v>
      </c>
      <c r="P177" s="16">
        <f>Demand_CWRS!G$8/30</f>
        <v>124.86819391025641</v>
      </c>
      <c r="Q177" s="16">
        <f>Demand_CWRS!H$8/30</f>
        <v>583.20512820512829</v>
      </c>
      <c r="R177" s="16">
        <f>Demand_CWRS!I$8/30</f>
        <v>246.66666666666666</v>
      </c>
      <c r="S177" s="16">
        <f>Demand_CWRS!J$8/30</f>
        <v>246.66666666666666</v>
      </c>
      <c r="T177" s="16">
        <f>Demand_CWRS!K$8/30</f>
        <v>246.66666666666666</v>
      </c>
      <c r="U177" s="16">
        <f t="shared" si="63"/>
        <v>-25486.68418002472</v>
      </c>
      <c r="V177" s="16">
        <f t="shared" si="64"/>
        <v>-82773.725641025405</v>
      </c>
      <c r="W177" s="16">
        <f t="shared" si="65"/>
        <v>0</v>
      </c>
      <c r="X177" s="16">
        <f t="shared" si="66"/>
        <v>-19443.33851563343</v>
      </c>
      <c r="Y177" s="16">
        <f t="shared" si="67"/>
        <v>-39511.392092806738</v>
      </c>
      <c r="Z177" s="16">
        <f t="shared" si="68"/>
        <v>-25160.91103098627</v>
      </c>
      <c r="AA177" s="16">
        <f t="shared" si="69"/>
        <v>-82273.725641025405</v>
      </c>
      <c r="AB177" s="16">
        <f t="shared" si="70"/>
        <v>-37067.651687357982</v>
      </c>
      <c r="AC177" s="16">
        <f t="shared" si="71"/>
        <v>-37067.651687357975</v>
      </c>
      <c r="AD177" s="16">
        <f t="shared" si="72"/>
        <v>-37767.651687357968</v>
      </c>
      <c r="AE177" s="14">
        <f>IF([1]Sheet2!AJ176=999999,"NA",[1]Sheet2!AJ176)</f>
        <v>0</v>
      </c>
      <c r="AF177" s="14">
        <f>IF([1]Sheet2!AK176=999999,"NA",[1]Sheet2!AK176)</f>
        <v>0</v>
      </c>
      <c r="AG177" s="14" t="str">
        <f>IF([1]Sheet2!AL176=999999,"NA",[1]Sheet2!AL176)</f>
        <v>NA</v>
      </c>
      <c r="AH177" s="14">
        <f>IF([1]Sheet2!AM176=999999,"NA",[1]Sheet2!AM176)</f>
        <v>191</v>
      </c>
      <c r="AI177" s="14">
        <f>IF([1]Sheet2!AN176=999999,"NA",[1]Sheet2!AN176)</f>
        <v>191</v>
      </c>
      <c r="AJ177" s="14">
        <f>IF([1]Sheet2!AO176=999999,"NA",[1]Sheet2!AO176)</f>
        <v>191</v>
      </c>
      <c r="AK177" s="14">
        <f>IF([1]Sheet2!AP176=999999,"NA",[1]Sheet2!AP176)</f>
        <v>0</v>
      </c>
      <c r="AL177" s="14">
        <f>IF([1]Sheet2!AQ176=999999,"NA",[1]Sheet2!AQ176)</f>
        <v>67</v>
      </c>
      <c r="AM177" s="14">
        <f>IF([1]Sheet2!AR176=999999,"NA",[1]Sheet2!AR176)</f>
        <v>191</v>
      </c>
      <c r="AN177" s="14">
        <f>IF([1]Sheet2!AS176=999999,"NA",[1]Sheet2!AS176)</f>
        <v>123</v>
      </c>
      <c r="AO177" s="14">
        <f>[1]Sheet2!P176</f>
        <v>0</v>
      </c>
      <c r="AP177" s="14">
        <f>[1]Sheet2!Q176</f>
        <v>0</v>
      </c>
      <c r="AQ177" s="14">
        <f>[1]Sheet2!R176</f>
        <v>0</v>
      </c>
      <c r="AR177" s="14">
        <f>[1]Sheet2!S176</f>
        <v>0</v>
      </c>
      <c r="AS177" s="14">
        <f>[1]Sheet2!T176</f>
        <v>0</v>
      </c>
      <c r="AT177" s="14">
        <f>[1]Sheet2!U176</f>
        <v>0</v>
      </c>
      <c r="AU177" s="14">
        <f>[1]Sheet2!V176</f>
        <v>0</v>
      </c>
      <c r="AV177" s="14">
        <f>[1]Sheet2!W176</f>
        <v>0</v>
      </c>
      <c r="AW177" s="14">
        <f>[1]Sheet2!X176</f>
        <v>0</v>
      </c>
      <c r="AX177" s="14">
        <f>[1]Sheet2!Y176</f>
        <v>0</v>
      </c>
      <c r="AY177" s="16">
        <f>Demand_LP!B$8/30</f>
        <v>807.81611164529909</v>
      </c>
      <c r="AZ177" s="16">
        <f>Demand_LP!C$8/30</f>
        <v>574.48717948717956</v>
      </c>
      <c r="BA177" s="16">
        <f>Demand_LP!D$8/30</f>
        <v>339.04957264957267</v>
      </c>
      <c r="BB177" s="16">
        <f>Demand_LP!E$8/30</f>
        <v>830.46965811965799</v>
      </c>
      <c r="BC177" s="16">
        <f>Demand_LP!F$8/30</f>
        <v>476.67186805555554</v>
      </c>
      <c r="BD177" s="16">
        <f>Demand_LP!G$8/30</f>
        <v>807.81611164529909</v>
      </c>
      <c r="BE177" s="16">
        <f>Demand_LP!H$8/30</f>
        <v>574.48717948717956</v>
      </c>
      <c r="BF177" s="16">
        <f>Demand_LP!I$8/30</f>
        <v>476.67186805555554</v>
      </c>
      <c r="BG177" s="16">
        <f>Demand_LP!J$8/30</f>
        <v>476.67186805555554</v>
      </c>
      <c r="BH177" s="16">
        <f>Demand_LP!K$8/30</f>
        <v>476.67186805555554</v>
      </c>
      <c r="BI177" s="16" t="e">
        <f t="shared" si="73"/>
        <v>#VALUE!</v>
      </c>
      <c r="BJ177" s="16">
        <f t="shared" si="74"/>
        <v>-103164.6846153845</v>
      </c>
      <c r="BK177" s="16">
        <f t="shared" si="75"/>
        <v>-52318.259401709336</v>
      </c>
      <c r="BL177" s="16">
        <f t="shared" si="76"/>
        <v>-132748.61878719021</v>
      </c>
      <c r="BM177" s="16">
        <f t="shared" si="77"/>
        <v>-79444.343469984044</v>
      </c>
      <c r="BN177" s="16">
        <f t="shared" si="78"/>
        <v>-129227.19691937132</v>
      </c>
      <c r="BO177" s="16">
        <f t="shared" si="79"/>
        <v>-105522.26410256402</v>
      </c>
      <c r="BP177" s="16">
        <f t="shared" si="80"/>
        <v>-78902.027388354647</v>
      </c>
      <c r="BQ177" s="16">
        <f t="shared" si="81"/>
        <v>-75502.027388354691</v>
      </c>
      <c r="BR177" s="16">
        <f t="shared" si="82"/>
        <v>-76702.027388354647</v>
      </c>
      <c r="BS177" s="14">
        <f>IF([1]Sheet2!CA176=999999,"NA",[1]Sheet2!CA176)</f>
        <v>139776.97261164561</v>
      </c>
      <c r="BT177" s="14">
        <f>IF([1]Sheet2!CB176=999999,"NA",[1]Sheet2!CB176)</f>
        <v>113</v>
      </c>
      <c r="BU177" s="14">
        <f>IF([1]Sheet2!CC176=999999,"NA",[1]Sheet2!CC176)</f>
        <v>191</v>
      </c>
      <c r="BV177" s="14">
        <f>IF([1]Sheet2!CD176=999999,"NA",[1]Sheet2!CD176)</f>
        <v>191</v>
      </c>
      <c r="BW177" s="14">
        <f>IF([1]Sheet2!CE176=999999,"NA",[1]Sheet2!CE176)</f>
        <v>153</v>
      </c>
      <c r="BX177" s="14">
        <f>IF([1]Sheet2!CF176=999999,"NA",[1]Sheet2!CF176)</f>
        <v>191</v>
      </c>
      <c r="BY177" s="14">
        <f>IF([1]Sheet2!CG176=999999,"NA",[1]Sheet2!CG176)</f>
        <v>85</v>
      </c>
      <c r="BZ177" s="14">
        <f>IF([1]Sheet2!CH176=999999,"NA",[1]Sheet2!CH176)</f>
        <v>191</v>
      </c>
      <c r="CA177" s="14">
        <f>IF([1]Sheet2!CI176=999999,"NA",[1]Sheet2!CI176)</f>
        <v>191</v>
      </c>
      <c r="CB177" s="14">
        <f>IF([1]Sheet2!CJ176=999999,"NA",[1]Sheet2!CJ176)</f>
        <v>191</v>
      </c>
      <c r="CC177" s="14">
        <f>[1]Sheet2!BG176</f>
        <v>0</v>
      </c>
      <c r="CD177" s="14">
        <f>[1]Sheet2!BH176</f>
        <v>0</v>
      </c>
      <c r="CE177" s="14">
        <f>[1]Sheet2!BI176</f>
        <v>0</v>
      </c>
      <c r="CF177" s="14">
        <f>[1]Sheet2!BJ176</f>
        <v>0</v>
      </c>
      <c r="CG177" s="14">
        <f>[1]Sheet2!BK176</f>
        <v>0</v>
      </c>
      <c r="CH177" s="14">
        <f>[1]Sheet2!BL176</f>
        <v>0</v>
      </c>
      <c r="CI177" s="14">
        <f>[1]Sheet2!BM176</f>
        <v>0</v>
      </c>
      <c r="CJ177" s="14">
        <f>[1]Sheet2!BN176</f>
        <v>0</v>
      </c>
      <c r="CK177" s="14">
        <f>[1]Sheet2!BO176</f>
        <v>0</v>
      </c>
      <c r="CL177" s="14">
        <f>[1]Sheet2!BP176</f>
        <v>0</v>
      </c>
      <c r="CM177" s="16">
        <f>Demand_SW!B$8/30</f>
        <v>144.23076923076923</v>
      </c>
      <c r="CN177" s="16">
        <f>Demand_SW!C$8/30</f>
        <v>0</v>
      </c>
      <c r="CO177" s="16">
        <f>Demand_SW!D$8/30</f>
        <v>0</v>
      </c>
      <c r="CP177" s="16">
        <f>Demand_SW!E$8/30</f>
        <v>0</v>
      </c>
      <c r="CQ177" s="16">
        <f>Demand_SW!F$8/30</f>
        <v>0</v>
      </c>
      <c r="CR177" s="16">
        <f>Demand_SW!G$8/30</f>
        <v>144.23076923076923</v>
      </c>
      <c r="CS177" s="16">
        <f>Demand_SW!H$8/30</f>
        <v>0</v>
      </c>
      <c r="CT177" s="16">
        <f>Demand_SW!I$8/30</f>
        <v>0</v>
      </c>
      <c r="CU177" s="16">
        <f>Demand_SW!J$8/30</f>
        <v>0</v>
      </c>
      <c r="CV177" s="16">
        <f>Demand_SW!K$8/30</f>
        <v>0</v>
      </c>
      <c r="CW177" s="16">
        <f t="shared" si="83"/>
        <v>27411.923076923118</v>
      </c>
      <c r="CX177" s="16">
        <f t="shared" si="84"/>
        <v>-423.07692307692292</v>
      </c>
      <c r="CY177" s="16">
        <f t="shared" si="85"/>
        <v>0</v>
      </c>
      <c r="CZ177" s="16">
        <f t="shared" si="86"/>
        <v>0</v>
      </c>
      <c r="DA177" s="16">
        <f t="shared" si="87"/>
        <v>0</v>
      </c>
      <c r="DB177" s="16">
        <f t="shared" si="88"/>
        <v>-22117.307692307677</v>
      </c>
      <c r="DC177" s="16">
        <f t="shared" si="89"/>
        <v>-423.07692307692292</v>
      </c>
      <c r="DD177" s="16">
        <f t="shared" si="90"/>
        <v>0</v>
      </c>
      <c r="DE177" s="16">
        <f t="shared" si="91"/>
        <v>0</v>
      </c>
      <c r="DF177" s="16">
        <f t="shared" si="92"/>
        <v>0</v>
      </c>
      <c r="DG177" s="14">
        <f>IF([1]Sheet2!DR176=999999,"NA",[1]Sheet2!DR176)</f>
        <v>73103</v>
      </c>
      <c r="DH177" s="14">
        <f>IF([1]Sheet2!DS176=999999,"NA",[1]Sheet2!DS176)</f>
        <v>191</v>
      </c>
      <c r="DI177" s="14">
        <f>IF([1]Sheet2!DT176=999999,"NA",[1]Sheet2!DT176)</f>
        <v>191</v>
      </c>
      <c r="DJ177" s="14" t="str">
        <f>IF([1]Sheet2!DU176=999999,"NA",[1]Sheet2!DU176)</f>
        <v>NA</v>
      </c>
      <c r="DK177" s="14" t="str">
        <f>IF([1]Sheet2!DV176=999999,"NA",[1]Sheet2!DV176)</f>
        <v>NA</v>
      </c>
      <c r="DL177" s="14" t="str">
        <f>IF([1]Sheet2!DW176=999999,"NA",[1]Sheet2!DW176)</f>
        <v>NA</v>
      </c>
      <c r="DM177" s="14">
        <f>IF([1]Sheet2!DX176=999999,"NA",[1]Sheet2!DX176)</f>
        <v>191</v>
      </c>
      <c r="DN177" s="14">
        <f>IF([1]Sheet2!DY176=999999,"NA",[1]Sheet2!DY176)</f>
        <v>191</v>
      </c>
      <c r="DO177" s="14" t="str">
        <f>IF([1]Sheet2!DZ176=999999,"NA",[1]Sheet2!DZ176)</f>
        <v>NA</v>
      </c>
      <c r="DP177" s="14" t="str">
        <f>IF([1]Sheet2!EA176=999999,"NA",[1]Sheet2!EA176)</f>
        <v>NA</v>
      </c>
      <c r="DQ177" s="14">
        <f>[1]Sheet2!CX176</f>
        <v>0</v>
      </c>
      <c r="DR177" s="14">
        <f>[1]Sheet2!CY176</f>
        <v>0</v>
      </c>
      <c r="DS177" s="14">
        <f>[1]Sheet2!CZ176</f>
        <v>0</v>
      </c>
      <c r="DT177" s="14">
        <f>[1]Sheet2!DA176</f>
        <v>0</v>
      </c>
      <c r="DU177" s="14">
        <f>[1]Sheet2!DB176</f>
        <v>0</v>
      </c>
      <c r="DV177" s="14">
        <f>[1]Sheet2!DC176</f>
        <v>0</v>
      </c>
      <c r="DW177" s="14">
        <f>[1]Sheet2!DD176</f>
        <v>0</v>
      </c>
      <c r="DX177" s="14">
        <f>[1]Sheet2!DE176</f>
        <v>0</v>
      </c>
      <c r="DY177" s="14">
        <f>[1]Sheet2!DF176</f>
        <v>0</v>
      </c>
      <c r="DZ177" s="14">
        <f>[1]Sheet2!DG176</f>
        <v>0</v>
      </c>
    </row>
    <row r="178" spans="1:130" x14ac:dyDescent="0.25">
      <c r="A178" s="15">
        <v>43640</v>
      </c>
      <c r="B178" s="1"/>
      <c r="C178" s="1"/>
      <c r="D178" s="1"/>
      <c r="E178" s="14">
        <f>[1]Sheet2!N177</f>
        <v>0</v>
      </c>
      <c r="F178" s="14">
        <f>[1]Sheet2!BE177</f>
        <v>0</v>
      </c>
      <c r="G178" s="14">
        <f>[1]Sheet2!CV177</f>
        <v>288.46153846153851</v>
      </c>
      <c r="H178" s="1"/>
      <c r="I178" s="1"/>
      <c r="J178" s="1"/>
      <c r="K178" s="16">
        <f>Demand_CWRS!B$8/30</f>
        <v>124.86819391025641</v>
      </c>
      <c r="L178" s="16">
        <f>Demand_CWRS!C$8/30</f>
        <v>583.20512820512829</v>
      </c>
      <c r="M178" s="16">
        <f>Demand_CWRS!D$8/30</f>
        <v>0</v>
      </c>
      <c r="N178" s="16">
        <f>Demand_CWRS!E$8/30</f>
        <v>156.84829059829062</v>
      </c>
      <c r="O178" s="16">
        <f>Demand_CWRS!F$8/30</f>
        <v>252.39596314102559</v>
      </c>
      <c r="P178" s="16">
        <f>Demand_CWRS!G$8/30</f>
        <v>124.86819391025641</v>
      </c>
      <c r="Q178" s="16">
        <f>Demand_CWRS!H$8/30</f>
        <v>583.20512820512829</v>
      </c>
      <c r="R178" s="16">
        <f>Demand_CWRS!I$8/30</f>
        <v>246.66666666666666</v>
      </c>
      <c r="S178" s="16">
        <f>Demand_CWRS!J$8/30</f>
        <v>246.66666666666666</v>
      </c>
      <c r="T178" s="16">
        <f>Demand_CWRS!K$8/30</f>
        <v>246.66666666666666</v>
      </c>
      <c r="U178" s="16">
        <f t="shared" si="63"/>
        <v>-25611.552373934977</v>
      </c>
      <c r="V178" s="16">
        <f t="shared" si="64"/>
        <v>-83356.93076923053</v>
      </c>
      <c r="W178" s="16">
        <f t="shared" si="65"/>
        <v>0</v>
      </c>
      <c r="X178" s="16">
        <f t="shared" si="66"/>
        <v>-19600.186806231719</v>
      </c>
      <c r="Y178" s="16">
        <f t="shared" si="67"/>
        <v>-39763.788055947763</v>
      </c>
      <c r="Z178" s="16">
        <f t="shared" si="68"/>
        <v>-25285.779224896527</v>
      </c>
      <c r="AA178" s="16">
        <f t="shared" si="69"/>
        <v>-82856.93076923053</v>
      </c>
      <c r="AB178" s="16">
        <f t="shared" si="70"/>
        <v>-37314.318354024646</v>
      </c>
      <c r="AC178" s="16">
        <f t="shared" si="71"/>
        <v>-37314.318354024639</v>
      </c>
      <c r="AD178" s="16">
        <f t="shared" si="72"/>
        <v>-38014.318354024632</v>
      </c>
      <c r="AE178" s="14">
        <f>IF([1]Sheet2!AJ177=999999,"NA",[1]Sheet2!AJ177)</f>
        <v>0</v>
      </c>
      <c r="AF178" s="14">
        <f>IF([1]Sheet2!AK177=999999,"NA",[1]Sheet2!AK177)</f>
        <v>0</v>
      </c>
      <c r="AG178" s="14" t="str">
        <f>IF([1]Sheet2!AL177=999999,"NA",[1]Sheet2!AL177)</f>
        <v>NA</v>
      </c>
      <c r="AH178" s="14">
        <f>IF([1]Sheet2!AM177=999999,"NA",[1]Sheet2!AM177)</f>
        <v>190</v>
      </c>
      <c r="AI178" s="14">
        <f>IF([1]Sheet2!AN177=999999,"NA",[1]Sheet2!AN177)</f>
        <v>190</v>
      </c>
      <c r="AJ178" s="14">
        <f>IF([1]Sheet2!AO177=999999,"NA",[1]Sheet2!AO177)</f>
        <v>190</v>
      </c>
      <c r="AK178" s="14">
        <f>IF([1]Sheet2!AP177=999999,"NA",[1]Sheet2!AP177)</f>
        <v>0</v>
      </c>
      <c r="AL178" s="14">
        <f>IF([1]Sheet2!AQ177=999999,"NA",[1]Sheet2!AQ177)</f>
        <v>66</v>
      </c>
      <c r="AM178" s="14">
        <f>IF([1]Sheet2!AR177=999999,"NA",[1]Sheet2!AR177)</f>
        <v>190</v>
      </c>
      <c r="AN178" s="14">
        <f>IF([1]Sheet2!AS177=999999,"NA",[1]Sheet2!AS177)</f>
        <v>122</v>
      </c>
      <c r="AO178" s="14">
        <f>[1]Sheet2!P177</f>
        <v>0</v>
      </c>
      <c r="AP178" s="14">
        <f>[1]Sheet2!Q177</f>
        <v>0</v>
      </c>
      <c r="AQ178" s="14">
        <f>[1]Sheet2!R177</f>
        <v>0</v>
      </c>
      <c r="AR178" s="14">
        <f>[1]Sheet2!S177</f>
        <v>0</v>
      </c>
      <c r="AS178" s="14">
        <f>[1]Sheet2!T177</f>
        <v>0</v>
      </c>
      <c r="AT178" s="14">
        <f>[1]Sheet2!U177</f>
        <v>0</v>
      </c>
      <c r="AU178" s="14">
        <f>[1]Sheet2!V177</f>
        <v>0</v>
      </c>
      <c r="AV178" s="14">
        <f>[1]Sheet2!W177</f>
        <v>0</v>
      </c>
      <c r="AW178" s="14">
        <f>[1]Sheet2!X177</f>
        <v>0</v>
      </c>
      <c r="AX178" s="14">
        <f>[1]Sheet2!Y177</f>
        <v>0</v>
      </c>
      <c r="AY178" s="16">
        <f>Demand_LP!B$8/30</f>
        <v>807.81611164529909</v>
      </c>
      <c r="AZ178" s="16">
        <f>Demand_LP!C$8/30</f>
        <v>574.48717948717956</v>
      </c>
      <c r="BA178" s="16">
        <f>Demand_LP!D$8/30</f>
        <v>339.04957264957267</v>
      </c>
      <c r="BB178" s="16">
        <f>Demand_LP!E$8/30</f>
        <v>830.46965811965799</v>
      </c>
      <c r="BC178" s="16">
        <f>Demand_LP!F$8/30</f>
        <v>476.67186805555554</v>
      </c>
      <c r="BD178" s="16">
        <f>Demand_LP!G$8/30</f>
        <v>807.81611164529909</v>
      </c>
      <c r="BE178" s="16">
        <f>Demand_LP!H$8/30</f>
        <v>574.48717948717956</v>
      </c>
      <c r="BF178" s="16">
        <f>Demand_LP!I$8/30</f>
        <v>476.67186805555554</v>
      </c>
      <c r="BG178" s="16">
        <f>Demand_LP!J$8/30</f>
        <v>476.67186805555554</v>
      </c>
      <c r="BH178" s="16">
        <f>Demand_LP!K$8/30</f>
        <v>476.67186805555554</v>
      </c>
      <c r="BI178" s="16" t="e">
        <f t="shared" si="73"/>
        <v>#VALUE!</v>
      </c>
      <c r="BJ178" s="16">
        <f t="shared" si="74"/>
        <v>-103739.17179487167</v>
      </c>
      <c r="BK178" s="16">
        <f t="shared" si="75"/>
        <v>-52657.308974358908</v>
      </c>
      <c r="BL178" s="16">
        <f t="shared" si="76"/>
        <v>-133579.08844530987</v>
      </c>
      <c r="BM178" s="16">
        <f t="shared" si="77"/>
        <v>-79921.015338039593</v>
      </c>
      <c r="BN178" s="16">
        <f t="shared" si="78"/>
        <v>-130035.01303101661</v>
      </c>
      <c r="BO178" s="16">
        <f t="shared" si="79"/>
        <v>-106096.75128205119</v>
      </c>
      <c r="BP178" s="16">
        <f t="shared" si="80"/>
        <v>-79378.699256410197</v>
      </c>
      <c r="BQ178" s="16">
        <f t="shared" si="81"/>
        <v>-75978.69925641024</v>
      </c>
      <c r="BR178" s="16">
        <f t="shared" si="82"/>
        <v>-77178.699256410197</v>
      </c>
      <c r="BS178" s="14">
        <f>IF([1]Sheet2!CA177=999999,"NA",[1]Sheet2!CA177)</f>
        <v>139300.30074359005</v>
      </c>
      <c r="BT178" s="14">
        <f>IF([1]Sheet2!CB177=999999,"NA",[1]Sheet2!CB177)</f>
        <v>112</v>
      </c>
      <c r="BU178" s="14">
        <f>IF([1]Sheet2!CC177=999999,"NA",[1]Sheet2!CC177)</f>
        <v>190</v>
      </c>
      <c r="BV178" s="14">
        <f>IF([1]Sheet2!CD177=999999,"NA",[1]Sheet2!CD177)</f>
        <v>190</v>
      </c>
      <c r="BW178" s="14">
        <f>IF([1]Sheet2!CE177=999999,"NA",[1]Sheet2!CE177)</f>
        <v>152</v>
      </c>
      <c r="BX178" s="14">
        <f>IF([1]Sheet2!CF177=999999,"NA",[1]Sheet2!CF177)</f>
        <v>190</v>
      </c>
      <c r="BY178" s="14">
        <f>IF([1]Sheet2!CG177=999999,"NA",[1]Sheet2!CG177)</f>
        <v>84</v>
      </c>
      <c r="BZ178" s="14">
        <f>IF([1]Sheet2!CH177=999999,"NA",[1]Sheet2!CH177)</f>
        <v>190</v>
      </c>
      <c r="CA178" s="14">
        <f>IF([1]Sheet2!CI177=999999,"NA",[1]Sheet2!CI177)</f>
        <v>190</v>
      </c>
      <c r="CB178" s="14">
        <f>IF([1]Sheet2!CJ177=999999,"NA",[1]Sheet2!CJ177)</f>
        <v>190</v>
      </c>
      <c r="CC178" s="14">
        <f>[1]Sheet2!BG177</f>
        <v>0</v>
      </c>
      <c r="CD178" s="14">
        <f>[1]Sheet2!BH177</f>
        <v>0</v>
      </c>
      <c r="CE178" s="14">
        <f>[1]Sheet2!BI177</f>
        <v>0</v>
      </c>
      <c r="CF178" s="14">
        <f>[1]Sheet2!BJ177</f>
        <v>0</v>
      </c>
      <c r="CG178" s="14">
        <f>[1]Sheet2!BK177</f>
        <v>0</v>
      </c>
      <c r="CH178" s="14">
        <f>[1]Sheet2!BL177</f>
        <v>0</v>
      </c>
      <c r="CI178" s="14">
        <f>[1]Sheet2!BM177</f>
        <v>0</v>
      </c>
      <c r="CJ178" s="14">
        <f>[1]Sheet2!BN177</f>
        <v>0</v>
      </c>
      <c r="CK178" s="14">
        <f>[1]Sheet2!BO177</f>
        <v>0</v>
      </c>
      <c r="CL178" s="14">
        <f>[1]Sheet2!BP177</f>
        <v>0</v>
      </c>
      <c r="CM178" s="16">
        <f>Demand_SW!B$8/30</f>
        <v>144.23076923076923</v>
      </c>
      <c r="CN178" s="16">
        <f>Demand_SW!C$8/30</f>
        <v>0</v>
      </c>
      <c r="CO178" s="16">
        <f>Demand_SW!D$8/30</f>
        <v>0</v>
      </c>
      <c r="CP178" s="16">
        <f>Demand_SW!E$8/30</f>
        <v>0</v>
      </c>
      <c r="CQ178" s="16">
        <f>Demand_SW!F$8/30</f>
        <v>0</v>
      </c>
      <c r="CR178" s="16">
        <f>Demand_SW!G$8/30</f>
        <v>144.23076923076923</v>
      </c>
      <c r="CS178" s="16">
        <f>Demand_SW!H$8/30</f>
        <v>0</v>
      </c>
      <c r="CT178" s="16">
        <f>Demand_SW!I$8/30</f>
        <v>0</v>
      </c>
      <c r="CU178" s="16">
        <f>Demand_SW!J$8/30</f>
        <v>0</v>
      </c>
      <c r="CV178" s="16">
        <f>Demand_SW!K$8/30</f>
        <v>0</v>
      </c>
      <c r="CW178" s="16">
        <f t="shared" si="83"/>
        <v>27267.692307692349</v>
      </c>
      <c r="CX178" s="16">
        <f t="shared" si="84"/>
        <v>-423.07692307692292</v>
      </c>
      <c r="CY178" s="16">
        <f t="shared" si="85"/>
        <v>0</v>
      </c>
      <c r="CZ178" s="16">
        <f t="shared" si="86"/>
        <v>0</v>
      </c>
      <c r="DA178" s="16">
        <f t="shared" si="87"/>
        <v>0</v>
      </c>
      <c r="DB178" s="16">
        <f t="shared" si="88"/>
        <v>-22261.538461538446</v>
      </c>
      <c r="DC178" s="16">
        <f t="shared" si="89"/>
        <v>-423.07692307692292</v>
      </c>
      <c r="DD178" s="16">
        <f t="shared" si="90"/>
        <v>0</v>
      </c>
      <c r="DE178" s="16">
        <f t="shared" si="91"/>
        <v>0</v>
      </c>
      <c r="DF178" s="16">
        <f t="shared" si="92"/>
        <v>0</v>
      </c>
      <c r="DG178" s="14">
        <f>IF([1]Sheet2!DR177=999999,"NA",[1]Sheet2!DR177)</f>
        <v>73103</v>
      </c>
      <c r="DH178" s="14">
        <f>IF([1]Sheet2!DS177=999999,"NA",[1]Sheet2!DS177)</f>
        <v>190</v>
      </c>
      <c r="DI178" s="14">
        <f>IF([1]Sheet2!DT177=999999,"NA",[1]Sheet2!DT177)</f>
        <v>190</v>
      </c>
      <c r="DJ178" s="14" t="str">
        <f>IF([1]Sheet2!DU177=999999,"NA",[1]Sheet2!DU177)</f>
        <v>NA</v>
      </c>
      <c r="DK178" s="14" t="str">
        <f>IF([1]Sheet2!DV177=999999,"NA",[1]Sheet2!DV177)</f>
        <v>NA</v>
      </c>
      <c r="DL178" s="14" t="str">
        <f>IF([1]Sheet2!DW177=999999,"NA",[1]Sheet2!DW177)</f>
        <v>NA</v>
      </c>
      <c r="DM178" s="14">
        <f>IF([1]Sheet2!DX177=999999,"NA",[1]Sheet2!DX177)</f>
        <v>190</v>
      </c>
      <c r="DN178" s="14">
        <f>IF([1]Sheet2!DY177=999999,"NA",[1]Sheet2!DY177)</f>
        <v>190</v>
      </c>
      <c r="DO178" s="14" t="str">
        <f>IF([1]Sheet2!DZ177=999999,"NA",[1]Sheet2!DZ177)</f>
        <v>NA</v>
      </c>
      <c r="DP178" s="14" t="str">
        <f>IF([1]Sheet2!EA177=999999,"NA",[1]Sheet2!EA177)</f>
        <v>NA</v>
      </c>
      <c r="DQ178" s="14">
        <f>[1]Sheet2!CX177</f>
        <v>0</v>
      </c>
      <c r="DR178" s="14">
        <f>[1]Sheet2!CY177</f>
        <v>0</v>
      </c>
      <c r="DS178" s="14">
        <f>[1]Sheet2!CZ177</f>
        <v>0</v>
      </c>
      <c r="DT178" s="14">
        <f>[1]Sheet2!DA177</f>
        <v>0</v>
      </c>
      <c r="DU178" s="14">
        <f>[1]Sheet2!DB177</f>
        <v>0</v>
      </c>
      <c r="DV178" s="14">
        <f>[1]Sheet2!DC177</f>
        <v>0</v>
      </c>
      <c r="DW178" s="14">
        <f>[1]Sheet2!DD177</f>
        <v>0</v>
      </c>
      <c r="DX178" s="14">
        <f>[1]Sheet2!DE177</f>
        <v>0</v>
      </c>
      <c r="DY178" s="14">
        <f>[1]Sheet2!DF177</f>
        <v>0</v>
      </c>
      <c r="DZ178" s="14">
        <f>[1]Sheet2!DG177</f>
        <v>0</v>
      </c>
    </row>
    <row r="179" spans="1:130" x14ac:dyDescent="0.25">
      <c r="A179" s="15">
        <v>43641</v>
      </c>
      <c r="B179" s="1"/>
      <c r="C179" s="1"/>
      <c r="D179" s="1"/>
      <c r="E179" s="14">
        <f>[1]Sheet2!N178</f>
        <v>0</v>
      </c>
      <c r="F179" s="14">
        <f>[1]Sheet2!BE178</f>
        <v>0</v>
      </c>
      <c r="G179" s="14">
        <f>[1]Sheet2!CV178</f>
        <v>288.46153846153851</v>
      </c>
      <c r="H179" s="1"/>
      <c r="I179" s="1"/>
      <c r="J179" s="1"/>
      <c r="K179" s="16">
        <f>Demand_CWRS!B$8/30</f>
        <v>124.86819391025641</v>
      </c>
      <c r="L179" s="16">
        <f>Demand_CWRS!C$8/30</f>
        <v>583.20512820512829</v>
      </c>
      <c r="M179" s="16">
        <f>Demand_CWRS!D$8/30</f>
        <v>0</v>
      </c>
      <c r="N179" s="16">
        <f>Demand_CWRS!E$8/30</f>
        <v>156.84829059829062</v>
      </c>
      <c r="O179" s="16">
        <f>Demand_CWRS!F$8/30</f>
        <v>252.39596314102559</v>
      </c>
      <c r="P179" s="16">
        <f>Demand_CWRS!G$8/30</f>
        <v>124.86819391025641</v>
      </c>
      <c r="Q179" s="16">
        <f>Demand_CWRS!H$8/30</f>
        <v>583.20512820512829</v>
      </c>
      <c r="R179" s="16">
        <f>Demand_CWRS!I$8/30</f>
        <v>246.66666666666666</v>
      </c>
      <c r="S179" s="16">
        <f>Demand_CWRS!J$8/30</f>
        <v>246.66666666666666</v>
      </c>
      <c r="T179" s="16">
        <f>Demand_CWRS!K$8/30</f>
        <v>246.66666666666666</v>
      </c>
      <c r="U179" s="16">
        <f t="shared" si="63"/>
        <v>-25736.420567845234</v>
      </c>
      <c r="V179" s="16">
        <f t="shared" si="64"/>
        <v>-83940.135897435655</v>
      </c>
      <c r="W179" s="16">
        <f t="shared" si="65"/>
        <v>0</v>
      </c>
      <c r="X179" s="16">
        <f t="shared" si="66"/>
        <v>-19757.035096830008</v>
      </c>
      <c r="Y179" s="16">
        <f t="shared" si="67"/>
        <v>-40016.184019088789</v>
      </c>
      <c r="Z179" s="16">
        <f t="shared" si="68"/>
        <v>-25410.647418806784</v>
      </c>
      <c r="AA179" s="16">
        <f t="shared" si="69"/>
        <v>-83440.135897435655</v>
      </c>
      <c r="AB179" s="16">
        <f t="shared" si="70"/>
        <v>-37560.985020691311</v>
      </c>
      <c r="AC179" s="16">
        <f t="shared" si="71"/>
        <v>-37560.985020691303</v>
      </c>
      <c r="AD179" s="16">
        <f t="shared" si="72"/>
        <v>-38260.985020691296</v>
      </c>
      <c r="AE179" s="14">
        <f>IF([1]Sheet2!AJ178=999999,"NA",[1]Sheet2!AJ178)</f>
        <v>0</v>
      </c>
      <c r="AF179" s="14">
        <f>IF([1]Sheet2!AK178=999999,"NA",[1]Sheet2!AK178)</f>
        <v>0</v>
      </c>
      <c r="AG179" s="14" t="str">
        <f>IF([1]Sheet2!AL178=999999,"NA",[1]Sheet2!AL178)</f>
        <v>NA</v>
      </c>
      <c r="AH179" s="14">
        <f>IF([1]Sheet2!AM178=999999,"NA",[1]Sheet2!AM178)</f>
        <v>189</v>
      </c>
      <c r="AI179" s="14">
        <f>IF([1]Sheet2!AN178=999999,"NA",[1]Sheet2!AN178)</f>
        <v>189</v>
      </c>
      <c r="AJ179" s="14">
        <f>IF([1]Sheet2!AO178=999999,"NA",[1]Sheet2!AO178)</f>
        <v>189</v>
      </c>
      <c r="AK179" s="14">
        <f>IF([1]Sheet2!AP178=999999,"NA",[1]Sheet2!AP178)</f>
        <v>0</v>
      </c>
      <c r="AL179" s="14">
        <f>IF([1]Sheet2!AQ178=999999,"NA",[1]Sheet2!AQ178)</f>
        <v>65</v>
      </c>
      <c r="AM179" s="14">
        <f>IF([1]Sheet2!AR178=999999,"NA",[1]Sheet2!AR178)</f>
        <v>189</v>
      </c>
      <c r="AN179" s="14">
        <f>IF([1]Sheet2!AS178=999999,"NA",[1]Sheet2!AS178)</f>
        <v>121</v>
      </c>
      <c r="AO179" s="14">
        <f>[1]Sheet2!P178</f>
        <v>0</v>
      </c>
      <c r="AP179" s="14">
        <f>[1]Sheet2!Q178</f>
        <v>0</v>
      </c>
      <c r="AQ179" s="14">
        <f>[1]Sheet2!R178</f>
        <v>0</v>
      </c>
      <c r="AR179" s="14">
        <f>[1]Sheet2!S178</f>
        <v>0</v>
      </c>
      <c r="AS179" s="14">
        <f>[1]Sheet2!T178</f>
        <v>0</v>
      </c>
      <c r="AT179" s="14">
        <f>[1]Sheet2!U178</f>
        <v>0</v>
      </c>
      <c r="AU179" s="14">
        <f>[1]Sheet2!V178</f>
        <v>0</v>
      </c>
      <c r="AV179" s="14">
        <f>[1]Sheet2!W178</f>
        <v>0</v>
      </c>
      <c r="AW179" s="14">
        <f>[1]Sheet2!X178</f>
        <v>0</v>
      </c>
      <c r="AX179" s="14">
        <f>[1]Sheet2!Y178</f>
        <v>0</v>
      </c>
      <c r="AY179" s="16">
        <f>Demand_LP!B$8/30</f>
        <v>807.81611164529909</v>
      </c>
      <c r="AZ179" s="16">
        <f>Demand_LP!C$8/30</f>
        <v>574.48717948717956</v>
      </c>
      <c r="BA179" s="16">
        <f>Demand_LP!D$8/30</f>
        <v>339.04957264957267</v>
      </c>
      <c r="BB179" s="16">
        <f>Demand_LP!E$8/30</f>
        <v>830.46965811965799</v>
      </c>
      <c r="BC179" s="16">
        <f>Demand_LP!F$8/30</f>
        <v>476.67186805555554</v>
      </c>
      <c r="BD179" s="16">
        <f>Demand_LP!G$8/30</f>
        <v>807.81611164529909</v>
      </c>
      <c r="BE179" s="16">
        <f>Demand_LP!H$8/30</f>
        <v>574.48717948717956</v>
      </c>
      <c r="BF179" s="16">
        <f>Demand_LP!I$8/30</f>
        <v>476.67186805555554</v>
      </c>
      <c r="BG179" s="16">
        <f>Demand_LP!J$8/30</f>
        <v>476.67186805555554</v>
      </c>
      <c r="BH179" s="16">
        <f>Demand_LP!K$8/30</f>
        <v>476.67186805555554</v>
      </c>
      <c r="BI179" s="16" t="e">
        <f t="shared" si="73"/>
        <v>#VALUE!</v>
      </c>
      <c r="BJ179" s="16">
        <f t="shared" si="74"/>
        <v>-104313.65897435884</v>
      </c>
      <c r="BK179" s="16">
        <f t="shared" si="75"/>
        <v>-52996.35854700848</v>
      </c>
      <c r="BL179" s="16">
        <f t="shared" si="76"/>
        <v>-134409.55810342953</v>
      </c>
      <c r="BM179" s="16">
        <f t="shared" si="77"/>
        <v>-80397.687206095143</v>
      </c>
      <c r="BN179" s="16">
        <f t="shared" si="78"/>
        <v>-130842.82914266191</v>
      </c>
      <c r="BO179" s="16">
        <f t="shared" si="79"/>
        <v>-106671.23846153836</v>
      </c>
      <c r="BP179" s="16">
        <f t="shared" si="80"/>
        <v>-79855.371124465746</v>
      </c>
      <c r="BQ179" s="16">
        <f t="shared" si="81"/>
        <v>-76455.37112446579</v>
      </c>
      <c r="BR179" s="16">
        <f t="shared" si="82"/>
        <v>-77655.371124465746</v>
      </c>
      <c r="BS179" s="14">
        <f>IF([1]Sheet2!CA178=999999,"NA",[1]Sheet2!CA178)</f>
        <v>138823.62887553449</v>
      </c>
      <c r="BT179" s="14">
        <f>IF([1]Sheet2!CB178=999999,"NA",[1]Sheet2!CB178)</f>
        <v>111</v>
      </c>
      <c r="BU179" s="14">
        <f>IF([1]Sheet2!CC178=999999,"NA",[1]Sheet2!CC178)</f>
        <v>189</v>
      </c>
      <c r="BV179" s="14">
        <f>IF([1]Sheet2!CD178=999999,"NA",[1]Sheet2!CD178)</f>
        <v>189</v>
      </c>
      <c r="BW179" s="14">
        <f>IF([1]Sheet2!CE178=999999,"NA",[1]Sheet2!CE178)</f>
        <v>151</v>
      </c>
      <c r="BX179" s="14">
        <f>IF([1]Sheet2!CF178=999999,"NA",[1]Sheet2!CF178)</f>
        <v>189</v>
      </c>
      <c r="BY179" s="14">
        <f>IF([1]Sheet2!CG178=999999,"NA",[1]Sheet2!CG178)</f>
        <v>83</v>
      </c>
      <c r="BZ179" s="14">
        <f>IF([1]Sheet2!CH178=999999,"NA",[1]Sheet2!CH178)</f>
        <v>189</v>
      </c>
      <c r="CA179" s="14">
        <f>IF([1]Sheet2!CI178=999999,"NA",[1]Sheet2!CI178)</f>
        <v>189</v>
      </c>
      <c r="CB179" s="14">
        <f>IF([1]Sheet2!CJ178=999999,"NA",[1]Sheet2!CJ178)</f>
        <v>189</v>
      </c>
      <c r="CC179" s="14">
        <f>[1]Sheet2!BG178</f>
        <v>0</v>
      </c>
      <c r="CD179" s="14">
        <f>[1]Sheet2!BH178</f>
        <v>0</v>
      </c>
      <c r="CE179" s="14">
        <f>[1]Sheet2!BI178</f>
        <v>0</v>
      </c>
      <c r="CF179" s="14">
        <f>[1]Sheet2!BJ178</f>
        <v>0</v>
      </c>
      <c r="CG179" s="14">
        <f>[1]Sheet2!BK178</f>
        <v>0</v>
      </c>
      <c r="CH179" s="14">
        <f>[1]Sheet2!BL178</f>
        <v>0</v>
      </c>
      <c r="CI179" s="14">
        <f>[1]Sheet2!BM178</f>
        <v>0</v>
      </c>
      <c r="CJ179" s="14">
        <f>[1]Sheet2!BN178</f>
        <v>0</v>
      </c>
      <c r="CK179" s="14">
        <f>[1]Sheet2!BO178</f>
        <v>0</v>
      </c>
      <c r="CL179" s="14">
        <f>[1]Sheet2!BP178</f>
        <v>0</v>
      </c>
      <c r="CM179" s="16">
        <f>Demand_SW!B$8/30</f>
        <v>144.23076923076923</v>
      </c>
      <c r="CN179" s="16">
        <f>Demand_SW!C$8/30</f>
        <v>0</v>
      </c>
      <c r="CO179" s="16">
        <f>Demand_SW!D$8/30</f>
        <v>0</v>
      </c>
      <c r="CP179" s="16">
        <f>Demand_SW!E$8/30</f>
        <v>0</v>
      </c>
      <c r="CQ179" s="16">
        <f>Demand_SW!F$8/30</f>
        <v>0</v>
      </c>
      <c r="CR179" s="16">
        <f>Demand_SW!G$8/30</f>
        <v>144.23076923076923</v>
      </c>
      <c r="CS179" s="16">
        <f>Demand_SW!H$8/30</f>
        <v>0</v>
      </c>
      <c r="CT179" s="16">
        <f>Demand_SW!I$8/30</f>
        <v>0</v>
      </c>
      <c r="CU179" s="16">
        <f>Demand_SW!J$8/30</f>
        <v>0</v>
      </c>
      <c r="CV179" s="16">
        <f>Demand_SW!K$8/30</f>
        <v>0</v>
      </c>
      <c r="CW179" s="16">
        <f t="shared" si="83"/>
        <v>27123.461538461579</v>
      </c>
      <c r="CX179" s="16">
        <f t="shared" si="84"/>
        <v>-423.07692307692292</v>
      </c>
      <c r="CY179" s="16">
        <f t="shared" si="85"/>
        <v>0</v>
      </c>
      <c r="CZ179" s="16">
        <f t="shared" si="86"/>
        <v>0</v>
      </c>
      <c r="DA179" s="16">
        <f t="shared" si="87"/>
        <v>0</v>
      </c>
      <c r="DB179" s="16">
        <f t="shared" si="88"/>
        <v>-22405.769230769216</v>
      </c>
      <c r="DC179" s="16">
        <f t="shared" si="89"/>
        <v>-423.07692307692292</v>
      </c>
      <c r="DD179" s="16">
        <f t="shared" si="90"/>
        <v>0</v>
      </c>
      <c r="DE179" s="16">
        <f t="shared" si="91"/>
        <v>0</v>
      </c>
      <c r="DF179" s="16">
        <f t="shared" si="92"/>
        <v>0</v>
      </c>
      <c r="DG179" s="14">
        <f>IF([1]Sheet2!DR178=999999,"NA",[1]Sheet2!DR178)</f>
        <v>73103</v>
      </c>
      <c r="DH179" s="14">
        <f>IF([1]Sheet2!DS178=999999,"NA",[1]Sheet2!DS178)</f>
        <v>189</v>
      </c>
      <c r="DI179" s="14">
        <f>IF([1]Sheet2!DT178=999999,"NA",[1]Sheet2!DT178)</f>
        <v>189</v>
      </c>
      <c r="DJ179" s="14" t="str">
        <f>IF([1]Sheet2!DU178=999999,"NA",[1]Sheet2!DU178)</f>
        <v>NA</v>
      </c>
      <c r="DK179" s="14" t="str">
        <f>IF([1]Sheet2!DV178=999999,"NA",[1]Sheet2!DV178)</f>
        <v>NA</v>
      </c>
      <c r="DL179" s="14" t="str">
        <f>IF([1]Sheet2!DW178=999999,"NA",[1]Sheet2!DW178)</f>
        <v>NA</v>
      </c>
      <c r="DM179" s="14">
        <f>IF([1]Sheet2!DX178=999999,"NA",[1]Sheet2!DX178)</f>
        <v>189</v>
      </c>
      <c r="DN179" s="14">
        <f>IF([1]Sheet2!DY178=999999,"NA",[1]Sheet2!DY178)</f>
        <v>189</v>
      </c>
      <c r="DO179" s="14" t="str">
        <f>IF([1]Sheet2!DZ178=999999,"NA",[1]Sheet2!DZ178)</f>
        <v>NA</v>
      </c>
      <c r="DP179" s="14" t="str">
        <f>IF([1]Sheet2!EA178=999999,"NA",[1]Sheet2!EA178)</f>
        <v>NA</v>
      </c>
      <c r="DQ179" s="14">
        <f>[1]Sheet2!CX178</f>
        <v>0</v>
      </c>
      <c r="DR179" s="14">
        <f>[1]Sheet2!CY178</f>
        <v>0</v>
      </c>
      <c r="DS179" s="14">
        <f>[1]Sheet2!CZ178</f>
        <v>0</v>
      </c>
      <c r="DT179" s="14">
        <f>[1]Sheet2!DA178</f>
        <v>0</v>
      </c>
      <c r="DU179" s="14">
        <f>[1]Sheet2!DB178</f>
        <v>0</v>
      </c>
      <c r="DV179" s="14">
        <f>[1]Sheet2!DC178</f>
        <v>0</v>
      </c>
      <c r="DW179" s="14">
        <f>[1]Sheet2!DD178</f>
        <v>0</v>
      </c>
      <c r="DX179" s="14">
        <f>[1]Sheet2!DE178</f>
        <v>0</v>
      </c>
      <c r="DY179" s="14">
        <f>[1]Sheet2!DF178</f>
        <v>0</v>
      </c>
      <c r="DZ179" s="14">
        <f>[1]Sheet2!DG178</f>
        <v>0</v>
      </c>
    </row>
    <row r="180" spans="1:130" x14ac:dyDescent="0.25">
      <c r="A180" s="15">
        <v>43642</v>
      </c>
      <c r="B180" s="1"/>
      <c r="C180" s="1"/>
      <c r="D180" s="1"/>
      <c r="E180" s="14">
        <f>[1]Sheet2!N179</f>
        <v>0</v>
      </c>
      <c r="F180" s="14">
        <f>[1]Sheet2!BE179</f>
        <v>0</v>
      </c>
      <c r="G180" s="14">
        <f>[1]Sheet2!CV179</f>
        <v>288.46153846153851</v>
      </c>
      <c r="H180" s="1"/>
      <c r="I180" s="1"/>
      <c r="J180" s="1"/>
      <c r="K180" s="16">
        <f>Demand_CWRS!B$8/30</f>
        <v>124.86819391025641</v>
      </c>
      <c r="L180" s="16">
        <f>Demand_CWRS!C$8/30</f>
        <v>583.20512820512829</v>
      </c>
      <c r="M180" s="16">
        <f>Demand_CWRS!D$8/30</f>
        <v>0</v>
      </c>
      <c r="N180" s="16">
        <f>Demand_CWRS!E$8/30</f>
        <v>156.84829059829062</v>
      </c>
      <c r="O180" s="16">
        <f>Demand_CWRS!F$8/30</f>
        <v>252.39596314102559</v>
      </c>
      <c r="P180" s="16">
        <f>Demand_CWRS!G$8/30</f>
        <v>124.86819391025641</v>
      </c>
      <c r="Q180" s="16">
        <f>Demand_CWRS!H$8/30</f>
        <v>583.20512820512829</v>
      </c>
      <c r="R180" s="16">
        <f>Demand_CWRS!I$8/30</f>
        <v>246.66666666666666</v>
      </c>
      <c r="S180" s="16">
        <f>Demand_CWRS!J$8/30</f>
        <v>246.66666666666666</v>
      </c>
      <c r="T180" s="16">
        <f>Demand_CWRS!K$8/30</f>
        <v>246.66666666666666</v>
      </c>
      <c r="U180" s="16">
        <f t="shared" si="63"/>
        <v>-25861.288761755492</v>
      </c>
      <c r="V180" s="16">
        <f t="shared" si="64"/>
        <v>-84523.341025640781</v>
      </c>
      <c r="W180" s="16">
        <f t="shared" si="65"/>
        <v>0</v>
      </c>
      <c r="X180" s="16">
        <f t="shared" si="66"/>
        <v>-19913.883387428297</v>
      </c>
      <c r="Y180" s="16">
        <f t="shared" si="67"/>
        <v>-40268.579982229814</v>
      </c>
      <c r="Z180" s="16">
        <f t="shared" si="68"/>
        <v>-25535.515612717041</v>
      </c>
      <c r="AA180" s="16">
        <f t="shared" si="69"/>
        <v>-84023.341025640781</v>
      </c>
      <c r="AB180" s="16">
        <f t="shared" si="70"/>
        <v>-37807.651687357975</v>
      </c>
      <c r="AC180" s="16">
        <f t="shared" si="71"/>
        <v>-37807.651687357968</v>
      </c>
      <c r="AD180" s="16">
        <f t="shared" si="72"/>
        <v>-38507.65168735796</v>
      </c>
      <c r="AE180" s="14">
        <f>IF([1]Sheet2!AJ179=999999,"NA",[1]Sheet2!AJ179)</f>
        <v>0</v>
      </c>
      <c r="AF180" s="14">
        <f>IF([1]Sheet2!AK179=999999,"NA",[1]Sheet2!AK179)</f>
        <v>0</v>
      </c>
      <c r="AG180" s="14" t="str">
        <f>IF([1]Sheet2!AL179=999999,"NA",[1]Sheet2!AL179)</f>
        <v>NA</v>
      </c>
      <c r="AH180" s="14">
        <f>IF([1]Sheet2!AM179=999999,"NA",[1]Sheet2!AM179)</f>
        <v>188</v>
      </c>
      <c r="AI180" s="14">
        <f>IF([1]Sheet2!AN179=999999,"NA",[1]Sheet2!AN179)</f>
        <v>188</v>
      </c>
      <c r="AJ180" s="14">
        <f>IF([1]Sheet2!AO179=999999,"NA",[1]Sheet2!AO179)</f>
        <v>188</v>
      </c>
      <c r="AK180" s="14">
        <f>IF([1]Sheet2!AP179=999999,"NA",[1]Sheet2!AP179)</f>
        <v>0</v>
      </c>
      <c r="AL180" s="14">
        <f>IF([1]Sheet2!AQ179=999999,"NA",[1]Sheet2!AQ179)</f>
        <v>64</v>
      </c>
      <c r="AM180" s="14">
        <f>IF([1]Sheet2!AR179=999999,"NA",[1]Sheet2!AR179)</f>
        <v>188</v>
      </c>
      <c r="AN180" s="14">
        <f>IF([1]Sheet2!AS179=999999,"NA",[1]Sheet2!AS179)</f>
        <v>120</v>
      </c>
      <c r="AO180" s="14">
        <f>[1]Sheet2!P179</f>
        <v>0</v>
      </c>
      <c r="AP180" s="14">
        <f>[1]Sheet2!Q179</f>
        <v>0</v>
      </c>
      <c r="AQ180" s="14">
        <f>[1]Sheet2!R179</f>
        <v>0</v>
      </c>
      <c r="AR180" s="14">
        <f>[1]Sheet2!S179</f>
        <v>0</v>
      </c>
      <c r="AS180" s="14">
        <f>[1]Sheet2!T179</f>
        <v>0</v>
      </c>
      <c r="AT180" s="14">
        <f>[1]Sheet2!U179</f>
        <v>0</v>
      </c>
      <c r="AU180" s="14">
        <f>[1]Sheet2!V179</f>
        <v>0</v>
      </c>
      <c r="AV180" s="14">
        <f>[1]Sheet2!W179</f>
        <v>0</v>
      </c>
      <c r="AW180" s="14">
        <f>[1]Sheet2!X179</f>
        <v>0</v>
      </c>
      <c r="AX180" s="14">
        <f>[1]Sheet2!Y179</f>
        <v>0</v>
      </c>
      <c r="AY180" s="16">
        <f>Demand_LP!B$8/30</f>
        <v>807.81611164529909</v>
      </c>
      <c r="AZ180" s="16">
        <f>Demand_LP!C$8/30</f>
        <v>574.48717948717956</v>
      </c>
      <c r="BA180" s="16">
        <f>Demand_LP!D$8/30</f>
        <v>339.04957264957267</v>
      </c>
      <c r="BB180" s="16">
        <f>Demand_LP!E$8/30</f>
        <v>830.46965811965799</v>
      </c>
      <c r="BC180" s="16">
        <f>Demand_LP!F$8/30</f>
        <v>476.67186805555554</v>
      </c>
      <c r="BD180" s="16">
        <f>Demand_LP!G$8/30</f>
        <v>807.81611164529909</v>
      </c>
      <c r="BE180" s="16">
        <f>Demand_LP!H$8/30</f>
        <v>574.48717948717956</v>
      </c>
      <c r="BF180" s="16">
        <f>Demand_LP!I$8/30</f>
        <v>476.67186805555554</v>
      </c>
      <c r="BG180" s="16">
        <f>Demand_LP!J$8/30</f>
        <v>476.67186805555554</v>
      </c>
      <c r="BH180" s="16">
        <f>Demand_LP!K$8/30</f>
        <v>476.67186805555554</v>
      </c>
      <c r="BI180" s="16" t="e">
        <f t="shared" si="73"/>
        <v>#VALUE!</v>
      </c>
      <c r="BJ180" s="16">
        <f t="shared" si="74"/>
        <v>-104888.14615384601</v>
      </c>
      <c r="BK180" s="16">
        <f t="shared" si="75"/>
        <v>-53335.408119658052</v>
      </c>
      <c r="BL180" s="16">
        <f t="shared" si="76"/>
        <v>-135240.02776154919</v>
      </c>
      <c r="BM180" s="16">
        <f t="shared" si="77"/>
        <v>-80874.359074150692</v>
      </c>
      <c r="BN180" s="16">
        <f t="shared" si="78"/>
        <v>-131650.64525430722</v>
      </c>
      <c r="BO180" s="16">
        <f t="shared" si="79"/>
        <v>-107245.72564102554</v>
      </c>
      <c r="BP180" s="16">
        <f t="shared" si="80"/>
        <v>-80332.042992521296</v>
      </c>
      <c r="BQ180" s="16">
        <f t="shared" si="81"/>
        <v>-76932.042992521339</v>
      </c>
      <c r="BR180" s="16">
        <f t="shared" si="82"/>
        <v>-78132.042992521296</v>
      </c>
      <c r="BS180" s="14">
        <f>IF([1]Sheet2!CA179=999999,"NA",[1]Sheet2!CA179)</f>
        <v>138346.95700747892</v>
      </c>
      <c r="BT180" s="14">
        <f>IF([1]Sheet2!CB179=999999,"NA",[1]Sheet2!CB179)</f>
        <v>110</v>
      </c>
      <c r="BU180" s="14">
        <f>IF([1]Sheet2!CC179=999999,"NA",[1]Sheet2!CC179)</f>
        <v>188</v>
      </c>
      <c r="BV180" s="14">
        <f>IF([1]Sheet2!CD179=999999,"NA",[1]Sheet2!CD179)</f>
        <v>188</v>
      </c>
      <c r="BW180" s="14">
        <f>IF([1]Sheet2!CE179=999999,"NA",[1]Sheet2!CE179)</f>
        <v>150</v>
      </c>
      <c r="BX180" s="14">
        <f>IF([1]Sheet2!CF179=999999,"NA",[1]Sheet2!CF179)</f>
        <v>188</v>
      </c>
      <c r="BY180" s="14">
        <f>IF([1]Sheet2!CG179=999999,"NA",[1]Sheet2!CG179)</f>
        <v>82</v>
      </c>
      <c r="BZ180" s="14">
        <f>IF([1]Sheet2!CH179=999999,"NA",[1]Sheet2!CH179)</f>
        <v>188</v>
      </c>
      <c r="CA180" s="14">
        <f>IF([1]Sheet2!CI179=999999,"NA",[1]Sheet2!CI179)</f>
        <v>188</v>
      </c>
      <c r="CB180" s="14">
        <f>IF([1]Sheet2!CJ179=999999,"NA",[1]Sheet2!CJ179)</f>
        <v>188</v>
      </c>
      <c r="CC180" s="14">
        <f>[1]Sheet2!BG179</f>
        <v>0</v>
      </c>
      <c r="CD180" s="14">
        <f>[1]Sheet2!BH179</f>
        <v>0</v>
      </c>
      <c r="CE180" s="14">
        <f>[1]Sheet2!BI179</f>
        <v>0</v>
      </c>
      <c r="CF180" s="14">
        <f>[1]Sheet2!BJ179</f>
        <v>0</v>
      </c>
      <c r="CG180" s="14">
        <f>[1]Sheet2!BK179</f>
        <v>0</v>
      </c>
      <c r="CH180" s="14">
        <f>[1]Sheet2!BL179</f>
        <v>0</v>
      </c>
      <c r="CI180" s="14">
        <f>[1]Sheet2!BM179</f>
        <v>0</v>
      </c>
      <c r="CJ180" s="14">
        <f>[1]Sheet2!BN179</f>
        <v>0</v>
      </c>
      <c r="CK180" s="14">
        <f>[1]Sheet2!BO179</f>
        <v>0</v>
      </c>
      <c r="CL180" s="14">
        <f>[1]Sheet2!BP179</f>
        <v>0</v>
      </c>
      <c r="CM180" s="16">
        <f>Demand_SW!B$8/30</f>
        <v>144.23076923076923</v>
      </c>
      <c r="CN180" s="16">
        <f>Demand_SW!C$8/30</f>
        <v>0</v>
      </c>
      <c r="CO180" s="16">
        <f>Demand_SW!D$8/30</f>
        <v>0</v>
      </c>
      <c r="CP180" s="16">
        <f>Demand_SW!E$8/30</f>
        <v>0</v>
      </c>
      <c r="CQ180" s="16">
        <f>Demand_SW!F$8/30</f>
        <v>0</v>
      </c>
      <c r="CR180" s="16">
        <f>Demand_SW!G$8/30</f>
        <v>144.23076923076923</v>
      </c>
      <c r="CS180" s="16">
        <f>Demand_SW!H$8/30</f>
        <v>0</v>
      </c>
      <c r="CT180" s="16">
        <f>Demand_SW!I$8/30</f>
        <v>0</v>
      </c>
      <c r="CU180" s="16">
        <f>Demand_SW!J$8/30</f>
        <v>0</v>
      </c>
      <c r="CV180" s="16">
        <f>Demand_SW!K$8/30</f>
        <v>0</v>
      </c>
      <c r="CW180" s="16">
        <f t="shared" si="83"/>
        <v>26979.23076923081</v>
      </c>
      <c r="CX180" s="16">
        <f t="shared" si="84"/>
        <v>-423.07692307692292</v>
      </c>
      <c r="CY180" s="16">
        <f t="shared" si="85"/>
        <v>0</v>
      </c>
      <c r="CZ180" s="16">
        <f t="shared" si="86"/>
        <v>0</v>
      </c>
      <c r="DA180" s="16">
        <f t="shared" si="87"/>
        <v>0</v>
      </c>
      <c r="DB180" s="16">
        <f t="shared" si="88"/>
        <v>-22549.999999999985</v>
      </c>
      <c r="DC180" s="16">
        <f t="shared" si="89"/>
        <v>-423.07692307692292</v>
      </c>
      <c r="DD180" s="16">
        <f t="shared" si="90"/>
        <v>0</v>
      </c>
      <c r="DE180" s="16">
        <f t="shared" si="91"/>
        <v>0</v>
      </c>
      <c r="DF180" s="16">
        <f t="shared" si="92"/>
        <v>0</v>
      </c>
      <c r="DG180" s="14">
        <f>IF([1]Sheet2!DR179=999999,"NA",[1]Sheet2!DR179)</f>
        <v>73103</v>
      </c>
      <c r="DH180" s="14">
        <f>IF([1]Sheet2!DS179=999999,"NA",[1]Sheet2!DS179)</f>
        <v>188</v>
      </c>
      <c r="DI180" s="14">
        <f>IF([1]Sheet2!DT179=999999,"NA",[1]Sheet2!DT179)</f>
        <v>188</v>
      </c>
      <c r="DJ180" s="14" t="str">
        <f>IF([1]Sheet2!DU179=999999,"NA",[1]Sheet2!DU179)</f>
        <v>NA</v>
      </c>
      <c r="DK180" s="14" t="str">
        <f>IF([1]Sheet2!DV179=999999,"NA",[1]Sheet2!DV179)</f>
        <v>NA</v>
      </c>
      <c r="DL180" s="14" t="str">
        <f>IF([1]Sheet2!DW179=999999,"NA",[1]Sheet2!DW179)</f>
        <v>NA</v>
      </c>
      <c r="DM180" s="14">
        <f>IF([1]Sheet2!DX179=999999,"NA",[1]Sheet2!DX179)</f>
        <v>188</v>
      </c>
      <c r="DN180" s="14">
        <f>IF([1]Sheet2!DY179=999999,"NA",[1]Sheet2!DY179)</f>
        <v>188</v>
      </c>
      <c r="DO180" s="14" t="str">
        <f>IF([1]Sheet2!DZ179=999999,"NA",[1]Sheet2!DZ179)</f>
        <v>NA</v>
      </c>
      <c r="DP180" s="14" t="str">
        <f>IF([1]Sheet2!EA179=999999,"NA",[1]Sheet2!EA179)</f>
        <v>NA</v>
      </c>
      <c r="DQ180" s="14">
        <f>[1]Sheet2!CX179</f>
        <v>0</v>
      </c>
      <c r="DR180" s="14">
        <f>[1]Sheet2!CY179</f>
        <v>0</v>
      </c>
      <c r="DS180" s="14">
        <f>[1]Sheet2!CZ179</f>
        <v>0</v>
      </c>
      <c r="DT180" s="14">
        <f>[1]Sheet2!DA179</f>
        <v>0</v>
      </c>
      <c r="DU180" s="14">
        <f>[1]Sheet2!DB179</f>
        <v>0</v>
      </c>
      <c r="DV180" s="14">
        <f>[1]Sheet2!DC179</f>
        <v>0</v>
      </c>
      <c r="DW180" s="14">
        <f>[1]Sheet2!DD179</f>
        <v>0</v>
      </c>
      <c r="DX180" s="14">
        <f>[1]Sheet2!DE179</f>
        <v>0</v>
      </c>
      <c r="DY180" s="14">
        <f>[1]Sheet2!DF179</f>
        <v>0</v>
      </c>
      <c r="DZ180" s="14">
        <f>[1]Sheet2!DG179</f>
        <v>0</v>
      </c>
    </row>
    <row r="181" spans="1:130" x14ac:dyDescent="0.25">
      <c r="A181" s="15">
        <v>43643</v>
      </c>
      <c r="B181" s="1"/>
      <c r="C181" s="1"/>
      <c r="D181" s="1"/>
      <c r="E181" s="14">
        <f>[1]Sheet2!N180</f>
        <v>0</v>
      </c>
      <c r="F181" s="14">
        <f>[1]Sheet2!BE180</f>
        <v>0</v>
      </c>
      <c r="G181" s="14">
        <f>[1]Sheet2!CV180</f>
        <v>288.46153846153851</v>
      </c>
      <c r="H181" s="1"/>
      <c r="I181" s="1"/>
      <c r="J181" s="1"/>
      <c r="K181" s="16">
        <f>Demand_CWRS!B$8/30</f>
        <v>124.86819391025641</v>
      </c>
      <c r="L181" s="16">
        <f>Demand_CWRS!C$8/30</f>
        <v>583.20512820512829</v>
      </c>
      <c r="M181" s="16">
        <f>Demand_CWRS!D$8/30</f>
        <v>0</v>
      </c>
      <c r="N181" s="16">
        <f>Demand_CWRS!E$8/30</f>
        <v>156.84829059829062</v>
      </c>
      <c r="O181" s="16">
        <f>Demand_CWRS!F$8/30</f>
        <v>252.39596314102559</v>
      </c>
      <c r="P181" s="16">
        <f>Demand_CWRS!G$8/30</f>
        <v>124.86819391025641</v>
      </c>
      <c r="Q181" s="16">
        <f>Demand_CWRS!H$8/30</f>
        <v>583.20512820512829</v>
      </c>
      <c r="R181" s="16">
        <f>Demand_CWRS!I$8/30</f>
        <v>246.66666666666666</v>
      </c>
      <c r="S181" s="16">
        <f>Demand_CWRS!J$8/30</f>
        <v>246.66666666666666</v>
      </c>
      <c r="T181" s="16">
        <f>Demand_CWRS!K$8/30</f>
        <v>246.66666666666666</v>
      </c>
      <c r="U181" s="16">
        <f t="shared" si="63"/>
        <v>-25986.156955665749</v>
      </c>
      <c r="V181" s="16">
        <f t="shared" si="64"/>
        <v>-85106.546153845906</v>
      </c>
      <c r="W181" s="16">
        <f t="shared" si="65"/>
        <v>0</v>
      </c>
      <c r="X181" s="16">
        <f t="shared" si="66"/>
        <v>-20070.731678026586</v>
      </c>
      <c r="Y181" s="16">
        <f t="shared" si="67"/>
        <v>-40520.975945370839</v>
      </c>
      <c r="Z181" s="16">
        <f t="shared" si="68"/>
        <v>-25660.383806627298</v>
      </c>
      <c r="AA181" s="16">
        <f t="shared" si="69"/>
        <v>-84606.546153845906</v>
      </c>
      <c r="AB181" s="16">
        <f t="shared" si="70"/>
        <v>-38054.318354024639</v>
      </c>
      <c r="AC181" s="16">
        <f t="shared" si="71"/>
        <v>-38054.318354024632</v>
      </c>
      <c r="AD181" s="16">
        <f t="shared" si="72"/>
        <v>-38754.318354024625</v>
      </c>
      <c r="AE181" s="14">
        <f>IF([1]Sheet2!AJ180=999999,"NA",[1]Sheet2!AJ180)</f>
        <v>0</v>
      </c>
      <c r="AF181" s="14">
        <f>IF([1]Sheet2!AK180=999999,"NA",[1]Sheet2!AK180)</f>
        <v>0</v>
      </c>
      <c r="AG181" s="14" t="str">
        <f>IF([1]Sheet2!AL180=999999,"NA",[1]Sheet2!AL180)</f>
        <v>NA</v>
      </c>
      <c r="AH181" s="14">
        <f>IF([1]Sheet2!AM180=999999,"NA",[1]Sheet2!AM180)</f>
        <v>187</v>
      </c>
      <c r="AI181" s="14">
        <f>IF([1]Sheet2!AN180=999999,"NA",[1]Sheet2!AN180)</f>
        <v>187</v>
      </c>
      <c r="AJ181" s="14">
        <f>IF([1]Sheet2!AO180=999999,"NA",[1]Sheet2!AO180)</f>
        <v>187</v>
      </c>
      <c r="AK181" s="14">
        <f>IF([1]Sheet2!AP180=999999,"NA",[1]Sheet2!AP180)</f>
        <v>0</v>
      </c>
      <c r="AL181" s="14">
        <f>IF([1]Sheet2!AQ180=999999,"NA",[1]Sheet2!AQ180)</f>
        <v>63</v>
      </c>
      <c r="AM181" s="14">
        <f>IF([1]Sheet2!AR180=999999,"NA",[1]Sheet2!AR180)</f>
        <v>187</v>
      </c>
      <c r="AN181" s="14">
        <f>IF([1]Sheet2!AS180=999999,"NA",[1]Sheet2!AS180)</f>
        <v>119</v>
      </c>
      <c r="AO181" s="14">
        <f>[1]Sheet2!P180</f>
        <v>0</v>
      </c>
      <c r="AP181" s="14">
        <f>[1]Sheet2!Q180</f>
        <v>0</v>
      </c>
      <c r="AQ181" s="14">
        <f>[1]Sheet2!R180</f>
        <v>0</v>
      </c>
      <c r="AR181" s="14">
        <f>[1]Sheet2!S180</f>
        <v>0</v>
      </c>
      <c r="AS181" s="14">
        <f>[1]Sheet2!T180</f>
        <v>0</v>
      </c>
      <c r="AT181" s="14">
        <f>[1]Sheet2!U180</f>
        <v>0</v>
      </c>
      <c r="AU181" s="14">
        <f>[1]Sheet2!V180</f>
        <v>0</v>
      </c>
      <c r="AV181" s="14">
        <f>[1]Sheet2!W180</f>
        <v>0</v>
      </c>
      <c r="AW181" s="14">
        <f>[1]Sheet2!X180</f>
        <v>0</v>
      </c>
      <c r="AX181" s="14">
        <f>[1]Sheet2!Y180</f>
        <v>0</v>
      </c>
      <c r="AY181" s="16">
        <f>Demand_LP!B$8/30</f>
        <v>807.81611164529909</v>
      </c>
      <c r="AZ181" s="16">
        <f>Demand_LP!C$8/30</f>
        <v>574.48717948717956</v>
      </c>
      <c r="BA181" s="16">
        <f>Demand_LP!D$8/30</f>
        <v>339.04957264957267</v>
      </c>
      <c r="BB181" s="16">
        <f>Demand_LP!E$8/30</f>
        <v>830.46965811965799</v>
      </c>
      <c r="BC181" s="16">
        <f>Demand_LP!F$8/30</f>
        <v>476.67186805555554</v>
      </c>
      <c r="BD181" s="16">
        <f>Demand_LP!G$8/30</f>
        <v>807.81611164529909</v>
      </c>
      <c r="BE181" s="16">
        <f>Demand_LP!H$8/30</f>
        <v>574.48717948717956</v>
      </c>
      <c r="BF181" s="16">
        <f>Demand_LP!I$8/30</f>
        <v>476.67186805555554</v>
      </c>
      <c r="BG181" s="16">
        <f>Demand_LP!J$8/30</f>
        <v>476.67186805555554</v>
      </c>
      <c r="BH181" s="16">
        <f>Demand_LP!K$8/30</f>
        <v>476.67186805555554</v>
      </c>
      <c r="BI181" s="16" t="e">
        <f t="shared" si="73"/>
        <v>#VALUE!</v>
      </c>
      <c r="BJ181" s="16">
        <f t="shared" si="74"/>
        <v>-105462.63333333319</v>
      </c>
      <c r="BK181" s="16">
        <f t="shared" si="75"/>
        <v>-53674.457692307624</v>
      </c>
      <c r="BL181" s="16">
        <f t="shared" si="76"/>
        <v>-136070.49741966886</v>
      </c>
      <c r="BM181" s="16">
        <f t="shared" si="77"/>
        <v>-81351.030942206242</v>
      </c>
      <c r="BN181" s="16">
        <f t="shared" si="78"/>
        <v>-132458.46136595253</v>
      </c>
      <c r="BO181" s="16">
        <f t="shared" si="79"/>
        <v>-107820.21282051271</v>
      </c>
      <c r="BP181" s="16">
        <f t="shared" si="80"/>
        <v>-80808.714860576845</v>
      </c>
      <c r="BQ181" s="16">
        <f t="shared" si="81"/>
        <v>-77408.714860576889</v>
      </c>
      <c r="BR181" s="16">
        <f t="shared" si="82"/>
        <v>-78608.714860576845</v>
      </c>
      <c r="BS181" s="14">
        <f>IF([1]Sheet2!CA180=999999,"NA",[1]Sheet2!CA180)</f>
        <v>137870.28513942336</v>
      </c>
      <c r="BT181" s="14">
        <f>IF([1]Sheet2!CB180=999999,"NA",[1]Sheet2!CB180)</f>
        <v>109</v>
      </c>
      <c r="BU181" s="14">
        <f>IF([1]Sheet2!CC180=999999,"NA",[1]Sheet2!CC180)</f>
        <v>187</v>
      </c>
      <c r="BV181" s="14">
        <f>IF([1]Sheet2!CD180=999999,"NA",[1]Sheet2!CD180)</f>
        <v>187</v>
      </c>
      <c r="BW181" s="14">
        <f>IF([1]Sheet2!CE180=999999,"NA",[1]Sheet2!CE180)</f>
        <v>149</v>
      </c>
      <c r="BX181" s="14">
        <f>IF([1]Sheet2!CF180=999999,"NA",[1]Sheet2!CF180)</f>
        <v>187</v>
      </c>
      <c r="BY181" s="14">
        <f>IF([1]Sheet2!CG180=999999,"NA",[1]Sheet2!CG180)</f>
        <v>81</v>
      </c>
      <c r="BZ181" s="14">
        <f>IF([1]Sheet2!CH180=999999,"NA",[1]Sheet2!CH180)</f>
        <v>187</v>
      </c>
      <c r="CA181" s="14">
        <f>IF([1]Sheet2!CI180=999999,"NA",[1]Sheet2!CI180)</f>
        <v>187</v>
      </c>
      <c r="CB181" s="14">
        <f>IF([1]Sheet2!CJ180=999999,"NA",[1]Sheet2!CJ180)</f>
        <v>187</v>
      </c>
      <c r="CC181" s="14">
        <f>[1]Sheet2!BG180</f>
        <v>0</v>
      </c>
      <c r="CD181" s="14">
        <f>[1]Sheet2!BH180</f>
        <v>0</v>
      </c>
      <c r="CE181" s="14">
        <f>[1]Sheet2!BI180</f>
        <v>0</v>
      </c>
      <c r="CF181" s="14">
        <f>[1]Sheet2!BJ180</f>
        <v>0</v>
      </c>
      <c r="CG181" s="14">
        <f>[1]Sheet2!BK180</f>
        <v>0</v>
      </c>
      <c r="CH181" s="14">
        <f>[1]Sheet2!BL180</f>
        <v>0</v>
      </c>
      <c r="CI181" s="14">
        <f>[1]Sheet2!BM180</f>
        <v>0</v>
      </c>
      <c r="CJ181" s="14">
        <f>[1]Sheet2!BN180</f>
        <v>0</v>
      </c>
      <c r="CK181" s="14">
        <f>[1]Sheet2!BO180</f>
        <v>0</v>
      </c>
      <c r="CL181" s="14">
        <f>[1]Sheet2!BP180</f>
        <v>0</v>
      </c>
      <c r="CM181" s="16">
        <f>Demand_SW!B$8/30</f>
        <v>144.23076923076923</v>
      </c>
      <c r="CN181" s="16">
        <f>Demand_SW!C$8/30</f>
        <v>0</v>
      </c>
      <c r="CO181" s="16">
        <f>Demand_SW!D$8/30</f>
        <v>0</v>
      </c>
      <c r="CP181" s="16">
        <f>Demand_SW!E$8/30</f>
        <v>0</v>
      </c>
      <c r="CQ181" s="16">
        <f>Demand_SW!F$8/30</f>
        <v>0</v>
      </c>
      <c r="CR181" s="16">
        <f>Demand_SW!G$8/30</f>
        <v>144.23076923076923</v>
      </c>
      <c r="CS181" s="16">
        <f>Demand_SW!H$8/30</f>
        <v>0</v>
      </c>
      <c r="CT181" s="16">
        <f>Demand_SW!I$8/30</f>
        <v>0</v>
      </c>
      <c r="CU181" s="16">
        <f>Demand_SW!J$8/30</f>
        <v>0</v>
      </c>
      <c r="CV181" s="16">
        <f>Demand_SW!K$8/30</f>
        <v>0</v>
      </c>
      <c r="CW181" s="16">
        <f t="shared" si="83"/>
        <v>26835.00000000004</v>
      </c>
      <c r="CX181" s="16">
        <f t="shared" si="84"/>
        <v>-423.07692307692292</v>
      </c>
      <c r="CY181" s="16">
        <f t="shared" si="85"/>
        <v>0</v>
      </c>
      <c r="CZ181" s="16">
        <f t="shared" si="86"/>
        <v>0</v>
      </c>
      <c r="DA181" s="16">
        <f t="shared" si="87"/>
        <v>0</v>
      </c>
      <c r="DB181" s="16">
        <f t="shared" si="88"/>
        <v>-22694.230769230755</v>
      </c>
      <c r="DC181" s="16">
        <f t="shared" si="89"/>
        <v>-423.07692307692292</v>
      </c>
      <c r="DD181" s="16">
        <f t="shared" si="90"/>
        <v>0</v>
      </c>
      <c r="DE181" s="16">
        <f t="shared" si="91"/>
        <v>0</v>
      </c>
      <c r="DF181" s="16">
        <f t="shared" si="92"/>
        <v>0</v>
      </c>
      <c r="DG181" s="14">
        <f>IF([1]Sheet2!DR180=999999,"NA",[1]Sheet2!DR180)</f>
        <v>73103</v>
      </c>
      <c r="DH181" s="14">
        <f>IF([1]Sheet2!DS180=999999,"NA",[1]Sheet2!DS180)</f>
        <v>187</v>
      </c>
      <c r="DI181" s="14">
        <f>IF([1]Sheet2!DT180=999999,"NA",[1]Sheet2!DT180)</f>
        <v>187</v>
      </c>
      <c r="DJ181" s="14" t="str">
        <f>IF([1]Sheet2!DU180=999999,"NA",[1]Sheet2!DU180)</f>
        <v>NA</v>
      </c>
      <c r="DK181" s="14" t="str">
        <f>IF([1]Sheet2!DV180=999999,"NA",[1]Sheet2!DV180)</f>
        <v>NA</v>
      </c>
      <c r="DL181" s="14" t="str">
        <f>IF([1]Sheet2!DW180=999999,"NA",[1]Sheet2!DW180)</f>
        <v>NA</v>
      </c>
      <c r="DM181" s="14">
        <f>IF([1]Sheet2!DX180=999999,"NA",[1]Sheet2!DX180)</f>
        <v>187</v>
      </c>
      <c r="DN181" s="14">
        <f>IF([1]Sheet2!DY180=999999,"NA",[1]Sheet2!DY180)</f>
        <v>187</v>
      </c>
      <c r="DO181" s="14" t="str">
        <f>IF([1]Sheet2!DZ180=999999,"NA",[1]Sheet2!DZ180)</f>
        <v>NA</v>
      </c>
      <c r="DP181" s="14" t="str">
        <f>IF([1]Sheet2!EA180=999999,"NA",[1]Sheet2!EA180)</f>
        <v>NA</v>
      </c>
      <c r="DQ181" s="14">
        <f>[1]Sheet2!CX180</f>
        <v>0</v>
      </c>
      <c r="DR181" s="14">
        <f>[1]Sheet2!CY180</f>
        <v>0</v>
      </c>
      <c r="DS181" s="14">
        <f>[1]Sheet2!CZ180</f>
        <v>0</v>
      </c>
      <c r="DT181" s="14">
        <f>[1]Sheet2!DA180</f>
        <v>0</v>
      </c>
      <c r="DU181" s="14">
        <f>[1]Sheet2!DB180</f>
        <v>0</v>
      </c>
      <c r="DV181" s="14">
        <f>[1]Sheet2!DC180</f>
        <v>0</v>
      </c>
      <c r="DW181" s="14">
        <f>[1]Sheet2!DD180</f>
        <v>0</v>
      </c>
      <c r="DX181" s="14">
        <f>[1]Sheet2!DE180</f>
        <v>0</v>
      </c>
      <c r="DY181" s="14">
        <f>[1]Sheet2!DF180</f>
        <v>0</v>
      </c>
      <c r="DZ181" s="14">
        <f>[1]Sheet2!DG180</f>
        <v>0</v>
      </c>
    </row>
    <row r="182" spans="1:130" x14ac:dyDescent="0.25">
      <c r="A182" s="15">
        <v>43644</v>
      </c>
      <c r="B182" s="1"/>
      <c r="C182" s="1"/>
      <c r="D182" s="1"/>
      <c r="E182" s="14">
        <f>[1]Sheet2!N181</f>
        <v>0</v>
      </c>
      <c r="F182" s="14">
        <f>[1]Sheet2!BE181</f>
        <v>0</v>
      </c>
      <c r="G182" s="14">
        <f>[1]Sheet2!CV181</f>
        <v>288.46153846153851</v>
      </c>
      <c r="H182" s="1"/>
      <c r="I182" s="1"/>
      <c r="J182" s="1"/>
      <c r="K182" s="16">
        <f>Demand_CWRS!B$8/30</f>
        <v>124.86819391025641</v>
      </c>
      <c r="L182" s="16">
        <f>Demand_CWRS!C$8/30</f>
        <v>583.20512820512829</v>
      </c>
      <c r="M182" s="16">
        <f>Demand_CWRS!D$8/30</f>
        <v>0</v>
      </c>
      <c r="N182" s="16">
        <f>Demand_CWRS!E$8/30</f>
        <v>156.84829059829062</v>
      </c>
      <c r="O182" s="16">
        <f>Demand_CWRS!F$8/30</f>
        <v>252.39596314102559</v>
      </c>
      <c r="P182" s="16">
        <f>Demand_CWRS!G$8/30</f>
        <v>124.86819391025641</v>
      </c>
      <c r="Q182" s="16">
        <f>Demand_CWRS!H$8/30</f>
        <v>583.20512820512829</v>
      </c>
      <c r="R182" s="16">
        <f>Demand_CWRS!I$8/30</f>
        <v>246.66666666666666</v>
      </c>
      <c r="S182" s="16">
        <f>Demand_CWRS!J$8/30</f>
        <v>246.66666666666666</v>
      </c>
      <c r="T182" s="16">
        <f>Demand_CWRS!K$8/30</f>
        <v>246.66666666666666</v>
      </c>
      <c r="U182" s="16">
        <f t="shared" si="63"/>
        <v>-26111.025149576006</v>
      </c>
      <c r="V182" s="16">
        <f t="shared" si="64"/>
        <v>-85689.751282051031</v>
      </c>
      <c r="W182" s="16">
        <f t="shared" si="65"/>
        <v>0</v>
      </c>
      <c r="X182" s="16">
        <f t="shared" si="66"/>
        <v>-20227.579968624876</v>
      </c>
      <c r="Y182" s="16">
        <f t="shared" si="67"/>
        <v>-40773.371908511865</v>
      </c>
      <c r="Z182" s="16">
        <f t="shared" si="68"/>
        <v>-25785.252000537555</v>
      </c>
      <c r="AA182" s="16">
        <f t="shared" si="69"/>
        <v>-85189.751282051031</v>
      </c>
      <c r="AB182" s="16">
        <f t="shared" si="70"/>
        <v>-38300.985020691303</v>
      </c>
      <c r="AC182" s="16">
        <f t="shared" si="71"/>
        <v>-38300.985020691296</v>
      </c>
      <c r="AD182" s="16">
        <f t="shared" si="72"/>
        <v>-39000.985020691289</v>
      </c>
      <c r="AE182" s="14">
        <f>IF([1]Sheet2!AJ181=999999,"NA",[1]Sheet2!AJ181)</f>
        <v>0</v>
      </c>
      <c r="AF182" s="14">
        <f>IF([1]Sheet2!AK181=999999,"NA",[1]Sheet2!AK181)</f>
        <v>0</v>
      </c>
      <c r="AG182" s="14" t="str">
        <f>IF([1]Sheet2!AL181=999999,"NA",[1]Sheet2!AL181)</f>
        <v>NA</v>
      </c>
      <c r="AH182" s="14">
        <f>IF([1]Sheet2!AM181=999999,"NA",[1]Sheet2!AM181)</f>
        <v>186</v>
      </c>
      <c r="AI182" s="14">
        <f>IF([1]Sheet2!AN181=999999,"NA",[1]Sheet2!AN181)</f>
        <v>186</v>
      </c>
      <c r="AJ182" s="14">
        <f>IF([1]Sheet2!AO181=999999,"NA",[1]Sheet2!AO181)</f>
        <v>186</v>
      </c>
      <c r="AK182" s="14">
        <f>IF([1]Sheet2!AP181=999999,"NA",[1]Sheet2!AP181)</f>
        <v>0</v>
      </c>
      <c r="AL182" s="14">
        <f>IF([1]Sheet2!AQ181=999999,"NA",[1]Sheet2!AQ181)</f>
        <v>62</v>
      </c>
      <c r="AM182" s="14">
        <f>IF([1]Sheet2!AR181=999999,"NA",[1]Sheet2!AR181)</f>
        <v>186</v>
      </c>
      <c r="AN182" s="14">
        <f>IF([1]Sheet2!AS181=999999,"NA",[1]Sheet2!AS181)</f>
        <v>118</v>
      </c>
      <c r="AO182" s="14">
        <f>[1]Sheet2!P181</f>
        <v>0</v>
      </c>
      <c r="AP182" s="14">
        <f>[1]Sheet2!Q181</f>
        <v>0</v>
      </c>
      <c r="AQ182" s="14">
        <f>[1]Sheet2!R181</f>
        <v>0</v>
      </c>
      <c r="AR182" s="14">
        <f>[1]Sheet2!S181</f>
        <v>0</v>
      </c>
      <c r="AS182" s="14">
        <f>[1]Sheet2!T181</f>
        <v>0</v>
      </c>
      <c r="AT182" s="14">
        <f>[1]Sheet2!U181</f>
        <v>0</v>
      </c>
      <c r="AU182" s="14">
        <f>[1]Sheet2!V181</f>
        <v>0</v>
      </c>
      <c r="AV182" s="14">
        <f>[1]Sheet2!W181</f>
        <v>0</v>
      </c>
      <c r="AW182" s="14">
        <f>[1]Sheet2!X181</f>
        <v>0</v>
      </c>
      <c r="AX182" s="14">
        <f>[1]Sheet2!Y181</f>
        <v>0</v>
      </c>
      <c r="AY182" s="16">
        <f>Demand_LP!B$8/30</f>
        <v>807.81611164529909</v>
      </c>
      <c r="AZ182" s="16">
        <f>Demand_LP!C$8/30</f>
        <v>574.48717948717956</v>
      </c>
      <c r="BA182" s="16">
        <f>Demand_LP!D$8/30</f>
        <v>339.04957264957267</v>
      </c>
      <c r="BB182" s="16">
        <f>Demand_LP!E$8/30</f>
        <v>830.46965811965799</v>
      </c>
      <c r="BC182" s="16">
        <f>Demand_LP!F$8/30</f>
        <v>476.67186805555554</v>
      </c>
      <c r="BD182" s="16">
        <f>Demand_LP!G$8/30</f>
        <v>807.81611164529909</v>
      </c>
      <c r="BE182" s="16">
        <f>Demand_LP!H$8/30</f>
        <v>574.48717948717956</v>
      </c>
      <c r="BF182" s="16">
        <f>Demand_LP!I$8/30</f>
        <v>476.67186805555554</v>
      </c>
      <c r="BG182" s="16">
        <f>Demand_LP!J$8/30</f>
        <v>476.67186805555554</v>
      </c>
      <c r="BH182" s="16">
        <f>Demand_LP!K$8/30</f>
        <v>476.67186805555554</v>
      </c>
      <c r="BI182" s="16" t="e">
        <f t="shared" si="73"/>
        <v>#VALUE!</v>
      </c>
      <c r="BJ182" s="16">
        <f t="shared" si="74"/>
        <v>-106037.12051282036</v>
      </c>
      <c r="BK182" s="16">
        <f t="shared" si="75"/>
        <v>-54013.507264957196</v>
      </c>
      <c r="BL182" s="16">
        <f t="shared" si="76"/>
        <v>-136900.96707778852</v>
      </c>
      <c r="BM182" s="16">
        <f t="shared" si="77"/>
        <v>-81827.702810261791</v>
      </c>
      <c r="BN182" s="16">
        <f t="shared" si="78"/>
        <v>-133266.27747759785</v>
      </c>
      <c r="BO182" s="16">
        <f t="shared" si="79"/>
        <v>-108394.69999999988</v>
      </c>
      <c r="BP182" s="16">
        <f t="shared" si="80"/>
        <v>-81285.386728632395</v>
      </c>
      <c r="BQ182" s="16">
        <f t="shared" si="81"/>
        <v>-77885.386728632438</v>
      </c>
      <c r="BR182" s="16">
        <f t="shared" si="82"/>
        <v>-79085.386728632395</v>
      </c>
      <c r="BS182" s="14">
        <f>IF([1]Sheet2!CA181=999999,"NA",[1]Sheet2!CA181)</f>
        <v>137393.61327136779</v>
      </c>
      <c r="BT182" s="14">
        <f>IF([1]Sheet2!CB181=999999,"NA",[1]Sheet2!CB181)</f>
        <v>108</v>
      </c>
      <c r="BU182" s="14">
        <f>IF([1]Sheet2!CC181=999999,"NA",[1]Sheet2!CC181)</f>
        <v>186</v>
      </c>
      <c r="BV182" s="14">
        <f>IF([1]Sheet2!CD181=999999,"NA",[1]Sheet2!CD181)</f>
        <v>186</v>
      </c>
      <c r="BW182" s="14">
        <f>IF([1]Sheet2!CE181=999999,"NA",[1]Sheet2!CE181)</f>
        <v>148</v>
      </c>
      <c r="BX182" s="14">
        <f>IF([1]Sheet2!CF181=999999,"NA",[1]Sheet2!CF181)</f>
        <v>186</v>
      </c>
      <c r="BY182" s="14">
        <f>IF([1]Sheet2!CG181=999999,"NA",[1]Sheet2!CG181)</f>
        <v>80</v>
      </c>
      <c r="BZ182" s="14">
        <f>IF([1]Sheet2!CH181=999999,"NA",[1]Sheet2!CH181)</f>
        <v>186</v>
      </c>
      <c r="CA182" s="14">
        <f>IF([1]Sheet2!CI181=999999,"NA",[1]Sheet2!CI181)</f>
        <v>186</v>
      </c>
      <c r="CB182" s="14">
        <f>IF([1]Sheet2!CJ181=999999,"NA",[1]Sheet2!CJ181)</f>
        <v>186</v>
      </c>
      <c r="CC182" s="14">
        <f>[1]Sheet2!BG181</f>
        <v>0</v>
      </c>
      <c r="CD182" s="14">
        <f>[1]Sheet2!BH181</f>
        <v>0</v>
      </c>
      <c r="CE182" s="14">
        <f>[1]Sheet2!BI181</f>
        <v>0</v>
      </c>
      <c r="CF182" s="14">
        <f>[1]Sheet2!BJ181</f>
        <v>0</v>
      </c>
      <c r="CG182" s="14">
        <f>[1]Sheet2!BK181</f>
        <v>0</v>
      </c>
      <c r="CH182" s="14">
        <f>[1]Sheet2!BL181</f>
        <v>0</v>
      </c>
      <c r="CI182" s="14">
        <f>[1]Sheet2!BM181</f>
        <v>0</v>
      </c>
      <c r="CJ182" s="14">
        <f>[1]Sheet2!BN181</f>
        <v>0</v>
      </c>
      <c r="CK182" s="14">
        <f>[1]Sheet2!BO181</f>
        <v>0</v>
      </c>
      <c r="CL182" s="14">
        <f>[1]Sheet2!BP181</f>
        <v>0</v>
      </c>
      <c r="CM182" s="16">
        <f>Demand_SW!B$8/30</f>
        <v>144.23076923076923</v>
      </c>
      <c r="CN182" s="16">
        <f>Demand_SW!C$8/30</f>
        <v>0</v>
      </c>
      <c r="CO182" s="16">
        <f>Demand_SW!D$8/30</f>
        <v>0</v>
      </c>
      <c r="CP182" s="16">
        <f>Demand_SW!E$8/30</f>
        <v>0</v>
      </c>
      <c r="CQ182" s="16">
        <f>Demand_SW!F$8/30</f>
        <v>0</v>
      </c>
      <c r="CR182" s="16">
        <f>Demand_SW!G$8/30</f>
        <v>144.23076923076923</v>
      </c>
      <c r="CS182" s="16">
        <f>Demand_SW!H$8/30</f>
        <v>0</v>
      </c>
      <c r="CT182" s="16">
        <f>Demand_SW!I$8/30</f>
        <v>0</v>
      </c>
      <c r="CU182" s="16">
        <f>Demand_SW!J$8/30</f>
        <v>0</v>
      </c>
      <c r="CV182" s="16">
        <f>Demand_SW!K$8/30</f>
        <v>0</v>
      </c>
      <c r="CW182" s="16">
        <f t="shared" si="83"/>
        <v>26690.769230769271</v>
      </c>
      <c r="CX182" s="16">
        <f t="shared" si="84"/>
        <v>-423.07692307692292</v>
      </c>
      <c r="CY182" s="16">
        <f t="shared" si="85"/>
        <v>0</v>
      </c>
      <c r="CZ182" s="16">
        <f t="shared" si="86"/>
        <v>0</v>
      </c>
      <c r="DA182" s="16">
        <f t="shared" si="87"/>
        <v>0</v>
      </c>
      <c r="DB182" s="16">
        <f t="shared" si="88"/>
        <v>-22838.461538461524</v>
      </c>
      <c r="DC182" s="16">
        <f t="shared" si="89"/>
        <v>-423.07692307692292</v>
      </c>
      <c r="DD182" s="16">
        <f t="shared" si="90"/>
        <v>0</v>
      </c>
      <c r="DE182" s="16">
        <f t="shared" si="91"/>
        <v>0</v>
      </c>
      <c r="DF182" s="16">
        <f t="shared" si="92"/>
        <v>0</v>
      </c>
      <c r="DG182" s="14">
        <f>IF([1]Sheet2!DR181=999999,"NA",[1]Sheet2!DR181)</f>
        <v>73103</v>
      </c>
      <c r="DH182" s="14">
        <f>IF([1]Sheet2!DS181=999999,"NA",[1]Sheet2!DS181)</f>
        <v>186</v>
      </c>
      <c r="DI182" s="14">
        <f>IF([1]Sheet2!DT181=999999,"NA",[1]Sheet2!DT181)</f>
        <v>186</v>
      </c>
      <c r="DJ182" s="14" t="str">
        <f>IF([1]Sheet2!DU181=999999,"NA",[1]Sheet2!DU181)</f>
        <v>NA</v>
      </c>
      <c r="DK182" s="14" t="str">
        <f>IF([1]Sheet2!DV181=999999,"NA",[1]Sheet2!DV181)</f>
        <v>NA</v>
      </c>
      <c r="DL182" s="14" t="str">
        <f>IF([1]Sheet2!DW181=999999,"NA",[1]Sheet2!DW181)</f>
        <v>NA</v>
      </c>
      <c r="DM182" s="14">
        <f>IF([1]Sheet2!DX181=999999,"NA",[1]Sheet2!DX181)</f>
        <v>186</v>
      </c>
      <c r="DN182" s="14">
        <f>IF([1]Sheet2!DY181=999999,"NA",[1]Sheet2!DY181)</f>
        <v>186</v>
      </c>
      <c r="DO182" s="14" t="str">
        <f>IF([1]Sheet2!DZ181=999999,"NA",[1]Sheet2!DZ181)</f>
        <v>NA</v>
      </c>
      <c r="DP182" s="14" t="str">
        <f>IF([1]Sheet2!EA181=999999,"NA",[1]Sheet2!EA181)</f>
        <v>NA</v>
      </c>
      <c r="DQ182" s="14">
        <f>[1]Sheet2!CX181</f>
        <v>0</v>
      </c>
      <c r="DR182" s="14">
        <f>[1]Sheet2!CY181</f>
        <v>0</v>
      </c>
      <c r="DS182" s="14">
        <f>[1]Sheet2!CZ181</f>
        <v>0</v>
      </c>
      <c r="DT182" s="14">
        <f>[1]Sheet2!DA181</f>
        <v>0</v>
      </c>
      <c r="DU182" s="14">
        <f>[1]Sheet2!DB181</f>
        <v>0</v>
      </c>
      <c r="DV182" s="14">
        <f>[1]Sheet2!DC181</f>
        <v>0</v>
      </c>
      <c r="DW182" s="14">
        <f>[1]Sheet2!DD181</f>
        <v>0</v>
      </c>
      <c r="DX182" s="14">
        <f>[1]Sheet2!DE181</f>
        <v>0</v>
      </c>
      <c r="DY182" s="14">
        <f>[1]Sheet2!DF181</f>
        <v>0</v>
      </c>
      <c r="DZ182" s="14">
        <f>[1]Sheet2!DG181</f>
        <v>0</v>
      </c>
    </row>
    <row r="183" spans="1:130" x14ac:dyDescent="0.25">
      <c r="A183" s="15">
        <v>43645</v>
      </c>
      <c r="B183" s="1"/>
      <c r="C183" s="1"/>
      <c r="D183" s="1"/>
      <c r="E183" s="14">
        <f>[1]Sheet2!N182</f>
        <v>0</v>
      </c>
      <c r="F183" s="14">
        <f>[1]Sheet2!BE182</f>
        <v>0</v>
      </c>
      <c r="G183" s="14">
        <f>[1]Sheet2!CV182</f>
        <v>288.46153846153851</v>
      </c>
      <c r="H183" s="1"/>
      <c r="I183" s="1"/>
      <c r="J183" s="1"/>
      <c r="K183" s="16">
        <f>Demand_CWRS!B$8/30</f>
        <v>124.86819391025641</v>
      </c>
      <c r="L183" s="16">
        <f>Demand_CWRS!C$8/30</f>
        <v>583.20512820512829</v>
      </c>
      <c r="M183" s="16">
        <f>Demand_CWRS!D$8/30</f>
        <v>0</v>
      </c>
      <c r="N183" s="16">
        <f>Demand_CWRS!E$8/30</f>
        <v>156.84829059829062</v>
      </c>
      <c r="O183" s="16">
        <f>Demand_CWRS!F$8/30</f>
        <v>252.39596314102559</v>
      </c>
      <c r="P183" s="16">
        <f>Demand_CWRS!G$8/30</f>
        <v>124.86819391025641</v>
      </c>
      <c r="Q183" s="16">
        <f>Demand_CWRS!H$8/30</f>
        <v>583.20512820512829</v>
      </c>
      <c r="R183" s="16">
        <f>Demand_CWRS!I$8/30</f>
        <v>246.66666666666666</v>
      </c>
      <c r="S183" s="16">
        <f>Demand_CWRS!J$8/30</f>
        <v>246.66666666666666</v>
      </c>
      <c r="T183" s="16">
        <f>Demand_CWRS!K$8/30</f>
        <v>246.66666666666666</v>
      </c>
      <c r="U183" s="16">
        <f t="shared" si="63"/>
        <v>-26235.893343486263</v>
      </c>
      <c r="V183" s="16">
        <f t="shared" si="64"/>
        <v>-86272.956410256156</v>
      </c>
      <c r="W183" s="16">
        <f t="shared" si="65"/>
        <v>0</v>
      </c>
      <c r="X183" s="16">
        <f t="shared" si="66"/>
        <v>-20384.428259223165</v>
      </c>
      <c r="Y183" s="16">
        <f t="shared" si="67"/>
        <v>-41025.76787165289</v>
      </c>
      <c r="Z183" s="16">
        <f t="shared" si="68"/>
        <v>-25910.120194447813</v>
      </c>
      <c r="AA183" s="16">
        <f t="shared" si="69"/>
        <v>-85772.956410256156</v>
      </c>
      <c r="AB183" s="16">
        <f t="shared" si="70"/>
        <v>-38547.651687357968</v>
      </c>
      <c r="AC183" s="16">
        <f t="shared" si="71"/>
        <v>-38547.65168735796</v>
      </c>
      <c r="AD183" s="16">
        <f t="shared" si="72"/>
        <v>-39247.651687357953</v>
      </c>
      <c r="AE183" s="14">
        <f>IF([1]Sheet2!AJ182=999999,"NA",[1]Sheet2!AJ182)</f>
        <v>0</v>
      </c>
      <c r="AF183" s="14">
        <f>IF([1]Sheet2!AK182=999999,"NA",[1]Sheet2!AK182)</f>
        <v>0</v>
      </c>
      <c r="AG183" s="14" t="str">
        <f>IF([1]Sheet2!AL182=999999,"NA",[1]Sheet2!AL182)</f>
        <v>NA</v>
      </c>
      <c r="AH183" s="14">
        <f>IF([1]Sheet2!AM182=999999,"NA",[1]Sheet2!AM182)</f>
        <v>185</v>
      </c>
      <c r="AI183" s="14">
        <f>IF([1]Sheet2!AN182=999999,"NA",[1]Sheet2!AN182)</f>
        <v>185</v>
      </c>
      <c r="AJ183" s="14">
        <f>IF([1]Sheet2!AO182=999999,"NA",[1]Sheet2!AO182)</f>
        <v>185</v>
      </c>
      <c r="AK183" s="14">
        <f>IF([1]Sheet2!AP182=999999,"NA",[1]Sheet2!AP182)</f>
        <v>0</v>
      </c>
      <c r="AL183" s="14">
        <f>IF([1]Sheet2!AQ182=999999,"NA",[1]Sheet2!AQ182)</f>
        <v>61</v>
      </c>
      <c r="AM183" s="14">
        <f>IF([1]Sheet2!AR182=999999,"NA",[1]Sheet2!AR182)</f>
        <v>185</v>
      </c>
      <c r="AN183" s="14">
        <f>IF([1]Sheet2!AS182=999999,"NA",[1]Sheet2!AS182)</f>
        <v>117</v>
      </c>
      <c r="AO183" s="14">
        <f>[1]Sheet2!P182</f>
        <v>0</v>
      </c>
      <c r="AP183" s="14">
        <f>[1]Sheet2!Q182</f>
        <v>0</v>
      </c>
      <c r="AQ183" s="14">
        <f>[1]Sheet2!R182</f>
        <v>0</v>
      </c>
      <c r="AR183" s="14">
        <f>[1]Sheet2!S182</f>
        <v>0</v>
      </c>
      <c r="AS183" s="14">
        <f>[1]Sheet2!T182</f>
        <v>0</v>
      </c>
      <c r="AT183" s="14">
        <f>[1]Sheet2!U182</f>
        <v>0</v>
      </c>
      <c r="AU183" s="14">
        <f>[1]Sheet2!V182</f>
        <v>0</v>
      </c>
      <c r="AV183" s="14">
        <f>[1]Sheet2!W182</f>
        <v>0</v>
      </c>
      <c r="AW183" s="14">
        <f>[1]Sheet2!X182</f>
        <v>0</v>
      </c>
      <c r="AX183" s="14">
        <f>[1]Sheet2!Y182</f>
        <v>0</v>
      </c>
      <c r="AY183" s="16">
        <f>Demand_LP!B$8/30</f>
        <v>807.81611164529909</v>
      </c>
      <c r="AZ183" s="16">
        <f>Demand_LP!C$8/30</f>
        <v>574.48717948717956</v>
      </c>
      <c r="BA183" s="16">
        <f>Demand_LP!D$8/30</f>
        <v>339.04957264957267</v>
      </c>
      <c r="BB183" s="16">
        <f>Demand_LP!E$8/30</f>
        <v>830.46965811965799</v>
      </c>
      <c r="BC183" s="16">
        <f>Demand_LP!F$8/30</f>
        <v>476.67186805555554</v>
      </c>
      <c r="BD183" s="16">
        <f>Demand_LP!G$8/30</f>
        <v>807.81611164529909</v>
      </c>
      <c r="BE183" s="16">
        <f>Demand_LP!H$8/30</f>
        <v>574.48717948717956</v>
      </c>
      <c r="BF183" s="16">
        <f>Demand_LP!I$8/30</f>
        <v>476.67186805555554</v>
      </c>
      <c r="BG183" s="16">
        <f>Demand_LP!J$8/30</f>
        <v>476.67186805555554</v>
      </c>
      <c r="BH183" s="16">
        <f>Demand_LP!K$8/30</f>
        <v>476.67186805555554</v>
      </c>
      <c r="BI183" s="16" t="e">
        <f t="shared" si="73"/>
        <v>#VALUE!</v>
      </c>
      <c r="BJ183" s="16">
        <f t="shared" si="74"/>
        <v>-106611.60769230753</v>
      </c>
      <c r="BK183" s="16">
        <f t="shared" si="75"/>
        <v>-54352.556837606768</v>
      </c>
      <c r="BL183" s="16">
        <f t="shared" si="76"/>
        <v>-137731.43673590818</v>
      </c>
      <c r="BM183" s="16">
        <f t="shared" si="77"/>
        <v>-82304.374678317341</v>
      </c>
      <c r="BN183" s="16">
        <f t="shared" si="78"/>
        <v>-134074.09358924316</v>
      </c>
      <c r="BO183" s="16">
        <f t="shared" si="79"/>
        <v>-108969.18717948705</v>
      </c>
      <c r="BP183" s="16">
        <f t="shared" si="80"/>
        <v>-81762.058596687944</v>
      </c>
      <c r="BQ183" s="16">
        <f t="shared" si="81"/>
        <v>-78362.058596687988</v>
      </c>
      <c r="BR183" s="16">
        <f t="shared" si="82"/>
        <v>-79562.058596687944</v>
      </c>
      <c r="BS183" s="14">
        <f>IF([1]Sheet2!CA182=999999,"NA",[1]Sheet2!CA182)</f>
        <v>136916.94140331223</v>
      </c>
      <c r="BT183" s="14">
        <f>IF([1]Sheet2!CB182=999999,"NA",[1]Sheet2!CB182)</f>
        <v>107</v>
      </c>
      <c r="BU183" s="14">
        <f>IF([1]Sheet2!CC182=999999,"NA",[1]Sheet2!CC182)</f>
        <v>185</v>
      </c>
      <c r="BV183" s="14">
        <f>IF([1]Sheet2!CD182=999999,"NA",[1]Sheet2!CD182)</f>
        <v>185</v>
      </c>
      <c r="BW183" s="14">
        <f>IF([1]Sheet2!CE182=999999,"NA",[1]Sheet2!CE182)</f>
        <v>147</v>
      </c>
      <c r="BX183" s="14">
        <f>IF([1]Sheet2!CF182=999999,"NA",[1]Sheet2!CF182)</f>
        <v>185</v>
      </c>
      <c r="BY183" s="14">
        <f>IF([1]Sheet2!CG182=999999,"NA",[1]Sheet2!CG182)</f>
        <v>79</v>
      </c>
      <c r="BZ183" s="14">
        <f>IF([1]Sheet2!CH182=999999,"NA",[1]Sheet2!CH182)</f>
        <v>185</v>
      </c>
      <c r="CA183" s="14">
        <f>IF([1]Sheet2!CI182=999999,"NA",[1]Sheet2!CI182)</f>
        <v>185</v>
      </c>
      <c r="CB183" s="14">
        <f>IF([1]Sheet2!CJ182=999999,"NA",[1]Sheet2!CJ182)</f>
        <v>185</v>
      </c>
      <c r="CC183" s="14">
        <f>[1]Sheet2!BG182</f>
        <v>0</v>
      </c>
      <c r="CD183" s="14">
        <f>[1]Sheet2!BH182</f>
        <v>0</v>
      </c>
      <c r="CE183" s="14">
        <f>[1]Sheet2!BI182</f>
        <v>0</v>
      </c>
      <c r="CF183" s="14">
        <f>[1]Sheet2!BJ182</f>
        <v>0</v>
      </c>
      <c r="CG183" s="14">
        <f>[1]Sheet2!BK182</f>
        <v>0</v>
      </c>
      <c r="CH183" s="14">
        <f>[1]Sheet2!BL182</f>
        <v>0</v>
      </c>
      <c r="CI183" s="14">
        <f>[1]Sheet2!BM182</f>
        <v>0</v>
      </c>
      <c r="CJ183" s="14">
        <f>[1]Sheet2!BN182</f>
        <v>0</v>
      </c>
      <c r="CK183" s="14">
        <f>[1]Sheet2!BO182</f>
        <v>0</v>
      </c>
      <c r="CL183" s="14">
        <f>[1]Sheet2!BP182</f>
        <v>0</v>
      </c>
      <c r="CM183" s="16">
        <f>Demand_SW!B$8/30</f>
        <v>144.23076923076923</v>
      </c>
      <c r="CN183" s="16">
        <f>Demand_SW!C$8/30</f>
        <v>0</v>
      </c>
      <c r="CO183" s="16">
        <f>Demand_SW!D$8/30</f>
        <v>0</v>
      </c>
      <c r="CP183" s="16">
        <f>Demand_SW!E$8/30</f>
        <v>0</v>
      </c>
      <c r="CQ183" s="16">
        <f>Demand_SW!F$8/30</f>
        <v>0</v>
      </c>
      <c r="CR183" s="16">
        <f>Demand_SW!G$8/30</f>
        <v>144.23076923076923</v>
      </c>
      <c r="CS183" s="16">
        <f>Demand_SW!H$8/30</f>
        <v>0</v>
      </c>
      <c r="CT183" s="16">
        <f>Demand_SW!I$8/30</f>
        <v>0</v>
      </c>
      <c r="CU183" s="16">
        <f>Demand_SW!J$8/30</f>
        <v>0</v>
      </c>
      <c r="CV183" s="16">
        <f>Demand_SW!K$8/30</f>
        <v>0</v>
      </c>
      <c r="CW183" s="16">
        <f t="shared" si="83"/>
        <v>26546.538461538501</v>
      </c>
      <c r="CX183" s="16">
        <f t="shared" si="84"/>
        <v>-423.07692307692292</v>
      </c>
      <c r="CY183" s="16">
        <f t="shared" si="85"/>
        <v>0</v>
      </c>
      <c r="CZ183" s="16">
        <f t="shared" si="86"/>
        <v>0</v>
      </c>
      <c r="DA183" s="16">
        <f t="shared" si="87"/>
        <v>0</v>
      </c>
      <c r="DB183" s="16">
        <f t="shared" si="88"/>
        <v>-22982.692307692294</v>
      </c>
      <c r="DC183" s="16">
        <f t="shared" si="89"/>
        <v>-423.07692307692292</v>
      </c>
      <c r="DD183" s="16">
        <f t="shared" si="90"/>
        <v>0</v>
      </c>
      <c r="DE183" s="16">
        <f t="shared" si="91"/>
        <v>0</v>
      </c>
      <c r="DF183" s="16">
        <f t="shared" si="92"/>
        <v>0</v>
      </c>
      <c r="DG183" s="14">
        <f>IF([1]Sheet2!DR182=999999,"NA",[1]Sheet2!DR182)</f>
        <v>73103</v>
      </c>
      <c r="DH183" s="14">
        <f>IF([1]Sheet2!DS182=999999,"NA",[1]Sheet2!DS182)</f>
        <v>185</v>
      </c>
      <c r="DI183" s="14">
        <f>IF([1]Sheet2!DT182=999999,"NA",[1]Sheet2!DT182)</f>
        <v>185</v>
      </c>
      <c r="DJ183" s="14" t="str">
        <f>IF([1]Sheet2!DU182=999999,"NA",[1]Sheet2!DU182)</f>
        <v>NA</v>
      </c>
      <c r="DK183" s="14" t="str">
        <f>IF([1]Sheet2!DV182=999999,"NA",[1]Sheet2!DV182)</f>
        <v>NA</v>
      </c>
      <c r="DL183" s="14" t="str">
        <f>IF([1]Sheet2!DW182=999999,"NA",[1]Sheet2!DW182)</f>
        <v>NA</v>
      </c>
      <c r="DM183" s="14">
        <f>IF([1]Sheet2!DX182=999999,"NA",[1]Sheet2!DX182)</f>
        <v>185</v>
      </c>
      <c r="DN183" s="14">
        <f>IF([1]Sheet2!DY182=999999,"NA",[1]Sheet2!DY182)</f>
        <v>185</v>
      </c>
      <c r="DO183" s="14" t="str">
        <f>IF([1]Sheet2!DZ182=999999,"NA",[1]Sheet2!DZ182)</f>
        <v>NA</v>
      </c>
      <c r="DP183" s="14" t="str">
        <f>IF([1]Sheet2!EA182=999999,"NA",[1]Sheet2!EA182)</f>
        <v>NA</v>
      </c>
      <c r="DQ183" s="14">
        <f>[1]Sheet2!CX182</f>
        <v>0</v>
      </c>
      <c r="DR183" s="14">
        <f>[1]Sheet2!CY182</f>
        <v>0</v>
      </c>
      <c r="DS183" s="14">
        <f>[1]Sheet2!CZ182</f>
        <v>0</v>
      </c>
      <c r="DT183" s="14">
        <f>[1]Sheet2!DA182</f>
        <v>0</v>
      </c>
      <c r="DU183" s="14">
        <f>[1]Sheet2!DB182</f>
        <v>0</v>
      </c>
      <c r="DV183" s="14">
        <f>[1]Sheet2!DC182</f>
        <v>0</v>
      </c>
      <c r="DW183" s="14">
        <f>[1]Sheet2!DD182</f>
        <v>0</v>
      </c>
      <c r="DX183" s="14">
        <f>[1]Sheet2!DE182</f>
        <v>0</v>
      </c>
      <c r="DY183" s="14">
        <f>[1]Sheet2!DF182</f>
        <v>0</v>
      </c>
      <c r="DZ183" s="14">
        <f>[1]Sheet2!DG182</f>
        <v>0</v>
      </c>
    </row>
    <row r="184" spans="1:130" x14ac:dyDescent="0.25">
      <c r="A184" s="15">
        <v>43646</v>
      </c>
      <c r="B184" s="1"/>
      <c r="C184" s="1"/>
      <c r="D184" s="1"/>
      <c r="E184" s="14">
        <f>[1]Sheet2!N183</f>
        <v>0</v>
      </c>
      <c r="F184" s="14">
        <f>[1]Sheet2!BE183</f>
        <v>0</v>
      </c>
      <c r="G184" s="14">
        <f>[1]Sheet2!CV183</f>
        <v>288.46153846153851</v>
      </c>
      <c r="H184" s="1"/>
      <c r="I184" s="1"/>
      <c r="J184" s="1"/>
      <c r="K184" s="16">
        <f>Demand_CWRS!B$8/30</f>
        <v>124.86819391025641</v>
      </c>
      <c r="L184" s="16">
        <f>Demand_CWRS!C$8/30</f>
        <v>583.20512820512829</v>
      </c>
      <c r="M184" s="16">
        <f>Demand_CWRS!D$8/30</f>
        <v>0</v>
      </c>
      <c r="N184" s="16">
        <f>Demand_CWRS!E$8/30</f>
        <v>156.84829059829062</v>
      </c>
      <c r="O184" s="16">
        <f>Demand_CWRS!F$8/30</f>
        <v>252.39596314102559</v>
      </c>
      <c r="P184" s="16">
        <f>Demand_CWRS!G$8/30</f>
        <v>124.86819391025641</v>
      </c>
      <c r="Q184" s="16">
        <f>Demand_CWRS!H$8/30</f>
        <v>583.20512820512829</v>
      </c>
      <c r="R184" s="16">
        <f>Demand_CWRS!I$8/30</f>
        <v>246.66666666666666</v>
      </c>
      <c r="S184" s="16">
        <f>Demand_CWRS!J$8/30</f>
        <v>246.66666666666666</v>
      </c>
      <c r="T184" s="16">
        <f>Demand_CWRS!K$8/30</f>
        <v>246.66666666666666</v>
      </c>
      <c r="U184" s="16">
        <f t="shared" si="63"/>
        <v>-26360.76153739652</v>
      </c>
      <c r="V184" s="16">
        <f t="shared" si="64"/>
        <v>-86856.161538461281</v>
      </c>
      <c r="W184" s="16">
        <f t="shared" si="65"/>
        <v>0</v>
      </c>
      <c r="X184" s="16">
        <f t="shared" si="66"/>
        <v>-20541.276549821454</v>
      </c>
      <c r="Y184" s="16">
        <f t="shared" si="67"/>
        <v>-41278.163834793915</v>
      </c>
      <c r="Z184" s="16">
        <f t="shared" si="68"/>
        <v>-26034.98838835807</v>
      </c>
      <c r="AA184" s="16">
        <f t="shared" si="69"/>
        <v>-86356.161538461281</v>
      </c>
      <c r="AB184" s="16">
        <f t="shared" si="70"/>
        <v>-38794.318354024632</v>
      </c>
      <c r="AC184" s="16">
        <f t="shared" si="71"/>
        <v>-38794.318354024625</v>
      </c>
      <c r="AD184" s="16">
        <f t="shared" si="72"/>
        <v>-39494.318354024617</v>
      </c>
      <c r="AE184" s="14">
        <f>IF([1]Sheet2!AJ183=999999,"NA",[1]Sheet2!AJ183)</f>
        <v>0</v>
      </c>
      <c r="AF184" s="14">
        <f>IF([1]Sheet2!AK183=999999,"NA",[1]Sheet2!AK183)</f>
        <v>0</v>
      </c>
      <c r="AG184" s="14" t="str">
        <f>IF([1]Sheet2!AL183=999999,"NA",[1]Sheet2!AL183)</f>
        <v>NA</v>
      </c>
      <c r="AH184" s="14">
        <f>IF([1]Sheet2!AM183=999999,"NA",[1]Sheet2!AM183)</f>
        <v>184</v>
      </c>
      <c r="AI184" s="14">
        <f>IF([1]Sheet2!AN183=999999,"NA",[1]Sheet2!AN183)</f>
        <v>184</v>
      </c>
      <c r="AJ184" s="14">
        <f>IF([1]Sheet2!AO183=999999,"NA",[1]Sheet2!AO183)</f>
        <v>184</v>
      </c>
      <c r="AK184" s="14">
        <f>IF([1]Sheet2!AP183=999999,"NA",[1]Sheet2!AP183)</f>
        <v>0</v>
      </c>
      <c r="AL184" s="14">
        <f>IF([1]Sheet2!AQ183=999999,"NA",[1]Sheet2!AQ183)</f>
        <v>60</v>
      </c>
      <c r="AM184" s="14">
        <f>IF([1]Sheet2!AR183=999999,"NA",[1]Sheet2!AR183)</f>
        <v>184</v>
      </c>
      <c r="AN184" s="14">
        <f>IF([1]Sheet2!AS183=999999,"NA",[1]Sheet2!AS183)</f>
        <v>116</v>
      </c>
      <c r="AO184" s="14">
        <f>[1]Sheet2!P183</f>
        <v>0</v>
      </c>
      <c r="AP184" s="14">
        <f>[1]Sheet2!Q183</f>
        <v>0</v>
      </c>
      <c r="AQ184" s="14">
        <f>[1]Sheet2!R183</f>
        <v>0</v>
      </c>
      <c r="AR184" s="14">
        <f>[1]Sheet2!S183</f>
        <v>0</v>
      </c>
      <c r="AS184" s="14">
        <f>[1]Sheet2!T183</f>
        <v>0</v>
      </c>
      <c r="AT184" s="14">
        <f>[1]Sheet2!U183</f>
        <v>0</v>
      </c>
      <c r="AU184" s="14">
        <f>[1]Sheet2!V183</f>
        <v>0</v>
      </c>
      <c r="AV184" s="14">
        <f>[1]Sheet2!W183</f>
        <v>0</v>
      </c>
      <c r="AW184" s="14">
        <f>[1]Sheet2!X183</f>
        <v>0</v>
      </c>
      <c r="AX184" s="14">
        <f>[1]Sheet2!Y183</f>
        <v>0</v>
      </c>
      <c r="AY184" s="16">
        <f>Demand_LP!B$8/30</f>
        <v>807.81611164529909</v>
      </c>
      <c r="AZ184" s="16">
        <f>Demand_LP!C$8/30</f>
        <v>574.48717948717956</v>
      </c>
      <c r="BA184" s="16">
        <f>Demand_LP!D$8/30</f>
        <v>339.04957264957267</v>
      </c>
      <c r="BB184" s="16">
        <f>Demand_LP!E$8/30</f>
        <v>830.46965811965799</v>
      </c>
      <c r="BC184" s="16">
        <f>Demand_LP!F$8/30</f>
        <v>476.67186805555554</v>
      </c>
      <c r="BD184" s="16">
        <f>Demand_LP!G$8/30</f>
        <v>807.81611164529909</v>
      </c>
      <c r="BE184" s="16">
        <f>Demand_LP!H$8/30</f>
        <v>574.48717948717956</v>
      </c>
      <c r="BF184" s="16">
        <f>Demand_LP!I$8/30</f>
        <v>476.67186805555554</v>
      </c>
      <c r="BG184" s="16">
        <f>Demand_LP!J$8/30</f>
        <v>476.67186805555554</v>
      </c>
      <c r="BH184" s="16">
        <f>Demand_LP!K$8/30</f>
        <v>476.67186805555554</v>
      </c>
      <c r="BI184" s="16" t="e">
        <f t="shared" si="73"/>
        <v>#VALUE!</v>
      </c>
      <c r="BJ184" s="16">
        <f t="shared" si="74"/>
        <v>-107186.0948717947</v>
      </c>
      <c r="BK184" s="16">
        <f t="shared" si="75"/>
        <v>-54691.60641025634</v>
      </c>
      <c r="BL184" s="16">
        <f t="shared" si="76"/>
        <v>-138561.90639402784</v>
      </c>
      <c r="BM184" s="16">
        <f t="shared" si="77"/>
        <v>-82781.046546372891</v>
      </c>
      <c r="BN184" s="16">
        <f t="shared" si="78"/>
        <v>-134881.90970088847</v>
      </c>
      <c r="BO184" s="16">
        <f t="shared" si="79"/>
        <v>-109543.67435897423</v>
      </c>
      <c r="BP184" s="16">
        <f t="shared" si="80"/>
        <v>-82238.730464743494</v>
      </c>
      <c r="BQ184" s="16">
        <f t="shared" si="81"/>
        <v>-78838.730464743538</v>
      </c>
      <c r="BR184" s="16">
        <f t="shared" si="82"/>
        <v>-80038.730464743494</v>
      </c>
      <c r="BS184" s="14">
        <f>IF([1]Sheet2!CA183=999999,"NA",[1]Sheet2!CA183)</f>
        <v>136440.26953525667</v>
      </c>
      <c r="BT184" s="14">
        <f>IF([1]Sheet2!CB183=999999,"NA",[1]Sheet2!CB183)</f>
        <v>106</v>
      </c>
      <c r="BU184" s="14">
        <f>IF([1]Sheet2!CC183=999999,"NA",[1]Sheet2!CC183)</f>
        <v>184</v>
      </c>
      <c r="BV184" s="14">
        <f>IF([1]Sheet2!CD183=999999,"NA",[1]Sheet2!CD183)</f>
        <v>184</v>
      </c>
      <c r="BW184" s="14">
        <f>IF([1]Sheet2!CE183=999999,"NA",[1]Sheet2!CE183)</f>
        <v>146</v>
      </c>
      <c r="BX184" s="14">
        <f>IF([1]Sheet2!CF183=999999,"NA",[1]Sheet2!CF183)</f>
        <v>184</v>
      </c>
      <c r="BY184" s="14">
        <f>IF([1]Sheet2!CG183=999999,"NA",[1]Sheet2!CG183)</f>
        <v>78</v>
      </c>
      <c r="BZ184" s="14">
        <f>IF([1]Sheet2!CH183=999999,"NA",[1]Sheet2!CH183)</f>
        <v>184</v>
      </c>
      <c r="CA184" s="14">
        <f>IF([1]Sheet2!CI183=999999,"NA",[1]Sheet2!CI183)</f>
        <v>184</v>
      </c>
      <c r="CB184" s="14">
        <f>IF([1]Sheet2!CJ183=999999,"NA",[1]Sheet2!CJ183)</f>
        <v>184</v>
      </c>
      <c r="CC184" s="14">
        <f>[1]Sheet2!BG183</f>
        <v>0</v>
      </c>
      <c r="CD184" s="14">
        <f>[1]Sheet2!BH183</f>
        <v>0</v>
      </c>
      <c r="CE184" s="14">
        <f>[1]Sheet2!BI183</f>
        <v>0</v>
      </c>
      <c r="CF184" s="14">
        <f>[1]Sheet2!BJ183</f>
        <v>0</v>
      </c>
      <c r="CG184" s="14">
        <f>[1]Sheet2!BK183</f>
        <v>0</v>
      </c>
      <c r="CH184" s="14">
        <f>[1]Sheet2!BL183</f>
        <v>0</v>
      </c>
      <c r="CI184" s="14">
        <f>[1]Sheet2!BM183</f>
        <v>0</v>
      </c>
      <c r="CJ184" s="14">
        <f>[1]Sheet2!BN183</f>
        <v>0</v>
      </c>
      <c r="CK184" s="14">
        <f>[1]Sheet2!BO183</f>
        <v>0</v>
      </c>
      <c r="CL184" s="14">
        <f>[1]Sheet2!BP183</f>
        <v>0</v>
      </c>
      <c r="CM184" s="16">
        <f>Demand_SW!B$8/30</f>
        <v>144.23076923076923</v>
      </c>
      <c r="CN184" s="16">
        <f>Demand_SW!C$8/30</f>
        <v>0</v>
      </c>
      <c r="CO184" s="16">
        <f>Demand_SW!D$8/30</f>
        <v>0</v>
      </c>
      <c r="CP184" s="16">
        <f>Demand_SW!E$8/30</f>
        <v>0</v>
      </c>
      <c r="CQ184" s="16">
        <f>Demand_SW!F$8/30</f>
        <v>0</v>
      </c>
      <c r="CR184" s="16">
        <f>Demand_SW!G$8/30</f>
        <v>144.23076923076923</v>
      </c>
      <c r="CS184" s="16">
        <f>Demand_SW!H$8/30</f>
        <v>0</v>
      </c>
      <c r="CT184" s="16">
        <f>Demand_SW!I$8/30</f>
        <v>0</v>
      </c>
      <c r="CU184" s="16">
        <f>Demand_SW!J$8/30</f>
        <v>0</v>
      </c>
      <c r="CV184" s="16">
        <f>Demand_SW!K$8/30</f>
        <v>0</v>
      </c>
      <c r="CW184" s="16">
        <f t="shared" si="83"/>
        <v>26402.307692307731</v>
      </c>
      <c r="CX184" s="16">
        <f t="shared" si="84"/>
        <v>-423.07692307692292</v>
      </c>
      <c r="CY184" s="16">
        <f t="shared" si="85"/>
        <v>0</v>
      </c>
      <c r="CZ184" s="16">
        <f t="shared" si="86"/>
        <v>0</v>
      </c>
      <c r="DA184" s="16">
        <f t="shared" si="87"/>
        <v>0</v>
      </c>
      <c r="DB184" s="16">
        <f t="shared" si="88"/>
        <v>-23126.923076923063</v>
      </c>
      <c r="DC184" s="16">
        <f t="shared" si="89"/>
        <v>-423.07692307692292</v>
      </c>
      <c r="DD184" s="16">
        <f t="shared" si="90"/>
        <v>0</v>
      </c>
      <c r="DE184" s="16">
        <f t="shared" si="91"/>
        <v>0</v>
      </c>
      <c r="DF184" s="16">
        <f t="shared" si="92"/>
        <v>0</v>
      </c>
      <c r="DG184" s="14">
        <f>IF([1]Sheet2!DR183=999999,"NA",[1]Sheet2!DR183)</f>
        <v>73103</v>
      </c>
      <c r="DH184" s="14">
        <f>IF([1]Sheet2!DS183=999999,"NA",[1]Sheet2!DS183)</f>
        <v>184</v>
      </c>
      <c r="DI184" s="14">
        <f>IF([1]Sheet2!DT183=999999,"NA",[1]Sheet2!DT183)</f>
        <v>184</v>
      </c>
      <c r="DJ184" s="14" t="str">
        <f>IF([1]Sheet2!DU183=999999,"NA",[1]Sheet2!DU183)</f>
        <v>NA</v>
      </c>
      <c r="DK184" s="14" t="str">
        <f>IF([1]Sheet2!DV183=999999,"NA",[1]Sheet2!DV183)</f>
        <v>NA</v>
      </c>
      <c r="DL184" s="14" t="str">
        <f>IF([1]Sheet2!DW183=999999,"NA",[1]Sheet2!DW183)</f>
        <v>NA</v>
      </c>
      <c r="DM184" s="14">
        <f>IF([1]Sheet2!DX183=999999,"NA",[1]Sheet2!DX183)</f>
        <v>184</v>
      </c>
      <c r="DN184" s="14">
        <f>IF([1]Sheet2!DY183=999999,"NA",[1]Sheet2!DY183)</f>
        <v>184</v>
      </c>
      <c r="DO184" s="14" t="str">
        <f>IF([1]Sheet2!DZ183=999999,"NA",[1]Sheet2!DZ183)</f>
        <v>NA</v>
      </c>
      <c r="DP184" s="14" t="str">
        <f>IF([1]Sheet2!EA183=999999,"NA",[1]Sheet2!EA183)</f>
        <v>NA</v>
      </c>
      <c r="DQ184" s="14">
        <f>[1]Sheet2!CX183</f>
        <v>0</v>
      </c>
      <c r="DR184" s="14">
        <f>[1]Sheet2!CY183</f>
        <v>0</v>
      </c>
      <c r="DS184" s="14">
        <f>[1]Sheet2!CZ183</f>
        <v>0</v>
      </c>
      <c r="DT184" s="14">
        <f>[1]Sheet2!DA183</f>
        <v>0</v>
      </c>
      <c r="DU184" s="14">
        <f>[1]Sheet2!DB183</f>
        <v>0</v>
      </c>
      <c r="DV184" s="14">
        <f>[1]Sheet2!DC183</f>
        <v>0</v>
      </c>
      <c r="DW184" s="14">
        <f>[1]Sheet2!DD183</f>
        <v>0</v>
      </c>
      <c r="DX184" s="14">
        <f>[1]Sheet2!DE183</f>
        <v>0</v>
      </c>
      <c r="DY184" s="14">
        <f>[1]Sheet2!DF183</f>
        <v>0</v>
      </c>
      <c r="DZ184" s="14">
        <f>[1]Sheet2!DG183</f>
        <v>0</v>
      </c>
    </row>
    <row r="185" spans="1:130" x14ac:dyDescent="0.25">
      <c r="A185" s="15">
        <v>43647</v>
      </c>
      <c r="B185" s="1"/>
      <c r="C185" s="1"/>
      <c r="D185" s="1"/>
      <c r="E185" s="14">
        <f>[1]Sheet2!N184</f>
        <v>0</v>
      </c>
      <c r="F185" s="14">
        <f>[1]Sheet2!BE184</f>
        <v>0</v>
      </c>
      <c r="G185" s="14">
        <f>[1]Sheet2!CV184</f>
        <v>262.03473945409428</v>
      </c>
      <c r="H185" s="1"/>
      <c r="I185" s="1"/>
      <c r="J185" s="1"/>
      <c r="K185" s="16">
        <f>Demand_CWRS!B$9/31</f>
        <v>137.44229993796523</v>
      </c>
      <c r="L185" s="16">
        <f>Demand_CWRS!C$9/31</f>
        <v>616.54259718775836</v>
      </c>
      <c r="M185" s="16">
        <f>Demand_CWRS!D$9/31</f>
        <v>0</v>
      </c>
      <c r="N185" s="16">
        <f>Demand_CWRS!E$9/31</f>
        <v>140.39247311827955</v>
      </c>
      <c r="O185" s="16">
        <f>Demand_CWRS!F$9/31</f>
        <v>245.11049679487181</v>
      </c>
      <c r="P185" s="16">
        <f>Demand_CWRS!G$9/31</f>
        <v>137.44229993796523</v>
      </c>
      <c r="Q185" s="16">
        <f>Demand_CWRS!H$9/31</f>
        <v>616.54259718775836</v>
      </c>
      <c r="R185" s="16">
        <f>Demand_CWRS!I$9/31</f>
        <v>245.11049679487181</v>
      </c>
      <c r="S185" s="16">
        <f>Demand_CWRS!J$9/31</f>
        <v>245.11049679487181</v>
      </c>
      <c r="T185" s="16">
        <f>Demand_CWRS!K$9/31</f>
        <v>245.11049679487181</v>
      </c>
      <c r="U185" s="16">
        <f t="shared" si="63"/>
        <v>-26498.203837334484</v>
      </c>
      <c r="V185" s="16">
        <f t="shared" si="64"/>
        <v>-87472.704135649037</v>
      </c>
      <c r="W185" s="16">
        <f t="shared" si="65"/>
        <v>0</v>
      </c>
      <c r="X185" s="16">
        <f t="shared" si="66"/>
        <v>-20681.669022939732</v>
      </c>
      <c r="Y185" s="16">
        <f t="shared" si="67"/>
        <v>-41523.274331588786</v>
      </c>
      <c r="Z185" s="16">
        <f t="shared" si="68"/>
        <v>-26172.430688296034</v>
      </c>
      <c r="AA185" s="16">
        <f t="shared" si="69"/>
        <v>-86972.704135649037</v>
      </c>
      <c r="AB185" s="16">
        <f t="shared" si="70"/>
        <v>-39039.428850819502</v>
      </c>
      <c r="AC185" s="16">
        <f t="shared" si="71"/>
        <v>-39039.428850819495</v>
      </c>
      <c r="AD185" s="16">
        <f t="shared" si="72"/>
        <v>-39739.428850819488</v>
      </c>
      <c r="AE185" s="14">
        <f>IF([1]Sheet2!AJ184=999999,"NA",[1]Sheet2!AJ184)</f>
        <v>0</v>
      </c>
      <c r="AF185" s="14">
        <f>IF([1]Sheet2!AK184=999999,"NA",[1]Sheet2!AK184)</f>
        <v>0</v>
      </c>
      <c r="AG185" s="14" t="str">
        <f>IF([1]Sheet2!AL184=999999,"NA",[1]Sheet2!AL184)</f>
        <v>NA</v>
      </c>
      <c r="AH185" s="14">
        <f>IF([1]Sheet2!AM184=999999,"NA",[1]Sheet2!AM184)</f>
        <v>183</v>
      </c>
      <c r="AI185" s="14">
        <f>IF([1]Sheet2!AN184=999999,"NA",[1]Sheet2!AN184)</f>
        <v>183</v>
      </c>
      <c r="AJ185" s="14">
        <f>IF([1]Sheet2!AO184=999999,"NA",[1]Sheet2!AO184)</f>
        <v>183</v>
      </c>
      <c r="AK185" s="14">
        <f>IF([1]Sheet2!AP184=999999,"NA",[1]Sheet2!AP184)</f>
        <v>0</v>
      </c>
      <c r="AL185" s="14">
        <f>IF([1]Sheet2!AQ184=999999,"NA",[1]Sheet2!AQ184)</f>
        <v>59</v>
      </c>
      <c r="AM185" s="14">
        <f>IF([1]Sheet2!AR184=999999,"NA",[1]Sheet2!AR184)</f>
        <v>183</v>
      </c>
      <c r="AN185" s="14">
        <f>IF([1]Sheet2!AS184=999999,"NA",[1]Sheet2!AS184)</f>
        <v>115</v>
      </c>
      <c r="AO185" s="14">
        <f>[1]Sheet2!P184</f>
        <v>0</v>
      </c>
      <c r="AP185" s="14">
        <f>[1]Sheet2!Q184</f>
        <v>0</v>
      </c>
      <c r="AQ185" s="14">
        <f>[1]Sheet2!R184</f>
        <v>0</v>
      </c>
      <c r="AR185" s="14">
        <f>[1]Sheet2!S184</f>
        <v>0</v>
      </c>
      <c r="AS185" s="14">
        <f>[1]Sheet2!T184</f>
        <v>0</v>
      </c>
      <c r="AT185" s="14">
        <f>[1]Sheet2!U184</f>
        <v>0</v>
      </c>
      <c r="AU185" s="14">
        <f>[1]Sheet2!V184</f>
        <v>0</v>
      </c>
      <c r="AV185" s="14">
        <f>[1]Sheet2!W184</f>
        <v>0</v>
      </c>
      <c r="AW185" s="14">
        <f>[1]Sheet2!X184</f>
        <v>0</v>
      </c>
      <c r="AX185" s="14">
        <f>[1]Sheet2!Y184</f>
        <v>0</v>
      </c>
      <c r="AY185" s="16">
        <f>Demand_LP!B$9/31</f>
        <v>878.29658550454917</v>
      </c>
      <c r="AZ185" s="16">
        <f>Demand_LP!C$9/31</f>
        <v>663.85442514474767</v>
      </c>
      <c r="BA185" s="16">
        <f>Demand_LP!D$9/31</f>
        <v>335.39784946236568</v>
      </c>
      <c r="BB185" s="16">
        <f>Demand_LP!E$9/31</f>
        <v>725.23531844499576</v>
      </c>
      <c r="BC185" s="16">
        <f>Demand_LP!F$9/31</f>
        <v>456.65268558726217</v>
      </c>
      <c r="BD185" s="16">
        <f>Demand_LP!G$9/31</f>
        <v>878.29658550454917</v>
      </c>
      <c r="BE185" s="16">
        <f>Demand_LP!H$9/31</f>
        <v>663.85442514474767</v>
      </c>
      <c r="BF185" s="16">
        <f>Demand_LP!I$9/31</f>
        <v>456.65268558726217</v>
      </c>
      <c r="BG185" s="16">
        <f>Demand_LP!J$9/31</f>
        <v>456.65268558726217</v>
      </c>
      <c r="BH185" s="16">
        <f>Demand_LP!K$9/31</f>
        <v>456.65268558726217</v>
      </c>
      <c r="BI185" s="16" t="e">
        <f t="shared" si="73"/>
        <v>#VALUE!</v>
      </c>
      <c r="BJ185" s="16">
        <f t="shared" si="74"/>
        <v>-107849.94929693945</v>
      </c>
      <c r="BK185" s="16">
        <f t="shared" si="75"/>
        <v>-55027.004259718706</v>
      </c>
      <c r="BL185" s="16">
        <f t="shared" si="76"/>
        <v>-139287.14171247283</v>
      </c>
      <c r="BM185" s="16">
        <f t="shared" si="77"/>
        <v>-83237.699231960156</v>
      </c>
      <c r="BN185" s="16">
        <f t="shared" si="78"/>
        <v>-135760.20628639302</v>
      </c>
      <c r="BO185" s="16">
        <f t="shared" si="79"/>
        <v>-110207.52878411897</v>
      </c>
      <c r="BP185" s="16">
        <f t="shared" si="80"/>
        <v>-82695.383150330759</v>
      </c>
      <c r="BQ185" s="16">
        <f t="shared" si="81"/>
        <v>-79295.383150330803</v>
      </c>
      <c r="BR185" s="16">
        <f t="shared" si="82"/>
        <v>-80495.383150330759</v>
      </c>
      <c r="BS185" s="14">
        <f>IF([1]Sheet2!CA184=999999,"NA",[1]Sheet2!CA184)</f>
        <v>135983.6168496694</v>
      </c>
      <c r="BT185" s="14">
        <f>IF([1]Sheet2!CB184=999999,"NA",[1]Sheet2!CB184)</f>
        <v>105</v>
      </c>
      <c r="BU185" s="14">
        <f>IF([1]Sheet2!CC184=999999,"NA",[1]Sheet2!CC184)</f>
        <v>183</v>
      </c>
      <c r="BV185" s="14">
        <f>IF([1]Sheet2!CD184=999999,"NA",[1]Sheet2!CD184)</f>
        <v>183</v>
      </c>
      <c r="BW185" s="14">
        <f>IF([1]Sheet2!CE184=999999,"NA",[1]Sheet2!CE184)</f>
        <v>145</v>
      </c>
      <c r="BX185" s="14">
        <f>IF([1]Sheet2!CF184=999999,"NA",[1]Sheet2!CF184)</f>
        <v>183</v>
      </c>
      <c r="BY185" s="14">
        <f>IF([1]Sheet2!CG184=999999,"NA",[1]Sheet2!CG184)</f>
        <v>77</v>
      </c>
      <c r="BZ185" s="14">
        <f>IF([1]Sheet2!CH184=999999,"NA",[1]Sheet2!CH184)</f>
        <v>183</v>
      </c>
      <c r="CA185" s="14">
        <f>IF([1]Sheet2!CI184=999999,"NA",[1]Sheet2!CI184)</f>
        <v>183</v>
      </c>
      <c r="CB185" s="14">
        <f>IF([1]Sheet2!CJ184=999999,"NA",[1]Sheet2!CJ184)</f>
        <v>183</v>
      </c>
      <c r="CC185" s="14">
        <f>[1]Sheet2!BG184</f>
        <v>0</v>
      </c>
      <c r="CD185" s="14">
        <f>[1]Sheet2!BH184</f>
        <v>0</v>
      </c>
      <c r="CE185" s="14">
        <f>[1]Sheet2!BI184</f>
        <v>0</v>
      </c>
      <c r="CF185" s="14">
        <f>[1]Sheet2!BJ184</f>
        <v>0</v>
      </c>
      <c r="CG185" s="14">
        <f>[1]Sheet2!BK184</f>
        <v>0</v>
      </c>
      <c r="CH185" s="14">
        <f>[1]Sheet2!BL184</f>
        <v>0</v>
      </c>
      <c r="CI185" s="14">
        <f>[1]Sheet2!BM184</f>
        <v>0</v>
      </c>
      <c r="CJ185" s="14">
        <f>[1]Sheet2!BN184</f>
        <v>0</v>
      </c>
      <c r="CK185" s="14">
        <f>[1]Sheet2!BO184</f>
        <v>0</v>
      </c>
      <c r="CL185" s="14">
        <f>[1]Sheet2!BP184</f>
        <v>0</v>
      </c>
      <c r="CM185" s="16">
        <f>Demand_SW!B$9/31</f>
        <v>131.01736972704714</v>
      </c>
      <c r="CN185" s="16">
        <f>Demand_SW!C$9/31</f>
        <v>0</v>
      </c>
      <c r="CO185" s="16">
        <f>Demand_SW!D$9/31</f>
        <v>0</v>
      </c>
      <c r="CP185" s="16">
        <f>Demand_SW!E$9/31</f>
        <v>0</v>
      </c>
      <c r="CQ185" s="16">
        <f>Demand_SW!F$9/31</f>
        <v>0</v>
      </c>
      <c r="CR185" s="16">
        <f>Demand_SW!G$9/31</f>
        <v>131.01736972704714</v>
      </c>
      <c r="CS185" s="16">
        <f>Demand_SW!H$9/31</f>
        <v>0</v>
      </c>
      <c r="CT185" s="16">
        <f>Demand_SW!I$9/31</f>
        <v>0</v>
      </c>
      <c r="CU185" s="16">
        <f>Demand_SW!J$9/31</f>
        <v>0</v>
      </c>
      <c r="CV185" s="16">
        <f>Demand_SW!K$9/31</f>
        <v>0</v>
      </c>
      <c r="CW185" s="16">
        <f t="shared" si="83"/>
        <v>26271.290322580684</v>
      </c>
      <c r="CX185" s="16">
        <f t="shared" si="84"/>
        <v>-423.07692307692292</v>
      </c>
      <c r="CY185" s="16">
        <f t="shared" si="85"/>
        <v>0</v>
      </c>
      <c r="CZ185" s="16">
        <f t="shared" si="86"/>
        <v>0</v>
      </c>
      <c r="DA185" s="16">
        <f t="shared" si="87"/>
        <v>0</v>
      </c>
      <c r="DB185" s="16">
        <f t="shared" si="88"/>
        <v>-23257.940446650111</v>
      </c>
      <c r="DC185" s="16">
        <f t="shared" si="89"/>
        <v>-423.07692307692292</v>
      </c>
      <c r="DD185" s="16">
        <f t="shared" si="90"/>
        <v>0</v>
      </c>
      <c r="DE185" s="16">
        <f t="shared" si="91"/>
        <v>0</v>
      </c>
      <c r="DF185" s="16">
        <f t="shared" si="92"/>
        <v>0</v>
      </c>
      <c r="DG185" s="14">
        <f>IF([1]Sheet2!DR184=999999,"NA",[1]Sheet2!DR184)</f>
        <v>73103</v>
      </c>
      <c r="DH185" s="14">
        <f>IF([1]Sheet2!DS184=999999,"NA",[1]Sheet2!DS184)</f>
        <v>183</v>
      </c>
      <c r="DI185" s="14">
        <f>IF([1]Sheet2!DT184=999999,"NA",[1]Sheet2!DT184)</f>
        <v>183</v>
      </c>
      <c r="DJ185" s="14" t="str">
        <f>IF([1]Sheet2!DU184=999999,"NA",[1]Sheet2!DU184)</f>
        <v>NA</v>
      </c>
      <c r="DK185" s="14" t="str">
        <f>IF([1]Sheet2!DV184=999999,"NA",[1]Sheet2!DV184)</f>
        <v>NA</v>
      </c>
      <c r="DL185" s="14" t="str">
        <f>IF([1]Sheet2!DW184=999999,"NA",[1]Sheet2!DW184)</f>
        <v>NA</v>
      </c>
      <c r="DM185" s="14">
        <f>IF([1]Sheet2!DX184=999999,"NA",[1]Sheet2!DX184)</f>
        <v>183</v>
      </c>
      <c r="DN185" s="14">
        <f>IF([1]Sheet2!DY184=999999,"NA",[1]Sheet2!DY184)</f>
        <v>183</v>
      </c>
      <c r="DO185" s="14" t="str">
        <f>IF([1]Sheet2!DZ184=999999,"NA",[1]Sheet2!DZ184)</f>
        <v>NA</v>
      </c>
      <c r="DP185" s="14" t="str">
        <f>IF([1]Sheet2!EA184=999999,"NA",[1]Sheet2!EA184)</f>
        <v>NA</v>
      </c>
      <c r="DQ185" s="14">
        <f>[1]Sheet2!CX184</f>
        <v>0</v>
      </c>
      <c r="DR185" s="14">
        <f>[1]Sheet2!CY184</f>
        <v>0</v>
      </c>
      <c r="DS185" s="14">
        <f>[1]Sheet2!CZ184</f>
        <v>0</v>
      </c>
      <c r="DT185" s="14">
        <f>[1]Sheet2!DA184</f>
        <v>0</v>
      </c>
      <c r="DU185" s="14">
        <f>[1]Sheet2!DB184</f>
        <v>0</v>
      </c>
      <c r="DV185" s="14">
        <f>[1]Sheet2!DC184</f>
        <v>0</v>
      </c>
      <c r="DW185" s="14">
        <f>[1]Sheet2!DD184</f>
        <v>0</v>
      </c>
      <c r="DX185" s="14">
        <f>[1]Sheet2!DE184</f>
        <v>0</v>
      </c>
      <c r="DY185" s="14">
        <f>[1]Sheet2!DF184</f>
        <v>0</v>
      </c>
      <c r="DZ185" s="14">
        <f>[1]Sheet2!DG184</f>
        <v>0</v>
      </c>
    </row>
    <row r="186" spans="1:130" x14ac:dyDescent="0.25">
      <c r="A186" s="15">
        <v>43648</v>
      </c>
      <c r="B186" s="1"/>
      <c r="C186" s="1"/>
      <c r="D186" s="1"/>
      <c r="E186" s="14">
        <f>[1]Sheet2!N185</f>
        <v>0</v>
      </c>
      <c r="F186" s="14">
        <f>[1]Sheet2!BE185</f>
        <v>0</v>
      </c>
      <c r="G186" s="14">
        <f>[1]Sheet2!CV185</f>
        <v>262.03473945409428</v>
      </c>
      <c r="H186" s="1"/>
      <c r="I186" s="1"/>
      <c r="J186" s="1"/>
      <c r="K186" s="16">
        <f>Demand_CWRS!B$9/31</f>
        <v>137.44229993796523</v>
      </c>
      <c r="L186" s="16">
        <f>Demand_CWRS!C$9/31</f>
        <v>616.54259718775836</v>
      </c>
      <c r="M186" s="16">
        <f>Demand_CWRS!D$9/31</f>
        <v>0</v>
      </c>
      <c r="N186" s="16">
        <f>Demand_CWRS!E$9/31</f>
        <v>140.39247311827955</v>
      </c>
      <c r="O186" s="16">
        <f>Demand_CWRS!F$9/31</f>
        <v>245.11049679487181</v>
      </c>
      <c r="P186" s="16">
        <f>Demand_CWRS!G$9/31</f>
        <v>137.44229993796523</v>
      </c>
      <c r="Q186" s="16">
        <f>Demand_CWRS!H$9/31</f>
        <v>616.54259718775836</v>
      </c>
      <c r="R186" s="16">
        <f>Demand_CWRS!I$9/31</f>
        <v>245.11049679487181</v>
      </c>
      <c r="S186" s="16">
        <f>Demand_CWRS!J$9/31</f>
        <v>245.11049679487181</v>
      </c>
      <c r="T186" s="16">
        <f>Demand_CWRS!K$9/31</f>
        <v>245.11049679487181</v>
      </c>
      <c r="U186" s="16">
        <f t="shared" si="63"/>
        <v>-26635.646137272448</v>
      </c>
      <c r="V186" s="16">
        <f t="shared" si="64"/>
        <v>-88089.246732836793</v>
      </c>
      <c r="W186" s="16">
        <f t="shared" si="65"/>
        <v>0</v>
      </c>
      <c r="X186" s="16">
        <f t="shared" si="66"/>
        <v>-20822.06149605801</v>
      </c>
      <c r="Y186" s="16">
        <f t="shared" si="67"/>
        <v>-41768.384828383656</v>
      </c>
      <c r="Z186" s="16">
        <f t="shared" si="68"/>
        <v>-26309.872988233998</v>
      </c>
      <c r="AA186" s="16">
        <f t="shared" si="69"/>
        <v>-87589.246732836793</v>
      </c>
      <c r="AB186" s="16">
        <f t="shared" si="70"/>
        <v>-39284.539347614373</v>
      </c>
      <c r="AC186" s="16">
        <f t="shared" si="71"/>
        <v>-39284.539347614365</v>
      </c>
      <c r="AD186" s="16">
        <f t="shared" si="72"/>
        <v>-39984.539347614358</v>
      </c>
      <c r="AE186" s="14">
        <f>IF([1]Sheet2!AJ185=999999,"NA",[1]Sheet2!AJ185)</f>
        <v>0</v>
      </c>
      <c r="AF186" s="14">
        <f>IF([1]Sheet2!AK185=999999,"NA",[1]Sheet2!AK185)</f>
        <v>0</v>
      </c>
      <c r="AG186" s="14" t="str">
        <f>IF([1]Sheet2!AL185=999999,"NA",[1]Sheet2!AL185)</f>
        <v>NA</v>
      </c>
      <c r="AH186" s="14">
        <f>IF([1]Sheet2!AM185=999999,"NA",[1]Sheet2!AM185)</f>
        <v>182</v>
      </c>
      <c r="AI186" s="14">
        <f>IF([1]Sheet2!AN185=999999,"NA",[1]Sheet2!AN185)</f>
        <v>182</v>
      </c>
      <c r="AJ186" s="14">
        <f>IF([1]Sheet2!AO185=999999,"NA",[1]Sheet2!AO185)</f>
        <v>182</v>
      </c>
      <c r="AK186" s="14">
        <f>IF([1]Sheet2!AP185=999999,"NA",[1]Sheet2!AP185)</f>
        <v>0</v>
      </c>
      <c r="AL186" s="14">
        <f>IF([1]Sheet2!AQ185=999999,"NA",[1]Sheet2!AQ185)</f>
        <v>58</v>
      </c>
      <c r="AM186" s="14">
        <f>IF([1]Sheet2!AR185=999999,"NA",[1]Sheet2!AR185)</f>
        <v>182</v>
      </c>
      <c r="AN186" s="14">
        <f>IF([1]Sheet2!AS185=999999,"NA",[1]Sheet2!AS185)</f>
        <v>114</v>
      </c>
      <c r="AO186" s="14">
        <f>[1]Sheet2!P185</f>
        <v>0</v>
      </c>
      <c r="AP186" s="14">
        <f>[1]Sheet2!Q185</f>
        <v>0</v>
      </c>
      <c r="AQ186" s="14">
        <f>[1]Sheet2!R185</f>
        <v>0</v>
      </c>
      <c r="AR186" s="14">
        <f>[1]Sheet2!S185</f>
        <v>0</v>
      </c>
      <c r="AS186" s="14">
        <f>[1]Sheet2!T185</f>
        <v>0</v>
      </c>
      <c r="AT186" s="14">
        <f>[1]Sheet2!U185</f>
        <v>0</v>
      </c>
      <c r="AU186" s="14">
        <f>[1]Sheet2!V185</f>
        <v>0</v>
      </c>
      <c r="AV186" s="14">
        <f>[1]Sheet2!W185</f>
        <v>0</v>
      </c>
      <c r="AW186" s="14">
        <f>[1]Sheet2!X185</f>
        <v>0</v>
      </c>
      <c r="AX186" s="14">
        <f>[1]Sheet2!Y185</f>
        <v>0</v>
      </c>
      <c r="AY186" s="16">
        <f>Demand_LP!B$9/31</f>
        <v>878.29658550454917</v>
      </c>
      <c r="AZ186" s="16">
        <f>Demand_LP!C$9/31</f>
        <v>663.85442514474767</v>
      </c>
      <c r="BA186" s="16">
        <f>Demand_LP!D$9/31</f>
        <v>335.39784946236568</v>
      </c>
      <c r="BB186" s="16">
        <f>Demand_LP!E$9/31</f>
        <v>725.23531844499576</v>
      </c>
      <c r="BC186" s="16">
        <f>Demand_LP!F$9/31</f>
        <v>456.65268558726217</v>
      </c>
      <c r="BD186" s="16">
        <f>Demand_LP!G$9/31</f>
        <v>878.29658550454917</v>
      </c>
      <c r="BE186" s="16">
        <f>Demand_LP!H$9/31</f>
        <v>663.85442514474767</v>
      </c>
      <c r="BF186" s="16">
        <f>Demand_LP!I$9/31</f>
        <v>456.65268558726217</v>
      </c>
      <c r="BG186" s="16">
        <f>Demand_LP!J$9/31</f>
        <v>456.65268558726217</v>
      </c>
      <c r="BH186" s="16">
        <f>Demand_LP!K$9/31</f>
        <v>456.65268558726217</v>
      </c>
      <c r="BI186" s="16" t="e">
        <f t="shared" si="73"/>
        <v>#VALUE!</v>
      </c>
      <c r="BJ186" s="16">
        <f t="shared" si="74"/>
        <v>-108513.80372208419</v>
      </c>
      <c r="BK186" s="16">
        <f t="shared" si="75"/>
        <v>-55362.402109181072</v>
      </c>
      <c r="BL186" s="16">
        <f t="shared" si="76"/>
        <v>-140012.37703091782</v>
      </c>
      <c r="BM186" s="16">
        <f t="shared" si="77"/>
        <v>-83694.351917547421</v>
      </c>
      <c r="BN186" s="16">
        <f t="shared" si="78"/>
        <v>-136638.50287189757</v>
      </c>
      <c r="BO186" s="16">
        <f t="shared" si="79"/>
        <v>-110871.38320926372</v>
      </c>
      <c r="BP186" s="16">
        <f t="shared" si="80"/>
        <v>-83152.035835918025</v>
      </c>
      <c r="BQ186" s="16">
        <f t="shared" si="81"/>
        <v>-79752.035835918068</v>
      </c>
      <c r="BR186" s="16">
        <f t="shared" si="82"/>
        <v>-80952.035835918025</v>
      </c>
      <c r="BS186" s="14">
        <f>IF([1]Sheet2!CA185=999999,"NA",[1]Sheet2!CA185)</f>
        <v>135526.96416408214</v>
      </c>
      <c r="BT186" s="14">
        <f>IF([1]Sheet2!CB185=999999,"NA",[1]Sheet2!CB185)</f>
        <v>104</v>
      </c>
      <c r="BU186" s="14">
        <f>IF([1]Sheet2!CC185=999999,"NA",[1]Sheet2!CC185)</f>
        <v>182</v>
      </c>
      <c r="BV186" s="14">
        <f>IF([1]Sheet2!CD185=999999,"NA",[1]Sheet2!CD185)</f>
        <v>182</v>
      </c>
      <c r="BW186" s="14">
        <f>IF([1]Sheet2!CE185=999999,"NA",[1]Sheet2!CE185)</f>
        <v>144</v>
      </c>
      <c r="BX186" s="14">
        <f>IF([1]Sheet2!CF185=999999,"NA",[1]Sheet2!CF185)</f>
        <v>182</v>
      </c>
      <c r="BY186" s="14">
        <f>IF([1]Sheet2!CG185=999999,"NA",[1]Sheet2!CG185)</f>
        <v>76</v>
      </c>
      <c r="BZ186" s="14">
        <f>IF([1]Sheet2!CH185=999999,"NA",[1]Sheet2!CH185)</f>
        <v>182</v>
      </c>
      <c r="CA186" s="14">
        <f>IF([1]Sheet2!CI185=999999,"NA",[1]Sheet2!CI185)</f>
        <v>182</v>
      </c>
      <c r="CB186" s="14">
        <f>IF([1]Sheet2!CJ185=999999,"NA",[1]Sheet2!CJ185)</f>
        <v>182</v>
      </c>
      <c r="CC186" s="14">
        <f>[1]Sheet2!BG185</f>
        <v>0</v>
      </c>
      <c r="CD186" s="14">
        <f>[1]Sheet2!BH185</f>
        <v>0</v>
      </c>
      <c r="CE186" s="14">
        <f>[1]Sheet2!BI185</f>
        <v>0</v>
      </c>
      <c r="CF186" s="14">
        <f>[1]Sheet2!BJ185</f>
        <v>0</v>
      </c>
      <c r="CG186" s="14">
        <f>[1]Sheet2!BK185</f>
        <v>0</v>
      </c>
      <c r="CH186" s="14">
        <f>[1]Sheet2!BL185</f>
        <v>0</v>
      </c>
      <c r="CI186" s="14">
        <f>[1]Sheet2!BM185</f>
        <v>0</v>
      </c>
      <c r="CJ186" s="14">
        <f>[1]Sheet2!BN185</f>
        <v>0</v>
      </c>
      <c r="CK186" s="14">
        <f>[1]Sheet2!BO185</f>
        <v>0</v>
      </c>
      <c r="CL186" s="14">
        <f>[1]Sheet2!BP185</f>
        <v>0</v>
      </c>
      <c r="CM186" s="16">
        <f>Demand_SW!B$9/31</f>
        <v>131.01736972704714</v>
      </c>
      <c r="CN186" s="16">
        <f>Demand_SW!C$9/31</f>
        <v>0</v>
      </c>
      <c r="CO186" s="16">
        <f>Demand_SW!D$9/31</f>
        <v>0</v>
      </c>
      <c r="CP186" s="16">
        <f>Demand_SW!E$9/31</f>
        <v>0</v>
      </c>
      <c r="CQ186" s="16">
        <f>Demand_SW!F$9/31</f>
        <v>0</v>
      </c>
      <c r="CR186" s="16">
        <f>Demand_SW!G$9/31</f>
        <v>131.01736972704714</v>
      </c>
      <c r="CS186" s="16">
        <f>Demand_SW!H$9/31</f>
        <v>0</v>
      </c>
      <c r="CT186" s="16">
        <f>Demand_SW!I$9/31</f>
        <v>0</v>
      </c>
      <c r="CU186" s="16">
        <f>Demand_SW!J$9/31</f>
        <v>0</v>
      </c>
      <c r="CV186" s="16">
        <f>Demand_SW!K$9/31</f>
        <v>0</v>
      </c>
      <c r="CW186" s="16">
        <f t="shared" si="83"/>
        <v>26140.272952853637</v>
      </c>
      <c r="CX186" s="16">
        <f t="shared" si="84"/>
        <v>-423.07692307692292</v>
      </c>
      <c r="CY186" s="16">
        <f t="shared" si="85"/>
        <v>0</v>
      </c>
      <c r="CZ186" s="16">
        <f t="shared" si="86"/>
        <v>0</v>
      </c>
      <c r="DA186" s="16">
        <f t="shared" si="87"/>
        <v>0</v>
      </c>
      <c r="DB186" s="16">
        <f t="shared" si="88"/>
        <v>-23388.957816377158</v>
      </c>
      <c r="DC186" s="16">
        <f t="shared" si="89"/>
        <v>-423.07692307692292</v>
      </c>
      <c r="DD186" s="16">
        <f t="shared" si="90"/>
        <v>0</v>
      </c>
      <c r="DE186" s="16">
        <f t="shared" si="91"/>
        <v>0</v>
      </c>
      <c r="DF186" s="16">
        <f t="shared" si="92"/>
        <v>0</v>
      </c>
      <c r="DG186" s="14">
        <f>IF([1]Sheet2!DR185=999999,"NA",[1]Sheet2!DR185)</f>
        <v>73103</v>
      </c>
      <c r="DH186" s="14">
        <f>IF([1]Sheet2!DS185=999999,"NA",[1]Sheet2!DS185)</f>
        <v>182</v>
      </c>
      <c r="DI186" s="14">
        <f>IF([1]Sheet2!DT185=999999,"NA",[1]Sheet2!DT185)</f>
        <v>182</v>
      </c>
      <c r="DJ186" s="14" t="str">
        <f>IF([1]Sheet2!DU185=999999,"NA",[1]Sheet2!DU185)</f>
        <v>NA</v>
      </c>
      <c r="DK186" s="14" t="str">
        <f>IF([1]Sheet2!DV185=999999,"NA",[1]Sheet2!DV185)</f>
        <v>NA</v>
      </c>
      <c r="DL186" s="14" t="str">
        <f>IF([1]Sheet2!DW185=999999,"NA",[1]Sheet2!DW185)</f>
        <v>NA</v>
      </c>
      <c r="DM186" s="14">
        <f>IF([1]Sheet2!DX185=999999,"NA",[1]Sheet2!DX185)</f>
        <v>182</v>
      </c>
      <c r="DN186" s="14">
        <f>IF([1]Sheet2!DY185=999999,"NA",[1]Sheet2!DY185)</f>
        <v>182</v>
      </c>
      <c r="DO186" s="14" t="str">
        <f>IF([1]Sheet2!DZ185=999999,"NA",[1]Sheet2!DZ185)</f>
        <v>NA</v>
      </c>
      <c r="DP186" s="14" t="str">
        <f>IF([1]Sheet2!EA185=999999,"NA",[1]Sheet2!EA185)</f>
        <v>NA</v>
      </c>
      <c r="DQ186" s="14">
        <f>[1]Sheet2!CX185</f>
        <v>0</v>
      </c>
      <c r="DR186" s="14">
        <f>[1]Sheet2!CY185</f>
        <v>0</v>
      </c>
      <c r="DS186" s="14">
        <f>[1]Sheet2!CZ185</f>
        <v>0</v>
      </c>
      <c r="DT186" s="14">
        <f>[1]Sheet2!DA185</f>
        <v>0</v>
      </c>
      <c r="DU186" s="14">
        <f>[1]Sheet2!DB185</f>
        <v>0</v>
      </c>
      <c r="DV186" s="14">
        <f>[1]Sheet2!DC185</f>
        <v>0</v>
      </c>
      <c r="DW186" s="14">
        <f>[1]Sheet2!DD185</f>
        <v>0</v>
      </c>
      <c r="DX186" s="14">
        <f>[1]Sheet2!DE185</f>
        <v>0</v>
      </c>
      <c r="DY186" s="14">
        <f>[1]Sheet2!DF185</f>
        <v>0</v>
      </c>
      <c r="DZ186" s="14">
        <f>[1]Sheet2!DG185</f>
        <v>0</v>
      </c>
    </row>
    <row r="187" spans="1:130" x14ac:dyDescent="0.25">
      <c r="A187" s="15">
        <v>43649</v>
      </c>
      <c r="B187" s="1"/>
      <c r="C187" s="1"/>
      <c r="D187" s="1"/>
      <c r="E187" s="14">
        <f>[1]Sheet2!N186</f>
        <v>0</v>
      </c>
      <c r="F187" s="14">
        <f>[1]Sheet2!BE186</f>
        <v>0</v>
      </c>
      <c r="G187" s="14">
        <f>[1]Sheet2!CV186</f>
        <v>262.03473945409428</v>
      </c>
      <c r="H187" s="1"/>
      <c r="I187" s="1"/>
      <c r="J187" s="1"/>
      <c r="K187" s="16">
        <f>Demand_CWRS!B$9/31</f>
        <v>137.44229993796523</v>
      </c>
      <c r="L187" s="16">
        <f>Demand_CWRS!C$9/31</f>
        <v>616.54259718775836</v>
      </c>
      <c r="M187" s="16">
        <f>Demand_CWRS!D$9/31</f>
        <v>0</v>
      </c>
      <c r="N187" s="16">
        <f>Demand_CWRS!E$9/31</f>
        <v>140.39247311827955</v>
      </c>
      <c r="O187" s="16">
        <f>Demand_CWRS!F$9/31</f>
        <v>245.11049679487181</v>
      </c>
      <c r="P187" s="16">
        <f>Demand_CWRS!G$9/31</f>
        <v>137.44229993796523</v>
      </c>
      <c r="Q187" s="16">
        <f>Demand_CWRS!H$9/31</f>
        <v>616.54259718775836</v>
      </c>
      <c r="R187" s="16">
        <f>Demand_CWRS!I$9/31</f>
        <v>245.11049679487181</v>
      </c>
      <c r="S187" s="16">
        <f>Demand_CWRS!J$9/31</f>
        <v>245.11049679487181</v>
      </c>
      <c r="T187" s="16">
        <f>Demand_CWRS!K$9/31</f>
        <v>245.11049679487181</v>
      </c>
      <c r="U187" s="16">
        <f t="shared" si="63"/>
        <v>-26773.088437210412</v>
      </c>
      <c r="V187" s="16">
        <f t="shared" si="64"/>
        <v>-88705.789330024549</v>
      </c>
      <c r="W187" s="16">
        <f t="shared" si="65"/>
        <v>0</v>
      </c>
      <c r="X187" s="16">
        <f t="shared" si="66"/>
        <v>-20962.453969176288</v>
      </c>
      <c r="Y187" s="16">
        <f t="shared" si="67"/>
        <v>-42013.495325178526</v>
      </c>
      <c r="Z187" s="16">
        <f t="shared" si="68"/>
        <v>-26447.315288171962</v>
      </c>
      <c r="AA187" s="16">
        <f t="shared" si="69"/>
        <v>-88205.789330024549</v>
      </c>
      <c r="AB187" s="16">
        <f t="shared" si="70"/>
        <v>-39529.649844409243</v>
      </c>
      <c r="AC187" s="16">
        <f t="shared" si="71"/>
        <v>-39529.649844409236</v>
      </c>
      <c r="AD187" s="16">
        <f t="shared" si="72"/>
        <v>-40229.649844409229</v>
      </c>
      <c r="AE187" s="14">
        <f>IF([1]Sheet2!AJ186=999999,"NA",[1]Sheet2!AJ186)</f>
        <v>0</v>
      </c>
      <c r="AF187" s="14">
        <f>IF([1]Sheet2!AK186=999999,"NA",[1]Sheet2!AK186)</f>
        <v>0</v>
      </c>
      <c r="AG187" s="14" t="str">
        <f>IF([1]Sheet2!AL186=999999,"NA",[1]Sheet2!AL186)</f>
        <v>NA</v>
      </c>
      <c r="AH187" s="14">
        <f>IF([1]Sheet2!AM186=999999,"NA",[1]Sheet2!AM186)</f>
        <v>181</v>
      </c>
      <c r="AI187" s="14">
        <f>IF([1]Sheet2!AN186=999999,"NA",[1]Sheet2!AN186)</f>
        <v>181</v>
      </c>
      <c r="AJ187" s="14">
        <f>IF([1]Sheet2!AO186=999999,"NA",[1]Sheet2!AO186)</f>
        <v>181</v>
      </c>
      <c r="AK187" s="14">
        <f>IF([1]Sheet2!AP186=999999,"NA",[1]Sheet2!AP186)</f>
        <v>0</v>
      </c>
      <c r="AL187" s="14">
        <f>IF([1]Sheet2!AQ186=999999,"NA",[1]Sheet2!AQ186)</f>
        <v>57</v>
      </c>
      <c r="AM187" s="14">
        <f>IF([1]Sheet2!AR186=999999,"NA",[1]Sheet2!AR186)</f>
        <v>181</v>
      </c>
      <c r="AN187" s="14">
        <f>IF([1]Sheet2!AS186=999999,"NA",[1]Sheet2!AS186)</f>
        <v>113</v>
      </c>
      <c r="AO187" s="14">
        <f>[1]Sheet2!P186</f>
        <v>0</v>
      </c>
      <c r="AP187" s="14">
        <f>[1]Sheet2!Q186</f>
        <v>0</v>
      </c>
      <c r="AQ187" s="14">
        <f>[1]Sheet2!R186</f>
        <v>0</v>
      </c>
      <c r="AR187" s="14">
        <f>[1]Sheet2!S186</f>
        <v>0</v>
      </c>
      <c r="AS187" s="14">
        <f>[1]Sheet2!T186</f>
        <v>0</v>
      </c>
      <c r="AT187" s="14">
        <f>[1]Sheet2!U186</f>
        <v>0</v>
      </c>
      <c r="AU187" s="14">
        <f>[1]Sheet2!V186</f>
        <v>0</v>
      </c>
      <c r="AV187" s="14">
        <f>[1]Sheet2!W186</f>
        <v>0</v>
      </c>
      <c r="AW187" s="14">
        <f>[1]Sheet2!X186</f>
        <v>0</v>
      </c>
      <c r="AX187" s="14">
        <f>[1]Sheet2!Y186</f>
        <v>0</v>
      </c>
      <c r="AY187" s="16">
        <f>Demand_LP!B$9/31</f>
        <v>878.29658550454917</v>
      </c>
      <c r="AZ187" s="16">
        <f>Demand_LP!C$9/31</f>
        <v>663.85442514474767</v>
      </c>
      <c r="BA187" s="16">
        <f>Demand_LP!D$9/31</f>
        <v>335.39784946236568</v>
      </c>
      <c r="BB187" s="16">
        <f>Demand_LP!E$9/31</f>
        <v>725.23531844499576</v>
      </c>
      <c r="BC187" s="16">
        <f>Demand_LP!F$9/31</f>
        <v>456.65268558726217</v>
      </c>
      <c r="BD187" s="16">
        <f>Demand_LP!G$9/31</f>
        <v>878.29658550454917</v>
      </c>
      <c r="BE187" s="16">
        <f>Demand_LP!H$9/31</f>
        <v>663.85442514474767</v>
      </c>
      <c r="BF187" s="16">
        <f>Demand_LP!I$9/31</f>
        <v>456.65268558726217</v>
      </c>
      <c r="BG187" s="16">
        <f>Demand_LP!J$9/31</f>
        <v>456.65268558726217</v>
      </c>
      <c r="BH187" s="16">
        <f>Demand_LP!K$9/31</f>
        <v>456.65268558726217</v>
      </c>
      <c r="BI187" s="16" t="e">
        <f t="shared" si="73"/>
        <v>#VALUE!</v>
      </c>
      <c r="BJ187" s="16">
        <f t="shared" si="74"/>
        <v>-109177.65814722894</v>
      </c>
      <c r="BK187" s="16">
        <f t="shared" si="75"/>
        <v>-55697.799958643438</v>
      </c>
      <c r="BL187" s="16">
        <f t="shared" si="76"/>
        <v>-140737.61234936281</v>
      </c>
      <c r="BM187" s="16">
        <f t="shared" si="77"/>
        <v>-84151.004603134686</v>
      </c>
      <c r="BN187" s="16">
        <f t="shared" si="78"/>
        <v>-137516.79945740211</v>
      </c>
      <c r="BO187" s="16">
        <f t="shared" si="79"/>
        <v>-111535.23763440846</v>
      </c>
      <c r="BP187" s="16">
        <f t="shared" si="80"/>
        <v>-83608.68852150529</v>
      </c>
      <c r="BQ187" s="16">
        <f t="shared" si="81"/>
        <v>-80208.688521505333</v>
      </c>
      <c r="BR187" s="16">
        <f t="shared" si="82"/>
        <v>-81408.68852150529</v>
      </c>
      <c r="BS187" s="14">
        <f>IF([1]Sheet2!CA186=999999,"NA",[1]Sheet2!CA186)</f>
        <v>135070.31147849487</v>
      </c>
      <c r="BT187" s="14">
        <f>IF([1]Sheet2!CB186=999999,"NA",[1]Sheet2!CB186)</f>
        <v>103</v>
      </c>
      <c r="BU187" s="14">
        <f>IF([1]Sheet2!CC186=999999,"NA",[1]Sheet2!CC186)</f>
        <v>181</v>
      </c>
      <c r="BV187" s="14">
        <f>IF([1]Sheet2!CD186=999999,"NA",[1]Sheet2!CD186)</f>
        <v>181</v>
      </c>
      <c r="BW187" s="14">
        <f>IF([1]Sheet2!CE186=999999,"NA",[1]Sheet2!CE186)</f>
        <v>143</v>
      </c>
      <c r="BX187" s="14">
        <f>IF([1]Sheet2!CF186=999999,"NA",[1]Sheet2!CF186)</f>
        <v>181</v>
      </c>
      <c r="BY187" s="14">
        <f>IF([1]Sheet2!CG186=999999,"NA",[1]Sheet2!CG186)</f>
        <v>75</v>
      </c>
      <c r="BZ187" s="14">
        <f>IF([1]Sheet2!CH186=999999,"NA",[1]Sheet2!CH186)</f>
        <v>181</v>
      </c>
      <c r="CA187" s="14">
        <f>IF([1]Sheet2!CI186=999999,"NA",[1]Sheet2!CI186)</f>
        <v>181</v>
      </c>
      <c r="CB187" s="14">
        <f>IF([1]Sheet2!CJ186=999999,"NA",[1]Sheet2!CJ186)</f>
        <v>181</v>
      </c>
      <c r="CC187" s="14">
        <f>[1]Sheet2!BG186</f>
        <v>0</v>
      </c>
      <c r="CD187" s="14">
        <f>[1]Sheet2!BH186</f>
        <v>0</v>
      </c>
      <c r="CE187" s="14">
        <f>[1]Sheet2!BI186</f>
        <v>0</v>
      </c>
      <c r="CF187" s="14">
        <f>[1]Sheet2!BJ186</f>
        <v>0</v>
      </c>
      <c r="CG187" s="14">
        <f>[1]Sheet2!BK186</f>
        <v>0</v>
      </c>
      <c r="CH187" s="14">
        <f>[1]Sheet2!BL186</f>
        <v>0</v>
      </c>
      <c r="CI187" s="14">
        <f>[1]Sheet2!BM186</f>
        <v>0</v>
      </c>
      <c r="CJ187" s="14">
        <f>[1]Sheet2!BN186</f>
        <v>0</v>
      </c>
      <c r="CK187" s="14">
        <f>[1]Sheet2!BO186</f>
        <v>0</v>
      </c>
      <c r="CL187" s="14">
        <f>[1]Sheet2!BP186</f>
        <v>0</v>
      </c>
      <c r="CM187" s="16">
        <f>Demand_SW!B$9/31</f>
        <v>131.01736972704714</v>
      </c>
      <c r="CN187" s="16">
        <f>Demand_SW!C$9/31</f>
        <v>0</v>
      </c>
      <c r="CO187" s="16">
        <f>Demand_SW!D$9/31</f>
        <v>0</v>
      </c>
      <c r="CP187" s="16">
        <f>Demand_SW!E$9/31</f>
        <v>0</v>
      </c>
      <c r="CQ187" s="16">
        <f>Demand_SW!F$9/31</f>
        <v>0</v>
      </c>
      <c r="CR187" s="16">
        <f>Demand_SW!G$9/31</f>
        <v>131.01736972704714</v>
      </c>
      <c r="CS187" s="16">
        <f>Demand_SW!H$9/31</f>
        <v>0</v>
      </c>
      <c r="CT187" s="16">
        <f>Demand_SW!I$9/31</f>
        <v>0</v>
      </c>
      <c r="CU187" s="16">
        <f>Demand_SW!J$9/31</f>
        <v>0</v>
      </c>
      <c r="CV187" s="16">
        <f>Demand_SW!K$9/31</f>
        <v>0</v>
      </c>
      <c r="CW187" s="16">
        <f t="shared" si="83"/>
        <v>26009.255583126589</v>
      </c>
      <c r="CX187" s="16">
        <f t="shared" si="84"/>
        <v>-423.07692307692292</v>
      </c>
      <c r="CY187" s="16">
        <f t="shared" si="85"/>
        <v>0</v>
      </c>
      <c r="CZ187" s="16">
        <f t="shared" si="86"/>
        <v>0</v>
      </c>
      <c r="DA187" s="16">
        <f t="shared" si="87"/>
        <v>0</v>
      </c>
      <c r="DB187" s="16">
        <f t="shared" si="88"/>
        <v>-23519.975186104206</v>
      </c>
      <c r="DC187" s="16">
        <f t="shared" si="89"/>
        <v>-423.07692307692292</v>
      </c>
      <c r="DD187" s="16">
        <f t="shared" si="90"/>
        <v>0</v>
      </c>
      <c r="DE187" s="16">
        <f t="shared" si="91"/>
        <v>0</v>
      </c>
      <c r="DF187" s="16">
        <f t="shared" si="92"/>
        <v>0</v>
      </c>
      <c r="DG187" s="14">
        <f>IF([1]Sheet2!DR186=999999,"NA",[1]Sheet2!DR186)</f>
        <v>73103</v>
      </c>
      <c r="DH187" s="14">
        <f>IF([1]Sheet2!DS186=999999,"NA",[1]Sheet2!DS186)</f>
        <v>181</v>
      </c>
      <c r="DI187" s="14">
        <f>IF([1]Sheet2!DT186=999999,"NA",[1]Sheet2!DT186)</f>
        <v>181</v>
      </c>
      <c r="DJ187" s="14" t="str">
        <f>IF([1]Sheet2!DU186=999999,"NA",[1]Sheet2!DU186)</f>
        <v>NA</v>
      </c>
      <c r="DK187" s="14" t="str">
        <f>IF([1]Sheet2!DV186=999999,"NA",[1]Sheet2!DV186)</f>
        <v>NA</v>
      </c>
      <c r="DL187" s="14" t="str">
        <f>IF([1]Sheet2!DW186=999999,"NA",[1]Sheet2!DW186)</f>
        <v>NA</v>
      </c>
      <c r="DM187" s="14">
        <f>IF([1]Sheet2!DX186=999999,"NA",[1]Sheet2!DX186)</f>
        <v>181</v>
      </c>
      <c r="DN187" s="14">
        <f>IF([1]Sheet2!DY186=999999,"NA",[1]Sheet2!DY186)</f>
        <v>181</v>
      </c>
      <c r="DO187" s="14" t="str">
        <f>IF([1]Sheet2!DZ186=999999,"NA",[1]Sheet2!DZ186)</f>
        <v>NA</v>
      </c>
      <c r="DP187" s="14" t="str">
        <f>IF([1]Sheet2!EA186=999999,"NA",[1]Sheet2!EA186)</f>
        <v>NA</v>
      </c>
      <c r="DQ187" s="14">
        <f>[1]Sheet2!CX186</f>
        <v>0</v>
      </c>
      <c r="DR187" s="14">
        <f>[1]Sheet2!CY186</f>
        <v>0</v>
      </c>
      <c r="DS187" s="14">
        <f>[1]Sheet2!CZ186</f>
        <v>0</v>
      </c>
      <c r="DT187" s="14">
        <f>[1]Sheet2!DA186</f>
        <v>0</v>
      </c>
      <c r="DU187" s="14">
        <f>[1]Sheet2!DB186</f>
        <v>0</v>
      </c>
      <c r="DV187" s="14">
        <f>[1]Sheet2!DC186</f>
        <v>0</v>
      </c>
      <c r="DW187" s="14">
        <f>[1]Sheet2!DD186</f>
        <v>0</v>
      </c>
      <c r="DX187" s="14">
        <f>[1]Sheet2!DE186</f>
        <v>0</v>
      </c>
      <c r="DY187" s="14">
        <f>[1]Sheet2!DF186</f>
        <v>0</v>
      </c>
      <c r="DZ187" s="14">
        <f>[1]Sheet2!DG186</f>
        <v>0</v>
      </c>
    </row>
    <row r="188" spans="1:130" x14ac:dyDescent="0.25">
      <c r="A188" s="15">
        <v>43650</v>
      </c>
      <c r="B188" s="1"/>
      <c r="C188" s="1"/>
      <c r="D188" s="1"/>
      <c r="E188" s="14">
        <f>[1]Sheet2!N187</f>
        <v>0</v>
      </c>
      <c r="F188" s="14">
        <f>[1]Sheet2!BE187</f>
        <v>0</v>
      </c>
      <c r="G188" s="14">
        <f>[1]Sheet2!CV187</f>
        <v>262.03473945409428</v>
      </c>
      <c r="H188" s="1"/>
      <c r="I188" s="1"/>
      <c r="J188" s="1"/>
      <c r="K188" s="16">
        <f>Demand_CWRS!B$9/31</f>
        <v>137.44229993796523</v>
      </c>
      <c r="L188" s="16">
        <f>Demand_CWRS!C$9/31</f>
        <v>616.54259718775836</v>
      </c>
      <c r="M188" s="16">
        <f>Demand_CWRS!D$9/31</f>
        <v>0</v>
      </c>
      <c r="N188" s="16">
        <f>Demand_CWRS!E$9/31</f>
        <v>140.39247311827955</v>
      </c>
      <c r="O188" s="16">
        <f>Demand_CWRS!F$9/31</f>
        <v>245.11049679487181</v>
      </c>
      <c r="P188" s="16">
        <f>Demand_CWRS!G$9/31</f>
        <v>137.44229993796523</v>
      </c>
      <c r="Q188" s="16">
        <f>Demand_CWRS!H$9/31</f>
        <v>616.54259718775836</v>
      </c>
      <c r="R188" s="16">
        <f>Demand_CWRS!I$9/31</f>
        <v>245.11049679487181</v>
      </c>
      <c r="S188" s="16">
        <f>Demand_CWRS!J$9/31</f>
        <v>245.11049679487181</v>
      </c>
      <c r="T188" s="16">
        <f>Demand_CWRS!K$9/31</f>
        <v>245.11049679487181</v>
      </c>
      <c r="U188" s="16">
        <f t="shared" si="63"/>
        <v>-26910.530737148376</v>
      </c>
      <c r="V188" s="16">
        <f t="shared" si="64"/>
        <v>-89322.331927212304</v>
      </c>
      <c r="W188" s="16">
        <f t="shared" si="65"/>
        <v>0</v>
      </c>
      <c r="X188" s="16">
        <f t="shared" si="66"/>
        <v>-21102.846442294565</v>
      </c>
      <c r="Y188" s="16">
        <f t="shared" si="67"/>
        <v>-42258.605821973397</v>
      </c>
      <c r="Z188" s="16">
        <f t="shared" si="68"/>
        <v>-26584.757588109926</v>
      </c>
      <c r="AA188" s="16">
        <f t="shared" si="69"/>
        <v>-88822.331927212304</v>
      </c>
      <c r="AB188" s="16">
        <f t="shared" si="70"/>
        <v>-39774.760341204114</v>
      </c>
      <c r="AC188" s="16">
        <f t="shared" si="71"/>
        <v>-39774.760341204106</v>
      </c>
      <c r="AD188" s="16">
        <f t="shared" si="72"/>
        <v>-40474.760341204099</v>
      </c>
      <c r="AE188" s="14">
        <f>IF([1]Sheet2!AJ187=999999,"NA",[1]Sheet2!AJ187)</f>
        <v>0</v>
      </c>
      <c r="AF188" s="14">
        <f>IF([1]Sheet2!AK187=999999,"NA",[1]Sheet2!AK187)</f>
        <v>0</v>
      </c>
      <c r="AG188" s="14" t="str">
        <f>IF([1]Sheet2!AL187=999999,"NA",[1]Sheet2!AL187)</f>
        <v>NA</v>
      </c>
      <c r="AH188" s="14">
        <f>IF([1]Sheet2!AM187=999999,"NA",[1]Sheet2!AM187)</f>
        <v>180</v>
      </c>
      <c r="AI188" s="14">
        <f>IF([1]Sheet2!AN187=999999,"NA",[1]Sheet2!AN187)</f>
        <v>180</v>
      </c>
      <c r="AJ188" s="14">
        <f>IF([1]Sheet2!AO187=999999,"NA",[1]Sheet2!AO187)</f>
        <v>180</v>
      </c>
      <c r="AK188" s="14">
        <f>IF([1]Sheet2!AP187=999999,"NA",[1]Sheet2!AP187)</f>
        <v>0</v>
      </c>
      <c r="AL188" s="14">
        <f>IF([1]Sheet2!AQ187=999999,"NA",[1]Sheet2!AQ187)</f>
        <v>56</v>
      </c>
      <c r="AM188" s="14">
        <f>IF([1]Sheet2!AR187=999999,"NA",[1]Sheet2!AR187)</f>
        <v>180</v>
      </c>
      <c r="AN188" s="14">
        <f>IF([1]Sheet2!AS187=999999,"NA",[1]Sheet2!AS187)</f>
        <v>112</v>
      </c>
      <c r="AO188" s="14">
        <f>[1]Sheet2!P187</f>
        <v>0</v>
      </c>
      <c r="AP188" s="14">
        <f>[1]Sheet2!Q187</f>
        <v>0</v>
      </c>
      <c r="AQ188" s="14">
        <f>[1]Sheet2!R187</f>
        <v>0</v>
      </c>
      <c r="AR188" s="14">
        <f>[1]Sheet2!S187</f>
        <v>0</v>
      </c>
      <c r="AS188" s="14">
        <f>[1]Sheet2!T187</f>
        <v>0</v>
      </c>
      <c r="AT188" s="14">
        <f>[1]Sheet2!U187</f>
        <v>0</v>
      </c>
      <c r="AU188" s="14">
        <f>[1]Sheet2!V187</f>
        <v>0</v>
      </c>
      <c r="AV188" s="14">
        <f>[1]Sheet2!W187</f>
        <v>0</v>
      </c>
      <c r="AW188" s="14">
        <f>[1]Sheet2!X187</f>
        <v>0</v>
      </c>
      <c r="AX188" s="14">
        <f>[1]Sheet2!Y187</f>
        <v>0</v>
      </c>
      <c r="AY188" s="16">
        <f>Demand_LP!B$9/31</f>
        <v>878.29658550454917</v>
      </c>
      <c r="AZ188" s="16">
        <f>Demand_LP!C$9/31</f>
        <v>663.85442514474767</v>
      </c>
      <c r="BA188" s="16">
        <f>Demand_LP!D$9/31</f>
        <v>335.39784946236568</v>
      </c>
      <c r="BB188" s="16">
        <f>Demand_LP!E$9/31</f>
        <v>725.23531844499576</v>
      </c>
      <c r="BC188" s="16">
        <f>Demand_LP!F$9/31</f>
        <v>456.65268558726217</v>
      </c>
      <c r="BD188" s="16">
        <f>Demand_LP!G$9/31</f>
        <v>878.29658550454917</v>
      </c>
      <c r="BE188" s="16">
        <f>Demand_LP!H$9/31</f>
        <v>663.85442514474767</v>
      </c>
      <c r="BF188" s="16">
        <f>Demand_LP!I$9/31</f>
        <v>456.65268558726217</v>
      </c>
      <c r="BG188" s="16">
        <f>Demand_LP!J$9/31</f>
        <v>456.65268558726217</v>
      </c>
      <c r="BH188" s="16">
        <f>Demand_LP!K$9/31</f>
        <v>456.65268558726217</v>
      </c>
      <c r="BI188" s="16" t="e">
        <f t="shared" si="73"/>
        <v>#VALUE!</v>
      </c>
      <c r="BJ188" s="16">
        <f t="shared" si="74"/>
        <v>-109841.51257237369</v>
      </c>
      <c r="BK188" s="16">
        <f t="shared" si="75"/>
        <v>-56033.197808105804</v>
      </c>
      <c r="BL188" s="16">
        <f t="shared" si="76"/>
        <v>-141462.8476678078</v>
      </c>
      <c r="BM188" s="16">
        <f t="shared" si="77"/>
        <v>-84607.657288721952</v>
      </c>
      <c r="BN188" s="16">
        <f t="shared" si="78"/>
        <v>-138395.09604290666</v>
      </c>
      <c r="BO188" s="16">
        <f t="shared" si="79"/>
        <v>-112199.09205955321</v>
      </c>
      <c r="BP188" s="16">
        <f t="shared" si="80"/>
        <v>-84065.341207092555</v>
      </c>
      <c r="BQ188" s="16">
        <f t="shared" si="81"/>
        <v>-80665.341207092599</v>
      </c>
      <c r="BR188" s="16">
        <f t="shared" si="82"/>
        <v>-81865.341207092555</v>
      </c>
      <c r="BS188" s="14">
        <f>IF([1]Sheet2!CA187=999999,"NA",[1]Sheet2!CA187)</f>
        <v>134613.6587929076</v>
      </c>
      <c r="BT188" s="14">
        <f>IF([1]Sheet2!CB187=999999,"NA",[1]Sheet2!CB187)</f>
        <v>102</v>
      </c>
      <c r="BU188" s="14">
        <f>IF([1]Sheet2!CC187=999999,"NA",[1]Sheet2!CC187)</f>
        <v>180</v>
      </c>
      <c r="BV188" s="14">
        <f>IF([1]Sheet2!CD187=999999,"NA",[1]Sheet2!CD187)</f>
        <v>180</v>
      </c>
      <c r="BW188" s="14">
        <f>IF([1]Sheet2!CE187=999999,"NA",[1]Sheet2!CE187)</f>
        <v>142</v>
      </c>
      <c r="BX188" s="14">
        <f>IF([1]Sheet2!CF187=999999,"NA",[1]Sheet2!CF187)</f>
        <v>180</v>
      </c>
      <c r="BY188" s="14">
        <f>IF([1]Sheet2!CG187=999999,"NA",[1]Sheet2!CG187)</f>
        <v>74</v>
      </c>
      <c r="BZ188" s="14">
        <f>IF([1]Sheet2!CH187=999999,"NA",[1]Sheet2!CH187)</f>
        <v>180</v>
      </c>
      <c r="CA188" s="14">
        <f>IF([1]Sheet2!CI187=999999,"NA",[1]Sheet2!CI187)</f>
        <v>180</v>
      </c>
      <c r="CB188" s="14">
        <f>IF([1]Sheet2!CJ187=999999,"NA",[1]Sheet2!CJ187)</f>
        <v>180</v>
      </c>
      <c r="CC188" s="14">
        <f>[1]Sheet2!BG187</f>
        <v>0</v>
      </c>
      <c r="CD188" s="14">
        <f>[1]Sheet2!BH187</f>
        <v>0</v>
      </c>
      <c r="CE188" s="14">
        <f>[1]Sheet2!BI187</f>
        <v>0</v>
      </c>
      <c r="CF188" s="14">
        <f>[1]Sheet2!BJ187</f>
        <v>0</v>
      </c>
      <c r="CG188" s="14">
        <f>[1]Sheet2!BK187</f>
        <v>0</v>
      </c>
      <c r="CH188" s="14">
        <f>[1]Sheet2!BL187</f>
        <v>0</v>
      </c>
      <c r="CI188" s="14">
        <f>[1]Sheet2!BM187</f>
        <v>0</v>
      </c>
      <c r="CJ188" s="14">
        <f>[1]Sheet2!BN187</f>
        <v>0</v>
      </c>
      <c r="CK188" s="14">
        <f>[1]Sheet2!BO187</f>
        <v>0</v>
      </c>
      <c r="CL188" s="14">
        <f>[1]Sheet2!BP187</f>
        <v>0</v>
      </c>
      <c r="CM188" s="16">
        <f>Demand_SW!B$9/31</f>
        <v>131.01736972704714</v>
      </c>
      <c r="CN188" s="16">
        <f>Demand_SW!C$9/31</f>
        <v>0</v>
      </c>
      <c r="CO188" s="16">
        <f>Demand_SW!D$9/31</f>
        <v>0</v>
      </c>
      <c r="CP188" s="16">
        <f>Demand_SW!E$9/31</f>
        <v>0</v>
      </c>
      <c r="CQ188" s="16">
        <f>Demand_SW!F$9/31</f>
        <v>0</v>
      </c>
      <c r="CR188" s="16">
        <f>Demand_SW!G$9/31</f>
        <v>131.01736972704714</v>
      </c>
      <c r="CS188" s="16">
        <f>Demand_SW!H$9/31</f>
        <v>0</v>
      </c>
      <c r="CT188" s="16">
        <f>Demand_SW!I$9/31</f>
        <v>0</v>
      </c>
      <c r="CU188" s="16">
        <f>Demand_SW!J$9/31</f>
        <v>0</v>
      </c>
      <c r="CV188" s="16">
        <f>Demand_SW!K$9/31</f>
        <v>0</v>
      </c>
      <c r="CW188" s="16">
        <f t="shared" si="83"/>
        <v>25878.238213399542</v>
      </c>
      <c r="CX188" s="16">
        <f t="shared" si="84"/>
        <v>-423.07692307692292</v>
      </c>
      <c r="CY188" s="16">
        <f t="shared" si="85"/>
        <v>0</v>
      </c>
      <c r="CZ188" s="16">
        <f t="shared" si="86"/>
        <v>0</v>
      </c>
      <c r="DA188" s="16">
        <f t="shared" si="87"/>
        <v>0</v>
      </c>
      <c r="DB188" s="16">
        <f t="shared" si="88"/>
        <v>-23650.992555831253</v>
      </c>
      <c r="DC188" s="16">
        <f t="shared" si="89"/>
        <v>-423.07692307692292</v>
      </c>
      <c r="DD188" s="16">
        <f t="shared" si="90"/>
        <v>0</v>
      </c>
      <c r="DE188" s="16">
        <f t="shared" si="91"/>
        <v>0</v>
      </c>
      <c r="DF188" s="16">
        <f t="shared" si="92"/>
        <v>0</v>
      </c>
      <c r="DG188" s="14">
        <f>IF([1]Sheet2!DR187=999999,"NA",[1]Sheet2!DR187)</f>
        <v>73103</v>
      </c>
      <c r="DH188" s="14">
        <f>IF([1]Sheet2!DS187=999999,"NA",[1]Sheet2!DS187)</f>
        <v>180</v>
      </c>
      <c r="DI188" s="14">
        <f>IF([1]Sheet2!DT187=999999,"NA",[1]Sheet2!DT187)</f>
        <v>180</v>
      </c>
      <c r="DJ188" s="14" t="str">
        <f>IF([1]Sheet2!DU187=999999,"NA",[1]Sheet2!DU187)</f>
        <v>NA</v>
      </c>
      <c r="DK188" s="14" t="str">
        <f>IF([1]Sheet2!DV187=999999,"NA",[1]Sheet2!DV187)</f>
        <v>NA</v>
      </c>
      <c r="DL188" s="14" t="str">
        <f>IF([1]Sheet2!DW187=999999,"NA",[1]Sheet2!DW187)</f>
        <v>NA</v>
      </c>
      <c r="DM188" s="14">
        <f>IF([1]Sheet2!DX187=999999,"NA",[1]Sheet2!DX187)</f>
        <v>180</v>
      </c>
      <c r="DN188" s="14">
        <f>IF([1]Sheet2!DY187=999999,"NA",[1]Sheet2!DY187)</f>
        <v>180</v>
      </c>
      <c r="DO188" s="14" t="str">
        <f>IF([1]Sheet2!DZ187=999999,"NA",[1]Sheet2!DZ187)</f>
        <v>NA</v>
      </c>
      <c r="DP188" s="14" t="str">
        <f>IF([1]Sheet2!EA187=999999,"NA",[1]Sheet2!EA187)</f>
        <v>NA</v>
      </c>
      <c r="DQ188" s="14">
        <f>[1]Sheet2!CX187</f>
        <v>0</v>
      </c>
      <c r="DR188" s="14">
        <f>[1]Sheet2!CY187</f>
        <v>0</v>
      </c>
      <c r="DS188" s="14">
        <f>[1]Sheet2!CZ187</f>
        <v>0</v>
      </c>
      <c r="DT188" s="14">
        <f>[1]Sheet2!DA187</f>
        <v>0</v>
      </c>
      <c r="DU188" s="14">
        <f>[1]Sheet2!DB187</f>
        <v>0</v>
      </c>
      <c r="DV188" s="14">
        <f>[1]Sheet2!DC187</f>
        <v>0</v>
      </c>
      <c r="DW188" s="14">
        <f>[1]Sheet2!DD187</f>
        <v>0</v>
      </c>
      <c r="DX188" s="14">
        <f>[1]Sheet2!DE187</f>
        <v>0</v>
      </c>
      <c r="DY188" s="14">
        <f>[1]Sheet2!DF187</f>
        <v>0</v>
      </c>
      <c r="DZ188" s="14">
        <f>[1]Sheet2!DG187</f>
        <v>0</v>
      </c>
    </row>
    <row r="189" spans="1:130" x14ac:dyDescent="0.25">
      <c r="A189" s="15">
        <v>43651</v>
      </c>
      <c r="B189" s="1"/>
      <c r="C189" s="1"/>
      <c r="D189" s="1"/>
      <c r="E189" s="14">
        <f>[1]Sheet2!N188</f>
        <v>0</v>
      </c>
      <c r="F189" s="14">
        <f>[1]Sheet2!BE188</f>
        <v>0</v>
      </c>
      <c r="G189" s="14">
        <f>[1]Sheet2!CV188</f>
        <v>262.03473945409428</v>
      </c>
      <c r="H189" s="1"/>
      <c r="I189" s="1"/>
      <c r="J189" s="1"/>
      <c r="K189" s="16">
        <f>Demand_CWRS!B$9/31</f>
        <v>137.44229993796523</v>
      </c>
      <c r="L189" s="16">
        <f>Demand_CWRS!C$9/31</f>
        <v>616.54259718775836</v>
      </c>
      <c r="M189" s="16">
        <f>Demand_CWRS!D$9/31</f>
        <v>0</v>
      </c>
      <c r="N189" s="16">
        <f>Demand_CWRS!E$9/31</f>
        <v>140.39247311827955</v>
      </c>
      <c r="O189" s="16">
        <f>Demand_CWRS!F$9/31</f>
        <v>245.11049679487181</v>
      </c>
      <c r="P189" s="16">
        <f>Demand_CWRS!G$9/31</f>
        <v>137.44229993796523</v>
      </c>
      <c r="Q189" s="16">
        <f>Demand_CWRS!H$9/31</f>
        <v>616.54259718775836</v>
      </c>
      <c r="R189" s="16">
        <f>Demand_CWRS!I$9/31</f>
        <v>245.11049679487181</v>
      </c>
      <c r="S189" s="16">
        <f>Demand_CWRS!J$9/31</f>
        <v>245.11049679487181</v>
      </c>
      <c r="T189" s="16">
        <f>Demand_CWRS!K$9/31</f>
        <v>245.11049679487181</v>
      </c>
      <c r="U189" s="16">
        <f t="shared" si="63"/>
        <v>-27047.97303708634</v>
      </c>
      <c r="V189" s="16">
        <f t="shared" si="64"/>
        <v>-89938.87452440006</v>
      </c>
      <c r="W189" s="16">
        <f t="shared" si="65"/>
        <v>0</v>
      </c>
      <c r="X189" s="16">
        <f t="shared" si="66"/>
        <v>-21243.238915412843</v>
      </c>
      <c r="Y189" s="16">
        <f t="shared" si="67"/>
        <v>-42503.716318768267</v>
      </c>
      <c r="Z189" s="16">
        <f t="shared" si="68"/>
        <v>-26722.19988804789</v>
      </c>
      <c r="AA189" s="16">
        <f t="shared" si="69"/>
        <v>-89438.87452440006</v>
      </c>
      <c r="AB189" s="16">
        <f t="shared" si="70"/>
        <v>-40019.870837998984</v>
      </c>
      <c r="AC189" s="16">
        <f t="shared" si="71"/>
        <v>-40019.870837998977</v>
      </c>
      <c r="AD189" s="16">
        <f t="shared" si="72"/>
        <v>-40719.870837998969</v>
      </c>
      <c r="AE189" s="14">
        <f>IF([1]Sheet2!AJ188=999999,"NA",[1]Sheet2!AJ188)</f>
        <v>0</v>
      </c>
      <c r="AF189" s="14">
        <f>IF([1]Sheet2!AK188=999999,"NA",[1]Sheet2!AK188)</f>
        <v>0</v>
      </c>
      <c r="AG189" s="14" t="str">
        <f>IF([1]Sheet2!AL188=999999,"NA",[1]Sheet2!AL188)</f>
        <v>NA</v>
      </c>
      <c r="AH189" s="14">
        <f>IF([1]Sheet2!AM188=999999,"NA",[1]Sheet2!AM188)</f>
        <v>179</v>
      </c>
      <c r="AI189" s="14">
        <f>IF([1]Sheet2!AN188=999999,"NA",[1]Sheet2!AN188)</f>
        <v>179</v>
      </c>
      <c r="AJ189" s="14">
        <f>IF([1]Sheet2!AO188=999999,"NA",[1]Sheet2!AO188)</f>
        <v>179</v>
      </c>
      <c r="AK189" s="14">
        <f>IF([1]Sheet2!AP188=999999,"NA",[1]Sheet2!AP188)</f>
        <v>0</v>
      </c>
      <c r="AL189" s="14">
        <f>IF([1]Sheet2!AQ188=999999,"NA",[1]Sheet2!AQ188)</f>
        <v>55</v>
      </c>
      <c r="AM189" s="14">
        <f>IF([1]Sheet2!AR188=999999,"NA",[1]Sheet2!AR188)</f>
        <v>179</v>
      </c>
      <c r="AN189" s="14">
        <f>IF([1]Sheet2!AS188=999999,"NA",[1]Sheet2!AS188)</f>
        <v>111</v>
      </c>
      <c r="AO189" s="14">
        <f>[1]Sheet2!P188</f>
        <v>0</v>
      </c>
      <c r="AP189" s="14">
        <f>[1]Sheet2!Q188</f>
        <v>0</v>
      </c>
      <c r="AQ189" s="14">
        <f>[1]Sheet2!R188</f>
        <v>0</v>
      </c>
      <c r="AR189" s="14">
        <f>[1]Sheet2!S188</f>
        <v>0</v>
      </c>
      <c r="AS189" s="14">
        <f>[1]Sheet2!T188</f>
        <v>0</v>
      </c>
      <c r="AT189" s="14">
        <f>[1]Sheet2!U188</f>
        <v>0</v>
      </c>
      <c r="AU189" s="14">
        <f>[1]Sheet2!V188</f>
        <v>0</v>
      </c>
      <c r="AV189" s="14">
        <f>[1]Sheet2!W188</f>
        <v>0</v>
      </c>
      <c r="AW189" s="14">
        <f>[1]Sheet2!X188</f>
        <v>0</v>
      </c>
      <c r="AX189" s="14">
        <f>[1]Sheet2!Y188</f>
        <v>0</v>
      </c>
      <c r="AY189" s="16">
        <f>Demand_LP!B$9/31</f>
        <v>878.29658550454917</v>
      </c>
      <c r="AZ189" s="16">
        <f>Demand_LP!C$9/31</f>
        <v>663.85442514474767</v>
      </c>
      <c r="BA189" s="16">
        <f>Demand_LP!D$9/31</f>
        <v>335.39784946236568</v>
      </c>
      <c r="BB189" s="16">
        <f>Demand_LP!E$9/31</f>
        <v>725.23531844499576</v>
      </c>
      <c r="BC189" s="16">
        <f>Demand_LP!F$9/31</f>
        <v>456.65268558726217</v>
      </c>
      <c r="BD189" s="16">
        <f>Demand_LP!G$9/31</f>
        <v>878.29658550454917</v>
      </c>
      <c r="BE189" s="16">
        <f>Demand_LP!H$9/31</f>
        <v>663.85442514474767</v>
      </c>
      <c r="BF189" s="16">
        <f>Demand_LP!I$9/31</f>
        <v>456.65268558726217</v>
      </c>
      <c r="BG189" s="16">
        <f>Demand_LP!J$9/31</f>
        <v>456.65268558726217</v>
      </c>
      <c r="BH189" s="16">
        <f>Demand_LP!K$9/31</f>
        <v>456.65268558726217</v>
      </c>
      <c r="BI189" s="16" t="e">
        <f t="shared" si="73"/>
        <v>#VALUE!</v>
      </c>
      <c r="BJ189" s="16">
        <f t="shared" si="74"/>
        <v>-110505.36699751843</v>
      </c>
      <c r="BK189" s="16">
        <f t="shared" si="75"/>
        <v>-56368.59565756817</v>
      </c>
      <c r="BL189" s="16">
        <f t="shared" si="76"/>
        <v>-142188.08298625279</v>
      </c>
      <c r="BM189" s="16">
        <f t="shared" si="77"/>
        <v>-85064.309974309217</v>
      </c>
      <c r="BN189" s="16">
        <f t="shared" si="78"/>
        <v>-139273.39262841121</v>
      </c>
      <c r="BO189" s="16">
        <f t="shared" si="79"/>
        <v>-112862.94648469795</v>
      </c>
      <c r="BP189" s="16">
        <f t="shared" si="80"/>
        <v>-84521.99389267982</v>
      </c>
      <c r="BQ189" s="16">
        <f t="shared" si="81"/>
        <v>-81121.993892679864</v>
      </c>
      <c r="BR189" s="16">
        <f t="shared" si="82"/>
        <v>-82321.99389267982</v>
      </c>
      <c r="BS189" s="14">
        <f>IF([1]Sheet2!CA188=999999,"NA",[1]Sheet2!CA188)</f>
        <v>134157.00610732034</v>
      </c>
      <c r="BT189" s="14">
        <f>IF([1]Sheet2!CB188=999999,"NA",[1]Sheet2!CB188)</f>
        <v>101</v>
      </c>
      <c r="BU189" s="14">
        <f>IF([1]Sheet2!CC188=999999,"NA",[1]Sheet2!CC188)</f>
        <v>179</v>
      </c>
      <c r="BV189" s="14">
        <f>IF([1]Sheet2!CD188=999999,"NA",[1]Sheet2!CD188)</f>
        <v>179</v>
      </c>
      <c r="BW189" s="14">
        <f>IF([1]Sheet2!CE188=999999,"NA",[1]Sheet2!CE188)</f>
        <v>141</v>
      </c>
      <c r="BX189" s="14">
        <f>IF([1]Sheet2!CF188=999999,"NA",[1]Sheet2!CF188)</f>
        <v>179</v>
      </c>
      <c r="BY189" s="14">
        <f>IF([1]Sheet2!CG188=999999,"NA",[1]Sheet2!CG188)</f>
        <v>73</v>
      </c>
      <c r="BZ189" s="14">
        <f>IF([1]Sheet2!CH188=999999,"NA",[1]Sheet2!CH188)</f>
        <v>179</v>
      </c>
      <c r="CA189" s="14">
        <f>IF([1]Sheet2!CI188=999999,"NA",[1]Sheet2!CI188)</f>
        <v>179</v>
      </c>
      <c r="CB189" s="14">
        <f>IF([1]Sheet2!CJ188=999999,"NA",[1]Sheet2!CJ188)</f>
        <v>179</v>
      </c>
      <c r="CC189" s="14">
        <f>[1]Sheet2!BG188</f>
        <v>0</v>
      </c>
      <c r="CD189" s="14">
        <f>[1]Sheet2!BH188</f>
        <v>0</v>
      </c>
      <c r="CE189" s="14">
        <f>[1]Sheet2!BI188</f>
        <v>0</v>
      </c>
      <c r="CF189" s="14">
        <f>[1]Sheet2!BJ188</f>
        <v>0</v>
      </c>
      <c r="CG189" s="14">
        <f>[1]Sheet2!BK188</f>
        <v>0</v>
      </c>
      <c r="CH189" s="14">
        <f>[1]Sheet2!BL188</f>
        <v>0</v>
      </c>
      <c r="CI189" s="14">
        <f>[1]Sheet2!BM188</f>
        <v>0</v>
      </c>
      <c r="CJ189" s="14">
        <f>[1]Sheet2!BN188</f>
        <v>0</v>
      </c>
      <c r="CK189" s="14">
        <f>[1]Sheet2!BO188</f>
        <v>0</v>
      </c>
      <c r="CL189" s="14">
        <f>[1]Sheet2!BP188</f>
        <v>0</v>
      </c>
      <c r="CM189" s="16">
        <f>Demand_SW!B$9/31</f>
        <v>131.01736972704714</v>
      </c>
      <c r="CN189" s="16">
        <f>Demand_SW!C$9/31</f>
        <v>0</v>
      </c>
      <c r="CO189" s="16">
        <f>Demand_SW!D$9/31</f>
        <v>0</v>
      </c>
      <c r="CP189" s="16">
        <f>Demand_SW!E$9/31</f>
        <v>0</v>
      </c>
      <c r="CQ189" s="16">
        <f>Demand_SW!F$9/31</f>
        <v>0</v>
      </c>
      <c r="CR189" s="16">
        <f>Demand_SW!G$9/31</f>
        <v>131.01736972704714</v>
      </c>
      <c r="CS189" s="16">
        <f>Demand_SW!H$9/31</f>
        <v>0</v>
      </c>
      <c r="CT189" s="16">
        <f>Demand_SW!I$9/31</f>
        <v>0</v>
      </c>
      <c r="CU189" s="16">
        <f>Demand_SW!J$9/31</f>
        <v>0</v>
      </c>
      <c r="CV189" s="16">
        <f>Demand_SW!K$9/31</f>
        <v>0</v>
      </c>
      <c r="CW189" s="16">
        <f t="shared" si="83"/>
        <v>25747.220843672494</v>
      </c>
      <c r="CX189" s="16">
        <f t="shared" si="84"/>
        <v>-423.07692307692292</v>
      </c>
      <c r="CY189" s="16">
        <f t="shared" si="85"/>
        <v>0</v>
      </c>
      <c r="CZ189" s="16">
        <f t="shared" si="86"/>
        <v>0</v>
      </c>
      <c r="DA189" s="16">
        <f t="shared" si="87"/>
        <v>0</v>
      </c>
      <c r="DB189" s="16">
        <f t="shared" si="88"/>
        <v>-23782.009925558301</v>
      </c>
      <c r="DC189" s="16">
        <f t="shared" si="89"/>
        <v>-423.07692307692292</v>
      </c>
      <c r="DD189" s="16">
        <f t="shared" si="90"/>
        <v>0</v>
      </c>
      <c r="DE189" s="16">
        <f t="shared" si="91"/>
        <v>0</v>
      </c>
      <c r="DF189" s="16">
        <f t="shared" si="92"/>
        <v>0</v>
      </c>
      <c r="DG189" s="14">
        <f>IF([1]Sheet2!DR188=999999,"NA",[1]Sheet2!DR188)</f>
        <v>73103</v>
      </c>
      <c r="DH189" s="14">
        <f>IF([1]Sheet2!DS188=999999,"NA",[1]Sheet2!DS188)</f>
        <v>179</v>
      </c>
      <c r="DI189" s="14">
        <f>IF([1]Sheet2!DT188=999999,"NA",[1]Sheet2!DT188)</f>
        <v>179</v>
      </c>
      <c r="DJ189" s="14" t="str">
        <f>IF([1]Sheet2!DU188=999999,"NA",[1]Sheet2!DU188)</f>
        <v>NA</v>
      </c>
      <c r="DK189" s="14" t="str">
        <f>IF([1]Sheet2!DV188=999999,"NA",[1]Sheet2!DV188)</f>
        <v>NA</v>
      </c>
      <c r="DL189" s="14" t="str">
        <f>IF([1]Sheet2!DW188=999999,"NA",[1]Sheet2!DW188)</f>
        <v>NA</v>
      </c>
      <c r="DM189" s="14">
        <f>IF([1]Sheet2!DX188=999999,"NA",[1]Sheet2!DX188)</f>
        <v>179</v>
      </c>
      <c r="DN189" s="14">
        <f>IF([1]Sheet2!DY188=999999,"NA",[1]Sheet2!DY188)</f>
        <v>179</v>
      </c>
      <c r="DO189" s="14" t="str">
        <f>IF([1]Sheet2!DZ188=999999,"NA",[1]Sheet2!DZ188)</f>
        <v>NA</v>
      </c>
      <c r="DP189" s="14" t="str">
        <f>IF([1]Sheet2!EA188=999999,"NA",[1]Sheet2!EA188)</f>
        <v>NA</v>
      </c>
      <c r="DQ189" s="14">
        <f>[1]Sheet2!CX188</f>
        <v>0</v>
      </c>
      <c r="DR189" s="14">
        <f>[1]Sheet2!CY188</f>
        <v>0</v>
      </c>
      <c r="DS189" s="14">
        <f>[1]Sheet2!CZ188</f>
        <v>0</v>
      </c>
      <c r="DT189" s="14">
        <f>[1]Sheet2!DA188</f>
        <v>0</v>
      </c>
      <c r="DU189" s="14">
        <f>[1]Sheet2!DB188</f>
        <v>0</v>
      </c>
      <c r="DV189" s="14">
        <f>[1]Sheet2!DC188</f>
        <v>0</v>
      </c>
      <c r="DW189" s="14">
        <f>[1]Sheet2!DD188</f>
        <v>0</v>
      </c>
      <c r="DX189" s="14">
        <f>[1]Sheet2!DE188</f>
        <v>0</v>
      </c>
      <c r="DY189" s="14">
        <f>[1]Sheet2!DF188</f>
        <v>0</v>
      </c>
      <c r="DZ189" s="14">
        <f>[1]Sheet2!DG188</f>
        <v>0</v>
      </c>
    </row>
    <row r="190" spans="1:130" x14ac:dyDescent="0.25">
      <c r="A190" s="15">
        <v>43652</v>
      </c>
      <c r="B190" s="1"/>
      <c r="C190" s="1"/>
      <c r="D190" s="1"/>
      <c r="E190" s="14">
        <f>[1]Sheet2!N189</f>
        <v>0</v>
      </c>
      <c r="F190" s="14">
        <f>[1]Sheet2!BE189</f>
        <v>0</v>
      </c>
      <c r="G190" s="14">
        <f>[1]Sheet2!CV189</f>
        <v>262.03473945409428</v>
      </c>
      <c r="H190" s="1"/>
      <c r="I190" s="1"/>
      <c r="J190" s="1"/>
      <c r="K190" s="16">
        <f>Demand_CWRS!B$9/31</f>
        <v>137.44229993796523</v>
      </c>
      <c r="L190" s="16">
        <f>Demand_CWRS!C$9/31</f>
        <v>616.54259718775836</v>
      </c>
      <c r="M190" s="16">
        <f>Demand_CWRS!D$9/31</f>
        <v>0</v>
      </c>
      <c r="N190" s="16">
        <f>Demand_CWRS!E$9/31</f>
        <v>140.39247311827955</v>
      </c>
      <c r="O190" s="16">
        <f>Demand_CWRS!F$9/31</f>
        <v>245.11049679487181</v>
      </c>
      <c r="P190" s="16">
        <f>Demand_CWRS!G$9/31</f>
        <v>137.44229993796523</v>
      </c>
      <c r="Q190" s="16">
        <f>Demand_CWRS!H$9/31</f>
        <v>616.54259718775836</v>
      </c>
      <c r="R190" s="16">
        <f>Demand_CWRS!I$9/31</f>
        <v>245.11049679487181</v>
      </c>
      <c r="S190" s="16">
        <f>Demand_CWRS!J$9/31</f>
        <v>245.11049679487181</v>
      </c>
      <c r="T190" s="16">
        <f>Demand_CWRS!K$9/31</f>
        <v>245.11049679487181</v>
      </c>
      <c r="U190" s="16">
        <f t="shared" si="63"/>
        <v>-27185.415337024304</v>
      </c>
      <c r="V190" s="16">
        <f t="shared" si="64"/>
        <v>-90555.417121587816</v>
      </c>
      <c r="W190" s="16">
        <f t="shared" si="65"/>
        <v>0</v>
      </c>
      <c r="X190" s="16">
        <f t="shared" si="66"/>
        <v>-21383.631388531121</v>
      </c>
      <c r="Y190" s="16">
        <f t="shared" si="67"/>
        <v>-42748.826815563138</v>
      </c>
      <c r="Z190" s="16">
        <f t="shared" si="68"/>
        <v>-26859.642187985854</v>
      </c>
      <c r="AA190" s="16">
        <f t="shared" si="69"/>
        <v>-90055.417121587816</v>
      </c>
      <c r="AB190" s="16">
        <f t="shared" si="70"/>
        <v>-40264.981334793854</v>
      </c>
      <c r="AC190" s="16">
        <f t="shared" si="71"/>
        <v>-40264.981334793847</v>
      </c>
      <c r="AD190" s="16">
        <f t="shared" si="72"/>
        <v>-40964.98133479384</v>
      </c>
      <c r="AE190" s="14">
        <f>IF([1]Sheet2!AJ189=999999,"NA",[1]Sheet2!AJ189)</f>
        <v>0</v>
      </c>
      <c r="AF190" s="14">
        <f>IF([1]Sheet2!AK189=999999,"NA",[1]Sheet2!AK189)</f>
        <v>0</v>
      </c>
      <c r="AG190" s="14" t="str">
        <f>IF([1]Sheet2!AL189=999999,"NA",[1]Sheet2!AL189)</f>
        <v>NA</v>
      </c>
      <c r="AH190" s="14">
        <f>IF([1]Sheet2!AM189=999999,"NA",[1]Sheet2!AM189)</f>
        <v>178</v>
      </c>
      <c r="AI190" s="14">
        <f>IF([1]Sheet2!AN189=999999,"NA",[1]Sheet2!AN189)</f>
        <v>178</v>
      </c>
      <c r="AJ190" s="14">
        <f>IF([1]Sheet2!AO189=999999,"NA",[1]Sheet2!AO189)</f>
        <v>178</v>
      </c>
      <c r="AK190" s="14">
        <f>IF([1]Sheet2!AP189=999999,"NA",[1]Sheet2!AP189)</f>
        <v>0</v>
      </c>
      <c r="AL190" s="14">
        <f>IF([1]Sheet2!AQ189=999999,"NA",[1]Sheet2!AQ189)</f>
        <v>54</v>
      </c>
      <c r="AM190" s="14">
        <f>IF([1]Sheet2!AR189=999999,"NA",[1]Sheet2!AR189)</f>
        <v>178</v>
      </c>
      <c r="AN190" s="14">
        <f>IF([1]Sheet2!AS189=999999,"NA",[1]Sheet2!AS189)</f>
        <v>110</v>
      </c>
      <c r="AO190" s="14">
        <f>[1]Sheet2!P189</f>
        <v>0</v>
      </c>
      <c r="AP190" s="14">
        <f>[1]Sheet2!Q189</f>
        <v>0</v>
      </c>
      <c r="AQ190" s="14">
        <f>[1]Sheet2!R189</f>
        <v>0</v>
      </c>
      <c r="AR190" s="14">
        <f>[1]Sheet2!S189</f>
        <v>0</v>
      </c>
      <c r="AS190" s="14">
        <f>[1]Sheet2!T189</f>
        <v>0</v>
      </c>
      <c r="AT190" s="14">
        <f>[1]Sheet2!U189</f>
        <v>0</v>
      </c>
      <c r="AU190" s="14">
        <f>[1]Sheet2!V189</f>
        <v>0</v>
      </c>
      <c r="AV190" s="14">
        <f>[1]Sheet2!W189</f>
        <v>0</v>
      </c>
      <c r="AW190" s="14">
        <f>[1]Sheet2!X189</f>
        <v>0</v>
      </c>
      <c r="AX190" s="14">
        <f>[1]Sheet2!Y189</f>
        <v>0</v>
      </c>
      <c r="AY190" s="16">
        <f>Demand_LP!B$9/31</f>
        <v>878.29658550454917</v>
      </c>
      <c r="AZ190" s="16">
        <f>Demand_LP!C$9/31</f>
        <v>663.85442514474767</v>
      </c>
      <c r="BA190" s="16">
        <f>Demand_LP!D$9/31</f>
        <v>335.39784946236568</v>
      </c>
      <c r="BB190" s="16">
        <f>Demand_LP!E$9/31</f>
        <v>725.23531844499576</v>
      </c>
      <c r="BC190" s="16">
        <f>Demand_LP!F$9/31</f>
        <v>456.65268558726217</v>
      </c>
      <c r="BD190" s="16">
        <f>Demand_LP!G$9/31</f>
        <v>878.29658550454917</v>
      </c>
      <c r="BE190" s="16">
        <f>Demand_LP!H$9/31</f>
        <v>663.85442514474767</v>
      </c>
      <c r="BF190" s="16">
        <f>Demand_LP!I$9/31</f>
        <v>456.65268558726217</v>
      </c>
      <c r="BG190" s="16">
        <f>Demand_LP!J$9/31</f>
        <v>456.65268558726217</v>
      </c>
      <c r="BH190" s="16">
        <f>Demand_LP!K$9/31</f>
        <v>456.65268558726217</v>
      </c>
      <c r="BI190" s="16" t="e">
        <f t="shared" si="73"/>
        <v>#VALUE!</v>
      </c>
      <c r="BJ190" s="16">
        <f t="shared" si="74"/>
        <v>-111169.22142266318</v>
      </c>
      <c r="BK190" s="16">
        <f t="shared" si="75"/>
        <v>-56703.993507030536</v>
      </c>
      <c r="BL190" s="16">
        <f t="shared" si="76"/>
        <v>-142913.31830469778</v>
      </c>
      <c r="BM190" s="16">
        <f t="shared" si="77"/>
        <v>-85520.962659896482</v>
      </c>
      <c r="BN190" s="16">
        <f t="shared" si="78"/>
        <v>-140151.68921391576</v>
      </c>
      <c r="BO190" s="16">
        <f t="shared" si="79"/>
        <v>-113526.8009098427</v>
      </c>
      <c r="BP190" s="16">
        <f t="shared" si="80"/>
        <v>-84978.646578267086</v>
      </c>
      <c r="BQ190" s="16">
        <f t="shared" si="81"/>
        <v>-81578.646578267129</v>
      </c>
      <c r="BR190" s="16">
        <f t="shared" si="82"/>
        <v>-82778.646578267086</v>
      </c>
      <c r="BS190" s="14">
        <f>IF([1]Sheet2!CA189=999999,"NA",[1]Sheet2!CA189)</f>
        <v>133700.35342173307</v>
      </c>
      <c r="BT190" s="14">
        <f>IF([1]Sheet2!CB189=999999,"NA",[1]Sheet2!CB189)</f>
        <v>100</v>
      </c>
      <c r="BU190" s="14">
        <f>IF([1]Sheet2!CC189=999999,"NA",[1]Sheet2!CC189)</f>
        <v>178</v>
      </c>
      <c r="BV190" s="14">
        <f>IF([1]Sheet2!CD189=999999,"NA",[1]Sheet2!CD189)</f>
        <v>178</v>
      </c>
      <c r="BW190" s="14">
        <f>IF([1]Sheet2!CE189=999999,"NA",[1]Sheet2!CE189)</f>
        <v>140</v>
      </c>
      <c r="BX190" s="14">
        <f>IF([1]Sheet2!CF189=999999,"NA",[1]Sheet2!CF189)</f>
        <v>178</v>
      </c>
      <c r="BY190" s="14">
        <f>IF([1]Sheet2!CG189=999999,"NA",[1]Sheet2!CG189)</f>
        <v>72</v>
      </c>
      <c r="BZ190" s="14">
        <f>IF([1]Sheet2!CH189=999999,"NA",[1]Sheet2!CH189)</f>
        <v>178</v>
      </c>
      <c r="CA190" s="14">
        <f>IF([1]Sheet2!CI189=999999,"NA",[1]Sheet2!CI189)</f>
        <v>178</v>
      </c>
      <c r="CB190" s="14">
        <f>IF([1]Sheet2!CJ189=999999,"NA",[1]Sheet2!CJ189)</f>
        <v>178</v>
      </c>
      <c r="CC190" s="14">
        <f>[1]Sheet2!BG189</f>
        <v>0</v>
      </c>
      <c r="CD190" s="14">
        <f>[1]Sheet2!BH189</f>
        <v>0</v>
      </c>
      <c r="CE190" s="14">
        <f>[1]Sheet2!BI189</f>
        <v>0</v>
      </c>
      <c r="CF190" s="14">
        <f>[1]Sheet2!BJ189</f>
        <v>0</v>
      </c>
      <c r="CG190" s="14">
        <f>[1]Sheet2!BK189</f>
        <v>0</v>
      </c>
      <c r="CH190" s="14">
        <f>[1]Sheet2!BL189</f>
        <v>0</v>
      </c>
      <c r="CI190" s="14">
        <f>[1]Sheet2!BM189</f>
        <v>0</v>
      </c>
      <c r="CJ190" s="14">
        <f>[1]Sheet2!BN189</f>
        <v>0</v>
      </c>
      <c r="CK190" s="14">
        <f>[1]Sheet2!BO189</f>
        <v>0</v>
      </c>
      <c r="CL190" s="14">
        <f>[1]Sheet2!BP189</f>
        <v>0</v>
      </c>
      <c r="CM190" s="16">
        <f>Demand_SW!B$9/31</f>
        <v>131.01736972704714</v>
      </c>
      <c r="CN190" s="16">
        <f>Demand_SW!C$9/31</f>
        <v>0</v>
      </c>
      <c r="CO190" s="16">
        <f>Demand_SW!D$9/31</f>
        <v>0</v>
      </c>
      <c r="CP190" s="16">
        <f>Demand_SW!E$9/31</f>
        <v>0</v>
      </c>
      <c r="CQ190" s="16">
        <f>Demand_SW!F$9/31</f>
        <v>0</v>
      </c>
      <c r="CR190" s="16">
        <f>Demand_SW!G$9/31</f>
        <v>131.01736972704714</v>
      </c>
      <c r="CS190" s="16">
        <f>Demand_SW!H$9/31</f>
        <v>0</v>
      </c>
      <c r="CT190" s="16">
        <f>Demand_SW!I$9/31</f>
        <v>0</v>
      </c>
      <c r="CU190" s="16">
        <f>Demand_SW!J$9/31</f>
        <v>0</v>
      </c>
      <c r="CV190" s="16">
        <f>Demand_SW!K$9/31</f>
        <v>0</v>
      </c>
      <c r="CW190" s="16">
        <f t="shared" si="83"/>
        <v>25616.203473945447</v>
      </c>
      <c r="CX190" s="16">
        <f t="shared" si="84"/>
        <v>-423.07692307692292</v>
      </c>
      <c r="CY190" s="16">
        <f t="shared" si="85"/>
        <v>0</v>
      </c>
      <c r="CZ190" s="16">
        <f t="shared" si="86"/>
        <v>0</v>
      </c>
      <c r="DA190" s="16">
        <f t="shared" si="87"/>
        <v>0</v>
      </c>
      <c r="DB190" s="16">
        <f t="shared" si="88"/>
        <v>-23913.027295285348</v>
      </c>
      <c r="DC190" s="16">
        <f t="shared" si="89"/>
        <v>-423.07692307692292</v>
      </c>
      <c r="DD190" s="16">
        <f t="shared" si="90"/>
        <v>0</v>
      </c>
      <c r="DE190" s="16">
        <f t="shared" si="91"/>
        <v>0</v>
      </c>
      <c r="DF190" s="16">
        <f t="shared" si="92"/>
        <v>0</v>
      </c>
      <c r="DG190" s="14">
        <f>IF([1]Sheet2!DR189=999999,"NA",[1]Sheet2!DR189)</f>
        <v>73103</v>
      </c>
      <c r="DH190" s="14">
        <f>IF([1]Sheet2!DS189=999999,"NA",[1]Sheet2!DS189)</f>
        <v>178</v>
      </c>
      <c r="DI190" s="14">
        <f>IF([1]Sheet2!DT189=999999,"NA",[1]Sheet2!DT189)</f>
        <v>178</v>
      </c>
      <c r="DJ190" s="14" t="str">
        <f>IF([1]Sheet2!DU189=999999,"NA",[1]Sheet2!DU189)</f>
        <v>NA</v>
      </c>
      <c r="DK190" s="14" t="str">
        <f>IF([1]Sheet2!DV189=999999,"NA",[1]Sheet2!DV189)</f>
        <v>NA</v>
      </c>
      <c r="DL190" s="14" t="str">
        <f>IF([1]Sheet2!DW189=999999,"NA",[1]Sheet2!DW189)</f>
        <v>NA</v>
      </c>
      <c r="DM190" s="14">
        <f>IF([1]Sheet2!DX189=999999,"NA",[1]Sheet2!DX189)</f>
        <v>178</v>
      </c>
      <c r="DN190" s="14">
        <f>IF([1]Sheet2!DY189=999999,"NA",[1]Sheet2!DY189)</f>
        <v>178</v>
      </c>
      <c r="DO190" s="14" t="str">
        <f>IF([1]Sheet2!DZ189=999999,"NA",[1]Sheet2!DZ189)</f>
        <v>NA</v>
      </c>
      <c r="DP190" s="14" t="str">
        <f>IF([1]Sheet2!EA189=999999,"NA",[1]Sheet2!EA189)</f>
        <v>NA</v>
      </c>
      <c r="DQ190" s="14">
        <f>[1]Sheet2!CX189</f>
        <v>0</v>
      </c>
      <c r="DR190" s="14">
        <f>[1]Sheet2!CY189</f>
        <v>0</v>
      </c>
      <c r="DS190" s="14">
        <f>[1]Sheet2!CZ189</f>
        <v>0</v>
      </c>
      <c r="DT190" s="14">
        <f>[1]Sheet2!DA189</f>
        <v>0</v>
      </c>
      <c r="DU190" s="14">
        <f>[1]Sheet2!DB189</f>
        <v>0</v>
      </c>
      <c r="DV190" s="14">
        <f>[1]Sheet2!DC189</f>
        <v>0</v>
      </c>
      <c r="DW190" s="14">
        <f>[1]Sheet2!DD189</f>
        <v>0</v>
      </c>
      <c r="DX190" s="14">
        <f>[1]Sheet2!DE189</f>
        <v>0</v>
      </c>
      <c r="DY190" s="14">
        <f>[1]Sheet2!DF189</f>
        <v>0</v>
      </c>
      <c r="DZ190" s="14">
        <f>[1]Sheet2!DG189</f>
        <v>0</v>
      </c>
    </row>
    <row r="191" spans="1:130" x14ac:dyDescent="0.25">
      <c r="A191" s="15">
        <v>43653</v>
      </c>
      <c r="B191" s="1"/>
      <c r="C191" s="1"/>
      <c r="D191" s="1"/>
      <c r="E191" s="14">
        <f>[1]Sheet2!N190</f>
        <v>0</v>
      </c>
      <c r="F191" s="14">
        <f>[1]Sheet2!BE190</f>
        <v>0</v>
      </c>
      <c r="G191" s="14">
        <f>[1]Sheet2!CV190</f>
        <v>262.03473945409428</v>
      </c>
      <c r="H191" s="1"/>
      <c r="I191" s="1"/>
      <c r="J191" s="1"/>
      <c r="K191" s="16">
        <f>Demand_CWRS!B$9/31</f>
        <v>137.44229993796523</v>
      </c>
      <c r="L191" s="16">
        <f>Demand_CWRS!C$9/31</f>
        <v>616.54259718775836</v>
      </c>
      <c r="M191" s="16">
        <f>Demand_CWRS!D$9/31</f>
        <v>0</v>
      </c>
      <c r="N191" s="16">
        <f>Demand_CWRS!E$9/31</f>
        <v>140.39247311827955</v>
      </c>
      <c r="O191" s="16">
        <f>Demand_CWRS!F$9/31</f>
        <v>245.11049679487181</v>
      </c>
      <c r="P191" s="16">
        <f>Demand_CWRS!G$9/31</f>
        <v>137.44229993796523</v>
      </c>
      <c r="Q191" s="16">
        <f>Demand_CWRS!H$9/31</f>
        <v>616.54259718775836</v>
      </c>
      <c r="R191" s="16">
        <f>Demand_CWRS!I$9/31</f>
        <v>245.11049679487181</v>
      </c>
      <c r="S191" s="16">
        <f>Demand_CWRS!J$9/31</f>
        <v>245.11049679487181</v>
      </c>
      <c r="T191" s="16">
        <f>Demand_CWRS!K$9/31</f>
        <v>245.11049679487181</v>
      </c>
      <c r="U191" s="16">
        <f t="shared" si="63"/>
        <v>-27322.857636962268</v>
      </c>
      <c r="V191" s="16">
        <f t="shared" si="64"/>
        <v>-91171.959718775572</v>
      </c>
      <c r="W191" s="16">
        <f t="shared" si="65"/>
        <v>0</v>
      </c>
      <c r="X191" s="16">
        <f t="shared" si="66"/>
        <v>-21524.023861649399</v>
      </c>
      <c r="Y191" s="16">
        <f t="shared" si="67"/>
        <v>-42993.937312358008</v>
      </c>
      <c r="Z191" s="16">
        <f t="shared" si="68"/>
        <v>-26997.084487923818</v>
      </c>
      <c r="AA191" s="16">
        <f t="shared" si="69"/>
        <v>-90671.959718775572</v>
      </c>
      <c r="AB191" s="16">
        <f t="shared" si="70"/>
        <v>-40510.091831588725</v>
      </c>
      <c r="AC191" s="16">
        <f t="shared" si="71"/>
        <v>-40510.091831588717</v>
      </c>
      <c r="AD191" s="16">
        <f t="shared" si="72"/>
        <v>-41210.09183158871</v>
      </c>
      <c r="AE191" s="14">
        <f>IF([1]Sheet2!AJ190=999999,"NA",[1]Sheet2!AJ190)</f>
        <v>0</v>
      </c>
      <c r="AF191" s="14">
        <f>IF([1]Sheet2!AK190=999999,"NA",[1]Sheet2!AK190)</f>
        <v>0</v>
      </c>
      <c r="AG191" s="14" t="str">
        <f>IF([1]Sheet2!AL190=999999,"NA",[1]Sheet2!AL190)</f>
        <v>NA</v>
      </c>
      <c r="AH191" s="14">
        <f>IF([1]Sheet2!AM190=999999,"NA",[1]Sheet2!AM190)</f>
        <v>177</v>
      </c>
      <c r="AI191" s="14">
        <f>IF([1]Sheet2!AN190=999999,"NA",[1]Sheet2!AN190)</f>
        <v>177</v>
      </c>
      <c r="AJ191" s="14">
        <f>IF([1]Sheet2!AO190=999999,"NA",[1]Sheet2!AO190)</f>
        <v>177</v>
      </c>
      <c r="AK191" s="14">
        <f>IF([1]Sheet2!AP190=999999,"NA",[1]Sheet2!AP190)</f>
        <v>0</v>
      </c>
      <c r="AL191" s="14">
        <f>IF([1]Sheet2!AQ190=999999,"NA",[1]Sheet2!AQ190)</f>
        <v>53</v>
      </c>
      <c r="AM191" s="14">
        <f>IF([1]Sheet2!AR190=999999,"NA",[1]Sheet2!AR190)</f>
        <v>177</v>
      </c>
      <c r="AN191" s="14">
        <f>IF([1]Sheet2!AS190=999999,"NA",[1]Sheet2!AS190)</f>
        <v>109</v>
      </c>
      <c r="AO191" s="14">
        <f>[1]Sheet2!P190</f>
        <v>0</v>
      </c>
      <c r="AP191" s="14">
        <f>[1]Sheet2!Q190</f>
        <v>0</v>
      </c>
      <c r="AQ191" s="14">
        <f>[1]Sheet2!R190</f>
        <v>0</v>
      </c>
      <c r="AR191" s="14">
        <f>[1]Sheet2!S190</f>
        <v>0</v>
      </c>
      <c r="AS191" s="14">
        <f>[1]Sheet2!T190</f>
        <v>0</v>
      </c>
      <c r="AT191" s="14">
        <f>[1]Sheet2!U190</f>
        <v>0</v>
      </c>
      <c r="AU191" s="14">
        <f>[1]Sheet2!V190</f>
        <v>0</v>
      </c>
      <c r="AV191" s="14">
        <f>[1]Sheet2!W190</f>
        <v>0</v>
      </c>
      <c r="AW191" s="14">
        <f>[1]Sheet2!X190</f>
        <v>0</v>
      </c>
      <c r="AX191" s="14">
        <f>[1]Sheet2!Y190</f>
        <v>0</v>
      </c>
      <c r="AY191" s="16">
        <f>Demand_LP!B$9/31</f>
        <v>878.29658550454917</v>
      </c>
      <c r="AZ191" s="16">
        <f>Demand_LP!C$9/31</f>
        <v>663.85442514474767</v>
      </c>
      <c r="BA191" s="16">
        <f>Demand_LP!D$9/31</f>
        <v>335.39784946236568</v>
      </c>
      <c r="BB191" s="16">
        <f>Demand_LP!E$9/31</f>
        <v>725.23531844499576</v>
      </c>
      <c r="BC191" s="16">
        <f>Demand_LP!F$9/31</f>
        <v>456.65268558726217</v>
      </c>
      <c r="BD191" s="16">
        <f>Demand_LP!G$9/31</f>
        <v>878.29658550454917</v>
      </c>
      <c r="BE191" s="16">
        <f>Demand_LP!H$9/31</f>
        <v>663.85442514474767</v>
      </c>
      <c r="BF191" s="16">
        <f>Demand_LP!I$9/31</f>
        <v>456.65268558726217</v>
      </c>
      <c r="BG191" s="16">
        <f>Demand_LP!J$9/31</f>
        <v>456.65268558726217</v>
      </c>
      <c r="BH191" s="16">
        <f>Demand_LP!K$9/31</f>
        <v>456.65268558726217</v>
      </c>
      <c r="BI191" s="16" t="e">
        <f t="shared" si="73"/>
        <v>#VALUE!</v>
      </c>
      <c r="BJ191" s="16">
        <f t="shared" si="74"/>
        <v>-111833.07584780792</v>
      </c>
      <c r="BK191" s="16">
        <f t="shared" si="75"/>
        <v>-57039.391356492903</v>
      </c>
      <c r="BL191" s="16">
        <f t="shared" si="76"/>
        <v>-143638.55362314277</v>
      </c>
      <c r="BM191" s="16">
        <f t="shared" si="77"/>
        <v>-85977.615345483748</v>
      </c>
      <c r="BN191" s="16">
        <f t="shared" si="78"/>
        <v>-141029.9857994203</v>
      </c>
      <c r="BO191" s="16">
        <f t="shared" si="79"/>
        <v>-114190.65533498744</v>
      </c>
      <c r="BP191" s="16">
        <f t="shared" si="80"/>
        <v>-85435.299263854351</v>
      </c>
      <c r="BQ191" s="16">
        <f t="shared" si="81"/>
        <v>-82035.299263854395</v>
      </c>
      <c r="BR191" s="16">
        <f t="shared" si="82"/>
        <v>-83235.299263854351</v>
      </c>
      <c r="BS191" s="14">
        <f>IF([1]Sheet2!CA190=999999,"NA",[1]Sheet2!CA190)</f>
        <v>133243.70073614581</v>
      </c>
      <c r="BT191" s="14">
        <f>IF([1]Sheet2!CB190=999999,"NA",[1]Sheet2!CB190)</f>
        <v>99</v>
      </c>
      <c r="BU191" s="14">
        <f>IF([1]Sheet2!CC190=999999,"NA",[1]Sheet2!CC190)</f>
        <v>177</v>
      </c>
      <c r="BV191" s="14">
        <f>IF([1]Sheet2!CD190=999999,"NA",[1]Sheet2!CD190)</f>
        <v>177</v>
      </c>
      <c r="BW191" s="14">
        <f>IF([1]Sheet2!CE190=999999,"NA",[1]Sheet2!CE190)</f>
        <v>139</v>
      </c>
      <c r="BX191" s="14">
        <f>IF([1]Sheet2!CF190=999999,"NA",[1]Sheet2!CF190)</f>
        <v>177</v>
      </c>
      <c r="BY191" s="14">
        <f>IF([1]Sheet2!CG190=999999,"NA",[1]Sheet2!CG190)</f>
        <v>71</v>
      </c>
      <c r="BZ191" s="14">
        <f>IF([1]Sheet2!CH190=999999,"NA",[1]Sheet2!CH190)</f>
        <v>177</v>
      </c>
      <c r="CA191" s="14">
        <f>IF([1]Sheet2!CI190=999999,"NA",[1]Sheet2!CI190)</f>
        <v>177</v>
      </c>
      <c r="CB191" s="14">
        <f>IF([1]Sheet2!CJ190=999999,"NA",[1]Sheet2!CJ190)</f>
        <v>177</v>
      </c>
      <c r="CC191" s="14">
        <f>[1]Sheet2!BG190</f>
        <v>0</v>
      </c>
      <c r="CD191" s="14">
        <f>[1]Sheet2!BH190</f>
        <v>0</v>
      </c>
      <c r="CE191" s="14">
        <f>[1]Sheet2!BI190</f>
        <v>0</v>
      </c>
      <c r="CF191" s="14">
        <f>[1]Sheet2!BJ190</f>
        <v>0</v>
      </c>
      <c r="CG191" s="14">
        <f>[1]Sheet2!BK190</f>
        <v>0</v>
      </c>
      <c r="CH191" s="14">
        <f>[1]Sheet2!BL190</f>
        <v>0</v>
      </c>
      <c r="CI191" s="14">
        <f>[1]Sheet2!BM190</f>
        <v>0</v>
      </c>
      <c r="CJ191" s="14">
        <f>[1]Sheet2!BN190</f>
        <v>0</v>
      </c>
      <c r="CK191" s="14">
        <f>[1]Sheet2!BO190</f>
        <v>0</v>
      </c>
      <c r="CL191" s="14">
        <f>[1]Sheet2!BP190</f>
        <v>0</v>
      </c>
      <c r="CM191" s="16">
        <f>Demand_SW!B$9/31</f>
        <v>131.01736972704714</v>
      </c>
      <c r="CN191" s="16">
        <f>Demand_SW!C$9/31</f>
        <v>0</v>
      </c>
      <c r="CO191" s="16">
        <f>Demand_SW!D$9/31</f>
        <v>0</v>
      </c>
      <c r="CP191" s="16">
        <f>Demand_SW!E$9/31</f>
        <v>0</v>
      </c>
      <c r="CQ191" s="16">
        <f>Demand_SW!F$9/31</f>
        <v>0</v>
      </c>
      <c r="CR191" s="16">
        <f>Demand_SW!G$9/31</f>
        <v>131.01736972704714</v>
      </c>
      <c r="CS191" s="16">
        <f>Demand_SW!H$9/31</f>
        <v>0</v>
      </c>
      <c r="CT191" s="16">
        <f>Demand_SW!I$9/31</f>
        <v>0</v>
      </c>
      <c r="CU191" s="16">
        <f>Demand_SW!J$9/31</f>
        <v>0</v>
      </c>
      <c r="CV191" s="16">
        <f>Demand_SW!K$9/31</f>
        <v>0</v>
      </c>
      <c r="CW191" s="16">
        <f t="shared" si="83"/>
        <v>25485.186104218399</v>
      </c>
      <c r="CX191" s="16">
        <f t="shared" si="84"/>
        <v>-423.07692307692292</v>
      </c>
      <c r="CY191" s="16">
        <f t="shared" si="85"/>
        <v>0</v>
      </c>
      <c r="CZ191" s="16">
        <f t="shared" si="86"/>
        <v>0</v>
      </c>
      <c r="DA191" s="16">
        <f t="shared" si="87"/>
        <v>0</v>
      </c>
      <c r="DB191" s="16">
        <f t="shared" si="88"/>
        <v>-24044.044665012396</v>
      </c>
      <c r="DC191" s="16">
        <f t="shared" si="89"/>
        <v>-423.07692307692292</v>
      </c>
      <c r="DD191" s="16">
        <f t="shared" si="90"/>
        <v>0</v>
      </c>
      <c r="DE191" s="16">
        <f t="shared" si="91"/>
        <v>0</v>
      </c>
      <c r="DF191" s="16">
        <f t="shared" si="92"/>
        <v>0</v>
      </c>
      <c r="DG191" s="14">
        <f>IF([1]Sheet2!DR190=999999,"NA",[1]Sheet2!DR190)</f>
        <v>73103</v>
      </c>
      <c r="DH191" s="14">
        <f>IF([1]Sheet2!DS190=999999,"NA",[1]Sheet2!DS190)</f>
        <v>177</v>
      </c>
      <c r="DI191" s="14">
        <f>IF([1]Sheet2!DT190=999999,"NA",[1]Sheet2!DT190)</f>
        <v>177</v>
      </c>
      <c r="DJ191" s="14" t="str">
        <f>IF([1]Sheet2!DU190=999999,"NA",[1]Sheet2!DU190)</f>
        <v>NA</v>
      </c>
      <c r="DK191" s="14" t="str">
        <f>IF([1]Sheet2!DV190=999999,"NA",[1]Sheet2!DV190)</f>
        <v>NA</v>
      </c>
      <c r="DL191" s="14" t="str">
        <f>IF([1]Sheet2!DW190=999999,"NA",[1]Sheet2!DW190)</f>
        <v>NA</v>
      </c>
      <c r="DM191" s="14">
        <f>IF([1]Sheet2!DX190=999999,"NA",[1]Sheet2!DX190)</f>
        <v>177</v>
      </c>
      <c r="DN191" s="14">
        <f>IF([1]Sheet2!DY190=999999,"NA",[1]Sheet2!DY190)</f>
        <v>177</v>
      </c>
      <c r="DO191" s="14" t="str">
        <f>IF([1]Sheet2!DZ190=999999,"NA",[1]Sheet2!DZ190)</f>
        <v>NA</v>
      </c>
      <c r="DP191" s="14" t="str">
        <f>IF([1]Sheet2!EA190=999999,"NA",[1]Sheet2!EA190)</f>
        <v>NA</v>
      </c>
      <c r="DQ191" s="14">
        <f>[1]Sheet2!CX190</f>
        <v>0</v>
      </c>
      <c r="DR191" s="14">
        <f>[1]Sheet2!CY190</f>
        <v>0</v>
      </c>
      <c r="DS191" s="14">
        <f>[1]Sheet2!CZ190</f>
        <v>0</v>
      </c>
      <c r="DT191" s="14">
        <f>[1]Sheet2!DA190</f>
        <v>0</v>
      </c>
      <c r="DU191" s="14">
        <f>[1]Sheet2!DB190</f>
        <v>0</v>
      </c>
      <c r="DV191" s="14">
        <f>[1]Sheet2!DC190</f>
        <v>0</v>
      </c>
      <c r="DW191" s="14">
        <f>[1]Sheet2!DD190</f>
        <v>0</v>
      </c>
      <c r="DX191" s="14">
        <f>[1]Sheet2!DE190</f>
        <v>0</v>
      </c>
      <c r="DY191" s="14">
        <f>[1]Sheet2!DF190</f>
        <v>0</v>
      </c>
      <c r="DZ191" s="14">
        <f>[1]Sheet2!DG190</f>
        <v>0</v>
      </c>
    </row>
    <row r="192" spans="1:130" x14ac:dyDescent="0.25">
      <c r="A192" s="15">
        <v>43654</v>
      </c>
      <c r="B192" s="1"/>
      <c r="C192" s="1"/>
      <c r="D192" s="1"/>
      <c r="E192" s="14">
        <f>[1]Sheet2!N191</f>
        <v>0</v>
      </c>
      <c r="F192" s="14">
        <f>[1]Sheet2!BE191</f>
        <v>0</v>
      </c>
      <c r="G192" s="14">
        <f>[1]Sheet2!CV191</f>
        <v>262.03473945409428</v>
      </c>
      <c r="H192" s="1"/>
      <c r="I192" s="1"/>
      <c r="J192" s="1"/>
      <c r="K192" s="16">
        <f>Demand_CWRS!B$9/31</f>
        <v>137.44229993796523</v>
      </c>
      <c r="L192" s="16">
        <f>Demand_CWRS!C$9/31</f>
        <v>616.54259718775836</v>
      </c>
      <c r="M192" s="16">
        <f>Demand_CWRS!D$9/31</f>
        <v>0</v>
      </c>
      <c r="N192" s="16">
        <f>Demand_CWRS!E$9/31</f>
        <v>140.39247311827955</v>
      </c>
      <c r="O192" s="16">
        <f>Demand_CWRS!F$9/31</f>
        <v>245.11049679487181</v>
      </c>
      <c r="P192" s="16">
        <f>Demand_CWRS!G$9/31</f>
        <v>137.44229993796523</v>
      </c>
      <c r="Q192" s="16">
        <f>Demand_CWRS!H$9/31</f>
        <v>616.54259718775836</v>
      </c>
      <c r="R192" s="16">
        <f>Demand_CWRS!I$9/31</f>
        <v>245.11049679487181</v>
      </c>
      <c r="S192" s="16">
        <f>Demand_CWRS!J$9/31</f>
        <v>245.11049679487181</v>
      </c>
      <c r="T192" s="16">
        <f>Demand_CWRS!K$9/31</f>
        <v>245.11049679487181</v>
      </c>
      <c r="U192" s="16">
        <f t="shared" si="63"/>
        <v>-27460.299936900232</v>
      </c>
      <c r="V192" s="16">
        <f t="shared" si="64"/>
        <v>-91788.502315963327</v>
      </c>
      <c r="W192" s="16">
        <f t="shared" si="65"/>
        <v>0</v>
      </c>
      <c r="X192" s="16">
        <f t="shared" si="66"/>
        <v>-21664.416334767677</v>
      </c>
      <c r="Y192" s="16">
        <f t="shared" si="67"/>
        <v>-43239.047809152878</v>
      </c>
      <c r="Z192" s="16">
        <f t="shared" si="68"/>
        <v>-27134.526787861781</v>
      </c>
      <c r="AA192" s="16">
        <f t="shared" si="69"/>
        <v>-91288.502315963327</v>
      </c>
      <c r="AB192" s="16">
        <f t="shared" si="70"/>
        <v>-40755.202328383595</v>
      </c>
      <c r="AC192" s="16">
        <f t="shared" si="71"/>
        <v>-40755.202328383588</v>
      </c>
      <c r="AD192" s="16">
        <f t="shared" si="72"/>
        <v>-41455.202328383581</v>
      </c>
      <c r="AE192" s="14">
        <f>IF([1]Sheet2!AJ191=999999,"NA",[1]Sheet2!AJ191)</f>
        <v>0</v>
      </c>
      <c r="AF192" s="14">
        <f>IF([1]Sheet2!AK191=999999,"NA",[1]Sheet2!AK191)</f>
        <v>0</v>
      </c>
      <c r="AG192" s="14" t="str">
        <f>IF([1]Sheet2!AL191=999999,"NA",[1]Sheet2!AL191)</f>
        <v>NA</v>
      </c>
      <c r="AH192" s="14">
        <f>IF([1]Sheet2!AM191=999999,"NA",[1]Sheet2!AM191)</f>
        <v>176</v>
      </c>
      <c r="AI192" s="14">
        <f>IF([1]Sheet2!AN191=999999,"NA",[1]Sheet2!AN191)</f>
        <v>176</v>
      </c>
      <c r="AJ192" s="14">
        <f>IF([1]Sheet2!AO191=999999,"NA",[1]Sheet2!AO191)</f>
        <v>176</v>
      </c>
      <c r="AK192" s="14">
        <f>IF([1]Sheet2!AP191=999999,"NA",[1]Sheet2!AP191)</f>
        <v>0</v>
      </c>
      <c r="AL192" s="14">
        <f>IF([1]Sheet2!AQ191=999999,"NA",[1]Sheet2!AQ191)</f>
        <v>52</v>
      </c>
      <c r="AM192" s="14">
        <f>IF([1]Sheet2!AR191=999999,"NA",[1]Sheet2!AR191)</f>
        <v>176</v>
      </c>
      <c r="AN192" s="14">
        <f>IF([1]Sheet2!AS191=999999,"NA",[1]Sheet2!AS191)</f>
        <v>108</v>
      </c>
      <c r="AO192" s="14">
        <f>[1]Sheet2!P191</f>
        <v>0</v>
      </c>
      <c r="AP192" s="14">
        <f>[1]Sheet2!Q191</f>
        <v>0</v>
      </c>
      <c r="AQ192" s="14">
        <f>[1]Sheet2!R191</f>
        <v>0</v>
      </c>
      <c r="AR192" s="14">
        <f>[1]Sheet2!S191</f>
        <v>0</v>
      </c>
      <c r="AS192" s="14">
        <f>[1]Sheet2!T191</f>
        <v>0</v>
      </c>
      <c r="AT192" s="14">
        <f>[1]Sheet2!U191</f>
        <v>0</v>
      </c>
      <c r="AU192" s="14">
        <f>[1]Sheet2!V191</f>
        <v>0</v>
      </c>
      <c r="AV192" s="14">
        <f>[1]Sheet2!W191</f>
        <v>0</v>
      </c>
      <c r="AW192" s="14">
        <f>[1]Sheet2!X191</f>
        <v>0</v>
      </c>
      <c r="AX192" s="14">
        <f>[1]Sheet2!Y191</f>
        <v>0</v>
      </c>
      <c r="AY192" s="16">
        <f>Demand_LP!B$9/31</f>
        <v>878.29658550454917</v>
      </c>
      <c r="AZ192" s="16">
        <f>Demand_LP!C$9/31</f>
        <v>663.85442514474767</v>
      </c>
      <c r="BA192" s="16">
        <f>Demand_LP!D$9/31</f>
        <v>335.39784946236568</v>
      </c>
      <c r="BB192" s="16">
        <f>Demand_LP!E$9/31</f>
        <v>725.23531844499576</v>
      </c>
      <c r="BC192" s="16">
        <f>Demand_LP!F$9/31</f>
        <v>456.65268558726217</v>
      </c>
      <c r="BD192" s="16">
        <f>Demand_LP!G$9/31</f>
        <v>878.29658550454917</v>
      </c>
      <c r="BE192" s="16">
        <f>Demand_LP!H$9/31</f>
        <v>663.85442514474767</v>
      </c>
      <c r="BF192" s="16">
        <f>Demand_LP!I$9/31</f>
        <v>456.65268558726217</v>
      </c>
      <c r="BG192" s="16">
        <f>Demand_LP!J$9/31</f>
        <v>456.65268558726217</v>
      </c>
      <c r="BH192" s="16">
        <f>Demand_LP!K$9/31</f>
        <v>456.65268558726217</v>
      </c>
      <c r="BI192" s="16" t="e">
        <f t="shared" si="73"/>
        <v>#VALUE!</v>
      </c>
      <c r="BJ192" s="16">
        <f t="shared" si="74"/>
        <v>-112496.93027295267</v>
      </c>
      <c r="BK192" s="16">
        <f t="shared" si="75"/>
        <v>-57374.789205955269</v>
      </c>
      <c r="BL192" s="16">
        <f t="shared" si="76"/>
        <v>-144363.78894158776</v>
      </c>
      <c r="BM192" s="16">
        <f t="shared" si="77"/>
        <v>-86434.268031071013</v>
      </c>
      <c r="BN192" s="16">
        <f t="shared" si="78"/>
        <v>-141908.28238492485</v>
      </c>
      <c r="BO192" s="16">
        <f t="shared" si="79"/>
        <v>-114854.50976013219</v>
      </c>
      <c r="BP192" s="16">
        <f t="shared" si="80"/>
        <v>-85891.951949441616</v>
      </c>
      <c r="BQ192" s="16">
        <f t="shared" si="81"/>
        <v>-82491.95194944166</v>
      </c>
      <c r="BR192" s="16">
        <f t="shared" si="82"/>
        <v>-83691.951949441616</v>
      </c>
      <c r="BS192" s="14">
        <f>IF([1]Sheet2!CA191=999999,"NA",[1]Sheet2!CA191)</f>
        <v>132787.04805055854</v>
      </c>
      <c r="BT192" s="14">
        <f>IF([1]Sheet2!CB191=999999,"NA",[1]Sheet2!CB191)</f>
        <v>98</v>
      </c>
      <c r="BU192" s="14">
        <f>IF([1]Sheet2!CC191=999999,"NA",[1]Sheet2!CC191)</f>
        <v>176</v>
      </c>
      <c r="BV192" s="14">
        <f>IF([1]Sheet2!CD191=999999,"NA",[1]Sheet2!CD191)</f>
        <v>176</v>
      </c>
      <c r="BW192" s="14">
        <f>IF([1]Sheet2!CE191=999999,"NA",[1]Sheet2!CE191)</f>
        <v>138</v>
      </c>
      <c r="BX192" s="14">
        <f>IF([1]Sheet2!CF191=999999,"NA",[1]Sheet2!CF191)</f>
        <v>176</v>
      </c>
      <c r="BY192" s="14">
        <f>IF([1]Sheet2!CG191=999999,"NA",[1]Sheet2!CG191)</f>
        <v>70</v>
      </c>
      <c r="BZ192" s="14">
        <f>IF([1]Sheet2!CH191=999999,"NA",[1]Sheet2!CH191)</f>
        <v>176</v>
      </c>
      <c r="CA192" s="14">
        <f>IF([1]Sheet2!CI191=999999,"NA",[1]Sheet2!CI191)</f>
        <v>176</v>
      </c>
      <c r="CB192" s="14">
        <f>IF([1]Sheet2!CJ191=999999,"NA",[1]Sheet2!CJ191)</f>
        <v>176</v>
      </c>
      <c r="CC192" s="14">
        <f>[1]Sheet2!BG191</f>
        <v>0</v>
      </c>
      <c r="CD192" s="14">
        <f>[1]Sheet2!BH191</f>
        <v>0</v>
      </c>
      <c r="CE192" s="14">
        <f>[1]Sheet2!BI191</f>
        <v>0</v>
      </c>
      <c r="CF192" s="14">
        <f>[1]Sheet2!BJ191</f>
        <v>0</v>
      </c>
      <c r="CG192" s="14">
        <f>[1]Sheet2!BK191</f>
        <v>0</v>
      </c>
      <c r="CH192" s="14">
        <f>[1]Sheet2!BL191</f>
        <v>0</v>
      </c>
      <c r="CI192" s="14">
        <f>[1]Sheet2!BM191</f>
        <v>0</v>
      </c>
      <c r="CJ192" s="14">
        <f>[1]Sheet2!BN191</f>
        <v>0</v>
      </c>
      <c r="CK192" s="14">
        <f>[1]Sheet2!BO191</f>
        <v>0</v>
      </c>
      <c r="CL192" s="14">
        <f>[1]Sheet2!BP191</f>
        <v>0</v>
      </c>
      <c r="CM192" s="16">
        <f>Demand_SW!B$9/31</f>
        <v>131.01736972704714</v>
      </c>
      <c r="CN192" s="16">
        <f>Demand_SW!C$9/31</f>
        <v>0</v>
      </c>
      <c r="CO192" s="16">
        <f>Demand_SW!D$9/31</f>
        <v>0</v>
      </c>
      <c r="CP192" s="16">
        <f>Demand_SW!E$9/31</f>
        <v>0</v>
      </c>
      <c r="CQ192" s="16">
        <f>Demand_SW!F$9/31</f>
        <v>0</v>
      </c>
      <c r="CR192" s="16">
        <f>Demand_SW!G$9/31</f>
        <v>131.01736972704714</v>
      </c>
      <c r="CS192" s="16">
        <f>Demand_SW!H$9/31</f>
        <v>0</v>
      </c>
      <c r="CT192" s="16">
        <f>Demand_SW!I$9/31</f>
        <v>0</v>
      </c>
      <c r="CU192" s="16">
        <f>Demand_SW!J$9/31</f>
        <v>0</v>
      </c>
      <c r="CV192" s="16">
        <f>Demand_SW!K$9/31</f>
        <v>0</v>
      </c>
      <c r="CW192" s="16">
        <f t="shared" si="83"/>
        <v>25354.168734491352</v>
      </c>
      <c r="CX192" s="16">
        <f t="shared" si="84"/>
        <v>-423.07692307692292</v>
      </c>
      <c r="CY192" s="16">
        <f t="shared" si="85"/>
        <v>0</v>
      </c>
      <c r="CZ192" s="16">
        <f t="shared" si="86"/>
        <v>0</v>
      </c>
      <c r="DA192" s="16">
        <f t="shared" si="87"/>
        <v>0</v>
      </c>
      <c r="DB192" s="16">
        <f t="shared" si="88"/>
        <v>-24175.062034739443</v>
      </c>
      <c r="DC192" s="16">
        <f t="shared" si="89"/>
        <v>-423.07692307692292</v>
      </c>
      <c r="DD192" s="16">
        <f t="shared" si="90"/>
        <v>0</v>
      </c>
      <c r="DE192" s="16">
        <f t="shared" si="91"/>
        <v>0</v>
      </c>
      <c r="DF192" s="16">
        <f t="shared" si="92"/>
        <v>0</v>
      </c>
      <c r="DG192" s="14">
        <f>IF([1]Sheet2!DR191=999999,"NA",[1]Sheet2!DR191)</f>
        <v>73103</v>
      </c>
      <c r="DH192" s="14">
        <f>IF([1]Sheet2!DS191=999999,"NA",[1]Sheet2!DS191)</f>
        <v>176</v>
      </c>
      <c r="DI192" s="14">
        <f>IF([1]Sheet2!DT191=999999,"NA",[1]Sheet2!DT191)</f>
        <v>176</v>
      </c>
      <c r="DJ192" s="14" t="str">
        <f>IF([1]Sheet2!DU191=999999,"NA",[1]Sheet2!DU191)</f>
        <v>NA</v>
      </c>
      <c r="DK192" s="14" t="str">
        <f>IF([1]Sheet2!DV191=999999,"NA",[1]Sheet2!DV191)</f>
        <v>NA</v>
      </c>
      <c r="DL192" s="14" t="str">
        <f>IF([1]Sheet2!DW191=999999,"NA",[1]Sheet2!DW191)</f>
        <v>NA</v>
      </c>
      <c r="DM192" s="14">
        <f>IF([1]Sheet2!DX191=999999,"NA",[1]Sheet2!DX191)</f>
        <v>176</v>
      </c>
      <c r="DN192" s="14">
        <f>IF([1]Sheet2!DY191=999999,"NA",[1]Sheet2!DY191)</f>
        <v>176</v>
      </c>
      <c r="DO192" s="14" t="str">
        <f>IF([1]Sheet2!DZ191=999999,"NA",[1]Sheet2!DZ191)</f>
        <v>NA</v>
      </c>
      <c r="DP192" s="14" t="str">
        <f>IF([1]Sheet2!EA191=999999,"NA",[1]Sheet2!EA191)</f>
        <v>NA</v>
      </c>
      <c r="DQ192" s="14">
        <f>[1]Sheet2!CX191</f>
        <v>0</v>
      </c>
      <c r="DR192" s="14">
        <f>[1]Sheet2!CY191</f>
        <v>0</v>
      </c>
      <c r="DS192" s="14">
        <f>[1]Sheet2!CZ191</f>
        <v>0</v>
      </c>
      <c r="DT192" s="14">
        <f>[1]Sheet2!DA191</f>
        <v>0</v>
      </c>
      <c r="DU192" s="14">
        <f>[1]Sheet2!DB191</f>
        <v>0</v>
      </c>
      <c r="DV192" s="14">
        <f>[1]Sheet2!DC191</f>
        <v>0</v>
      </c>
      <c r="DW192" s="14">
        <f>[1]Sheet2!DD191</f>
        <v>0</v>
      </c>
      <c r="DX192" s="14">
        <f>[1]Sheet2!DE191</f>
        <v>0</v>
      </c>
      <c r="DY192" s="14">
        <f>[1]Sheet2!DF191</f>
        <v>0</v>
      </c>
      <c r="DZ192" s="14">
        <f>[1]Sheet2!DG191</f>
        <v>0</v>
      </c>
    </row>
    <row r="193" spans="1:130" x14ac:dyDescent="0.25">
      <c r="A193" s="15">
        <v>43655</v>
      </c>
      <c r="B193" s="1"/>
      <c r="C193" s="1"/>
      <c r="D193" s="1"/>
      <c r="E193" s="14">
        <f>[1]Sheet2!N192</f>
        <v>0</v>
      </c>
      <c r="F193" s="14">
        <f>[1]Sheet2!BE192</f>
        <v>0</v>
      </c>
      <c r="G193" s="14">
        <f>[1]Sheet2!CV192</f>
        <v>262.03473945409428</v>
      </c>
      <c r="H193" s="1"/>
      <c r="I193" s="1"/>
      <c r="J193" s="1"/>
      <c r="K193" s="16">
        <f>Demand_CWRS!B$9/31</f>
        <v>137.44229993796523</v>
      </c>
      <c r="L193" s="16">
        <f>Demand_CWRS!C$9/31</f>
        <v>616.54259718775836</v>
      </c>
      <c r="M193" s="16">
        <f>Demand_CWRS!D$9/31</f>
        <v>0</v>
      </c>
      <c r="N193" s="16">
        <f>Demand_CWRS!E$9/31</f>
        <v>140.39247311827955</v>
      </c>
      <c r="O193" s="16">
        <f>Demand_CWRS!F$9/31</f>
        <v>245.11049679487181</v>
      </c>
      <c r="P193" s="16">
        <f>Demand_CWRS!G$9/31</f>
        <v>137.44229993796523</v>
      </c>
      <c r="Q193" s="16">
        <f>Demand_CWRS!H$9/31</f>
        <v>616.54259718775836</v>
      </c>
      <c r="R193" s="16">
        <f>Demand_CWRS!I$9/31</f>
        <v>245.11049679487181</v>
      </c>
      <c r="S193" s="16">
        <f>Demand_CWRS!J$9/31</f>
        <v>245.11049679487181</v>
      </c>
      <c r="T193" s="16">
        <f>Demand_CWRS!K$9/31</f>
        <v>245.11049679487181</v>
      </c>
      <c r="U193" s="16">
        <f t="shared" si="63"/>
        <v>-27597.742236838196</v>
      </c>
      <c r="V193" s="16">
        <f t="shared" si="64"/>
        <v>-92405.044913151083</v>
      </c>
      <c r="W193" s="16">
        <f t="shared" si="65"/>
        <v>0</v>
      </c>
      <c r="X193" s="16">
        <f t="shared" si="66"/>
        <v>-21804.808807885955</v>
      </c>
      <c r="Y193" s="16">
        <f t="shared" si="67"/>
        <v>-43484.158305947749</v>
      </c>
      <c r="Z193" s="16">
        <f t="shared" si="68"/>
        <v>-27271.969087799745</v>
      </c>
      <c r="AA193" s="16">
        <f t="shared" si="69"/>
        <v>-91905.044913151083</v>
      </c>
      <c r="AB193" s="16">
        <f t="shared" si="70"/>
        <v>-41000.312825178466</v>
      </c>
      <c r="AC193" s="16">
        <f t="shared" si="71"/>
        <v>-41000.312825178458</v>
      </c>
      <c r="AD193" s="16">
        <f t="shared" si="72"/>
        <v>-41700.312825178451</v>
      </c>
      <c r="AE193" s="14">
        <f>IF([1]Sheet2!AJ192=999999,"NA",[1]Sheet2!AJ192)</f>
        <v>0</v>
      </c>
      <c r="AF193" s="14">
        <f>IF([1]Sheet2!AK192=999999,"NA",[1]Sheet2!AK192)</f>
        <v>0</v>
      </c>
      <c r="AG193" s="14" t="str">
        <f>IF([1]Sheet2!AL192=999999,"NA",[1]Sheet2!AL192)</f>
        <v>NA</v>
      </c>
      <c r="AH193" s="14">
        <f>IF([1]Sheet2!AM192=999999,"NA",[1]Sheet2!AM192)</f>
        <v>175</v>
      </c>
      <c r="AI193" s="14">
        <f>IF([1]Sheet2!AN192=999999,"NA",[1]Sheet2!AN192)</f>
        <v>175</v>
      </c>
      <c r="AJ193" s="14">
        <f>IF([1]Sheet2!AO192=999999,"NA",[1]Sheet2!AO192)</f>
        <v>175</v>
      </c>
      <c r="AK193" s="14">
        <f>IF([1]Sheet2!AP192=999999,"NA",[1]Sheet2!AP192)</f>
        <v>0</v>
      </c>
      <c r="AL193" s="14">
        <f>IF([1]Sheet2!AQ192=999999,"NA",[1]Sheet2!AQ192)</f>
        <v>51</v>
      </c>
      <c r="AM193" s="14">
        <f>IF([1]Sheet2!AR192=999999,"NA",[1]Sheet2!AR192)</f>
        <v>175</v>
      </c>
      <c r="AN193" s="14">
        <f>IF([1]Sheet2!AS192=999999,"NA",[1]Sheet2!AS192)</f>
        <v>107</v>
      </c>
      <c r="AO193" s="14">
        <f>[1]Sheet2!P192</f>
        <v>0</v>
      </c>
      <c r="AP193" s="14">
        <f>[1]Sheet2!Q192</f>
        <v>0</v>
      </c>
      <c r="AQ193" s="14">
        <f>[1]Sheet2!R192</f>
        <v>0</v>
      </c>
      <c r="AR193" s="14">
        <f>[1]Sheet2!S192</f>
        <v>0</v>
      </c>
      <c r="AS193" s="14">
        <f>[1]Sheet2!T192</f>
        <v>0</v>
      </c>
      <c r="AT193" s="14">
        <f>[1]Sheet2!U192</f>
        <v>0</v>
      </c>
      <c r="AU193" s="14">
        <f>[1]Sheet2!V192</f>
        <v>0</v>
      </c>
      <c r="AV193" s="14">
        <f>[1]Sheet2!W192</f>
        <v>0</v>
      </c>
      <c r="AW193" s="14">
        <f>[1]Sheet2!X192</f>
        <v>0</v>
      </c>
      <c r="AX193" s="14">
        <f>[1]Sheet2!Y192</f>
        <v>0</v>
      </c>
      <c r="AY193" s="16">
        <f>Demand_LP!B$9/31</f>
        <v>878.29658550454917</v>
      </c>
      <c r="AZ193" s="16">
        <f>Demand_LP!C$9/31</f>
        <v>663.85442514474767</v>
      </c>
      <c r="BA193" s="16">
        <f>Demand_LP!D$9/31</f>
        <v>335.39784946236568</v>
      </c>
      <c r="BB193" s="16">
        <f>Demand_LP!E$9/31</f>
        <v>725.23531844499576</v>
      </c>
      <c r="BC193" s="16">
        <f>Demand_LP!F$9/31</f>
        <v>456.65268558726217</v>
      </c>
      <c r="BD193" s="16">
        <f>Demand_LP!G$9/31</f>
        <v>878.29658550454917</v>
      </c>
      <c r="BE193" s="16">
        <f>Demand_LP!H$9/31</f>
        <v>663.85442514474767</v>
      </c>
      <c r="BF193" s="16">
        <f>Demand_LP!I$9/31</f>
        <v>456.65268558726217</v>
      </c>
      <c r="BG193" s="16">
        <f>Demand_LP!J$9/31</f>
        <v>456.65268558726217</v>
      </c>
      <c r="BH193" s="16">
        <f>Demand_LP!K$9/31</f>
        <v>456.65268558726217</v>
      </c>
      <c r="BI193" s="16" t="e">
        <f t="shared" si="73"/>
        <v>#VALUE!</v>
      </c>
      <c r="BJ193" s="16">
        <f t="shared" si="74"/>
        <v>-113160.78469809741</v>
      </c>
      <c r="BK193" s="16">
        <f t="shared" si="75"/>
        <v>-57710.187055417635</v>
      </c>
      <c r="BL193" s="16">
        <f t="shared" si="76"/>
        <v>-145089.02426003275</v>
      </c>
      <c r="BM193" s="16">
        <f t="shared" si="77"/>
        <v>-86890.920716658278</v>
      </c>
      <c r="BN193" s="16">
        <f t="shared" si="78"/>
        <v>-142786.5789704294</v>
      </c>
      <c r="BO193" s="16">
        <f t="shared" si="79"/>
        <v>-115518.36418527694</v>
      </c>
      <c r="BP193" s="16">
        <f t="shared" si="80"/>
        <v>-86348.604635028882</v>
      </c>
      <c r="BQ193" s="16">
        <f t="shared" si="81"/>
        <v>-82948.604635028925</v>
      </c>
      <c r="BR193" s="16">
        <f t="shared" si="82"/>
        <v>-84148.604635028882</v>
      </c>
      <c r="BS193" s="14">
        <f>IF([1]Sheet2!CA192=999999,"NA",[1]Sheet2!CA192)</f>
        <v>132330.39536497128</v>
      </c>
      <c r="BT193" s="14">
        <f>IF([1]Sheet2!CB192=999999,"NA",[1]Sheet2!CB192)</f>
        <v>97</v>
      </c>
      <c r="BU193" s="14">
        <f>IF([1]Sheet2!CC192=999999,"NA",[1]Sheet2!CC192)</f>
        <v>175</v>
      </c>
      <c r="BV193" s="14">
        <f>IF([1]Sheet2!CD192=999999,"NA",[1]Sheet2!CD192)</f>
        <v>175</v>
      </c>
      <c r="BW193" s="14">
        <f>IF([1]Sheet2!CE192=999999,"NA",[1]Sheet2!CE192)</f>
        <v>137</v>
      </c>
      <c r="BX193" s="14">
        <f>IF([1]Sheet2!CF192=999999,"NA",[1]Sheet2!CF192)</f>
        <v>175</v>
      </c>
      <c r="BY193" s="14">
        <f>IF([1]Sheet2!CG192=999999,"NA",[1]Sheet2!CG192)</f>
        <v>69</v>
      </c>
      <c r="BZ193" s="14">
        <f>IF([1]Sheet2!CH192=999999,"NA",[1]Sheet2!CH192)</f>
        <v>175</v>
      </c>
      <c r="CA193" s="14">
        <f>IF([1]Sheet2!CI192=999999,"NA",[1]Sheet2!CI192)</f>
        <v>175</v>
      </c>
      <c r="CB193" s="14">
        <f>IF([1]Sheet2!CJ192=999999,"NA",[1]Sheet2!CJ192)</f>
        <v>175</v>
      </c>
      <c r="CC193" s="14">
        <f>[1]Sheet2!BG192</f>
        <v>0</v>
      </c>
      <c r="CD193" s="14">
        <f>[1]Sheet2!BH192</f>
        <v>0</v>
      </c>
      <c r="CE193" s="14">
        <f>[1]Sheet2!BI192</f>
        <v>0</v>
      </c>
      <c r="CF193" s="14">
        <f>[1]Sheet2!BJ192</f>
        <v>0</v>
      </c>
      <c r="CG193" s="14">
        <f>[1]Sheet2!BK192</f>
        <v>0</v>
      </c>
      <c r="CH193" s="14">
        <f>[1]Sheet2!BL192</f>
        <v>0</v>
      </c>
      <c r="CI193" s="14">
        <f>[1]Sheet2!BM192</f>
        <v>0</v>
      </c>
      <c r="CJ193" s="14">
        <f>[1]Sheet2!BN192</f>
        <v>0</v>
      </c>
      <c r="CK193" s="14">
        <f>[1]Sheet2!BO192</f>
        <v>0</v>
      </c>
      <c r="CL193" s="14">
        <f>[1]Sheet2!BP192</f>
        <v>0</v>
      </c>
      <c r="CM193" s="16">
        <f>Demand_SW!B$9/31</f>
        <v>131.01736972704714</v>
      </c>
      <c r="CN193" s="16">
        <f>Demand_SW!C$9/31</f>
        <v>0</v>
      </c>
      <c r="CO193" s="16">
        <f>Demand_SW!D$9/31</f>
        <v>0</v>
      </c>
      <c r="CP193" s="16">
        <f>Demand_SW!E$9/31</f>
        <v>0</v>
      </c>
      <c r="CQ193" s="16">
        <f>Demand_SW!F$9/31</f>
        <v>0</v>
      </c>
      <c r="CR193" s="16">
        <f>Demand_SW!G$9/31</f>
        <v>131.01736972704714</v>
      </c>
      <c r="CS193" s="16">
        <f>Demand_SW!H$9/31</f>
        <v>0</v>
      </c>
      <c r="CT193" s="16">
        <f>Demand_SW!I$9/31</f>
        <v>0</v>
      </c>
      <c r="CU193" s="16">
        <f>Demand_SW!J$9/31</f>
        <v>0</v>
      </c>
      <c r="CV193" s="16">
        <f>Demand_SW!K$9/31</f>
        <v>0</v>
      </c>
      <c r="CW193" s="16">
        <f t="shared" si="83"/>
        <v>25223.151364764304</v>
      </c>
      <c r="CX193" s="16">
        <f t="shared" si="84"/>
        <v>-423.07692307692292</v>
      </c>
      <c r="CY193" s="16">
        <f t="shared" si="85"/>
        <v>0</v>
      </c>
      <c r="CZ193" s="16">
        <f t="shared" si="86"/>
        <v>0</v>
      </c>
      <c r="DA193" s="16">
        <f t="shared" si="87"/>
        <v>0</v>
      </c>
      <c r="DB193" s="16">
        <f t="shared" si="88"/>
        <v>-24306.079404466491</v>
      </c>
      <c r="DC193" s="16">
        <f t="shared" si="89"/>
        <v>-423.07692307692292</v>
      </c>
      <c r="DD193" s="16">
        <f t="shared" si="90"/>
        <v>0</v>
      </c>
      <c r="DE193" s="16">
        <f t="shared" si="91"/>
        <v>0</v>
      </c>
      <c r="DF193" s="16">
        <f t="shared" si="92"/>
        <v>0</v>
      </c>
      <c r="DG193" s="14">
        <f>IF([1]Sheet2!DR192=999999,"NA",[1]Sheet2!DR192)</f>
        <v>73103</v>
      </c>
      <c r="DH193" s="14">
        <f>IF([1]Sheet2!DS192=999999,"NA",[1]Sheet2!DS192)</f>
        <v>175</v>
      </c>
      <c r="DI193" s="14">
        <f>IF([1]Sheet2!DT192=999999,"NA",[1]Sheet2!DT192)</f>
        <v>175</v>
      </c>
      <c r="DJ193" s="14" t="str">
        <f>IF([1]Sheet2!DU192=999999,"NA",[1]Sheet2!DU192)</f>
        <v>NA</v>
      </c>
      <c r="DK193" s="14" t="str">
        <f>IF([1]Sheet2!DV192=999999,"NA",[1]Sheet2!DV192)</f>
        <v>NA</v>
      </c>
      <c r="DL193" s="14" t="str">
        <f>IF([1]Sheet2!DW192=999999,"NA",[1]Sheet2!DW192)</f>
        <v>NA</v>
      </c>
      <c r="DM193" s="14">
        <f>IF([1]Sheet2!DX192=999999,"NA",[1]Sheet2!DX192)</f>
        <v>175</v>
      </c>
      <c r="DN193" s="14">
        <f>IF([1]Sheet2!DY192=999999,"NA",[1]Sheet2!DY192)</f>
        <v>175</v>
      </c>
      <c r="DO193" s="14" t="str">
        <f>IF([1]Sheet2!DZ192=999999,"NA",[1]Sheet2!DZ192)</f>
        <v>NA</v>
      </c>
      <c r="DP193" s="14" t="str">
        <f>IF([1]Sheet2!EA192=999999,"NA",[1]Sheet2!EA192)</f>
        <v>NA</v>
      </c>
      <c r="DQ193" s="14">
        <f>[1]Sheet2!CX192</f>
        <v>0</v>
      </c>
      <c r="DR193" s="14">
        <f>[1]Sheet2!CY192</f>
        <v>0</v>
      </c>
      <c r="DS193" s="14">
        <f>[1]Sheet2!CZ192</f>
        <v>0</v>
      </c>
      <c r="DT193" s="14">
        <f>[1]Sheet2!DA192</f>
        <v>0</v>
      </c>
      <c r="DU193" s="14">
        <f>[1]Sheet2!DB192</f>
        <v>0</v>
      </c>
      <c r="DV193" s="14">
        <f>[1]Sheet2!DC192</f>
        <v>0</v>
      </c>
      <c r="DW193" s="14">
        <f>[1]Sheet2!DD192</f>
        <v>0</v>
      </c>
      <c r="DX193" s="14">
        <f>[1]Sheet2!DE192</f>
        <v>0</v>
      </c>
      <c r="DY193" s="14">
        <f>[1]Sheet2!DF192</f>
        <v>0</v>
      </c>
      <c r="DZ193" s="14">
        <f>[1]Sheet2!DG192</f>
        <v>0</v>
      </c>
    </row>
    <row r="194" spans="1:130" x14ac:dyDescent="0.25">
      <c r="A194" s="15">
        <v>43656</v>
      </c>
      <c r="B194" s="1"/>
      <c r="C194" s="1"/>
      <c r="D194" s="1"/>
      <c r="E194" s="14">
        <f>[1]Sheet2!N193</f>
        <v>0</v>
      </c>
      <c r="F194" s="14">
        <f>[1]Sheet2!BE193</f>
        <v>0</v>
      </c>
      <c r="G194" s="14">
        <f>[1]Sheet2!CV193</f>
        <v>262.03473945409428</v>
      </c>
      <c r="H194" s="1"/>
      <c r="I194" s="1"/>
      <c r="J194" s="1"/>
      <c r="K194" s="16">
        <f>Demand_CWRS!B$9/31</f>
        <v>137.44229993796523</v>
      </c>
      <c r="L194" s="16">
        <f>Demand_CWRS!C$9/31</f>
        <v>616.54259718775836</v>
      </c>
      <c r="M194" s="16">
        <f>Demand_CWRS!D$9/31</f>
        <v>0</v>
      </c>
      <c r="N194" s="16">
        <f>Demand_CWRS!E$9/31</f>
        <v>140.39247311827955</v>
      </c>
      <c r="O194" s="16">
        <f>Demand_CWRS!F$9/31</f>
        <v>245.11049679487181</v>
      </c>
      <c r="P194" s="16">
        <f>Demand_CWRS!G$9/31</f>
        <v>137.44229993796523</v>
      </c>
      <c r="Q194" s="16">
        <f>Demand_CWRS!H$9/31</f>
        <v>616.54259718775836</v>
      </c>
      <c r="R194" s="16">
        <f>Demand_CWRS!I$9/31</f>
        <v>245.11049679487181</v>
      </c>
      <c r="S194" s="16">
        <f>Demand_CWRS!J$9/31</f>
        <v>245.11049679487181</v>
      </c>
      <c r="T194" s="16">
        <f>Demand_CWRS!K$9/31</f>
        <v>245.11049679487181</v>
      </c>
      <c r="U194" s="16">
        <f t="shared" si="63"/>
        <v>-27735.18453677616</v>
      </c>
      <c r="V194" s="16">
        <f t="shared" si="64"/>
        <v>-93021.587510338839</v>
      </c>
      <c r="W194" s="16">
        <f t="shared" si="65"/>
        <v>0</v>
      </c>
      <c r="X194" s="16">
        <f t="shared" si="66"/>
        <v>-21945.201281004232</v>
      </c>
      <c r="Y194" s="16">
        <f t="shared" si="67"/>
        <v>-43729.268802742619</v>
      </c>
      <c r="Z194" s="16">
        <f t="shared" si="68"/>
        <v>-27409.411387737709</v>
      </c>
      <c r="AA194" s="16">
        <f t="shared" si="69"/>
        <v>-92521.587510338839</v>
      </c>
      <c r="AB194" s="16">
        <f t="shared" si="70"/>
        <v>-41245.423321973336</v>
      </c>
      <c r="AC194" s="16">
        <f t="shared" si="71"/>
        <v>-41245.423321973329</v>
      </c>
      <c r="AD194" s="16">
        <f t="shared" si="72"/>
        <v>-41945.423321973321</v>
      </c>
      <c r="AE194" s="14">
        <f>IF([1]Sheet2!AJ193=999999,"NA",[1]Sheet2!AJ193)</f>
        <v>0</v>
      </c>
      <c r="AF194" s="14">
        <f>IF([1]Sheet2!AK193=999999,"NA",[1]Sheet2!AK193)</f>
        <v>0</v>
      </c>
      <c r="AG194" s="14" t="str">
        <f>IF([1]Sheet2!AL193=999999,"NA",[1]Sheet2!AL193)</f>
        <v>NA</v>
      </c>
      <c r="AH194" s="14">
        <f>IF([1]Sheet2!AM193=999999,"NA",[1]Sheet2!AM193)</f>
        <v>174</v>
      </c>
      <c r="AI194" s="14">
        <f>IF([1]Sheet2!AN193=999999,"NA",[1]Sheet2!AN193)</f>
        <v>174</v>
      </c>
      <c r="AJ194" s="14">
        <f>IF([1]Sheet2!AO193=999999,"NA",[1]Sheet2!AO193)</f>
        <v>174</v>
      </c>
      <c r="AK194" s="14">
        <f>IF([1]Sheet2!AP193=999999,"NA",[1]Sheet2!AP193)</f>
        <v>0</v>
      </c>
      <c r="AL194" s="14">
        <f>IF([1]Sheet2!AQ193=999999,"NA",[1]Sheet2!AQ193)</f>
        <v>50</v>
      </c>
      <c r="AM194" s="14">
        <f>IF([1]Sheet2!AR193=999999,"NA",[1]Sheet2!AR193)</f>
        <v>174</v>
      </c>
      <c r="AN194" s="14">
        <f>IF([1]Sheet2!AS193=999999,"NA",[1]Sheet2!AS193)</f>
        <v>106</v>
      </c>
      <c r="AO194" s="14">
        <f>[1]Sheet2!P193</f>
        <v>0</v>
      </c>
      <c r="AP194" s="14">
        <f>[1]Sheet2!Q193</f>
        <v>0</v>
      </c>
      <c r="AQ194" s="14">
        <f>[1]Sheet2!R193</f>
        <v>0</v>
      </c>
      <c r="AR194" s="14">
        <f>[1]Sheet2!S193</f>
        <v>0</v>
      </c>
      <c r="AS194" s="14">
        <f>[1]Sheet2!T193</f>
        <v>0</v>
      </c>
      <c r="AT194" s="14">
        <f>[1]Sheet2!U193</f>
        <v>0</v>
      </c>
      <c r="AU194" s="14">
        <f>[1]Sheet2!V193</f>
        <v>0</v>
      </c>
      <c r="AV194" s="14">
        <f>[1]Sheet2!W193</f>
        <v>0</v>
      </c>
      <c r="AW194" s="14">
        <f>[1]Sheet2!X193</f>
        <v>0</v>
      </c>
      <c r="AX194" s="14">
        <f>[1]Sheet2!Y193</f>
        <v>0</v>
      </c>
      <c r="AY194" s="16">
        <f>Demand_LP!B$9/31</f>
        <v>878.29658550454917</v>
      </c>
      <c r="AZ194" s="16">
        <f>Demand_LP!C$9/31</f>
        <v>663.85442514474767</v>
      </c>
      <c r="BA194" s="16">
        <f>Demand_LP!D$9/31</f>
        <v>335.39784946236568</v>
      </c>
      <c r="BB194" s="16">
        <f>Demand_LP!E$9/31</f>
        <v>725.23531844499576</v>
      </c>
      <c r="BC194" s="16">
        <f>Demand_LP!F$9/31</f>
        <v>456.65268558726217</v>
      </c>
      <c r="BD194" s="16">
        <f>Demand_LP!G$9/31</f>
        <v>878.29658550454917</v>
      </c>
      <c r="BE194" s="16">
        <f>Demand_LP!H$9/31</f>
        <v>663.85442514474767</v>
      </c>
      <c r="BF194" s="16">
        <f>Demand_LP!I$9/31</f>
        <v>456.65268558726217</v>
      </c>
      <c r="BG194" s="16">
        <f>Demand_LP!J$9/31</f>
        <v>456.65268558726217</v>
      </c>
      <c r="BH194" s="16">
        <f>Demand_LP!K$9/31</f>
        <v>456.65268558726217</v>
      </c>
      <c r="BI194" s="16" t="e">
        <f t="shared" si="73"/>
        <v>#VALUE!</v>
      </c>
      <c r="BJ194" s="16">
        <f t="shared" si="74"/>
        <v>-113824.63912324216</v>
      </c>
      <c r="BK194" s="16">
        <f t="shared" si="75"/>
        <v>-58045.584904880001</v>
      </c>
      <c r="BL194" s="16">
        <f t="shared" si="76"/>
        <v>-145814.25957847774</v>
      </c>
      <c r="BM194" s="16">
        <f t="shared" si="77"/>
        <v>-87347.573402245544</v>
      </c>
      <c r="BN194" s="16">
        <f t="shared" si="78"/>
        <v>-143664.87555593395</v>
      </c>
      <c r="BO194" s="16">
        <f t="shared" si="79"/>
        <v>-116182.21861042168</v>
      </c>
      <c r="BP194" s="16">
        <f t="shared" si="80"/>
        <v>-86805.257320616147</v>
      </c>
      <c r="BQ194" s="16">
        <f t="shared" si="81"/>
        <v>-83405.257320616191</v>
      </c>
      <c r="BR194" s="16">
        <f t="shared" si="82"/>
        <v>-84605.257320616147</v>
      </c>
      <c r="BS194" s="14">
        <f>IF([1]Sheet2!CA193=999999,"NA",[1]Sheet2!CA193)</f>
        <v>131873.74267938401</v>
      </c>
      <c r="BT194" s="14">
        <f>IF([1]Sheet2!CB193=999999,"NA",[1]Sheet2!CB193)</f>
        <v>96</v>
      </c>
      <c r="BU194" s="14">
        <f>IF([1]Sheet2!CC193=999999,"NA",[1]Sheet2!CC193)</f>
        <v>174</v>
      </c>
      <c r="BV194" s="14">
        <f>IF([1]Sheet2!CD193=999999,"NA",[1]Sheet2!CD193)</f>
        <v>174</v>
      </c>
      <c r="BW194" s="14">
        <f>IF([1]Sheet2!CE193=999999,"NA",[1]Sheet2!CE193)</f>
        <v>136</v>
      </c>
      <c r="BX194" s="14">
        <f>IF([1]Sheet2!CF193=999999,"NA",[1]Sheet2!CF193)</f>
        <v>174</v>
      </c>
      <c r="BY194" s="14">
        <f>IF([1]Sheet2!CG193=999999,"NA",[1]Sheet2!CG193)</f>
        <v>68</v>
      </c>
      <c r="BZ194" s="14">
        <f>IF([1]Sheet2!CH193=999999,"NA",[1]Sheet2!CH193)</f>
        <v>174</v>
      </c>
      <c r="CA194" s="14">
        <f>IF([1]Sheet2!CI193=999999,"NA",[1]Sheet2!CI193)</f>
        <v>174</v>
      </c>
      <c r="CB194" s="14">
        <f>IF([1]Sheet2!CJ193=999999,"NA",[1]Sheet2!CJ193)</f>
        <v>174</v>
      </c>
      <c r="CC194" s="14">
        <f>[1]Sheet2!BG193</f>
        <v>0</v>
      </c>
      <c r="CD194" s="14">
        <f>[1]Sheet2!BH193</f>
        <v>0</v>
      </c>
      <c r="CE194" s="14">
        <f>[1]Sheet2!BI193</f>
        <v>0</v>
      </c>
      <c r="CF194" s="14">
        <f>[1]Sheet2!BJ193</f>
        <v>0</v>
      </c>
      <c r="CG194" s="14">
        <f>[1]Sheet2!BK193</f>
        <v>0</v>
      </c>
      <c r="CH194" s="14">
        <f>[1]Sheet2!BL193</f>
        <v>0</v>
      </c>
      <c r="CI194" s="14">
        <f>[1]Sheet2!BM193</f>
        <v>0</v>
      </c>
      <c r="CJ194" s="14">
        <f>[1]Sheet2!BN193</f>
        <v>0</v>
      </c>
      <c r="CK194" s="14">
        <f>[1]Sheet2!BO193</f>
        <v>0</v>
      </c>
      <c r="CL194" s="14">
        <f>[1]Sheet2!BP193</f>
        <v>0</v>
      </c>
      <c r="CM194" s="16">
        <f>Demand_SW!B$9/31</f>
        <v>131.01736972704714</v>
      </c>
      <c r="CN194" s="16">
        <f>Demand_SW!C$9/31</f>
        <v>0</v>
      </c>
      <c r="CO194" s="16">
        <f>Demand_SW!D$9/31</f>
        <v>0</v>
      </c>
      <c r="CP194" s="16">
        <f>Demand_SW!E$9/31</f>
        <v>0</v>
      </c>
      <c r="CQ194" s="16">
        <f>Demand_SW!F$9/31</f>
        <v>0</v>
      </c>
      <c r="CR194" s="16">
        <f>Demand_SW!G$9/31</f>
        <v>131.01736972704714</v>
      </c>
      <c r="CS194" s="16">
        <f>Demand_SW!H$9/31</f>
        <v>0</v>
      </c>
      <c r="CT194" s="16">
        <f>Demand_SW!I$9/31</f>
        <v>0</v>
      </c>
      <c r="CU194" s="16">
        <f>Demand_SW!J$9/31</f>
        <v>0</v>
      </c>
      <c r="CV194" s="16">
        <f>Demand_SW!K$9/31</f>
        <v>0</v>
      </c>
      <c r="CW194" s="16">
        <f t="shared" si="83"/>
        <v>25092.133995037257</v>
      </c>
      <c r="CX194" s="16">
        <f t="shared" si="84"/>
        <v>-423.07692307692292</v>
      </c>
      <c r="CY194" s="16">
        <f t="shared" si="85"/>
        <v>0</v>
      </c>
      <c r="CZ194" s="16">
        <f t="shared" si="86"/>
        <v>0</v>
      </c>
      <c r="DA194" s="16">
        <f t="shared" si="87"/>
        <v>0</v>
      </c>
      <c r="DB194" s="16">
        <f t="shared" si="88"/>
        <v>-24437.096774193538</v>
      </c>
      <c r="DC194" s="16">
        <f t="shared" si="89"/>
        <v>-423.07692307692292</v>
      </c>
      <c r="DD194" s="16">
        <f t="shared" si="90"/>
        <v>0</v>
      </c>
      <c r="DE194" s="16">
        <f t="shared" si="91"/>
        <v>0</v>
      </c>
      <c r="DF194" s="16">
        <f t="shared" si="92"/>
        <v>0</v>
      </c>
      <c r="DG194" s="14">
        <f>IF([1]Sheet2!DR193=999999,"NA",[1]Sheet2!DR193)</f>
        <v>73103</v>
      </c>
      <c r="DH194" s="14">
        <f>IF([1]Sheet2!DS193=999999,"NA",[1]Sheet2!DS193)</f>
        <v>174</v>
      </c>
      <c r="DI194" s="14">
        <f>IF([1]Sheet2!DT193=999999,"NA",[1]Sheet2!DT193)</f>
        <v>174</v>
      </c>
      <c r="DJ194" s="14" t="str">
        <f>IF([1]Sheet2!DU193=999999,"NA",[1]Sheet2!DU193)</f>
        <v>NA</v>
      </c>
      <c r="DK194" s="14" t="str">
        <f>IF([1]Sheet2!DV193=999999,"NA",[1]Sheet2!DV193)</f>
        <v>NA</v>
      </c>
      <c r="DL194" s="14" t="str">
        <f>IF([1]Sheet2!DW193=999999,"NA",[1]Sheet2!DW193)</f>
        <v>NA</v>
      </c>
      <c r="DM194" s="14">
        <f>IF([1]Sheet2!DX193=999999,"NA",[1]Sheet2!DX193)</f>
        <v>174</v>
      </c>
      <c r="DN194" s="14">
        <f>IF([1]Sheet2!DY193=999999,"NA",[1]Sheet2!DY193)</f>
        <v>174</v>
      </c>
      <c r="DO194" s="14" t="str">
        <f>IF([1]Sheet2!DZ193=999999,"NA",[1]Sheet2!DZ193)</f>
        <v>NA</v>
      </c>
      <c r="DP194" s="14" t="str">
        <f>IF([1]Sheet2!EA193=999999,"NA",[1]Sheet2!EA193)</f>
        <v>NA</v>
      </c>
      <c r="DQ194" s="14">
        <f>[1]Sheet2!CX193</f>
        <v>0</v>
      </c>
      <c r="DR194" s="14">
        <f>[1]Sheet2!CY193</f>
        <v>0</v>
      </c>
      <c r="DS194" s="14">
        <f>[1]Sheet2!CZ193</f>
        <v>0</v>
      </c>
      <c r="DT194" s="14">
        <f>[1]Sheet2!DA193</f>
        <v>0</v>
      </c>
      <c r="DU194" s="14">
        <f>[1]Sheet2!DB193</f>
        <v>0</v>
      </c>
      <c r="DV194" s="14">
        <f>[1]Sheet2!DC193</f>
        <v>0</v>
      </c>
      <c r="DW194" s="14">
        <f>[1]Sheet2!DD193</f>
        <v>0</v>
      </c>
      <c r="DX194" s="14">
        <f>[1]Sheet2!DE193</f>
        <v>0</v>
      </c>
      <c r="DY194" s="14">
        <f>[1]Sheet2!DF193</f>
        <v>0</v>
      </c>
      <c r="DZ194" s="14">
        <f>[1]Sheet2!DG193</f>
        <v>0</v>
      </c>
    </row>
    <row r="195" spans="1:130" x14ac:dyDescent="0.25">
      <c r="A195" s="15">
        <v>43657</v>
      </c>
      <c r="B195" s="1"/>
      <c r="C195" s="1"/>
      <c r="D195" s="1"/>
      <c r="E195" s="14">
        <f>[1]Sheet2!N194</f>
        <v>0</v>
      </c>
      <c r="F195" s="14">
        <f>[1]Sheet2!BE194</f>
        <v>0</v>
      </c>
      <c r="G195" s="14">
        <f>[1]Sheet2!CV194</f>
        <v>262.03473945409428</v>
      </c>
      <c r="H195" s="1"/>
      <c r="I195" s="1"/>
      <c r="J195" s="1"/>
      <c r="K195" s="16">
        <f>Demand_CWRS!B$9/31</f>
        <v>137.44229993796523</v>
      </c>
      <c r="L195" s="16">
        <f>Demand_CWRS!C$9/31</f>
        <v>616.54259718775836</v>
      </c>
      <c r="M195" s="16">
        <f>Demand_CWRS!D$9/31</f>
        <v>0</v>
      </c>
      <c r="N195" s="16">
        <f>Demand_CWRS!E$9/31</f>
        <v>140.39247311827955</v>
      </c>
      <c r="O195" s="16">
        <f>Demand_CWRS!F$9/31</f>
        <v>245.11049679487181</v>
      </c>
      <c r="P195" s="16">
        <f>Demand_CWRS!G$9/31</f>
        <v>137.44229993796523</v>
      </c>
      <c r="Q195" s="16">
        <f>Demand_CWRS!H$9/31</f>
        <v>616.54259718775836</v>
      </c>
      <c r="R195" s="16">
        <f>Demand_CWRS!I$9/31</f>
        <v>245.11049679487181</v>
      </c>
      <c r="S195" s="16">
        <f>Demand_CWRS!J$9/31</f>
        <v>245.11049679487181</v>
      </c>
      <c r="T195" s="16">
        <f>Demand_CWRS!K$9/31</f>
        <v>245.11049679487181</v>
      </c>
      <c r="U195" s="16">
        <f t="shared" si="63"/>
        <v>-27872.626836714124</v>
      </c>
      <c r="V195" s="16">
        <f t="shared" si="64"/>
        <v>-93638.130107526595</v>
      </c>
      <c r="W195" s="16">
        <f t="shared" si="65"/>
        <v>0</v>
      </c>
      <c r="X195" s="16">
        <f t="shared" si="66"/>
        <v>-22085.59375412251</v>
      </c>
      <c r="Y195" s="16">
        <f t="shared" si="67"/>
        <v>-43974.37929953749</v>
      </c>
      <c r="Z195" s="16">
        <f t="shared" si="68"/>
        <v>-27546.853687675673</v>
      </c>
      <c r="AA195" s="16">
        <f t="shared" si="69"/>
        <v>-93138.130107526595</v>
      </c>
      <c r="AB195" s="16">
        <f t="shared" si="70"/>
        <v>-41490.533818768206</v>
      </c>
      <c r="AC195" s="16">
        <f t="shared" si="71"/>
        <v>-41490.533818768199</v>
      </c>
      <c r="AD195" s="16">
        <f t="shared" si="72"/>
        <v>-42190.533818768192</v>
      </c>
      <c r="AE195" s="14">
        <f>IF([1]Sheet2!AJ194=999999,"NA",[1]Sheet2!AJ194)</f>
        <v>0</v>
      </c>
      <c r="AF195" s="14">
        <f>IF([1]Sheet2!AK194=999999,"NA",[1]Sheet2!AK194)</f>
        <v>0</v>
      </c>
      <c r="AG195" s="14" t="str">
        <f>IF([1]Sheet2!AL194=999999,"NA",[1]Sheet2!AL194)</f>
        <v>NA</v>
      </c>
      <c r="AH195" s="14">
        <f>IF([1]Sheet2!AM194=999999,"NA",[1]Sheet2!AM194)</f>
        <v>173</v>
      </c>
      <c r="AI195" s="14">
        <f>IF([1]Sheet2!AN194=999999,"NA",[1]Sheet2!AN194)</f>
        <v>173</v>
      </c>
      <c r="AJ195" s="14">
        <f>IF([1]Sheet2!AO194=999999,"NA",[1]Sheet2!AO194)</f>
        <v>173</v>
      </c>
      <c r="AK195" s="14">
        <f>IF([1]Sheet2!AP194=999999,"NA",[1]Sheet2!AP194)</f>
        <v>0</v>
      </c>
      <c r="AL195" s="14">
        <f>IF([1]Sheet2!AQ194=999999,"NA",[1]Sheet2!AQ194)</f>
        <v>49</v>
      </c>
      <c r="AM195" s="14">
        <f>IF([1]Sheet2!AR194=999999,"NA",[1]Sheet2!AR194)</f>
        <v>173</v>
      </c>
      <c r="AN195" s="14">
        <f>IF([1]Sheet2!AS194=999999,"NA",[1]Sheet2!AS194)</f>
        <v>105</v>
      </c>
      <c r="AO195" s="14">
        <f>[1]Sheet2!P194</f>
        <v>0</v>
      </c>
      <c r="AP195" s="14">
        <f>[1]Sheet2!Q194</f>
        <v>0</v>
      </c>
      <c r="AQ195" s="14">
        <f>[1]Sheet2!R194</f>
        <v>0</v>
      </c>
      <c r="AR195" s="14">
        <f>[1]Sheet2!S194</f>
        <v>0</v>
      </c>
      <c r="AS195" s="14">
        <f>[1]Sheet2!T194</f>
        <v>0</v>
      </c>
      <c r="AT195" s="14">
        <f>[1]Sheet2!U194</f>
        <v>0</v>
      </c>
      <c r="AU195" s="14">
        <f>[1]Sheet2!V194</f>
        <v>0</v>
      </c>
      <c r="AV195" s="14">
        <f>[1]Sheet2!W194</f>
        <v>0</v>
      </c>
      <c r="AW195" s="14">
        <f>[1]Sheet2!X194</f>
        <v>0</v>
      </c>
      <c r="AX195" s="14">
        <f>[1]Sheet2!Y194</f>
        <v>0</v>
      </c>
      <c r="AY195" s="16">
        <f>Demand_LP!B$9/31</f>
        <v>878.29658550454917</v>
      </c>
      <c r="AZ195" s="16">
        <f>Demand_LP!C$9/31</f>
        <v>663.85442514474767</v>
      </c>
      <c r="BA195" s="16">
        <f>Demand_LP!D$9/31</f>
        <v>335.39784946236568</v>
      </c>
      <c r="BB195" s="16">
        <f>Demand_LP!E$9/31</f>
        <v>725.23531844499576</v>
      </c>
      <c r="BC195" s="16">
        <f>Demand_LP!F$9/31</f>
        <v>456.65268558726217</v>
      </c>
      <c r="BD195" s="16">
        <f>Demand_LP!G$9/31</f>
        <v>878.29658550454917</v>
      </c>
      <c r="BE195" s="16">
        <f>Demand_LP!H$9/31</f>
        <v>663.85442514474767</v>
      </c>
      <c r="BF195" s="16">
        <f>Demand_LP!I$9/31</f>
        <v>456.65268558726217</v>
      </c>
      <c r="BG195" s="16">
        <f>Demand_LP!J$9/31</f>
        <v>456.65268558726217</v>
      </c>
      <c r="BH195" s="16">
        <f>Demand_LP!K$9/31</f>
        <v>456.65268558726217</v>
      </c>
      <c r="BI195" s="16" t="e">
        <f t="shared" si="73"/>
        <v>#VALUE!</v>
      </c>
      <c r="BJ195" s="16">
        <f t="shared" si="74"/>
        <v>-114488.4935483869</v>
      </c>
      <c r="BK195" s="16">
        <f t="shared" si="75"/>
        <v>-58380.982754342367</v>
      </c>
      <c r="BL195" s="16">
        <f t="shared" si="76"/>
        <v>-146539.49489692273</v>
      </c>
      <c r="BM195" s="16">
        <f t="shared" si="77"/>
        <v>-87804.226087832809</v>
      </c>
      <c r="BN195" s="16">
        <f t="shared" si="78"/>
        <v>-144543.1721414385</v>
      </c>
      <c r="BO195" s="16">
        <f t="shared" si="79"/>
        <v>-116846.07303556643</v>
      </c>
      <c r="BP195" s="16">
        <f t="shared" si="80"/>
        <v>-87261.910006203412</v>
      </c>
      <c r="BQ195" s="16">
        <f t="shared" si="81"/>
        <v>-83861.910006203456</v>
      </c>
      <c r="BR195" s="16">
        <f t="shared" si="82"/>
        <v>-85061.910006203412</v>
      </c>
      <c r="BS195" s="14">
        <f>IF([1]Sheet2!CA194=999999,"NA",[1]Sheet2!CA194)</f>
        <v>131417.08999379675</v>
      </c>
      <c r="BT195" s="14">
        <f>IF([1]Sheet2!CB194=999999,"NA",[1]Sheet2!CB194)</f>
        <v>95</v>
      </c>
      <c r="BU195" s="14">
        <f>IF([1]Sheet2!CC194=999999,"NA",[1]Sheet2!CC194)</f>
        <v>173</v>
      </c>
      <c r="BV195" s="14">
        <f>IF([1]Sheet2!CD194=999999,"NA",[1]Sheet2!CD194)</f>
        <v>173</v>
      </c>
      <c r="BW195" s="14">
        <f>IF([1]Sheet2!CE194=999999,"NA",[1]Sheet2!CE194)</f>
        <v>135</v>
      </c>
      <c r="BX195" s="14">
        <f>IF([1]Sheet2!CF194=999999,"NA",[1]Sheet2!CF194)</f>
        <v>173</v>
      </c>
      <c r="BY195" s="14">
        <f>IF([1]Sheet2!CG194=999999,"NA",[1]Sheet2!CG194)</f>
        <v>67</v>
      </c>
      <c r="BZ195" s="14">
        <f>IF([1]Sheet2!CH194=999999,"NA",[1]Sheet2!CH194)</f>
        <v>173</v>
      </c>
      <c r="CA195" s="14">
        <f>IF([1]Sheet2!CI194=999999,"NA",[1]Sheet2!CI194)</f>
        <v>173</v>
      </c>
      <c r="CB195" s="14">
        <f>IF([1]Sheet2!CJ194=999999,"NA",[1]Sheet2!CJ194)</f>
        <v>173</v>
      </c>
      <c r="CC195" s="14">
        <f>[1]Sheet2!BG194</f>
        <v>0</v>
      </c>
      <c r="CD195" s="14">
        <f>[1]Sheet2!BH194</f>
        <v>0</v>
      </c>
      <c r="CE195" s="14">
        <f>[1]Sheet2!BI194</f>
        <v>0</v>
      </c>
      <c r="CF195" s="14">
        <f>[1]Sheet2!BJ194</f>
        <v>0</v>
      </c>
      <c r="CG195" s="14">
        <f>[1]Sheet2!BK194</f>
        <v>0</v>
      </c>
      <c r="CH195" s="14">
        <f>[1]Sheet2!BL194</f>
        <v>0</v>
      </c>
      <c r="CI195" s="14">
        <f>[1]Sheet2!BM194</f>
        <v>0</v>
      </c>
      <c r="CJ195" s="14">
        <f>[1]Sheet2!BN194</f>
        <v>0</v>
      </c>
      <c r="CK195" s="14">
        <f>[1]Sheet2!BO194</f>
        <v>0</v>
      </c>
      <c r="CL195" s="14">
        <f>[1]Sheet2!BP194</f>
        <v>0</v>
      </c>
      <c r="CM195" s="16">
        <f>Demand_SW!B$9/31</f>
        <v>131.01736972704714</v>
      </c>
      <c r="CN195" s="16">
        <f>Demand_SW!C$9/31</f>
        <v>0</v>
      </c>
      <c r="CO195" s="16">
        <f>Demand_SW!D$9/31</f>
        <v>0</v>
      </c>
      <c r="CP195" s="16">
        <f>Demand_SW!E$9/31</f>
        <v>0</v>
      </c>
      <c r="CQ195" s="16">
        <f>Demand_SW!F$9/31</f>
        <v>0</v>
      </c>
      <c r="CR195" s="16">
        <f>Demand_SW!G$9/31</f>
        <v>131.01736972704714</v>
      </c>
      <c r="CS195" s="16">
        <f>Demand_SW!H$9/31</f>
        <v>0</v>
      </c>
      <c r="CT195" s="16">
        <f>Demand_SW!I$9/31</f>
        <v>0</v>
      </c>
      <c r="CU195" s="16">
        <f>Demand_SW!J$9/31</f>
        <v>0</v>
      </c>
      <c r="CV195" s="16">
        <f>Demand_SW!K$9/31</f>
        <v>0</v>
      </c>
      <c r="CW195" s="16">
        <f t="shared" si="83"/>
        <v>24961.116625310209</v>
      </c>
      <c r="CX195" s="16">
        <f t="shared" si="84"/>
        <v>-423.07692307692292</v>
      </c>
      <c r="CY195" s="16">
        <f t="shared" si="85"/>
        <v>0</v>
      </c>
      <c r="CZ195" s="16">
        <f t="shared" si="86"/>
        <v>0</v>
      </c>
      <c r="DA195" s="16">
        <f t="shared" si="87"/>
        <v>0</v>
      </c>
      <c r="DB195" s="16">
        <f t="shared" si="88"/>
        <v>-24568.114143920586</v>
      </c>
      <c r="DC195" s="16">
        <f t="shared" si="89"/>
        <v>-423.07692307692292</v>
      </c>
      <c r="DD195" s="16">
        <f t="shared" si="90"/>
        <v>0</v>
      </c>
      <c r="DE195" s="16">
        <f t="shared" si="91"/>
        <v>0</v>
      </c>
      <c r="DF195" s="16">
        <f t="shared" si="92"/>
        <v>0</v>
      </c>
      <c r="DG195" s="14">
        <f>IF([1]Sheet2!DR194=999999,"NA",[1]Sheet2!DR194)</f>
        <v>73103</v>
      </c>
      <c r="DH195" s="14">
        <f>IF([1]Sheet2!DS194=999999,"NA",[1]Sheet2!DS194)</f>
        <v>173</v>
      </c>
      <c r="DI195" s="14">
        <f>IF([1]Sheet2!DT194=999999,"NA",[1]Sheet2!DT194)</f>
        <v>173</v>
      </c>
      <c r="DJ195" s="14" t="str">
        <f>IF([1]Sheet2!DU194=999999,"NA",[1]Sheet2!DU194)</f>
        <v>NA</v>
      </c>
      <c r="DK195" s="14" t="str">
        <f>IF([1]Sheet2!DV194=999999,"NA",[1]Sheet2!DV194)</f>
        <v>NA</v>
      </c>
      <c r="DL195" s="14" t="str">
        <f>IF([1]Sheet2!DW194=999999,"NA",[1]Sheet2!DW194)</f>
        <v>NA</v>
      </c>
      <c r="DM195" s="14">
        <f>IF([1]Sheet2!DX194=999999,"NA",[1]Sheet2!DX194)</f>
        <v>173</v>
      </c>
      <c r="DN195" s="14">
        <f>IF([1]Sheet2!DY194=999999,"NA",[1]Sheet2!DY194)</f>
        <v>173</v>
      </c>
      <c r="DO195" s="14" t="str">
        <f>IF([1]Sheet2!DZ194=999999,"NA",[1]Sheet2!DZ194)</f>
        <v>NA</v>
      </c>
      <c r="DP195" s="14" t="str">
        <f>IF([1]Sheet2!EA194=999999,"NA",[1]Sheet2!EA194)</f>
        <v>NA</v>
      </c>
      <c r="DQ195" s="14">
        <f>[1]Sheet2!CX194</f>
        <v>0</v>
      </c>
      <c r="DR195" s="14">
        <f>[1]Sheet2!CY194</f>
        <v>0</v>
      </c>
      <c r="DS195" s="14">
        <f>[1]Sheet2!CZ194</f>
        <v>0</v>
      </c>
      <c r="DT195" s="14">
        <f>[1]Sheet2!DA194</f>
        <v>0</v>
      </c>
      <c r="DU195" s="14">
        <f>[1]Sheet2!DB194</f>
        <v>0</v>
      </c>
      <c r="DV195" s="14">
        <f>[1]Sheet2!DC194</f>
        <v>0</v>
      </c>
      <c r="DW195" s="14">
        <f>[1]Sheet2!DD194</f>
        <v>0</v>
      </c>
      <c r="DX195" s="14">
        <f>[1]Sheet2!DE194</f>
        <v>0</v>
      </c>
      <c r="DY195" s="14">
        <f>[1]Sheet2!DF194</f>
        <v>0</v>
      </c>
      <c r="DZ195" s="14">
        <f>[1]Sheet2!DG194</f>
        <v>0</v>
      </c>
    </row>
    <row r="196" spans="1:130" x14ac:dyDescent="0.25">
      <c r="A196" s="15">
        <v>43658</v>
      </c>
      <c r="B196" s="1"/>
      <c r="C196" s="1"/>
      <c r="D196" s="1"/>
      <c r="E196" s="14">
        <f>[1]Sheet2!N195</f>
        <v>0</v>
      </c>
      <c r="F196" s="14">
        <f>[1]Sheet2!BE195</f>
        <v>0</v>
      </c>
      <c r="G196" s="14">
        <f>[1]Sheet2!CV195</f>
        <v>262.03473945409428</v>
      </c>
      <c r="H196" s="1"/>
      <c r="I196" s="1"/>
      <c r="J196" s="1"/>
      <c r="K196" s="16">
        <f>Demand_CWRS!B$9/31</f>
        <v>137.44229993796523</v>
      </c>
      <c r="L196" s="16">
        <f>Demand_CWRS!C$9/31</f>
        <v>616.54259718775836</v>
      </c>
      <c r="M196" s="16">
        <f>Demand_CWRS!D$9/31</f>
        <v>0</v>
      </c>
      <c r="N196" s="16">
        <f>Demand_CWRS!E$9/31</f>
        <v>140.39247311827955</v>
      </c>
      <c r="O196" s="16">
        <f>Demand_CWRS!F$9/31</f>
        <v>245.11049679487181</v>
      </c>
      <c r="P196" s="16">
        <f>Demand_CWRS!G$9/31</f>
        <v>137.44229993796523</v>
      </c>
      <c r="Q196" s="16">
        <f>Demand_CWRS!H$9/31</f>
        <v>616.54259718775836</v>
      </c>
      <c r="R196" s="16">
        <f>Demand_CWRS!I$9/31</f>
        <v>245.11049679487181</v>
      </c>
      <c r="S196" s="16">
        <f>Demand_CWRS!J$9/31</f>
        <v>245.11049679487181</v>
      </c>
      <c r="T196" s="16">
        <f>Demand_CWRS!K$9/31</f>
        <v>245.11049679487181</v>
      </c>
      <c r="U196" s="16">
        <f t="shared" si="63"/>
        <v>-28010.069136652088</v>
      </c>
      <c r="V196" s="16">
        <f t="shared" si="64"/>
        <v>-94254.67270471435</v>
      </c>
      <c r="W196" s="16">
        <f t="shared" si="65"/>
        <v>0</v>
      </c>
      <c r="X196" s="16">
        <f t="shared" si="66"/>
        <v>-22225.986227240788</v>
      </c>
      <c r="Y196" s="16">
        <f t="shared" si="67"/>
        <v>-44219.48979633236</v>
      </c>
      <c r="Z196" s="16">
        <f t="shared" si="68"/>
        <v>-27684.295987613637</v>
      </c>
      <c r="AA196" s="16">
        <f t="shared" si="69"/>
        <v>-93754.67270471435</v>
      </c>
      <c r="AB196" s="16">
        <f t="shared" si="70"/>
        <v>-41735.644315563077</v>
      </c>
      <c r="AC196" s="16">
        <f t="shared" si="71"/>
        <v>-41735.64431556307</v>
      </c>
      <c r="AD196" s="16">
        <f t="shared" si="72"/>
        <v>-42435.644315563062</v>
      </c>
      <c r="AE196" s="14">
        <f>IF([1]Sheet2!AJ195=999999,"NA",[1]Sheet2!AJ195)</f>
        <v>0</v>
      </c>
      <c r="AF196" s="14">
        <f>IF([1]Sheet2!AK195=999999,"NA",[1]Sheet2!AK195)</f>
        <v>0</v>
      </c>
      <c r="AG196" s="14" t="str">
        <f>IF([1]Sheet2!AL195=999999,"NA",[1]Sheet2!AL195)</f>
        <v>NA</v>
      </c>
      <c r="AH196" s="14">
        <f>IF([1]Sheet2!AM195=999999,"NA",[1]Sheet2!AM195)</f>
        <v>172</v>
      </c>
      <c r="AI196" s="14">
        <f>IF([1]Sheet2!AN195=999999,"NA",[1]Sheet2!AN195)</f>
        <v>172</v>
      </c>
      <c r="AJ196" s="14">
        <f>IF([1]Sheet2!AO195=999999,"NA",[1]Sheet2!AO195)</f>
        <v>172</v>
      </c>
      <c r="AK196" s="14">
        <f>IF([1]Sheet2!AP195=999999,"NA",[1]Sheet2!AP195)</f>
        <v>0</v>
      </c>
      <c r="AL196" s="14">
        <f>IF([1]Sheet2!AQ195=999999,"NA",[1]Sheet2!AQ195)</f>
        <v>48</v>
      </c>
      <c r="AM196" s="14">
        <f>IF([1]Sheet2!AR195=999999,"NA",[1]Sheet2!AR195)</f>
        <v>172</v>
      </c>
      <c r="AN196" s="14">
        <f>IF([1]Sheet2!AS195=999999,"NA",[1]Sheet2!AS195)</f>
        <v>104</v>
      </c>
      <c r="AO196" s="14">
        <f>[1]Sheet2!P195</f>
        <v>0</v>
      </c>
      <c r="AP196" s="14">
        <f>[1]Sheet2!Q195</f>
        <v>0</v>
      </c>
      <c r="AQ196" s="14">
        <f>[1]Sheet2!R195</f>
        <v>0</v>
      </c>
      <c r="AR196" s="14">
        <f>[1]Sheet2!S195</f>
        <v>0</v>
      </c>
      <c r="AS196" s="14">
        <f>[1]Sheet2!T195</f>
        <v>0</v>
      </c>
      <c r="AT196" s="14">
        <f>[1]Sheet2!U195</f>
        <v>0</v>
      </c>
      <c r="AU196" s="14">
        <f>[1]Sheet2!V195</f>
        <v>0</v>
      </c>
      <c r="AV196" s="14">
        <f>[1]Sheet2!W195</f>
        <v>0</v>
      </c>
      <c r="AW196" s="14">
        <f>[1]Sheet2!X195</f>
        <v>0</v>
      </c>
      <c r="AX196" s="14">
        <f>[1]Sheet2!Y195</f>
        <v>0</v>
      </c>
      <c r="AY196" s="16">
        <f>Demand_LP!B$9/31</f>
        <v>878.29658550454917</v>
      </c>
      <c r="AZ196" s="16">
        <f>Demand_LP!C$9/31</f>
        <v>663.85442514474767</v>
      </c>
      <c r="BA196" s="16">
        <f>Demand_LP!D$9/31</f>
        <v>335.39784946236568</v>
      </c>
      <c r="BB196" s="16">
        <f>Demand_LP!E$9/31</f>
        <v>725.23531844499576</v>
      </c>
      <c r="BC196" s="16">
        <f>Demand_LP!F$9/31</f>
        <v>456.65268558726217</v>
      </c>
      <c r="BD196" s="16">
        <f>Demand_LP!G$9/31</f>
        <v>878.29658550454917</v>
      </c>
      <c r="BE196" s="16">
        <f>Demand_LP!H$9/31</f>
        <v>663.85442514474767</v>
      </c>
      <c r="BF196" s="16">
        <f>Demand_LP!I$9/31</f>
        <v>456.65268558726217</v>
      </c>
      <c r="BG196" s="16">
        <f>Demand_LP!J$9/31</f>
        <v>456.65268558726217</v>
      </c>
      <c r="BH196" s="16">
        <f>Demand_LP!K$9/31</f>
        <v>456.65268558726217</v>
      </c>
      <c r="BI196" s="16" t="e">
        <f t="shared" si="73"/>
        <v>#VALUE!</v>
      </c>
      <c r="BJ196" s="16">
        <f t="shared" si="74"/>
        <v>-115152.34797353165</v>
      </c>
      <c r="BK196" s="16">
        <f t="shared" si="75"/>
        <v>-58716.380603804733</v>
      </c>
      <c r="BL196" s="16">
        <f t="shared" si="76"/>
        <v>-147264.73021536772</v>
      </c>
      <c r="BM196" s="16">
        <f t="shared" si="77"/>
        <v>-88260.878773420074</v>
      </c>
      <c r="BN196" s="16">
        <f t="shared" si="78"/>
        <v>-145421.46872694304</v>
      </c>
      <c r="BO196" s="16">
        <f t="shared" si="79"/>
        <v>-117509.92746071117</v>
      </c>
      <c r="BP196" s="16">
        <f t="shared" si="80"/>
        <v>-87718.562691790677</v>
      </c>
      <c r="BQ196" s="16">
        <f t="shared" si="81"/>
        <v>-84318.562691790721</v>
      </c>
      <c r="BR196" s="16">
        <f t="shared" si="82"/>
        <v>-85518.562691790677</v>
      </c>
      <c r="BS196" s="14">
        <f>IF([1]Sheet2!CA195=999999,"NA",[1]Sheet2!CA195)</f>
        <v>130960.43730820948</v>
      </c>
      <c r="BT196" s="14">
        <f>IF([1]Sheet2!CB195=999999,"NA",[1]Sheet2!CB195)</f>
        <v>94</v>
      </c>
      <c r="BU196" s="14">
        <f>IF([1]Sheet2!CC195=999999,"NA",[1]Sheet2!CC195)</f>
        <v>172</v>
      </c>
      <c r="BV196" s="14">
        <f>IF([1]Sheet2!CD195=999999,"NA",[1]Sheet2!CD195)</f>
        <v>172</v>
      </c>
      <c r="BW196" s="14">
        <f>IF([1]Sheet2!CE195=999999,"NA",[1]Sheet2!CE195)</f>
        <v>134</v>
      </c>
      <c r="BX196" s="14">
        <f>IF([1]Sheet2!CF195=999999,"NA",[1]Sheet2!CF195)</f>
        <v>172</v>
      </c>
      <c r="BY196" s="14">
        <f>IF([1]Sheet2!CG195=999999,"NA",[1]Sheet2!CG195)</f>
        <v>66</v>
      </c>
      <c r="BZ196" s="14">
        <f>IF([1]Sheet2!CH195=999999,"NA",[1]Sheet2!CH195)</f>
        <v>172</v>
      </c>
      <c r="CA196" s="14">
        <f>IF([1]Sheet2!CI195=999999,"NA",[1]Sheet2!CI195)</f>
        <v>172</v>
      </c>
      <c r="CB196" s="14">
        <f>IF([1]Sheet2!CJ195=999999,"NA",[1]Sheet2!CJ195)</f>
        <v>172</v>
      </c>
      <c r="CC196" s="14">
        <f>[1]Sheet2!BG195</f>
        <v>0</v>
      </c>
      <c r="CD196" s="14">
        <f>[1]Sheet2!BH195</f>
        <v>0</v>
      </c>
      <c r="CE196" s="14">
        <f>[1]Sheet2!BI195</f>
        <v>0</v>
      </c>
      <c r="CF196" s="14">
        <f>[1]Sheet2!BJ195</f>
        <v>0</v>
      </c>
      <c r="CG196" s="14">
        <f>[1]Sheet2!BK195</f>
        <v>0</v>
      </c>
      <c r="CH196" s="14">
        <f>[1]Sheet2!BL195</f>
        <v>0</v>
      </c>
      <c r="CI196" s="14">
        <f>[1]Sheet2!BM195</f>
        <v>0</v>
      </c>
      <c r="CJ196" s="14">
        <f>[1]Sheet2!BN195</f>
        <v>0</v>
      </c>
      <c r="CK196" s="14">
        <f>[1]Sheet2!BO195</f>
        <v>0</v>
      </c>
      <c r="CL196" s="14">
        <f>[1]Sheet2!BP195</f>
        <v>0</v>
      </c>
      <c r="CM196" s="16">
        <f>Demand_SW!B$9/31</f>
        <v>131.01736972704714</v>
      </c>
      <c r="CN196" s="16">
        <f>Demand_SW!C$9/31</f>
        <v>0</v>
      </c>
      <c r="CO196" s="16">
        <f>Demand_SW!D$9/31</f>
        <v>0</v>
      </c>
      <c r="CP196" s="16">
        <f>Demand_SW!E$9/31</f>
        <v>0</v>
      </c>
      <c r="CQ196" s="16">
        <f>Demand_SW!F$9/31</f>
        <v>0</v>
      </c>
      <c r="CR196" s="16">
        <f>Demand_SW!G$9/31</f>
        <v>131.01736972704714</v>
      </c>
      <c r="CS196" s="16">
        <f>Demand_SW!H$9/31</f>
        <v>0</v>
      </c>
      <c r="CT196" s="16">
        <f>Demand_SW!I$9/31</f>
        <v>0</v>
      </c>
      <c r="CU196" s="16">
        <f>Demand_SW!J$9/31</f>
        <v>0</v>
      </c>
      <c r="CV196" s="16">
        <f>Demand_SW!K$9/31</f>
        <v>0</v>
      </c>
      <c r="CW196" s="16">
        <f t="shared" si="83"/>
        <v>24830.099255583162</v>
      </c>
      <c r="CX196" s="16">
        <f t="shared" si="84"/>
        <v>-423.07692307692292</v>
      </c>
      <c r="CY196" s="16">
        <f t="shared" si="85"/>
        <v>0</v>
      </c>
      <c r="CZ196" s="16">
        <f t="shared" si="86"/>
        <v>0</v>
      </c>
      <c r="DA196" s="16">
        <f t="shared" si="87"/>
        <v>0</v>
      </c>
      <c r="DB196" s="16">
        <f t="shared" si="88"/>
        <v>-24699.131513647633</v>
      </c>
      <c r="DC196" s="16">
        <f t="shared" si="89"/>
        <v>-423.07692307692292</v>
      </c>
      <c r="DD196" s="16">
        <f t="shared" si="90"/>
        <v>0</v>
      </c>
      <c r="DE196" s="16">
        <f t="shared" si="91"/>
        <v>0</v>
      </c>
      <c r="DF196" s="16">
        <f t="shared" si="92"/>
        <v>0</v>
      </c>
      <c r="DG196" s="14">
        <f>IF([1]Sheet2!DR195=999999,"NA",[1]Sheet2!DR195)</f>
        <v>73103</v>
      </c>
      <c r="DH196" s="14">
        <f>IF([1]Sheet2!DS195=999999,"NA",[1]Sheet2!DS195)</f>
        <v>172</v>
      </c>
      <c r="DI196" s="14">
        <f>IF([1]Sheet2!DT195=999999,"NA",[1]Sheet2!DT195)</f>
        <v>172</v>
      </c>
      <c r="DJ196" s="14" t="str">
        <f>IF([1]Sheet2!DU195=999999,"NA",[1]Sheet2!DU195)</f>
        <v>NA</v>
      </c>
      <c r="DK196" s="14" t="str">
        <f>IF([1]Sheet2!DV195=999999,"NA",[1]Sheet2!DV195)</f>
        <v>NA</v>
      </c>
      <c r="DL196" s="14" t="str">
        <f>IF([1]Sheet2!DW195=999999,"NA",[1]Sheet2!DW195)</f>
        <v>NA</v>
      </c>
      <c r="DM196" s="14">
        <f>IF([1]Sheet2!DX195=999999,"NA",[1]Sheet2!DX195)</f>
        <v>172</v>
      </c>
      <c r="DN196" s="14">
        <f>IF([1]Sheet2!DY195=999999,"NA",[1]Sheet2!DY195)</f>
        <v>172</v>
      </c>
      <c r="DO196" s="14" t="str">
        <f>IF([1]Sheet2!DZ195=999999,"NA",[1]Sheet2!DZ195)</f>
        <v>NA</v>
      </c>
      <c r="DP196" s="14" t="str">
        <f>IF([1]Sheet2!EA195=999999,"NA",[1]Sheet2!EA195)</f>
        <v>NA</v>
      </c>
      <c r="DQ196" s="14">
        <f>[1]Sheet2!CX195</f>
        <v>0</v>
      </c>
      <c r="DR196" s="14">
        <f>[1]Sheet2!CY195</f>
        <v>0</v>
      </c>
      <c r="DS196" s="14">
        <f>[1]Sheet2!CZ195</f>
        <v>0</v>
      </c>
      <c r="DT196" s="14">
        <f>[1]Sheet2!DA195</f>
        <v>0</v>
      </c>
      <c r="DU196" s="14">
        <f>[1]Sheet2!DB195</f>
        <v>0</v>
      </c>
      <c r="DV196" s="14">
        <f>[1]Sheet2!DC195</f>
        <v>0</v>
      </c>
      <c r="DW196" s="14">
        <f>[1]Sheet2!DD195</f>
        <v>0</v>
      </c>
      <c r="DX196" s="14">
        <f>[1]Sheet2!DE195</f>
        <v>0</v>
      </c>
      <c r="DY196" s="14">
        <f>[1]Sheet2!DF195</f>
        <v>0</v>
      </c>
      <c r="DZ196" s="14">
        <f>[1]Sheet2!DG195</f>
        <v>0</v>
      </c>
    </row>
    <row r="197" spans="1:130" x14ac:dyDescent="0.25">
      <c r="A197" s="15">
        <v>43659</v>
      </c>
      <c r="B197" s="1"/>
      <c r="C197" s="1"/>
      <c r="D197" s="1"/>
      <c r="E197" s="14">
        <f>[1]Sheet2!N196</f>
        <v>0</v>
      </c>
      <c r="F197" s="14">
        <f>[1]Sheet2!BE196</f>
        <v>0</v>
      </c>
      <c r="G197" s="14">
        <f>[1]Sheet2!CV196</f>
        <v>262.03473945409428</v>
      </c>
      <c r="H197" s="1"/>
      <c r="I197" s="1"/>
      <c r="J197" s="1"/>
      <c r="K197" s="16">
        <f>Demand_CWRS!B$9/31</f>
        <v>137.44229993796523</v>
      </c>
      <c r="L197" s="16">
        <f>Demand_CWRS!C$9/31</f>
        <v>616.54259718775836</v>
      </c>
      <c r="M197" s="16">
        <f>Demand_CWRS!D$9/31</f>
        <v>0</v>
      </c>
      <c r="N197" s="16">
        <f>Demand_CWRS!E$9/31</f>
        <v>140.39247311827955</v>
      </c>
      <c r="O197" s="16">
        <f>Demand_CWRS!F$9/31</f>
        <v>245.11049679487181</v>
      </c>
      <c r="P197" s="16">
        <f>Demand_CWRS!G$9/31</f>
        <v>137.44229993796523</v>
      </c>
      <c r="Q197" s="16">
        <f>Demand_CWRS!H$9/31</f>
        <v>616.54259718775836</v>
      </c>
      <c r="R197" s="16">
        <f>Demand_CWRS!I$9/31</f>
        <v>245.11049679487181</v>
      </c>
      <c r="S197" s="16">
        <f>Demand_CWRS!J$9/31</f>
        <v>245.11049679487181</v>
      </c>
      <c r="T197" s="16">
        <f>Demand_CWRS!K$9/31</f>
        <v>245.11049679487181</v>
      </c>
      <c r="U197" s="16">
        <f t="shared" ref="U197:U260" si="93">U196-K197+AO197</f>
        <v>-28147.511436590052</v>
      </c>
      <c r="V197" s="16">
        <f t="shared" ref="V197:V260" si="94">V196-L197+AP197</f>
        <v>-94871.215301902106</v>
      </c>
      <c r="W197" s="16">
        <f t="shared" ref="W197:W260" si="95">W196-M197+AQ197</f>
        <v>0</v>
      </c>
      <c r="X197" s="16">
        <f t="shared" ref="X197:X260" si="96">X196-N197+AR197</f>
        <v>-22366.378700359066</v>
      </c>
      <c r="Y197" s="16">
        <f t="shared" ref="Y197:Y260" si="97">Y196-O197+AS197</f>
        <v>-44464.600293127231</v>
      </c>
      <c r="Z197" s="16">
        <f t="shared" ref="Z197:Z260" si="98">Z196-P197+AT197</f>
        <v>-27821.738287551601</v>
      </c>
      <c r="AA197" s="16">
        <f t="shared" ref="AA197:AA260" si="99">AA196-Q197+AU197</f>
        <v>-94371.215301902106</v>
      </c>
      <c r="AB197" s="16">
        <f t="shared" ref="AB197:AB260" si="100">AB196-R197+AV197</f>
        <v>-41980.754812357947</v>
      </c>
      <c r="AC197" s="16">
        <f t="shared" ref="AC197:AC260" si="101">AC196-S197+AW197</f>
        <v>-41980.75481235794</v>
      </c>
      <c r="AD197" s="16">
        <f t="shared" ref="AD197:AD260" si="102">AD196-T197+AX197</f>
        <v>-42680.754812357933</v>
      </c>
      <c r="AE197" s="14">
        <f>IF([1]Sheet2!AJ196=999999,"NA",[1]Sheet2!AJ196)</f>
        <v>0</v>
      </c>
      <c r="AF197" s="14">
        <f>IF([1]Sheet2!AK196=999999,"NA",[1]Sheet2!AK196)</f>
        <v>0</v>
      </c>
      <c r="AG197" s="14" t="str">
        <f>IF([1]Sheet2!AL196=999999,"NA",[1]Sheet2!AL196)</f>
        <v>NA</v>
      </c>
      <c r="AH197" s="14">
        <f>IF([1]Sheet2!AM196=999999,"NA",[1]Sheet2!AM196)</f>
        <v>171</v>
      </c>
      <c r="AI197" s="14">
        <f>IF([1]Sheet2!AN196=999999,"NA",[1]Sheet2!AN196)</f>
        <v>171</v>
      </c>
      <c r="AJ197" s="14">
        <f>IF([1]Sheet2!AO196=999999,"NA",[1]Sheet2!AO196)</f>
        <v>171</v>
      </c>
      <c r="AK197" s="14">
        <f>IF([1]Sheet2!AP196=999999,"NA",[1]Sheet2!AP196)</f>
        <v>0</v>
      </c>
      <c r="AL197" s="14">
        <f>IF([1]Sheet2!AQ196=999999,"NA",[1]Sheet2!AQ196)</f>
        <v>47</v>
      </c>
      <c r="AM197" s="14">
        <f>IF([1]Sheet2!AR196=999999,"NA",[1]Sheet2!AR196)</f>
        <v>171</v>
      </c>
      <c r="AN197" s="14">
        <f>IF([1]Sheet2!AS196=999999,"NA",[1]Sheet2!AS196)</f>
        <v>103</v>
      </c>
      <c r="AO197" s="14">
        <f>[1]Sheet2!P196</f>
        <v>0</v>
      </c>
      <c r="AP197" s="14">
        <f>[1]Sheet2!Q196</f>
        <v>0</v>
      </c>
      <c r="AQ197" s="14">
        <f>[1]Sheet2!R196</f>
        <v>0</v>
      </c>
      <c r="AR197" s="14">
        <f>[1]Sheet2!S196</f>
        <v>0</v>
      </c>
      <c r="AS197" s="14">
        <f>[1]Sheet2!T196</f>
        <v>0</v>
      </c>
      <c r="AT197" s="14">
        <f>[1]Sheet2!U196</f>
        <v>0</v>
      </c>
      <c r="AU197" s="14">
        <f>[1]Sheet2!V196</f>
        <v>0</v>
      </c>
      <c r="AV197" s="14">
        <f>[1]Sheet2!W196</f>
        <v>0</v>
      </c>
      <c r="AW197" s="14">
        <f>[1]Sheet2!X196</f>
        <v>0</v>
      </c>
      <c r="AX197" s="14">
        <f>[1]Sheet2!Y196</f>
        <v>0</v>
      </c>
      <c r="AY197" s="16">
        <f>Demand_LP!B$9/31</f>
        <v>878.29658550454917</v>
      </c>
      <c r="AZ197" s="16">
        <f>Demand_LP!C$9/31</f>
        <v>663.85442514474767</v>
      </c>
      <c r="BA197" s="16">
        <f>Demand_LP!D$9/31</f>
        <v>335.39784946236568</v>
      </c>
      <c r="BB197" s="16">
        <f>Demand_LP!E$9/31</f>
        <v>725.23531844499576</v>
      </c>
      <c r="BC197" s="16">
        <f>Demand_LP!F$9/31</f>
        <v>456.65268558726217</v>
      </c>
      <c r="BD197" s="16">
        <f>Demand_LP!G$9/31</f>
        <v>878.29658550454917</v>
      </c>
      <c r="BE197" s="16">
        <f>Demand_LP!H$9/31</f>
        <v>663.85442514474767</v>
      </c>
      <c r="BF197" s="16">
        <f>Demand_LP!I$9/31</f>
        <v>456.65268558726217</v>
      </c>
      <c r="BG197" s="16">
        <f>Demand_LP!J$9/31</f>
        <v>456.65268558726217</v>
      </c>
      <c r="BH197" s="16">
        <f>Demand_LP!K$9/31</f>
        <v>456.65268558726217</v>
      </c>
      <c r="BI197" s="16" t="e">
        <f t="shared" ref="BI197:BI260" si="103">BI196-AY197+CC197</f>
        <v>#VALUE!</v>
      </c>
      <c r="BJ197" s="16">
        <f t="shared" ref="BJ197:BJ260" si="104">BJ196-AZ197+CD197</f>
        <v>-115816.2023986764</v>
      </c>
      <c r="BK197" s="16">
        <f t="shared" ref="BK197:BK260" si="105">BK196-BA197+CE197</f>
        <v>-59051.778453267099</v>
      </c>
      <c r="BL197" s="16">
        <f t="shared" ref="BL197:BL260" si="106">BL196-BB197+CF197</f>
        <v>-147989.9655338127</v>
      </c>
      <c r="BM197" s="16">
        <f t="shared" ref="BM197:BM260" si="107">BM196-BC197+CG197</f>
        <v>-88717.531459007339</v>
      </c>
      <c r="BN197" s="16">
        <f t="shared" ref="BN197:BN260" si="108">BN196-BD197+CH197</f>
        <v>-146299.76531244759</v>
      </c>
      <c r="BO197" s="16">
        <f t="shared" ref="BO197:BO260" si="109">BO196-BE197+CI197</f>
        <v>-118173.78188585592</v>
      </c>
      <c r="BP197" s="16">
        <f t="shared" ref="BP197:BP260" si="110">BP196-BF197+CJ197</f>
        <v>-88175.215377377943</v>
      </c>
      <c r="BQ197" s="16">
        <f t="shared" ref="BQ197:BQ260" si="111">BQ196-BG197+CK197</f>
        <v>-84775.215377377986</v>
      </c>
      <c r="BR197" s="16">
        <f t="shared" ref="BR197:BR260" si="112">BR196-BH197+CL197</f>
        <v>-85975.215377377943</v>
      </c>
      <c r="BS197" s="14">
        <f>IF([1]Sheet2!CA196=999999,"NA",[1]Sheet2!CA196)</f>
        <v>130503.78462262222</v>
      </c>
      <c r="BT197" s="14">
        <f>IF([1]Sheet2!CB196=999999,"NA",[1]Sheet2!CB196)</f>
        <v>93</v>
      </c>
      <c r="BU197" s="14">
        <f>IF([1]Sheet2!CC196=999999,"NA",[1]Sheet2!CC196)</f>
        <v>171</v>
      </c>
      <c r="BV197" s="14">
        <f>IF([1]Sheet2!CD196=999999,"NA",[1]Sheet2!CD196)</f>
        <v>171</v>
      </c>
      <c r="BW197" s="14">
        <f>IF([1]Sheet2!CE196=999999,"NA",[1]Sheet2!CE196)</f>
        <v>133</v>
      </c>
      <c r="BX197" s="14">
        <f>IF([1]Sheet2!CF196=999999,"NA",[1]Sheet2!CF196)</f>
        <v>171</v>
      </c>
      <c r="BY197" s="14">
        <f>IF([1]Sheet2!CG196=999999,"NA",[1]Sheet2!CG196)</f>
        <v>65</v>
      </c>
      <c r="BZ197" s="14">
        <f>IF([1]Sheet2!CH196=999999,"NA",[1]Sheet2!CH196)</f>
        <v>171</v>
      </c>
      <c r="CA197" s="14">
        <f>IF([1]Sheet2!CI196=999999,"NA",[1]Sheet2!CI196)</f>
        <v>171</v>
      </c>
      <c r="CB197" s="14">
        <f>IF([1]Sheet2!CJ196=999999,"NA",[1]Sheet2!CJ196)</f>
        <v>171</v>
      </c>
      <c r="CC197" s="14">
        <f>[1]Sheet2!BG196</f>
        <v>0</v>
      </c>
      <c r="CD197" s="14">
        <f>[1]Sheet2!BH196</f>
        <v>0</v>
      </c>
      <c r="CE197" s="14">
        <f>[1]Sheet2!BI196</f>
        <v>0</v>
      </c>
      <c r="CF197" s="14">
        <f>[1]Sheet2!BJ196</f>
        <v>0</v>
      </c>
      <c r="CG197" s="14">
        <f>[1]Sheet2!BK196</f>
        <v>0</v>
      </c>
      <c r="CH197" s="14">
        <f>[1]Sheet2!BL196</f>
        <v>0</v>
      </c>
      <c r="CI197" s="14">
        <f>[1]Sheet2!BM196</f>
        <v>0</v>
      </c>
      <c r="CJ197" s="14">
        <f>[1]Sheet2!BN196</f>
        <v>0</v>
      </c>
      <c r="CK197" s="14">
        <f>[1]Sheet2!BO196</f>
        <v>0</v>
      </c>
      <c r="CL197" s="14">
        <f>[1]Sheet2!BP196</f>
        <v>0</v>
      </c>
      <c r="CM197" s="16">
        <f>Demand_SW!B$9/31</f>
        <v>131.01736972704714</v>
      </c>
      <c r="CN197" s="16">
        <f>Demand_SW!C$9/31</f>
        <v>0</v>
      </c>
      <c r="CO197" s="16">
        <f>Demand_SW!D$9/31</f>
        <v>0</v>
      </c>
      <c r="CP197" s="16">
        <f>Demand_SW!E$9/31</f>
        <v>0</v>
      </c>
      <c r="CQ197" s="16">
        <f>Demand_SW!F$9/31</f>
        <v>0</v>
      </c>
      <c r="CR197" s="16">
        <f>Demand_SW!G$9/31</f>
        <v>131.01736972704714</v>
      </c>
      <c r="CS197" s="16">
        <f>Demand_SW!H$9/31</f>
        <v>0</v>
      </c>
      <c r="CT197" s="16">
        <f>Demand_SW!I$9/31</f>
        <v>0</v>
      </c>
      <c r="CU197" s="16">
        <f>Demand_SW!J$9/31</f>
        <v>0</v>
      </c>
      <c r="CV197" s="16">
        <f>Demand_SW!K$9/31</f>
        <v>0</v>
      </c>
      <c r="CW197" s="16">
        <f t="shared" ref="CW197:CW260" si="113">CW196-CM197+DQ197</f>
        <v>24699.081885856114</v>
      </c>
      <c r="CX197" s="16">
        <f t="shared" ref="CX197:CX260" si="114">CX196-CN197+DR197</f>
        <v>-423.07692307692292</v>
      </c>
      <c r="CY197" s="16">
        <f t="shared" ref="CY197:CY260" si="115">CY196-CO197+DS197</f>
        <v>0</v>
      </c>
      <c r="CZ197" s="16">
        <f t="shared" ref="CZ197:CZ260" si="116">CZ196-CP197+DT197</f>
        <v>0</v>
      </c>
      <c r="DA197" s="16">
        <f t="shared" ref="DA197:DA260" si="117">DA196-CQ197+DU197</f>
        <v>0</v>
      </c>
      <c r="DB197" s="16">
        <f t="shared" ref="DB197:DB260" si="118">DB196-CR197+DV197</f>
        <v>-24830.148883374681</v>
      </c>
      <c r="DC197" s="16">
        <f t="shared" ref="DC197:DC260" si="119">DC196-CS197+DW197</f>
        <v>-423.07692307692292</v>
      </c>
      <c r="DD197" s="16">
        <f t="shared" ref="DD197:DD260" si="120">DD196-CT197+DX197</f>
        <v>0</v>
      </c>
      <c r="DE197" s="16">
        <f t="shared" ref="DE197:DE260" si="121">DE196-CU197+DY197</f>
        <v>0</v>
      </c>
      <c r="DF197" s="16">
        <f t="shared" ref="DF197:DF260" si="122">DF196-CV197+DZ197</f>
        <v>0</v>
      </c>
      <c r="DG197" s="14">
        <f>IF([1]Sheet2!DR196=999999,"NA",[1]Sheet2!DR196)</f>
        <v>73103</v>
      </c>
      <c r="DH197" s="14">
        <f>IF([1]Sheet2!DS196=999999,"NA",[1]Sheet2!DS196)</f>
        <v>171</v>
      </c>
      <c r="DI197" s="14">
        <f>IF([1]Sheet2!DT196=999999,"NA",[1]Sheet2!DT196)</f>
        <v>171</v>
      </c>
      <c r="DJ197" s="14" t="str">
        <f>IF([1]Sheet2!DU196=999999,"NA",[1]Sheet2!DU196)</f>
        <v>NA</v>
      </c>
      <c r="DK197" s="14" t="str">
        <f>IF([1]Sheet2!DV196=999999,"NA",[1]Sheet2!DV196)</f>
        <v>NA</v>
      </c>
      <c r="DL197" s="14" t="str">
        <f>IF([1]Sheet2!DW196=999999,"NA",[1]Sheet2!DW196)</f>
        <v>NA</v>
      </c>
      <c r="DM197" s="14">
        <f>IF([1]Sheet2!DX196=999999,"NA",[1]Sheet2!DX196)</f>
        <v>171</v>
      </c>
      <c r="DN197" s="14">
        <f>IF([1]Sheet2!DY196=999999,"NA",[1]Sheet2!DY196)</f>
        <v>171</v>
      </c>
      <c r="DO197" s="14" t="str">
        <f>IF([1]Sheet2!DZ196=999999,"NA",[1]Sheet2!DZ196)</f>
        <v>NA</v>
      </c>
      <c r="DP197" s="14" t="str">
        <f>IF([1]Sheet2!EA196=999999,"NA",[1]Sheet2!EA196)</f>
        <v>NA</v>
      </c>
      <c r="DQ197" s="14">
        <f>[1]Sheet2!CX196</f>
        <v>0</v>
      </c>
      <c r="DR197" s="14">
        <f>[1]Sheet2!CY196</f>
        <v>0</v>
      </c>
      <c r="DS197" s="14">
        <f>[1]Sheet2!CZ196</f>
        <v>0</v>
      </c>
      <c r="DT197" s="14">
        <f>[1]Sheet2!DA196</f>
        <v>0</v>
      </c>
      <c r="DU197" s="14">
        <f>[1]Sheet2!DB196</f>
        <v>0</v>
      </c>
      <c r="DV197" s="14">
        <f>[1]Sheet2!DC196</f>
        <v>0</v>
      </c>
      <c r="DW197" s="14">
        <f>[1]Sheet2!DD196</f>
        <v>0</v>
      </c>
      <c r="DX197" s="14">
        <f>[1]Sheet2!DE196</f>
        <v>0</v>
      </c>
      <c r="DY197" s="14">
        <f>[1]Sheet2!DF196</f>
        <v>0</v>
      </c>
      <c r="DZ197" s="14">
        <f>[1]Sheet2!DG196</f>
        <v>0</v>
      </c>
    </row>
    <row r="198" spans="1:130" x14ac:dyDescent="0.25">
      <c r="A198" s="15">
        <v>43660</v>
      </c>
      <c r="B198" s="1"/>
      <c r="C198" s="1"/>
      <c r="D198" s="1"/>
      <c r="E198" s="14">
        <f>[1]Sheet2!N197</f>
        <v>0</v>
      </c>
      <c r="F198" s="14">
        <f>[1]Sheet2!BE197</f>
        <v>0</v>
      </c>
      <c r="G198" s="14">
        <f>[1]Sheet2!CV197</f>
        <v>262.03473945409428</v>
      </c>
      <c r="H198" s="1"/>
      <c r="I198" s="1"/>
      <c r="J198" s="1"/>
      <c r="K198" s="16">
        <f>Demand_CWRS!B$9/31</f>
        <v>137.44229993796523</v>
      </c>
      <c r="L198" s="16">
        <f>Demand_CWRS!C$9/31</f>
        <v>616.54259718775836</v>
      </c>
      <c r="M198" s="16">
        <f>Demand_CWRS!D$9/31</f>
        <v>0</v>
      </c>
      <c r="N198" s="16">
        <f>Demand_CWRS!E$9/31</f>
        <v>140.39247311827955</v>
      </c>
      <c r="O198" s="16">
        <f>Demand_CWRS!F$9/31</f>
        <v>245.11049679487181</v>
      </c>
      <c r="P198" s="16">
        <f>Demand_CWRS!G$9/31</f>
        <v>137.44229993796523</v>
      </c>
      <c r="Q198" s="16">
        <f>Demand_CWRS!H$9/31</f>
        <v>616.54259718775836</v>
      </c>
      <c r="R198" s="16">
        <f>Demand_CWRS!I$9/31</f>
        <v>245.11049679487181</v>
      </c>
      <c r="S198" s="16">
        <f>Demand_CWRS!J$9/31</f>
        <v>245.11049679487181</v>
      </c>
      <c r="T198" s="16">
        <f>Demand_CWRS!K$9/31</f>
        <v>245.11049679487181</v>
      </c>
      <c r="U198" s="16">
        <f t="shared" si="93"/>
        <v>-28284.953736528016</v>
      </c>
      <c r="V198" s="16">
        <f t="shared" si="94"/>
        <v>-95487.757899089862</v>
      </c>
      <c r="W198" s="16">
        <f t="shared" si="95"/>
        <v>0</v>
      </c>
      <c r="X198" s="16">
        <f t="shared" si="96"/>
        <v>-22506.771173477344</v>
      </c>
      <c r="Y198" s="16">
        <f t="shared" si="97"/>
        <v>-44709.710789922101</v>
      </c>
      <c r="Z198" s="16">
        <f t="shared" si="98"/>
        <v>-27959.180587489565</v>
      </c>
      <c r="AA198" s="16">
        <f t="shared" si="99"/>
        <v>-94987.757899089862</v>
      </c>
      <c r="AB198" s="16">
        <f t="shared" si="100"/>
        <v>-42225.865309152818</v>
      </c>
      <c r="AC198" s="16">
        <f t="shared" si="101"/>
        <v>-42225.86530915281</v>
      </c>
      <c r="AD198" s="16">
        <f t="shared" si="102"/>
        <v>-42925.865309152803</v>
      </c>
      <c r="AE198" s="14">
        <f>IF([1]Sheet2!AJ197=999999,"NA",[1]Sheet2!AJ197)</f>
        <v>0</v>
      </c>
      <c r="AF198" s="14">
        <f>IF([1]Sheet2!AK197=999999,"NA",[1]Sheet2!AK197)</f>
        <v>0</v>
      </c>
      <c r="AG198" s="14" t="str">
        <f>IF([1]Sheet2!AL197=999999,"NA",[1]Sheet2!AL197)</f>
        <v>NA</v>
      </c>
      <c r="AH198" s="14">
        <f>IF([1]Sheet2!AM197=999999,"NA",[1]Sheet2!AM197)</f>
        <v>170</v>
      </c>
      <c r="AI198" s="14">
        <f>IF([1]Sheet2!AN197=999999,"NA",[1]Sheet2!AN197)</f>
        <v>170</v>
      </c>
      <c r="AJ198" s="14">
        <f>IF([1]Sheet2!AO197=999999,"NA",[1]Sheet2!AO197)</f>
        <v>170</v>
      </c>
      <c r="AK198" s="14">
        <f>IF([1]Sheet2!AP197=999999,"NA",[1]Sheet2!AP197)</f>
        <v>0</v>
      </c>
      <c r="AL198" s="14">
        <f>IF([1]Sheet2!AQ197=999999,"NA",[1]Sheet2!AQ197)</f>
        <v>46</v>
      </c>
      <c r="AM198" s="14">
        <f>IF([1]Sheet2!AR197=999999,"NA",[1]Sheet2!AR197)</f>
        <v>170</v>
      </c>
      <c r="AN198" s="14">
        <f>IF([1]Sheet2!AS197=999999,"NA",[1]Sheet2!AS197)</f>
        <v>102</v>
      </c>
      <c r="AO198" s="14">
        <f>[1]Sheet2!P197</f>
        <v>0</v>
      </c>
      <c r="AP198" s="14">
        <f>[1]Sheet2!Q197</f>
        <v>0</v>
      </c>
      <c r="AQ198" s="14">
        <f>[1]Sheet2!R197</f>
        <v>0</v>
      </c>
      <c r="AR198" s="14">
        <f>[1]Sheet2!S197</f>
        <v>0</v>
      </c>
      <c r="AS198" s="14">
        <f>[1]Sheet2!T197</f>
        <v>0</v>
      </c>
      <c r="AT198" s="14">
        <f>[1]Sheet2!U197</f>
        <v>0</v>
      </c>
      <c r="AU198" s="14">
        <f>[1]Sheet2!V197</f>
        <v>0</v>
      </c>
      <c r="AV198" s="14">
        <f>[1]Sheet2!W197</f>
        <v>0</v>
      </c>
      <c r="AW198" s="14">
        <f>[1]Sheet2!X197</f>
        <v>0</v>
      </c>
      <c r="AX198" s="14">
        <f>[1]Sheet2!Y197</f>
        <v>0</v>
      </c>
      <c r="AY198" s="16">
        <f>Demand_LP!B$9/31</f>
        <v>878.29658550454917</v>
      </c>
      <c r="AZ198" s="16">
        <f>Demand_LP!C$9/31</f>
        <v>663.85442514474767</v>
      </c>
      <c r="BA198" s="16">
        <f>Demand_LP!D$9/31</f>
        <v>335.39784946236568</v>
      </c>
      <c r="BB198" s="16">
        <f>Demand_LP!E$9/31</f>
        <v>725.23531844499576</v>
      </c>
      <c r="BC198" s="16">
        <f>Demand_LP!F$9/31</f>
        <v>456.65268558726217</v>
      </c>
      <c r="BD198" s="16">
        <f>Demand_LP!G$9/31</f>
        <v>878.29658550454917</v>
      </c>
      <c r="BE198" s="16">
        <f>Demand_LP!H$9/31</f>
        <v>663.85442514474767</v>
      </c>
      <c r="BF198" s="16">
        <f>Demand_LP!I$9/31</f>
        <v>456.65268558726217</v>
      </c>
      <c r="BG198" s="16">
        <f>Demand_LP!J$9/31</f>
        <v>456.65268558726217</v>
      </c>
      <c r="BH198" s="16">
        <f>Demand_LP!K$9/31</f>
        <v>456.65268558726217</v>
      </c>
      <c r="BI198" s="16" t="e">
        <f t="shared" si="103"/>
        <v>#VALUE!</v>
      </c>
      <c r="BJ198" s="16">
        <f t="shared" si="104"/>
        <v>-116480.05682382114</v>
      </c>
      <c r="BK198" s="16">
        <f t="shared" si="105"/>
        <v>-59387.176302729466</v>
      </c>
      <c r="BL198" s="16">
        <f t="shared" si="106"/>
        <v>-148715.20085225769</v>
      </c>
      <c r="BM198" s="16">
        <f t="shared" si="107"/>
        <v>-89174.184144594605</v>
      </c>
      <c r="BN198" s="16">
        <f t="shared" si="108"/>
        <v>-147178.06189795214</v>
      </c>
      <c r="BO198" s="16">
        <f t="shared" si="109"/>
        <v>-118837.63631100066</v>
      </c>
      <c r="BP198" s="16">
        <f t="shared" si="110"/>
        <v>-88631.868062965208</v>
      </c>
      <c r="BQ198" s="16">
        <f t="shared" si="111"/>
        <v>-85231.868062965252</v>
      </c>
      <c r="BR198" s="16">
        <f t="shared" si="112"/>
        <v>-86431.868062965208</v>
      </c>
      <c r="BS198" s="14">
        <f>IF([1]Sheet2!CA197=999999,"NA",[1]Sheet2!CA197)</f>
        <v>130047.13193703495</v>
      </c>
      <c r="BT198" s="14">
        <f>IF([1]Sheet2!CB197=999999,"NA",[1]Sheet2!CB197)</f>
        <v>92</v>
      </c>
      <c r="BU198" s="14">
        <f>IF([1]Sheet2!CC197=999999,"NA",[1]Sheet2!CC197)</f>
        <v>170</v>
      </c>
      <c r="BV198" s="14">
        <f>IF([1]Sheet2!CD197=999999,"NA",[1]Sheet2!CD197)</f>
        <v>170</v>
      </c>
      <c r="BW198" s="14">
        <f>IF([1]Sheet2!CE197=999999,"NA",[1]Sheet2!CE197)</f>
        <v>132</v>
      </c>
      <c r="BX198" s="14">
        <f>IF([1]Sheet2!CF197=999999,"NA",[1]Sheet2!CF197)</f>
        <v>170</v>
      </c>
      <c r="BY198" s="14">
        <f>IF([1]Sheet2!CG197=999999,"NA",[1]Sheet2!CG197)</f>
        <v>64</v>
      </c>
      <c r="BZ198" s="14">
        <f>IF([1]Sheet2!CH197=999999,"NA",[1]Sheet2!CH197)</f>
        <v>170</v>
      </c>
      <c r="CA198" s="14">
        <f>IF([1]Sheet2!CI197=999999,"NA",[1]Sheet2!CI197)</f>
        <v>170</v>
      </c>
      <c r="CB198" s="14">
        <f>IF([1]Sheet2!CJ197=999999,"NA",[1]Sheet2!CJ197)</f>
        <v>170</v>
      </c>
      <c r="CC198" s="14">
        <f>[1]Sheet2!BG197</f>
        <v>0</v>
      </c>
      <c r="CD198" s="14">
        <f>[1]Sheet2!BH197</f>
        <v>0</v>
      </c>
      <c r="CE198" s="14">
        <f>[1]Sheet2!BI197</f>
        <v>0</v>
      </c>
      <c r="CF198" s="14">
        <f>[1]Sheet2!BJ197</f>
        <v>0</v>
      </c>
      <c r="CG198" s="14">
        <f>[1]Sheet2!BK197</f>
        <v>0</v>
      </c>
      <c r="CH198" s="14">
        <f>[1]Sheet2!BL197</f>
        <v>0</v>
      </c>
      <c r="CI198" s="14">
        <f>[1]Sheet2!BM197</f>
        <v>0</v>
      </c>
      <c r="CJ198" s="14">
        <f>[1]Sheet2!BN197</f>
        <v>0</v>
      </c>
      <c r="CK198" s="14">
        <f>[1]Sheet2!BO197</f>
        <v>0</v>
      </c>
      <c r="CL198" s="14">
        <f>[1]Sheet2!BP197</f>
        <v>0</v>
      </c>
      <c r="CM198" s="16">
        <f>Demand_SW!B$9/31</f>
        <v>131.01736972704714</v>
      </c>
      <c r="CN198" s="16">
        <f>Demand_SW!C$9/31</f>
        <v>0</v>
      </c>
      <c r="CO198" s="16">
        <f>Demand_SW!D$9/31</f>
        <v>0</v>
      </c>
      <c r="CP198" s="16">
        <f>Demand_SW!E$9/31</f>
        <v>0</v>
      </c>
      <c r="CQ198" s="16">
        <f>Demand_SW!F$9/31</f>
        <v>0</v>
      </c>
      <c r="CR198" s="16">
        <f>Demand_SW!G$9/31</f>
        <v>131.01736972704714</v>
      </c>
      <c r="CS198" s="16">
        <f>Demand_SW!H$9/31</f>
        <v>0</v>
      </c>
      <c r="CT198" s="16">
        <f>Demand_SW!I$9/31</f>
        <v>0</v>
      </c>
      <c r="CU198" s="16">
        <f>Demand_SW!J$9/31</f>
        <v>0</v>
      </c>
      <c r="CV198" s="16">
        <f>Demand_SW!K$9/31</f>
        <v>0</v>
      </c>
      <c r="CW198" s="16">
        <f t="shared" si="113"/>
        <v>24568.064516129067</v>
      </c>
      <c r="CX198" s="16">
        <f t="shared" si="114"/>
        <v>-423.07692307692292</v>
      </c>
      <c r="CY198" s="16">
        <f t="shared" si="115"/>
        <v>0</v>
      </c>
      <c r="CZ198" s="16">
        <f t="shared" si="116"/>
        <v>0</v>
      </c>
      <c r="DA198" s="16">
        <f t="shared" si="117"/>
        <v>0</v>
      </c>
      <c r="DB198" s="16">
        <f t="shared" si="118"/>
        <v>-24961.166253101728</v>
      </c>
      <c r="DC198" s="16">
        <f t="shared" si="119"/>
        <v>-423.07692307692292</v>
      </c>
      <c r="DD198" s="16">
        <f t="shared" si="120"/>
        <v>0</v>
      </c>
      <c r="DE198" s="16">
        <f t="shared" si="121"/>
        <v>0</v>
      </c>
      <c r="DF198" s="16">
        <f t="shared" si="122"/>
        <v>0</v>
      </c>
      <c r="DG198" s="14">
        <f>IF([1]Sheet2!DR197=999999,"NA",[1]Sheet2!DR197)</f>
        <v>73103</v>
      </c>
      <c r="DH198" s="14">
        <f>IF([1]Sheet2!DS197=999999,"NA",[1]Sheet2!DS197)</f>
        <v>170</v>
      </c>
      <c r="DI198" s="14">
        <f>IF([1]Sheet2!DT197=999999,"NA",[1]Sheet2!DT197)</f>
        <v>170</v>
      </c>
      <c r="DJ198" s="14" t="str">
        <f>IF([1]Sheet2!DU197=999999,"NA",[1]Sheet2!DU197)</f>
        <v>NA</v>
      </c>
      <c r="DK198" s="14" t="str">
        <f>IF([1]Sheet2!DV197=999999,"NA",[1]Sheet2!DV197)</f>
        <v>NA</v>
      </c>
      <c r="DL198" s="14" t="str">
        <f>IF([1]Sheet2!DW197=999999,"NA",[1]Sheet2!DW197)</f>
        <v>NA</v>
      </c>
      <c r="DM198" s="14">
        <f>IF([1]Sheet2!DX197=999999,"NA",[1]Sheet2!DX197)</f>
        <v>170</v>
      </c>
      <c r="DN198" s="14">
        <f>IF([1]Sheet2!DY197=999999,"NA",[1]Sheet2!DY197)</f>
        <v>170</v>
      </c>
      <c r="DO198" s="14" t="str">
        <f>IF([1]Sheet2!DZ197=999999,"NA",[1]Sheet2!DZ197)</f>
        <v>NA</v>
      </c>
      <c r="DP198" s="14" t="str">
        <f>IF([1]Sheet2!EA197=999999,"NA",[1]Sheet2!EA197)</f>
        <v>NA</v>
      </c>
      <c r="DQ198" s="14">
        <f>[1]Sheet2!CX197</f>
        <v>0</v>
      </c>
      <c r="DR198" s="14">
        <f>[1]Sheet2!CY197</f>
        <v>0</v>
      </c>
      <c r="DS198" s="14">
        <f>[1]Sheet2!CZ197</f>
        <v>0</v>
      </c>
      <c r="DT198" s="14">
        <f>[1]Sheet2!DA197</f>
        <v>0</v>
      </c>
      <c r="DU198" s="14">
        <f>[1]Sheet2!DB197</f>
        <v>0</v>
      </c>
      <c r="DV198" s="14">
        <f>[1]Sheet2!DC197</f>
        <v>0</v>
      </c>
      <c r="DW198" s="14">
        <f>[1]Sheet2!DD197</f>
        <v>0</v>
      </c>
      <c r="DX198" s="14">
        <f>[1]Sheet2!DE197</f>
        <v>0</v>
      </c>
      <c r="DY198" s="14">
        <f>[1]Sheet2!DF197</f>
        <v>0</v>
      </c>
      <c r="DZ198" s="14">
        <f>[1]Sheet2!DG197</f>
        <v>0</v>
      </c>
    </row>
    <row r="199" spans="1:130" x14ac:dyDescent="0.25">
      <c r="A199" s="15">
        <v>43661</v>
      </c>
      <c r="B199" s="1"/>
      <c r="C199" s="1"/>
      <c r="D199" s="1"/>
      <c r="E199" s="14">
        <f>[1]Sheet2!N198</f>
        <v>0</v>
      </c>
      <c r="F199" s="14">
        <f>[1]Sheet2!BE198</f>
        <v>0</v>
      </c>
      <c r="G199" s="14">
        <f>[1]Sheet2!CV198</f>
        <v>262.03473945409428</v>
      </c>
      <c r="H199" s="1"/>
      <c r="I199" s="1"/>
      <c r="J199" s="1"/>
      <c r="K199" s="16">
        <f>Demand_CWRS!B$9/31</f>
        <v>137.44229993796523</v>
      </c>
      <c r="L199" s="16">
        <f>Demand_CWRS!C$9/31</f>
        <v>616.54259718775836</v>
      </c>
      <c r="M199" s="16">
        <f>Demand_CWRS!D$9/31</f>
        <v>0</v>
      </c>
      <c r="N199" s="16">
        <f>Demand_CWRS!E$9/31</f>
        <v>140.39247311827955</v>
      </c>
      <c r="O199" s="16">
        <f>Demand_CWRS!F$9/31</f>
        <v>245.11049679487181</v>
      </c>
      <c r="P199" s="16">
        <f>Demand_CWRS!G$9/31</f>
        <v>137.44229993796523</v>
      </c>
      <c r="Q199" s="16">
        <f>Demand_CWRS!H$9/31</f>
        <v>616.54259718775836</v>
      </c>
      <c r="R199" s="16">
        <f>Demand_CWRS!I$9/31</f>
        <v>245.11049679487181</v>
      </c>
      <c r="S199" s="16">
        <f>Demand_CWRS!J$9/31</f>
        <v>245.11049679487181</v>
      </c>
      <c r="T199" s="16">
        <f>Demand_CWRS!K$9/31</f>
        <v>245.11049679487181</v>
      </c>
      <c r="U199" s="16">
        <f t="shared" si="93"/>
        <v>-28422.39603646598</v>
      </c>
      <c r="V199" s="16">
        <f t="shared" si="94"/>
        <v>-96104.300496277618</v>
      </c>
      <c r="W199" s="16">
        <f t="shared" si="95"/>
        <v>0</v>
      </c>
      <c r="X199" s="16">
        <f t="shared" si="96"/>
        <v>-22647.163646595622</v>
      </c>
      <c r="Y199" s="16">
        <f t="shared" si="97"/>
        <v>-44954.821286716971</v>
      </c>
      <c r="Z199" s="16">
        <f t="shared" si="98"/>
        <v>-28096.622887427529</v>
      </c>
      <c r="AA199" s="16">
        <f t="shared" si="99"/>
        <v>-95604.300496277618</v>
      </c>
      <c r="AB199" s="16">
        <f t="shared" si="100"/>
        <v>-42470.975805947688</v>
      </c>
      <c r="AC199" s="16">
        <f t="shared" si="101"/>
        <v>-42470.975805947681</v>
      </c>
      <c r="AD199" s="16">
        <f t="shared" si="102"/>
        <v>-43170.975805947674</v>
      </c>
      <c r="AE199" s="14">
        <f>IF([1]Sheet2!AJ198=999999,"NA",[1]Sheet2!AJ198)</f>
        <v>0</v>
      </c>
      <c r="AF199" s="14">
        <f>IF([1]Sheet2!AK198=999999,"NA",[1]Sheet2!AK198)</f>
        <v>0</v>
      </c>
      <c r="AG199" s="14" t="str">
        <f>IF([1]Sheet2!AL198=999999,"NA",[1]Sheet2!AL198)</f>
        <v>NA</v>
      </c>
      <c r="AH199" s="14">
        <f>IF([1]Sheet2!AM198=999999,"NA",[1]Sheet2!AM198)</f>
        <v>169</v>
      </c>
      <c r="AI199" s="14">
        <f>IF([1]Sheet2!AN198=999999,"NA",[1]Sheet2!AN198)</f>
        <v>169</v>
      </c>
      <c r="AJ199" s="14">
        <f>IF([1]Sheet2!AO198=999999,"NA",[1]Sheet2!AO198)</f>
        <v>169</v>
      </c>
      <c r="AK199" s="14">
        <f>IF([1]Sheet2!AP198=999999,"NA",[1]Sheet2!AP198)</f>
        <v>0</v>
      </c>
      <c r="AL199" s="14">
        <f>IF([1]Sheet2!AQ198=999999,"NA",[1]Sheet2!AQ198)</f>
        <v>45</v>
      </c>
      <c r="AM199" s="14">
        <f>IF([1]Sheet2!AR198=999999,"NA",[1]Sheet2!AR198)</f>
        <v>169</v>
      </c>
      <c r="AN199" s="14">
        <f>IF([1]Sheet2!AS198=999999,"NA",[1]Sheet2!AS198)</f>
        <v>101</v>
      </c>
      <c r="AO199" s="14">
        <f>[1]Sheet2!P198</f>
        <v>0</v>
      </c>
      <c r="AP199" s="14">
        <f>[1]Sheet2!Q198</f>
        <v>0</v>
      </c>
      <c r="AQ199" s="14">
        <f>[1]Sheet2!R198</f>
        <v>0</v>
      </c>
      <c r="AR199" s="14">
        <f>[1]Sheet2!S198</f>
        <v>0</v>
      </c>
      <c r="AS199" s="14">
        <f>[1]Sheet2!T198</f>
        <v>0</v>
      </c>
      <c r="AT199" s="14">
        <f>[1]Sheet2!U198</f>
        <v>0</v>
      </c>
      <c r="AU199" s="14">
        <f>[1]Sheet2!V198</f>
        <v>0</v>
      </c>
      <c r="AV199" s="14">
        <f>[1]Sheet2!W198</f>
        <v>0</v>
      </c>
      <c r="AW199" s="14">
        <f>[1]Sheet2!X198</f>
        <v>0</v>
      </c>
      <c r="AX199" s="14">
        <f>[1]Sheet2!Y198</f>
        <v>0</v>
      </c>
      <c r="AY199" s="16">
        <f>Demand_LP!B$9/31</f>
        <v>878.29658550454917</v>
      </c>
      <c r="AZ199" s="16">
        <f>Demand_LP!C$9/31</f>
        <v>663.85442514474767</v>
      </c>
      <c r="BA199" s="16">
        <f>Demand_LP!D$9/31</f>
        <v>335.39784946236568</v>
      </c>
      <c r="BB199" s="16">
        <f>Demand_LP!E$9/31</f>
        <v>725.23531844499576</v>
      </c>
      <c r="BC199" s="16">
        <f>Demand_LP!F$9/31</f>
        <v>456.65268558726217</v>
      </c>
      <c r="BD199" s="16">
        <f>Demand_LP!G$9/31</f>
        <v>878.29658550454917</v>
      </c>
      <c r="BE199" s="16">
        <f>Demand_LP!H$9/31</f>
        <v>663.85442514474767</v>
      </c>
      <c r="BF199" s="16">
        <f>Demand_LP!I$9/31</f>
        <v>456.65268558726217</v>
      </c>
      <c r="BG199" s="16">
        <f>Demand_LP!J$9/31</f>
        <v>456.65268558726217</v>
      </c>
      <c r="BH199" s="16">
        <f>Demand_LP!K$9/31</f>
        <v>456.65268558726217</v>
      </c>
      <c r="BI199" s="16" t="e">
        <f t="shared" si="103"/>
        <v>#VALUE!</v>
      </c>
      <c r="BJ199" s="16">
        <f t="shared" si="104"/>
        <v>-117143.91124896589</v>
      </c>
      <c r="BK199" s="16">
        <f t="shared" si="105"/>
        <v>-59722.574152191832</v>
      </c>
      <c r="BL199" s="16">
        <f t="shared" si="106"/>
        <v>-149440.43617070268</v>
      </c>
      <c r="BM199" s="16">
        <f t="shared" si="107"/>
        <v>-89630.83683018187</v>
      </c>
      <c r="BN199" s="16">
        <f t="shared" si="108"/>
        <v>-148056.35848345669</v>
      </c>
      <c r="BO199" s="16">
        <f t="shared" si="109"/>
        <v>-119501.49073614541</v>
      </c>
      <c r="BP199" s="16">
        <f t="shared" si="110"/>
        <v>-89088.520748552473</v>
      </c>
      <c r="BQ199" s="16">
        <f t="shared" si="111"/>
        <v>-85688.520748552517</v>
      </c>
      <c r="BR199" s="16">
        <f t="shared" si="112"/>
        <v>-86888.520748552473</v>
      </c>
      <c r="BS199" s="14">
        <f>IF([1]Sheet2!CA198=999999,"NA",[1]Sheet2!CA198)</f>
        <v>129590.47925144769</v>
      </c>
      <c r="BT199" s="14">
        <f>IF([1]Sheet2!CB198=999999,"NA",[1]Sheet2!CB198)</f>
        <v>91</v>
      </c>
      <c r="BU199" s="14">
        <f>IF([1]Sheet2!CC198=999999,"NA",[1]Sheet2!CC198)</f>
        <v>169</v>
      </c>
      <c r="BV199" s="14">
        <f>IF([1]Sheet2!CD198=999999,"NA",[1]Sheet2!CD198)</f>
        <v>169</v>
      </c>
      <c r="BW199" s="14">
        <f>IF([1]Sheet2!CE198=999999,"NA",[1]Sheet2!CE198)</f>
        <v>131</v>
      </c>
      <c r="BX199" s="14">
        <f>IF([1]Sheet2!CF198=999999,"NA",[1]Sheet2!CF198)</f>
        <v>169</v>
      </c>
      <c r="BY199" s="14">
        <f>IF([1]Sheet2!CG198=999999,"NA",[1]Sheet2!CG198)</f>
        <v>63</v>
      </c>
      <c r="BZ199" s="14">
        <f>IF([1]Sheet2!CH198=999999,"NA",[1]Sheet2!CH198)</f>
        <v>169</v>
      </c>
      <c r="CA199" s="14">
        <f>IF([1]Sheet2!CI198=999999,"NA",[1]Sheet2!CI198)</f>
        <v>169</v>
      </c>
      <c r="CB199" s="14">
        <f>IF([1]Sheet2!CJ198=999999,"NA",[1]Sheet2!CJ198)</f>
        <v>169</v>
      </c>
      <c r="CC199" s="14">
        <f>[1]Sheet2!BG198</f>
        <v>0</v>
      </c>
      <c r="CD199" s="14">
        <f>[1]Sheet2!BH198</f>
        <v>0</v>
      </c>
      <c r="CE199" s="14">
        <f>[1]Sheet2!BI198</f>
        <v>0</v>
      </c>
      <c r="CF199" s="14">
        <f>[1]Sheet2!BJ198</f>
        <v>0</v>
      </c>
      <c r="CG199" s="14">
        <f>[1]Sheet2!BK198</f>
        <v>0</v>
      </c>
      <c r="CH199" s="14">
        <f>[1]Sheet2!BL198</f>
        <v>0</v>
      </c>
      <c r="CI199" s="14">
        <f>[1]Sheet2!BM198</f>
        <v>0</v>
      </c>
      <c r="CJ199" s="14">
        <f>[1]Sheet2!BN198</f>
        <v>0</v>
      </c>
      <c r="CK199" s="14">
        <f>[1]Sheet2!BO198</f>
        <v>0</v>
      </c>
      <c r="CL199" s="14">
        <f>[1]Sheet2!BP198</f>
        <v>0</v>
      </c>
      <c r="CM199" s="16">
        <f>Demand_SW!B$9/31</f>
        <v>131.01736972704714</v>
      </c>
      <c r="CN199" s="16">
        <f>Demand_SW!C$9/31</f>
        <v>0</v>
      </c>
      <c r="CO199" s="16">
        <f>Demand_SW!D$9/31</f>
        <v>0</v>
      </c>
      <c r="CP199" s="16">
        <f>Demand_SW!E$9/31</f>
        <v>0</v>
      </c>
      <c r="CQ199" s="16">
        <f>Demand_SW!F$9/31</f>
        <v>0</v>
      </c>
      <c r="CR199" s="16">
        <f>Demand_SW!G$9/31</f>
        <v>131.01736972704714</v>
      </c>
      <c r="CS199" s="16">
        <f>Demand_SW!H$9/31</f>
        <v>0</v>
      </c>
      <c r="CT199" s="16">
        <f>Demand_SW!I$9/31</f>
        <v>0</v>
      </c>
      <c r="CU199" s="16">
        <f>Demand_SW!J$9/31</f>
        <v>0</v>
      </c>
      <c r="CV199" s="16">
        <f>Demand_SW!K$9/31</f>
        <v>0</v>
      </c>
      <c r="CW199" s="16">
        <f t="shared" si="113"/>
        <v>24437.047146402019</v>
      </c>
      <c r="CX199" s="16">
        <f t="shared" si="114"/>
        <v>-423.07692307692292</v>
      </c>
      <c r="CY199" s="16">
        <f t="shared" si="115"/>
        <v>0</v>
      </c>
      <c r="CZ199" s="16">
        <f t="shared" si="116"/>
        <v>0</v>
      </c>
      <c r="DA199" s="16">
        <f t="shared" si="117"/>
        <v>0</v>
      </c>
      <c r="DB199" s="16">
        <f t="shared" si="118"/>
        <v>-25092.183622828776</v>
      </c>
      <c r="DC199" s="16">
        <f t="shared" si="119"/>
        <v>-423.07692307692292</v>
      </c>
      <c r="DD199" s="16">
        <f t="shared" si="120"/>
        <v>0</v>
      </c>
      <c r="DE199" s="16">
        <f t="shared" si="121"/>
        <v>0</v>
      </c>
      <c r="DF199" s="16">
        <f t="shared" si="122"/>
        <v>0</v>
      </c>
      <c r="DG199" s="14">
        <f>IF([1]Sheet2!DR198=999999,"NA",[1]Sheet2!DR198)</f>
        <v>73103</v>
      </c>
      <c r="DH199" s="14">
        <f>IF([1]Sheet2!DS198=999999,"NA",[1]Sheet2!DS198)</f>
        <v>169</v>
      </c>
      <c r="DI199" s="14">
        <f>IF([1]Sheet2!DT198=999999,"NA",[1]Sheet2!DT198)</f>
        <v>169</v>
      </c>
      <c r="DJ199" s="14" t="str">
        <f>IF([1]Sheet2!DU198=999999,"NA",[1]Sheet2!DU198)</f>
        <v>NA</v>
      </c>
      <c r="DK199" s="14" t="str">
        <f>IF([1]Sheet2!DV198=999999,"NA",[1]Sheet2!DV198)</f>
        <v>NA</v>
      </c>
      <c r="DL199" s="14" t="str">
        <f>IF([1]Sheet2!DW198=999999,"NA",[1]Sheet2!DW198)</f>
        <v>NA</v>
      </c>
      <c r="DM199" s="14">
        <f>IF([1]Sheet2!DX198=999999,"NA",[1]Sheet2!DX198)</f>
        <v>169</v>
      </c>
      <c r="DN199" s="14">
        <f>IF([1]Sheet2!DY198=999999,"NA",[1]Sheet2!DY198)</f>
        <v>169</v>
      </c>
      <c r="DO199" s="14" t="str">
        <f>IF([1]Sheet2!DZ198=999999,"NA",[1]Sheet2!DZ198)</f>
        <v>NA</v>
      </c>
      <c r="DP199" s="14" t="str">
        <f>IF([1]Sheet2!EA198=999999,"NA",[1]Sheet2!EA198)</f>
        <v>NA</v>
      </c>
      <c r="DQ199" s="14">
        <f>[1]Sheet2!CX198</f>
        <v>0</v>
      </c>
      <c r="DR199" s="14">
        <f>[1]Sheet2!CY198</f>
        <v>0</v>
      </c>
      <c r="DS199" s="14">
        <f>[1]Sheet2!CZ198</f>
        <v>0</v>
      </c>
      <c r="DT199" s="14">
        <f>[1]Sheet2!DA198</f>
        <v>0</v>
      </c>
      <c r="DU199" s="14">
        <f>[1]Sheet2!DB198</f>
        <v>0</v>
      </c>
      <c r="DV199" s="14">
        <f>[1]Sheet2!DC198</f>
        <v>0</v>
      </c>
      <c r="DW199" s="14">
        <f>[1]Sheet2!DD198</f>
        <v>0</v>
      </c>
      <c r="DX199" s="14">
        <f>[1]Sheet2!DE198</f>
        <v>0</v>
      </c>
      <c r="DY199" s="14">
        <f>[1]Sheet2!DF198</f>
        <v>0</v>
      </c>
      <c r="DZ199" s="14">
        <f>[1]Sheet2!DG198</f>
        <v>0</v>
      </c>
    </row>
    <row r="200" spans="1:130" x14ac:dyDescent="0.25">
      <c r="A200" s="15">
        <v>43662</v>
      </c>
      <c r="B200" s="1"/>
      <c r="C200" s="1"/>
      <c r="D200" s="1"/>
      <c r="E200" s="14">
        <f>[1]Sheet2!N199</f>
        <v>0</v>
      </c>
      <c r="F200" s="14">
        <f>[1]Sheet2!BE199</f>
        <v>0</v>
      </c>
      <c r="G200" s="14">
        <f>[1]Sheet2!CV199</f>
        <v>262.03473945409428</v>
      </c>
      <c r="H200" s="1"/>
      <c r="I200" s="1"/>
      <c r="J200" s="1"/>
      <c r="K200" s="16">
        <f>Demand_CWRS!B$9/31</f>
        <v>137.44229993796523</v>
      </c>
      <c r="L200" s="16">
        <f>Demand_CWRS!C$9/31</f>
        <v>616.54259718775836</v>
      </c>
      <c r="M200" s="16">
        <f>Demand_CWRS!D$9/31</f>
        <v>0</v>
      </c>
      <c r="N200" s="16">
        <f>Demand_CWRS!E$9/31</f>
        <v>140.39247311827955</v>
      </c>
      <c r="O200" s="16">
        <f>Demand_CWRS!F$9/31</f>
        <v>245.11049679487181</v>
      </c>
      <c r="P200" s="16">
        <f>Demand_CWRS!G$9/31</f>
        <v>137.44229993796523</v>
      </c>
      <c r="Q200" s="16">
        <f>Demand_CWRS!H$9/31</f>
        <v>616.54259718775836</v>
      </c>
      <c r="R200" s="16">
        <f>Demand_CWRS!I$9/31</f>
        <v>245.11049679487181</v>
      </c>
      <c r="S200" s="16">
        <f>Demand_CWRS!J$9/31</f>
        <v>245.11049679487181</v>
      </c>
      <c r="T200" s="16">
        <f>Demand_CWRS!K$9/31</f>
        <v>245.11049679487181</v>
      </c>
      <c r="U200" s="16">
        <f t="shared" si="93"/>
        <v>-28559.838336403944</v>
      </c>
      <c r="V200" s="16">
        <f t="shared" si="94"/>
        <v>-96720.843093465373</v>
      </c>
      <c r="W200" s="16">
        <f t="shared" si="95"/>
        <v>0</v>
      </c>
      <c r="X200" s="16">
        <f t="shared" si="96"/>
        <v>-22787.5561197139</v>
      </c>
      <c r="Y200" s="16">
        <f t="shared" si="97"/>
        <v>-45199.931783511842</v>
      </c>
      <c r="Z200" s="16">
        <f t="shared" si="98"/>
        <v>-28234.065187365493</v>
      </c>
      <c r="AA200" s="16">
        <f t="shared" si="99"/>
        <v>-96220.843093465373</v>
      </c>
      <c r="AB200" s="16">
        <f t="shared" si="100"/>
        <v>-42716.086302742558</v>
      </c>
      <c r="AC200" s="16">
        <f t="shared" si="101"/>
        <v>-42716.086302742551</v>
      </c>
      <c r="AD200" s="16">
        <f t="shared" si="102"/>
        <v>-43416.086302742544</v>
      </c>
      <c r="AE200" s="14">
        <f>IF([1]Sheet2!AJ199=999999,"NA",[1]Sheet2!AJ199)</f>
        <v>0</v>
      </c>
      <c r="AF200" s="14">
        <f>IF([1]Sheet2!AK199=999999,"NA",[1]Sheet2!AK199)</f>
        <v>0</v>
      </c>
      <c r="AG200" s="14" t="str">
        <f>IF([1]Sheet2!AL199=999999,"NA",[1]Sheet2!AL199)</f>
        <v>NA</v>
      </c>
      <c r="AH200" s="14">
        <f>IF([1]Sheet2!AM199=999999,"NA",[1]Sheet2!AM199)</f>
        <v>168</v>
      </c>
      <c r="AI200" s="14">
        <f>IF([1]Sheet2!AN199=999999,"NA",[1]Sheet2!AN199)</f>
        <v>168</v>
      </c>
      <c r="AJ200" s="14">
        <f>IF([1]Sheet2!AO199=999999,"NA",[1]Sheet2!AO199)</f>
        <v>168</v>
      </c>
      <c r="AK200" s="14">
        <f>IF([1]Sheet2!AP199=999999,"NA",[1]Sheet2!AP199)</f>
        <v>0</v>
      </c>
      <c r="AL200" s="14">
        <f>IF([1]Sheet2!AQ199=999999,"NA",[1]Sheet2!AQ199)</f>
        <v>44</v>
      </c>
      <c r="AM200" s="14">
        <f>IF([1]Sheet2!AR199=999999,"NA",[1]Sheet2!AR199)</f>
        <v>168</v>
      </c>
      <c r="AN200" s="14">
        <f>IF([1]Sheet2!AS199=999999,"NA",[1]Sheet2!AS199)</f>
        <v>100</v>
      </c>
      <c r="AO200" s="14">
        <f>[1]Sheet2!P199</f>
        <v>0</v>
      </c>
      <c r="AP200" s="14">
        <f>[1]Sheet2!Q199</f>
        <v>0</v>
      </c>
      <c r="AQ200" s="14">
        <f>[1]Sheet2!R199</f>
        <v>0</v>
      </c>
      <c r="AR200" s="14">
        <f>[1]Sheet2!S199</f>
        <v>0</v>
      </c>
      <c r="AS200" s="14">
        <f>[1]Sheet2!T199</f>
        <v>0</v>
      </c>
      <c r="AT200" s="14">
        <f>[1]Sheet2!U199</f>
        <v>0</v>
      </c>
      <c r="AU200" s="14">
        <f>[1]Sheet2!V199</f>
        <v>0</v>
      </c>
      <c r="AV200" s="14">
        <f>[1]Sheet2!W199</f>
        <v>0</v>
      </c>
      <c r="AW200" s="14">
        <f>[1]Sheet2!X199</f>
        <v>0</v>
      </c>
      <c r="AX200" s="14">
        <f>[1]Sheet2!Y199</f>
        <v>0</v>
      </c>
      <c r="AY200" s="16">
        <f>Demand_LP!B$9/31</f>
        <v>878.29658550454917</v>
      </c>
      <c r="AZ200" s="16">
        <f>Demand_LP!C$9/31</f>
        <v>663.85442514474767</v>
      </c>
      <c r="BA200" s="16">
        <f>Demand_LP!D$9/31</f>
        <v>335.39784946236568</v>
      </c>
      <c r="BB200" s="16">
        <f>Demand_LP!E$9/31</f>
        <v>725.23531844499576</v>
      </c>
      <c r="BC200" s="16">
        <f>Demand_LP!F$9/31</f>
        <v>456.65268558726217</v>
      </c>
      <c r="BD200" s="16">
        <f>Demand_LP!G$9/31</f>
        <v>878.29658550454917</v>
      </c>
      <c r="BE200" s="16">
        <f>Demand_LP!H$9/31</f>
        <v>663.85442514474767</v>
      </c>
      <c r="BF200" s="16">
        <f>Demand_LP!I$9/31</f>
        <v>456.65268558726217</v>
      </c>
      <c r="BG200" s="16">
        <f>Demand_LP!J$9/31</f>
        <v>456.65268558726217</v>
      </c>
      <c r="BH200" s="16">
        <f>Demand_LP!K$9/31</f>
        <v>456.65268558726217</v>
      </c>
      <c r="BI200" s="16" t="e">
        <f t="shared" si="103"/>
        <v>#VALUE!</v>
      </c>
      <c r="BJ200" s="16">
        <f t="shared" si="104"/>
        <v>-117807.76567411063</v>
      </c>
      <c r="BK200" s="16">
        <f t="shared" si="105"/>
        <v>-60057.972001654198</v>
      </c>
      <c r="BL200" s="16">
        <f t="shared" si="106"/>
        <v>-150165.67148914767</v>
      </c>
      <c r="BM200" s="16">
        <f t="shared" si="107"/>
        <v>-90087.489515769135</v>
      </c>
      <c r="BN200" s="16">
        <f t="shared" si="108"/>
        <v>-148934.65506896123</v>
      </c>
      <c r="BO200" s="16">
        <f t="shared" si="109"/>
        <v>-120165.34516129016</v>
      </c>
      <c r="BP200" s="16">
        <f t="shared" si="110"/>
        <v>-89545.173434139739</v>
      </c>
      <c r="BQ200" s="16">
        <f t="shared" si="111"/>
        <v>-86145.173434139782</v>
      </c>
      <c r="BR200" s="16">
        <f t="shared" si="112"/>
        <v>-87345.173434139739</v>
      </c>
      <c r="BS200" s="14">
        <f>IF([1]Sheet2!CA199=999999,"NA",[1]Sheet2!CA199)</f>
        <v>129133.82656586042</v>
      </c>
      <c r="BT200" s="14">
        <f>IF([1]Sheet2!CB199=999999,"NA",[1]Sheet2!CB199)</f>
        <v>90</v>
      </c>
      <c r="BU200" s="14">
        <f>IF([1]Sheet2!CC199=999999,"NA",[1]Sheet2!CC199)</f>
        <v>168</v>
      </c>
      <c r="BV200" s="14">
        <f>IF([1]Sheet2!CD199=999999,"NA",[1]Sheet2!CD199)</f>
        <v>168</v>
      </c>
      <c r="BW200" s="14">
        <f>IF([1]Sheet2!CE199=999999,"NA",[1]Sheet2!CE199)</f>
        <v>130</v>
      </c>
      <c r="BX200" s="14">
        <f>IF([1]Sheet2!CF199=999999,"NA",[1]Sheet2!CF199)</f>
        <v>168</v>
      </c>
      <c r="BY200" s="14">
        <f>IF([1]Sheet2!CG199=999999,"NA",[1]Sheet2!CG199)</f>
        <v>62</v>
      </c>
      <c r="BZ200" s="14">
        <f>IF([1]Sheet2!CH199=999999,"NA",[1]Sheet2!CH199)</f>
        <v>168</v>
      </c>
      <c r="CA200" s="14">
        <f>IF([1]Sheet2!CI199=999999,"NA",[1]Sheet2!CI199)</f>
        <v>168</v>
      </c>
      <c r="CB200" s="14">
        <f>IF([1]Sheet2!CJ199=999999,"NA",[1]Sheet2!CJ199)</f>
        <v>168</v>
      </c>
      <c r="CC200" s="14">
        <f>[1]Sheet2!BG199</f>
        <v>0</v>
      </c>
      <c r="CD200" s="14">
        <f>[1]Sheet2!BH199</f>
        <v>0</v>
      </c>
      <c r="CE200" s="14">
        <f>[1]Sheet2!BI199</f>
        <v>0</v>
      </c>
      <c r="CF200" s="14">
        <f>[1]Sheet2!BJ199</f>
        <v>0</v>
      </c>
      <c r="CG200" s="14">
        <f>[1]Sheet2!BK199</f>
        <v>0</v>
      </c>
      <c r="CH200" s="14">
        <f>[1]Sheet2!BL199</f>
        <v>0</v>
      </c>
      <c r="CI200" s="14">
        <f>[1]Sheet2!BM199</f>
        <v>0</v>
      </c>
      <c r="CJ200" s="14">
        <f>[1]Sheet2!BN199</f>
        <v>0</v>
      </c>
      <c r="CK200" s="14">
        <f>[1]Sheet2!BO199</f>
        <v>0</v>
      </c>
      <c r="CL200" s="14">
        <f>[1]Sheet2!BP199</f>
        <v>0</v>
      </c>
      <c r="CM200" s="16">
        <f>Demand_SW!B$9/31</f>
        <v>131.01736972704714</v>
      </c>
      <c r="CN200" s="16">
        <f>Demand_SW!C$9/31</f>
        <v>0</v>
      </c>
      <c r="CO200" s="16">
        <f>Demand_SW!D$9/31</f>
        <v>0</v>
      </c>
      <c r="CP200" s="16">
        <f>Demand_SW!E$9/31</f>
        <v>0</v>
      </c>
      <c r="CQ200" s="16">
        <f>Demand_SW!F$9/31</f>
        <v>0</v>
      </c>
      <c r="CR200" s="16">
        <f>Demand_SW!G$9/31</f>
        <v>131.01736972704714</v>
      </c>
      <c r="CS200" s="16">
        <f>Demand_SW!H$9/31</f>
        <v>0</v>
      </c>
      <c r="CT200" s="16">
        <f>Demand_SW!I$9/31</f>
        <v>0</v>
      </c>
      <c r="CU200" s="16">
        <f>Demand_SW!J$9/31</f>
        <v>0</v>
      </c>
      <c r="CV200" s="16">
        <f>Demand_SW!K$9/31</f>
        <v>0</v>
      </c>
      <c r="CW200" s="16">
        <f t="shared" si="113"/>
        <v>24306.029776674972</v>
      </c>
      <c r="CX200" s="16">
        <f t="shared" si="114"/>
        <v>-423.07692307692292</v>
      </c>
      <c r="CY200" s="16">
        <f t="shared" si="115"/>
        <v>0</v>
      </c>
      <c r="CZ200" s="16">
        <f t="shared" si="116"/>
        <v>0</v>
      </c>
      <c r="DA200" s="16">
        <f t="shared" si="117"/>
        <v>0</v>
      </c>
      <c r="DB200" s="16">
        <f t="shared" si="118"/>
        <v>-25223.200992555823</v>
      </c>
      <c r="DC200" s="16">
        <f t="shared" si="119"/>
        <v>-423.07692307692292</v>
      </c>
      <c r="DD200" s="16">
        <f t="shared" si="120"/>
        <v>0</v>
      </c>
      <c r="DE200" s="16">
        <f t="shared" si="121"/>
        <v>0</v>
      </c>
      <c r="DF200" s="16">
        <f t="shared" si="122"/>
        <v>0</v>
      </c>
      <c r="DG200" s="14">
        <f>IF([1]Sheet2!DR199=999999,"NA",[1]Sheet2!DR199)</f>
        <v>73103</v>
      </c>
      <c r="DH200" s="14">
        <f>IF([1]Sheet2!DS199=999999,"NA",[1]Sheet2!DS199)</f>
        <v>168</v>
      </c>
      <c r="DI200" s="14">
        <f>IF([1]Sheet2!DT199=999999,"NA",[1]Sheet2!DT199)</f>
        <v>168</v>
      </c>
      <c r="DJ200" s="14" t="str">
        <f>IF([1]Sheet2!DU199=999999,"NA",[1]Sheet2!DU199)</f>
        <v>NA</v>
      </c>
      <c r="DK200" s="14" t="str">
        <f>IF([1]Sheet2!DV199=999999,"NA",[1]Sheet2!DV199)</f>
        <v>NA</v>
      </c>
      <c r="DL200" s="14" t="str">
        <f>IF([1]Sheet2!DW199=999999,"NA",[1]Sheet2!DW199)</f>
        <v>NA</v>
      </c>
      <c r="DM200" s="14">
        <f>IF([1]Sheet2!DX199=999999,"NA",[1]Sheet2!DX199)</f>
        <v>168</v>
      </c>
      <c r="DN200" s="14">
        <f>IF([1]Sheet2!DY199=999999,"NA",[1]Sheet2!DY199)</f>
        <v>168</v>
      </c>
      <c r="DO200" s="14" t="str">
        <f>IF([1]Sheet2!DZ199=999999,"NA",[1]Sheet2!DZ199)</f>
        <v>NA</v>
      </c>
      <c r="DP200" s="14" t="str">
        <f>IF([1]Sheet2!EA199=999999,"NA",[1]Sheet2!EA199)</f>
        <v>NA</v>
      </c>
      <c r="DQ200" s="14">
        <f>[1]Sheet2!CX199</f>
        <v>0</v>
      </c>
      <c r="DR200" s="14">
        <f>[1]Sheet2!CY199</f>
        <v>0</v>
      </c>
      <c r="DS200" s="14">
        <f>[1]Sheet2!CZ199</f>
        <v>0</v>
      </c>
      <c r="DT200" s="14">
        <f>[1]Sheet2!DA199</f>
        <v>0</v>
      </c>
      <c r="DU200" s="14">
        <f>[1]Sheet2!DB199</f>
        <v>0</v>
      </c>
      <c r="DV200" s="14">
        <f>[1]Sheet2!DC199</f>
        <v>0</v>
      </c>
      <c r="DW200" s="14">
        <f>[1]Sheet2!DD199</f>
        <v>0</v>
      </c>
      <c r="DX200" s="14">
        <f>[1]Sheet2!DE199</f>
        <v>0</v>
      </c>
      <c r="DY200" s="14">
        <f>[1]Sheet2!DF199</f>
        <v>0</v>
      </c>
      <c r="DZ200" s="14">
        <f>[1]Sheet2!DG199</f>
        <v>0</v>
      </c>
    </row>
    <row r="201" spans="1:130" x14ac:dyDescent="0.25">
      <c r="A201" s="15">
        <v>43663</v>
      </c>
      <c r="B201" s="1"/>
      <c r="C201" s="1"/>
      <c r="D201" s="1"/>
      <c r="E201" s="14">
        <f>[1]Sheet2!N200</f>
        <v>0</v>
      </c>
      <c r="F201" s="14">
        <f>[1]Sheet2!BE200</f>
        <v>0</v>
      </c>
      <c r="G201" s="14">
        <f>[1]Sheet2!CV200</f>
        <v>262.03473945409428</v>
      </c>
      <c r="H201" s="1"/>
      <c r="I201" s="1"/>
      <c r="J201" s="1"/>
      <c r="K201" s="16">
        <f>Demand_CWRS!B$9/31</f>
        <v>137.44229993796523</v>
      </c>
      <c r="L201" s="16">
        <f>Demand_CWRS!C$9/31</f>
        <v>616.54259718775836</v>
      </c>
      <c r="M201" s="16">
        <f>Demand_CWRS!D$9/31</f>
        <v>0</v>
      </c>
      <c r="N201" s="16">
        <f>Demand_CWRS!E$9/31</f>
        <v>140.39247311827955</v>
      </c>
      <c r="O201" s="16">
        <f>Demand_CWRS!F$9/31</f>
        <v>245.11049679487181</v>
      </c>
      <c r="P201" s="16">
        <f>Demand_CWRS!G$9/31</f>
        <v>137.44229993796523</v>
      </c>
      <c r="Q201" s="16">
        <f>Demand_CWRS!H$9/31</f>
        <v>616.54259718775836</v>
      </c>
      <c r="R201" s="16">
        <f>Demand_CWRS!I$9/31</f>
        <v>245.11049679487181</v>
      </c>
      <c r="S201" s="16">
        <f>Demand_CWRS!J$9/31</f>
        <v>245.11049679487181</v>
      </c>
      <c r="T201" s="16">
        <f>Demand_CWRS!K$9/31</f>
        <v>245.11049679487181</v>
      </c>
      <c r="U201" s="16">
        <f t="shared" si="93"/>
        <v>-28697.280636341908</v>
      </c>
      <c r="V201" s="16">
        <f t="shared" si="94"/>
        <v>-97337.385690653129</v>
      </c>
      <c r="W201" s="16">
        <f t="shared" si="95"/>
        <v>0</v>
      </c>
      <c r="X201" s="16">
        <f t="shared" si="96"/>
        <v>-22927.948592832177</v>
      </c>
      <c r="Y201" s="16">
        <f t="shared" si="97"/>
        <v>-45445.042280306712</v>
      </c>
      <c r="Z201" s="16">
        <f t="shared" si="98"/>
        <v>-28371.507487303457</v>
      </c>
      <c r="AA201" s="16">
        <f t="shared" si="99"/>
        <v>-96837.385690653129</v>
      </c>
      <c r="AB201" s="16">
        <f t="shared" si="100"/>
        <v>-42961.196799537429</v>
      </c>
      <c r="AC201" s="16">
        <f t="shared" si="101"/>
        <v>-42961.196799537422</v>
      </c>
      <c r="AD201" s="16">
        <f t="shared" si="102"/>
        <v>-43661.196799537414</v>
      </c>
      <c r="AE201" s="14">
        <f>IF([1]Sheet2!AJ200=999999,"NA",[1]Sheet2!AJ200)</f>
        <v>0</v>
      </c>
      <c r="AF201" s="14">
        <f>IF([1]Sheet2!AK200=999999,"NA",[1]Sheet2!AK200)</f>
        <v>0</v>
      </c>
      <c r="AG201" s="14" t="str">
        <f>IF([1]Sheet2!AL200=999999,"NA",[1]Sheet2!AL200)</f>
        <v>NA</v>
      </c>
      <c r="AH201" s="14">
        <f>IF([1]Sheet2!AM200=999999,"NA",[1]Sheet2!AM200)</f>
        <v>167</v>
      </c>
      <c r="AI201" s="14">
        <f>IF([1]Sheet2!AN200=999999,"NA",[1]Sheet2!AN200)</f>
        <v>167</v>
      </c>
      <c r="AJ201" s="14">
        <f>IF([1]Sheet2!AO200=999999,"NA",[1]Sheet2!AO200)</f>
        <v>167</v>
      </c>
      <c r="AK201" s="14">
        <f>IF([1]Sheet2!AP200=999999,"NA",[1]Sheet2!AP200)</f>
        <v>0</v>
      </c>
      <c r="AL201" s="14">
        <f>IF([1]Sheet2!AQ200=999999,"NA",[1]Sheet2!AQ200)</f>
        <v>43</v>
      </c>
      <c r="AM201" s="14">
        <f>IF([1]Sheet2!AR200=999999,"NA",[1]Sheet2!AR200)</f>
        <v>167</v>
      </c>
      <c r="AN201" s="14">
        <f>IF([1]Sheet2!AS200=999999,"NA",[1]Sheet2!AS200)</f>
        <v>99</v>
      </c>
      <c r="AO201" s="14">
        <f>[1]Sheet2!P200</f>
        <v>0</v>
      </c>
      <c r="AP201" s="14">
        <f>[1]Sheet2!Q200</f>
        <v>0</v>
      </c>
      <c r="AQ201" s="14">
        <f>[1]Sheet2!R200</f>
        <v>0</v>
      </c>
      <c r="AR201" s="14">
        <f>[1]Sheet2!S200</f>
        <v>0</v>
      </c>
      <c r="AS201" s="14">
        <f>[1]Sheet2!T200</f>
        <v>0</v>
      </c>
      <c r="AT201" s="14">
        <f>[1]Sheet2!U200</f>
        <v>0</v>
      </c>
      <c r="AU201" s="14">
        <f>[1]Sheet2!V200</f>
        <v>0</v>
      </c>
      <c r="AV201" s="14">
        <f>[1]Sheet2!W200</f>
        <v>0</v>
      </c>
      <c r="AW201" s="14">
        <f>[1]Sheet2!X200</f>
        <v>0</v>
      </c>
      <c r="AX201" s="14">
        <f>[1]Sheet2!Y200</f>
        <v>0</v>
      </c>
      <c r="AY201" s="16">
        <f>Demand_LP!B$9/31</f>
        <v>878.29658550454917</v>
      </c>
      <c r="AZ201" s="16">
        <f>Demand_LP!C$9/31</f>
        <v>663.85442514474767</v>
      </c>
      <c r="BA201" s="16">
        <f>Demand_LP!D$9/31</f>
        <v>335.39784946236568</v>
      </c>
      <c r="BB201" s="16">
        <f>Demand_LP!E$9/31</f>
        <v>725.23531844499576</v>
      </c>
      <c r="BC201" s="16">
        <f>Demand_LP!F$9/31</f>
        <v>456.65268558726217</v>
      </c>
      <c r="BD201" s="16">
        <f>Demand_LP!G$9/31</f>
        <v>878.29658550454917</v>
      </c>
      <c r="BE201" s="16">
        <f>Demand_LP!H$9/31</f>
        <v>663.85442514474767</v>
      </c>
      <c r="BF201" s="16">
        <f>Demand_LP!I$9/31</f>
        <v>456.65268558726217</v>
      </c>
      <c r="BG201" s="16">
        <f>Demand_LP!J$9/31</f>
        <v>456.65268558726217</v>
      </c>
      <c r="BH201" s="16">
        <f>Demand_LP!K$9/31</f>
        <v>456.65268558726217</v>
      </c>
      <c r="BI201" s="16" t="e">
        <f t="shared" si="103"/>
        <v>#VALUE!</v>
      </c>
      <c r="BJ201" s="16">
        <f t="shared" si="104"/>
        <v>-118471.62009925538</v>
      </c>
      <c r="BK201" s="16">
        <f t="shared" si="105"/>
        <v>-60393.369851116564</v>
      </c>
      <c r="BL201" s="16">
        <f t="shared" si="106"/>
        <v>-150890.90680759266</v>
      </c>
      <c r="BM201" s="16">
        <f t="shared" si="107"/>
        <v>-90544.142201356401</v>
      </c>
      <c r="BN201" s="16">
        <f t="shared" si="108"/>
        <v>-149812.95165446578</v>
      </c>
      <c r="BO201" s="16">
        <f t="shared" si="109"/>
        <v>-120829.1995864349</v>
      </c>
      <c r="BP201" s="16">
        <f t="shared" si="110"/>
        <v>-90001.826119727004</v>
      </c>
      <c r="BQ201" s="16">
        <f t="shared" si="111"/>
        <v>-86601.826119727048</v>
      </c>
      <c r="BR201" s="16">
        <f t="shared" si="112"/>
        <v>-87801.826119727004</v>
      </c>
      <c r="BS201" s="14">
        <f>IF([1]Sheet2!CA200=999999,"NA",[1]Sheet2!CA200)</f>
        <v>128677.17388027316</v>
      </c>
      <c r="BT201" s="14">
        <f>IF([1]Sheet2!CB200=999999,"NA",[1]Sheet2!CB200)</f>
        <v>89</v>
      </c>
      <c r="BU201" s="14">
        <f>IF([1]Sheet2!CC200=999999,"NA",[1]Sheet2!CC200)</f>
        <v>167</v>
      </c>
      <c r="BV201" s="14">
        <f>IF([1]Sheet2!CD200=999999,"NA",[1]Sheet2!CD200)</f>
        <v>167</v>
      </c>
      <c r="BW201" s="14">
        <f>IF([1]Sheet2!CE200=999999,"NA",[1]Sheet2!CE200)</f>
        <v>129</v>
      </c>
      <c r="BX201" s="14">
        <f>IF([1]Sheet2!CF200=999999,"NA",[1]Sheet2!CF200)</f>
        <v>167</v>
      </c>
      <c r="BY201" s="14">
        <f>IF([1]Sheet2!CG200=999999,"NA",[1]Sheet2!CG200)</f>
        <v>61</v>
      </c>
      <c r="BZ201" s="14">
        <f>IF([1]Sheet2!CH200=999999,"NA",[1]Sheet2!CH200)</f>
        <v>167</v>
      </c>
      <c r="CA201" s="14">
        <f>IF([1]Sheet2!CI200=999999,"NA",[1]Sheet2!CI200)</f>
        <v>167</v>
      </c>
      <c r="CB201" s="14">
        <f>IF([1]Sheet2!CJ200=999999,"NA",[1]Sheet2!CJ200)</f>
        <v>167</v>
      </c>
      <c r="CC201" s="14">
        <f>[1]Sheet2!BG200</f>
        <v>0</v>
      </c>
      <c r="CD201" s="14">
        <f>[1]Sheet2!BH200</f>
        <v>0</v>
      </c>
      <c r="CE201" s="14">
        <f>[1]Sheet2!BI200</f>
        <v>0</v>
      </c>
      <c r="CF201" s="14">
        <f>[1]Sheet2!BJ200</f>
        <v>0</v>
      </c>
      <c r="CG201" s="14">
        <f>[1]Sheet2!BK200</f>
        <v>0</v>
      </c>
      <c r="CH201" s="14">
        <f>[1]Sheet2!BL200</f>
        <v>0</v>
      </c>
      <c r="CI201" s="14">
        <f>[1]Sheet2!BM200</f>
        <v>0</v>
      </c>
      <c r="CJ201" s="14">
        <f>[1]Sheet2!BN200</f>
        <v>0</v>
      </c>
      <c r="CK201" s="14">
        <f>[1]Sheet2!BO200</f>
        <v>0</v>
      </c>
      <c r="CL201" s="14">
        <f>[1]Sheet2!BP200</f>
        <v>0</v>
      </c>
      <c r="CM201" s="16">
        <f>Demand_SW!B$9/31</f>
        <v>131.01736972704714</v>
      </c>
      <c r="CN201" s="16">
        <f>Demand_SW!C$9/31</f>
        <v>0</v>
      </c>
      <c r="CO201" s="16">
        <f>Demand_SW!D$9/31</f>
        <v>0</v>
      </c>
      <c r="CP201" s="16">
        <f>Demand_SW!E$9/31</f>
        <v>0</v>
      </c>
      <c r="CQ201" s="16">
        <f>Demand_SW!F$9/31</f>
        <v>0</v>
      </c>
      <c r="CR201" s="16">
        <f>Demand_SW!G$9/31</f>
        <v>131.01736972704714</v>
      </c>
      <c r="CS201" s="16">
        <f>Demand_SW!H$9/31</f>
        <v>0</v>
      </c>
      <c r="CT201" s="16">
        <f>Demand_SW!I$9/31</f>
        <v>0</v>
      </c>
      <c r="CU201" s="16">
        <f>Demand_SW!J$9/31</f>
        <v>0</v>
      </c>
      <c r="CV201" s="16">
        <f>Demand_SW!K$9/31</f>
        <v>0</v>
      </c>
      <c r="CW201" s="16">
        <f t="shared" si="113"/>
        <v>24175.012406947924</v>
      </c>
      <c r="CX201" s="16">
        <f t="shared" si="114"/>
        <v>-423.07692307692292</v>
      </c>
      <c r="CY201" s="16">
        <f t="shared" si="115"/>
        <v>0</v>
      </c>
      <c r="CZ201" s="16">
        <f t="shared" si="116"/>
        <v>0</v>
      </c>
      <c r="DA201" s="16">
        <f t="shared" si="117"/>
        <v>0</v>
      </c>
      <c r="DB201" s="16">
        <f t="shared" si="118"/>
        <v>-25354.218362282871</v>
      </c>
      <c r="DC201" s="16">
        <f t="shared" si="119"/>
        <v>-423.07692307692292</v>
      </c>
      <c r="DD201" s="16">
        <f t="shared" si="120"/>
        <v>0</v>
      </c>
      <c r="DE201" s="16">
        <f t="shared" si="121"/>
        <v>0</v>
      </c>
      <c r="DF201" s="16">
        <f t="shared" si="122"/>
        <v>0</v>
      </c>
      <c r="DG201" s="14">
        <f>IF([1]Sheet2!DR200=999999,"NA",[1]Sheet2!DR200)</f>
        <v>73103</v>
      </c>
      <c r="DH201" s="14">
        <f>IF([1]Sheet2!DS200=999999,"NA",[1]Sheet2!DS200)</f>
        <v>167</v>
      </c>
      <c r="DI201" s="14">
        <f>IF([1]Sheet2!DT200=999999,"NA",[1]Sheet2!DT200)</f>
        <v>167</v>
      </c>
      <c r="DJ201" s="14" t="str">
        <f>IF([1]Sheet2!DU200=999999,"NA",[1]Sheet2!DU200)</f>
        <v>NA</v>
      </c>
      <c r="DK201" s="14" t="str">
        <f>IF([1]Sheet2!DV200=999999,"NA",[1]Sheet2!DV200)</f>
        <v>NA</v>
      </c>
      <c r="DL201" s="14" t="str">
        <f>IF([1]Sheet2!DW200=999999,"NA",[1]Sheet2!DW200)</f>
        <v>NA</v>
      </c>
      <c r="DM201" s="14">
        <f>IF([1]Sheet2!DX200=999999,"NA",[1]Sheet2!DX200)</f>
        <v>167</v>
      </c>
      <c r="DN201" s="14">
        <f>IF([1]Sheet2!DY200=999999,"NA",[1]Sheet2!DY200)</f>
        <v>167</v>
      </c>
      <c r="DO201" s="14" t="str">
        <f>IF([1]Sheet2!DZ200=999999,"NA",[1]Sheet2!DZ200)</f>
        <v>NA</v>
      </c>
      <c r="DP201" s="14" t="str">
        <f>IF([1]Sheet2!EA200=999999,"NA",[1]Sheet2!EA200)</f>
        <v>NA</v>
      </c>
      <c r="DQ201" s="14">
        <f>[1]Sheet2!CX200</f>
        <v>0</v>
      </c>
      <c r="DR201" s="14">
        <f>[1]Sheet2!CY200</f>
        <v>0</v>
      </c>
      <c r="DS201" s="14">
        <f>[1]Sheet2!CZ200</f>
        <v>0</v>
      </c>
      <c r="DT201" s="14">
        <f>[1]Sheet2!DA200</f>
        <v>0</v>
      </c>
      <c r="DU201" s="14">
        <f>[1]Sheet2!DB200</f>
        <v>0</v>
      </c>
      <c r="DV201" s="14">
        <f>[1]Sheet2!DC200</f>
        <v>0</v>
      </c>
      <c r="DW201" s="14">
        <f>[1]Sheet2!DD200</f>
        <v>0</v>
      </c>
      <c r="DX201" s="14">
        <f>[1]Sheet2!DE200</f>
        <v>0</v>
      </c>
      <c r="DY201" s="14">
        <f>[1]Sheet2!DF200</f>
        <v>0</v>
      </c>
      <c r="DZ201" s="14">
        <f>[1]Sheet2!DG200</f>
        <v>0</v>
      </c>
    </row>
    <row r="202" spans="1:130" x14ac:dyDescent="0.25">
      <c r="A202" s="15">
        <v>43664</v>
      </c>
      <c r="B202" s="1"/>
      <c r="C202" s="1"/>
      <c r="D202" s="1"/>
      <c r="E202" s="14">
        <f>[1]Sheet2!N201</f>
        <v>0</v>
      </c>
      <c r="F202" s="14">
        <f>[1]Sheet2!BE201</f>
        <v>0</v>
      </c>
      <c r="G202" s="14">
        <f>[1]Sheet2!CV201</f>
        <v>262.03473945409428</v>
      </c>
      <c r="H202" s="1"/>
      <c r="I202" s="1"/>
      <c r="J202" s="1"/>
      <c r="K202" s="16">
        <f>Demand_CWRS!B$9/31</f>
        <v>137.44229993796523</v>
      </c>
      <c r="L202" s="16">
        <f>Demand_CWRS!C$9/31</f>
        <v>616.54259718775836</v>
      </c>
      <c r="M202" s="16">
        <f>Demand_CWRS!D$9/31</f>
        <v>0</v>
      </c>
      <c r="N202" s="16">
        <f>Demand_CWRS!E$9/31</f>
        <v>140.39247311827955</v>
      </c>
      <c r="O202" s="16">
        <f>Demand_CWRS!F$9/31</f>
        <v>245.11049679487181</v>
      </c>
      <c r="P202" s="16">
        <f>Demand_CWRS!G$9/31</f>
        <v>137.44229993796523</v>
      </c>
      <c r="Q202" s="16">
        <f>Demand_CWRS!H$9/31</f>
        <v>616.54259718775836</v>
      </c>
      <c r="R202" s="16">
        <f>Demand_CWRS!I$9/31</f>
        <v>245.11049679487181</v>
      </c>
      <c r="S202" s="16">
        <f>Demand_CWRS!J$9/31</f>
        <v>245.11049679487181</v>
      </c>
      <c r="T202" s="16">
        <f>Demand_CWRS!K$9/31</f>
        <v>245.11049679487181</v>
      </c>
      <c r="U202" s="16">
        <f t="shared" si="93"/>
        <v>-28834.722936279872</v>
      </c>
      <c r="V202" s="16">
        <f t="shared" si="94"/>
        <v>-97953.928287840885</v>
      </c>
      <c r="W202" s="16">
        <f t="shared" si="95"/>
        <v>0</v>
      </c>
      <c r="X202" s="16">
        <f t="shared" si="96"/>
        <v>-23068.341065950455</v>
      </c>
      <c r="Y202" s="16">
        <f t="shared" si="97"/>
        <v>-45690.152777101583</v>
      </c>
      <c r="Z202" s="16">
        <f t="shared" si="98"/>
        <v>-28508.949787241421</v>
      </c>
      <c r="AA202" s="16">
        <f t="shared" si="99"/>
        <v>-97453.928287840885</v>
      </c>
      <c r="AB202" s="16">
        <f t="shared" si="100"/>
        <v>-43206.307296332299</v>
      </c>
      <c r="AC202" s="16">
        <f t="shared" si="101"/>
        <v>-43206.307296332292</v>
      </c>
      <c r="AD202" s="16">
        <f t="shared" si="102"/>
        <v>-43906.307296332285</v>
      </c>
      <c r="AE202" s="14">
        <f>IF([1]Sheet2!AJ201=999999,"NA",[1]Sheet2!AJ201)</f>
        <v>0</v>
      </c>
      <c r="AF202" s="14">
        <f>IF([1]Sheet2!AK201=999999,"NA",[1]Sheet2!AK201)</f>
        <v>0</v>
      </c>
      <c r="AG202" s="14" t="str">
        <f>IF([1]Sheet2!AL201=999999,"NA",[1]Sheet2!AL201)</f>
        <v>NA</v>
      </c>
      <c r="AH202" s="14">
        <f>IF([1]Sheet2!AM201=999999,"NA",[1]Sheet2!AM201)</f>
        <v>166</v>
      </c>
      <c r="AI202" s="14">
        <f>IF([1]Sheet2!AN201=999999,"NA",[1]Sheet2!AN201)</f>
        <v>166</v>
      </c>
      <c r="AJ202" s="14">
        <f>IF([1]Sheet2!AO201=999999,"NA",[1]Sheet2!AO201)</f>
        <v>166</v>
      </c>
      <c r="AK202" s="14">
        <f>IF([1]Sheet2!AP201=999999,"NA",[1]Sheet2!AP201)</f>
        <v>0</v>
      </c>
      <c r="AL202" s="14">
        <f>IF([1]Sheet2!AQ201=999999,"NA",[1]Sheet2!AQ201)</f>
        <v>42</v>
      </c>
      <c r="AM202" s="14">
        <f>IF([1]Sheet2!AR201=999999,"NA",[1]Sheet2!AR201)</f>
        <v>166</v>
      </c>
      <c r="AN202" s="14">
        <f>IF([1]Sheet2!AS201=999999,"NA",[1]Sheet2!AS201)</f>
        <v>98</v>
      </c>
      <c r="AO202" s="14">
        <f>[1]Sheet2!P201</f>
        <v>0</v>
      </c>
      <c r="AP202" s="14">
        <f>[1]Sheet2!Q201</f>
        <v>0</v>
      </c>
      <c r="AQ202" s="14">
        <f>[1]Sheet2!R201</f>
        <v>0</v>
      </c>
      <c r="AR202" s="14">
        <f>[1]Sheet2!S201</f>
        <v>0</v>
      </c>
      <c r="AS202" s="14">
        <f>[1]Sheet2!T201</f>
        <v>0</v>
      </c>
      <c r="AT202" s="14">
        <f>[1]Sheet2!U201</f>
        <v>0</v>
      </c>
      <c r="AU202" s="14">
        <f>[1]Sheet2!V201</f>
        <v>0</v>
      </c>
      <c r="AV202" s="14">
        <f>[1]Sheet2!W201</f>
        <v>0</v>
      </c>
      <c r="AW202" s="14">
        <f>[1]Sheet2!X201</f>
        <v>0</v>
      </c>
      <c r="AX202" s="14">
        <f>[1]Sheet2!Y201</f>
        <v>0</v>
      </c>
      <c r="AY202" s="16">
        <f>Demand_LP!B$9/31</f>
        <v>878.29658550454917</v>
      </c>
      <c r="AZ202" s="16">
        <f>Demand_LP!C$9/31</f>
        <v>663.85442514474767</v>
      </c>
      <c r="BA202" s="16">
        <f>Demand_LP!D$9/31</f>
        <v>335.39784946236568</v>
      </c>
      <c r="BB202" s="16">
        <f>Demand_LP!E$9/31</f>
        <v>725.23531844499576</v>
      </c>
      <c r="BC202" s="16">
        <f>Demand_LP!F$9/31</f>
        <v>456.65268558726217</v>
      </c>
      <c r="BD202" s="16">
        <f>Demand_LP!G$9/31</f>
        <v>878.29658550454917</v>
      </c>
      <c r="BE202" s="16">
        <f>Demand_LP!H$9/31</f>
        <v>663.85442514474767</v>
      </c>
      <c r="BF202" s="16">
        <f>Demand_LP!I$9/31</f>
        <v>456.65268558726217</v>
      </c>
      <c r="BG202" s="16">
        <f>Demand_LP!J$9/31</f>
        <v>456.65268558726217</v>
      </c>
      <c r="BH202" s="16">
        <f>Demand_LP!K$9/31</f>
        <v>456.65268558726217</v>
      </c>
      <c r="BI202" s="16" t="e">
        <f t="shared" si="103"/>
        <v>#VALUE!</v>
      </c>
      <c r="BJ202" s="16">
        <f t="shared" si="104"/>
        <v>-119135.47452440012</v>
      </c>
      <c r="BK202" s="16">
        <f t="shared" si="105"/>
        <v>-60728.76770057893</v>
      </c>
      <c r="BL202" s="16">
        <f t="shared" si="106"/>
        <v>-151616.14212603765</v>
      </c>
      <c r="BM202" s="16">
        <f t="shared" si="107"/>
        <v>-91000.794886943666</v>
      </c>
      <c r="BN202" s="16">
        <f t="shared" si="108"/>
        <v>-150691.24823997033</v>
      </c>
      <c r="BO202" s="16">
        <f t="shared" si="109"/>
        <v>-121493.05401157965</v>
      </c>
      <c r="BP202" s="16">
        <f t="shared" si="110"/>
        <v>-90458.478805314269</v>
      </c>
      <c r="BQ202" s="16">
        <f t="shared" si="111"/>
        <v>-87058.478805314313</v>
      </c>
      <c r="BR202" s="16">
        <f t="shared" si="112"/>
        <v>-88258.478805314269</v>
      </c>
      <c r="BS202" s="14">
        <f>IF([1]Sheet2!CA201=999999,"NA",[1]Sheet2!CA201)</f>
        <v>128220.52119468589</v>
      </c>
      <c r="BT202" s="14">
        <f>IF([1]Sheet2!CB201=999999,"NA",[1]Sheet2!CB201)</f>
        <v>88</v>
      </c>
      <c r="BU202" s="14">
        <f>IF([1]Sheet2!CC201=999999,"NA",[1]Sheet2!CC201)</f>
        <v>166</v>
      </c>
      <c r="BV202" s="14">
        <f>IF([1]Sheet2!CD201=999999,"NA",[1]Sheet2!CD201)</f>
        <v>166</v>
      </c>
      <c r="BW202" s="14">
        <f>IF([1]Sheet2!CE201=999999,"NA",[1]Sheet2!CE201)</f>
        <v>128</v>
      </c>
      <c r="BX202" s="14">
        <f>IF([1]Sheet2!CF201=999999,"NA",[1]Sheet2!CF201)</f>
        <v>166</v>
      </c>
      <c r="BY202" s="14">
        <f>IF([1]Sheet2!CG201=999999,"NA",[1]Sheet2!CG201)</f>
        <v>60</v>
      </c>
      <c r="BZ202" s="14">
        <f>IF([1]Sheet2!CH201=999999,"NA",[1]Sheet2!CH201)</f>
        <v>166</v>
      </c>
      <c r="CA202" s="14">
        <f>IF([1]Sheet2!CI201=999999,"NA",[1]Sheet2!CI201)</f>
        <v>166</v>
      </c>
      <c r="CB202" s="14">
        <f>IF([1]Sheet2!CJ201=999999,"NA",[1]Sheet2!CJ201)</f>
        <v>166</v>
      </c>
      <c r="CC202" s="14">
        <f>[1]Sheet2!BG201</f>
        <v>0</v>
      </c>
      <c r="CD202" s="14">
        <f>[1]Sheet2!BH201</f>
        <v>0</v>
      </c>
      <c r="CE202" s="14">
        <f>[1]Sheet2!BI201</f>
        <v>0</v>
      </c>
      <c r="CF202" s="14">
        <f>[1]Sheet2!BJ201</f>
        <v>0</v>
      </c>
      <c r="CG202" s="14">
        <f>[1]Sheet2!BK201</f>
        <v>0</v>
      </c>
      <c r="CH202" s="14">
        <f>[1]Sheet2!BL201</f>
        <v>0</v>
      </c>
      <c r="CI202" s="14">
        <f>[1]Sheet2!BM201</f>
        <v>0</v>
      </c>
      <c r="CJ202" s="14">
        <f>[1]Sheet2!BN201</f>
        <v>0</v>
      </c>
      <c r="CK202" s="14">
        <f>[1]Sheet2!BO201</f>
        <v>0</v>
      </c>
      <c r="CL202" s="14">
        <f>[1]Sheet2!BP201</f>
        <v>0</v>
      </c>
      <c r="CM202" s="16">
        <f>Demand_SW!B$9/31</f>
        <v>131.01736972704714</v>
      </c>
      <c r="CN202" s="16">
        <f>Demand_SW!C$9/31</f>
        <v>0</v>
      </c>
      <c r="CO202" s="16">
        <f>Demand_SW!D$9/31</f>
        <v>0</v>
      </c>
      <c r="CP202" s="16">
        <f>Demand_SW!E$9/31</f>
        <v>0</v>
      </c>
      <c r="CQ202" s="16">
        <f>Demand_SW!F$9/31</f>
        <v>0</v>
      </c>
      <c r="CR202" s="16">
        <f>Demand_SW!G$9/31</f>
        <v>131.01736972704714</v>
      </c>
      <c r="CS202" s="16">
        <f>Demand_SW!H$9/31</f>
        <v>0</v>
      </c>
      <c r="CT202" s="16">
        <f>Demand_SW!I$9/31</f>
        <v>0</v>
      </c>
      <c r="CU202" s="16">
        <f>Demand_SW!J$9/31</f>
        <v>0</v>
      </c>
      <c r="CV202" s="16">
        <f>Demand_SW!K$9/31</f>
        <v>0</v>
      </c>
      <c r="CW202" s="16">
        <f t="shared" si="113"/>
        <v>24043.995037220877</v>
      </c>
      <c r="CX202" s="16">
        <f t="shared" si="114"/>
        <v>-423.07692307692292</v>
      </c>
      <c r="CY202" s="16">
        <f t="shared" si="115"/>
        <v>0</v>
      </c>
      <c r="CZ202" s="16">
        <f t="shared" si="116"/>
        <v>0</v>
      </c>
      <c r="DA202" s="16">
        <f t="shared" si="117"/>
        <v>0</v>
      </c>
      <c r="DB202" s="16">
        <f t="shared" si="118"/>
        <v>-25485.235732009918</v>
      </c>
      <c r="DC202" s="16">
        <f t="shared" si="119"/>
        <v>-423.07692307692292</v>
      </c>
      <c r="DD202" s="16">
        <f t="shared" si="120"/>
        <v>0</v>
      </c>
      <c r="DE202" s="16">
        <f t="shared" si="121"/>
        <v>0</v>
      </c>
      <c r="DF202" s="16">
        <f t="shared" si="122"/>
        <v>0</v>
      </c>
      <c r="DG202" s="14">
        <f>IF([1]Sheet2!DR201=999999,"NA",[1]Sheet2!DR201)</f>
        <v>73103</v>
      </c>
      <c r="DH202" s="14">
        <f>IF([1]Sheet2!DS201=999999,"NA",[1]Sheet2!DS201)</f>
        <v>166</v>
      </c>
      <c r="DI202" s="14">
        <f>IF([1]Sheet2!DT201=999999,"NA",[1]Sheet2!DT201)</f>
        <v>166</v>
      </c>
      <c r="DJ202" s="14" t="str">
        <f>IF([1]Sheet2!DU201=999999,"NA",[1]Sheet2!DU201)</f>
        <v>NA</v>
      </c>
      <c r="DK202" s="14" t="str">
        <f>IF([1]Sheet2!DV201=999999,"NA",[1]Sheet2!DV201)</f>
        <v>NA</v>
      </c>
      <c r="DL202" s="14" t="str">
        <f>IF([1]Sheet2!DW201=999999,"NA",[1]Sheet2!DW201)</f>
        <v>NA</v>
      </c>
      <c r="DM202" s="14">
        <f>IF([1]Sheet2!DX201=999999,"NA",[1]Sheet2!DX201)</f>
        <v>166</v>
      </c>
      <c r="DN202" s="14">
        <f>IF([1]Sheet2!DY201=999999,"NA",[1]Sheet2!DY201)</f>
        <v>166</v>
      </c>
      <c r="DO202" s="14" t="str">
        <f>IF([1]Sheet2!DZ201=999999,"NA",[1]Sheet2!DZ201)</f>
        <v>NA</v>
      </c>
      <c r="DP202" s="14" t="str">
        <f>IF([1]Sheet2!EA201=999999,"NA",[1]Sheet2!EA201)</f>
        <v>NA</v>
      </c>
      <c r="DQ202" s="14">
        <f>[1]Sheet2!CX201</f>
        <v>0</v>
      </c>
      <c r="DR202" s="14">
        <f>[1]Sheet2!CY201</f>
        <v>0</v>
      </c>
      <c r="DS202" s="14">
        <f>[1]Sheet2!CZ201</f>
        <v>0</v>
      </c>
      <c r="DT202" s="14">
        <f>[1]Sheet2!DA201</f>
        <v>0</v>
      </c>
      <c r="DU202" s="14">
        <f>[1]Sheet2!DB201</f>
        <v>0</v>
      </c>
      <c r="DV202" s="14">
        <f>[1]Sheet2!DC201</f>
        <v>0</v>
      </c>
      <c r="DW202" s="14">
        <f>[1]Sheet2!DD201</f>
        <v>0</v>
      </c>
      <c r="DX202" s="14">
        <f>[1]Sheet2!DE201</f>
        <v>0</v>
      </c>
      <c r="DY202" s="14">
        <f>[1]Sheet2!DF201</f>
        <v>0</v>
      </c>
      <c r="DZ202" s="14">
        <f>[1]Sheet2!DG201</f>
        <v>0</v>
      </c>
    </row>
    <row r="203" spans="1:130" x14ac:dyDescent="0.25">
      <c r="A203" s="15">
        <v>43665</v>
      </c>
      <c r="B203" s="1"/>
      <c r="C203" s="1"/>
      <c r="D203" s="1"/>
      <c r="E203" s="14">
        <f>[1]Sheet2!N202</f>
        <v>0</v>
      </c>
      <c r="F203" s="14">
        <f>[1]Sheet2!BE202</f>
        <v>0</v>
      </c>
      <c r="G203" s="14">
        <f>[1]Sheet2!CV202</f>
        <v>262.03473945409428</v>
      </c>
      <c r="H203" s="1"/>
      <c r="I203" s="1"/>
      <c r="J203" s="1"/>
      <c r="K203" s="16">
        <f>Demand_CWRS!B$9/31</f>
        <v>137.44229993796523</v>
      </c>
      <c r="L203" s="16">
        <f>Demand_CWRS!C$9/31</f>
        <v>616.54259718775836</v>
      </c>
      <c r="M203" s="16">
        <f>Demand_CWRS!D$9/31</f>
        <v>0</v>
      </c>
      <c r="N203" s="16">
        <f>Demand_CWRS!E$9/31</f>
        <v>140.39247311827955</v>
      </c>
      <c r="O203" s="16">
        <f>Demand_CWRS!F$9/31</f>
        <v>245.11049679487181</v>
      </c>
      <c r="P203" s="16">
        <f>Demand_CWRS!G$9/31</f>
        <v>137.44229993796523</v>
      </c>
      <c r="Q203" s="16">
        <f>Demand_CWRS!H$9/31</f>
        <v>616.54259718775836</v>
      </c>
      <c r="R203" s="16">
        <f>Demand_CWRS!I$9/31</f>
        <v>245.11049679487181</v>
      </c>
      <c r="S203" s="16">
        <f>Demand_CWRS!J$9/31</f>
        <v>245.11049679487181</v>
      </c>
      <c r="T203" s="16">
        <f>Demand_CWRS!K$9/31</f>
        <v>245.11049679487181</v>
      </c>
      <c r="U203" s="16">
        <f t="shared" si="93"/>
        <v>-28972.165236217836</v>
      </c>
      <c r="V203" s="16">
        <f t="shared" si="94"/>
        <v>-98570.470885028641</v>
      </c>
      <c r="W203" s="16">
        <f t="shared" si="95"/>
        <v>0</v>
      </c>
      <c r="X203" s="16">
        <f t="shared" si="96"/>
        <v>-23208.733539068733</v>
      </c>
      <c r="Y203" s="16">
        <f t="shared" si="97"/>
        <v>-45935.263273896453</v>
      </c>
      <c r="Z203" s="16">
        <f t="shared" si="98"/>
        <v>-28646.392087179385</v>
      </c>
      <c r="AA203" s="16">
        <f t="shared" si="99"/>
        <v>-98070.470885028641</v>
      </c>
      <c r="AB203" s="16">
        <f t="shared" si="100"/>
        <v>-43451.41779312717</v>
      </c>
      <c r="AC203" s="16">
        <f t="shared" si="101"/>
        <v>-43451.417793127162</v>
      </c>
      <c r="AD203" s="16">
        <f t="shared" si="102"/>
        <v>-44151.417793127155</v>
      </c>
      <c r="AE203" s="14">
        <f>IF([1]Sheet2!AJ202=999999,"NA",[1]Sheet2!AJ202)</f>
        <v>0</v>
      </c>
      <c r="AF203" s="14">
        <f>IF([1]Sheet2!AK202=999999,"NA",[1]Sheet2!AK202)</f>
        <v>0</v>
      </c>
      <c r="AG203" s="14" t="str">
        <f>IF([1]Sheet2!AL202=999999,"NA",[1]Sheet2!AL202)</f>
        <v>NA</v>
      </c>
      <c r="AH203" s="14">
        <f>IF([1]Sheet2!AM202=999999,"NA",[1]Sheet2!AM202)</f>
        <v>165</v>
      </c>
      <c r="AI203" s="14">
        <f>IF([1]Sheet2!AN202=999999,"NA",[1]Sheet2!AN202)</f>
        <v>165</v>
      </c>
      <c r="AJ203" s="14">
        <f>IF([1]Sheet2!AO202=999999,"NA",[1]Sheet2!AO202)</f>
        <v>165</v>
      </c>
      <c r="AK203" s="14">
        <f>IF([1]Sheet2!AP202=999999,"NA",[1]Sheet2!AP202)</f>
        <v>0</v>
      </c>
      <c r="AL203" s="14">
        <f>IF([1]Sheet2!AQ202=999999,"NA",[1]Sheet2!AQ202)</f>
        <v>41</v>
      </c>
      <c r="AM203" s="14">
        <f>IF([1]Sheet2!AR202=999999,"NA",[1]Sheet2!AR202)</f>
        <v>165</v>
      </c>
      <c r="AN203" s="14">
        <f>IF([1]Sheet2!AS202=999999,"NA",[1]Sheet2!AS202)</f>
        <v>97</v>
      </c>
      <c r="AO203" s="14">
        <f>[1]Sheet2!P202</f>
        <v>0</v>
      </c>
      <c r="AP203" s="14">
        <f>[1]Sheet2!Q202</f>
        <v>0</v>
      </c>
      <c r="AQ203" s="14">
        <f>[1]Sheet2!R202</f>
        <v>0</v>
      </c>
      <c r="AR203" s="14">
        <f>[1]Sheet2!S202</f>
        <v>0</v>
      </c>
      <c r="AS203" s="14">
        <f>[1]Sheet2!T202</f>
        <v>0</v>
      </c>
      <c r="AT203" s="14">
        <f>[1]Sheet2!U202</f>
        <v>0</v>
      </c>
      <c r="AU203" s="14">
        <f>[1]Sheet2!V202</f>
        <v>0</v>
      </c>
      <c r="AV203" s="14">
        <f>[1]Sheet2!W202</f>
        <v>0</v>
      </c>
      <c r="AW203" s="14">
        <f>[1]Sheet2!X202</f>
        <v>0</v>
      </c>
      <c r="AX203" s="14">
        <f>[1]Sheet2!Y202</f>
        <v>0</v>
      </c>
      <c r="AY203" s="16">
        <f>Demand_LP!B$9/31</f>
        <v>878.29658550454917</v>
      </c>
      <c r="AZ203" s="16">
        <f>Demand_LP!C$9/31</f>
        <v>663.85442514474767</v>
      </c>
      <c r="BA203" s="16">
        <f>Demand_LP!D$9/31</f>
        <v>335.39784946236568</v>
      </c>
      <c r="BB203" s="16">
        <f>Demand_LP!E$9/31</f>
        <v>725.23531844499576</v>
      </c>
      <c r="BC203" s="16">
        <f>Demand_LP!F$9/31</f>
        <v>456.65268558726217</v>
      </c>
      <c r="BD203" s="16">
        <f>Demand_LP!G$9/31</f>
        <v>878.29658550454917</v>
      </c>
      <c r="BE203" s="16">
        <f>Demand_LP!H$9/31</f>
        <v>663.85442514474767</v>
      </c>
      <c r="BF203" s="16">
        <f>Demand_LP!I$9/31</f>
        <v>456.65268558726217</v>
      </c>
      <c r="BG203" s="16">
        <f>Demand_LP!J$9/31</f>
        <v>456.65268558726217</v>
      </c>
      <c r="BH203" s="16">
        <f>Demand_LP!K$9/31</f>
        <v>456.65268558726217</v>
      </c>
      <c r="BI203" s="16" t="e">
        <f t="shared" si="103"/>
        <v>#VALUE!</v>
      </c>
      <c r="BJ203" s="16">
        <f t="shared" si="104"/>
        <v>-119799.32894954487</v>
      </c>
      <c r="BK203" s="16">
        <f t="shared" si="105"/>
        <v>-61064.165550041296</v>
      </c>
      <c r="BL203" s="16">
        <f t="shared" si="106"/>
        <v>-152341.37744448264</v>
      </c>
      <c r="BM203" s="16">
        <f t="shared" si="107"/>
        <v>-91457.447572530931</v>
      </c>
      <c r="BN203" s="16">
        <f t="shared" si="108"/>
        <v>-151569.54482547488</v>
      </c>
      <c r="BO203" s="16">
        <f t="shared" si="109"/>
        <v>-122156.90843672439</v>
      </c>
      <c r="BP203" s="16">
        <f t="shared" si="110"/>
        <v>-90915.131490901535</v>
      </c>
      <c r="BQ203" s="16">
        <f t="shared" si="111"/>
        <v>-87515.131490901578</v>
      </c>
      <c r="BR203" s="16">
        <f t="shared" si="112"/>
        <v>-88715.131490901535</v>
      </c>
      <c r="BS203" s="14">
        <f>IF([1]Sheet2!CA202=999999,"NA",[1]Sheet2!CA202)</f>
        <v>127763.86850909863</v>
      </c>
      <c r="BT203" s="14">
        <f>IF([1]Sheet2!CB202=999999,"NA",[1]Sheet2!CB202)</f>
        <v>87</v>
      </c>
      <c r="BU203" s="14">
        <f>IF([1]Sheet2!CC202=999999,"NA",[1]Sheet2!CC202)</f>
        <v>165</v>
      </c>
      <c r="BV203" s="14">
        <f>IF([1]Sheet2!CD202=999999,"NA",[1]Sheet2!CD202)</f>
        <v>165</v>
      </c>
      <c r="BW203" s="14">
        <f>IF([1]Sheet2!CE202=999999,"NA",[1]Sheet2!CE202)</f>
        <v>127</v>
      </c>
      <c r="BX203" s="14">
        <f>IF([1]Sheet2!CF202=999999,"NA",[1]Sheet2!CF202)</f>
        <v>165</v>
      </c>
      <c r="BY203" s="14">
        <f>IF([1]Sheet2!CG202=999999,"NA",[1]Sheet2!CG202)</f>
        <v>59</v>
      </c>
      <c r="BZ203" s="14">
        <f>IF([1]Sheet2!CH202=999999,"NA",[1]Sheet2!CH202)</f>
        <v>165</v>
      </c>
      <c r="CA203" s="14">
        <f>IF([1]Sheet2!CI202=999999,"NA",[1]Sheet2!CI202)</f>
        <v>165</v>
      </c>
      <c r="CB203" s="14">
        <f>IF([1]Sheet2!CJ202=999999,"NA",[1]Sheet2!CJ202)</f>
        <v>165</v>
      </c>
      <c r="CC203" s="14">
        <f>[1]Sheet2!BG202</f>
        <v>0</v>
      </c>
      <c r="CD203" s="14">
        <f>[1]Sheet2!BH202</f>
        <v>0</v>
      </c>
      <c r="CE203" s="14">
        <f>[1]Sheet2!BI202</f>
        <v>0</v>
      </c>
      <c r="CF203" s="14">
        <f>[1]Sheet2!BJ202</f>
        <v>0</v>
      </c>
      <c r="CG203" s="14">
        <f>[1]Sheet2!BK202</f>
        <v>0</v>
      </c>
      <c r="CH203" s="14">
        <f>[1]Sheet2!BL202</f>
        <v>0</v>
      </c>
      <c r="CI203" s="14">
        <f>[1]Sheet2!BM202</f>
        <v>0</v>
      </c>
      <c r="CJ203" s="14">
        <f>[1]Sheet2!BN202</f>
        <v>0</v>
      </c>
      <c r="CK203" s="14">
        <f>[1]Sheet2!BO202</f>
        <v>0</v>
      </c>
      <c r="CL203" s="14">
        <f>[1]Sheet2!BP202</f>
        <v>0</v>
      </c>
      <c r="CM203" s="16">
        <f>Demand_SW!B$9/31</f>
        <v>131.01736972704714</v>
      </c>
      <c r="CN203" s="16">
        <f>Demand_SW!C$9/31</f>
        <v>0</v>
      </c>
      <c r="CO203" s="16">
        <f>Demand_SW!D$9/31</f>
        <v>0</v>
      </c>
      <c r="CP203" s="16">
        <f>Demand_SW!E$9/31</f>
        <v>0</v>
      </c>
      <c r="CQ203" s="16">
        <f>Demand_SW!F$9/31</f>
        <v>0</v>
      </c>
      <c r="CR203" s="16">
        <f>Demand_SW!G$9/31</f>
        <v>131.01736972704714</v>
      </c>
      <c r="CS203" s="16">
        <f>Demand_SW!H$9/31</f>
        <v>0</v>
      </c>
      <c r="CT203" s="16">
        <f>Demand_SW!I$9/31</f>
        <v>0</v>
      </c>
      <c r="CU203" s="16">
        <f>Demand_SW!J$9/31</f>
        <v>0</v>
      </c>
      <c r="CV203" s="16">
        <f>Demand_SW!K$9/31</f>
        <v>0</v>
      </c>
      <c r="CW203" s="16">
        <f t="shared" si="113"/>
        <v>23912.977667493829</v>
      </c>
      <c r="CX203" s="16">
        <f t="shared" si="114"/>
        <v>-423.07692307692292</v>
      </c>
      <c r="CY203" s="16">
        <f t="shared" si="115"/>
        <v>0</v>
      </c>
      <c r="CZ203" s="16">
        <f t="shared" si="116"/>
        <v>0</v>
      </c>
      <c r="DA203" s="16">
        <f t="shared" si="117"/>
        <v>0</v>
      </c>
      <c r="DB203" s="16">
        <f t="shared" si="118"/>
        <v>-25616.253101736966</v>
      </c>
      <c r="DC203" s="16">
        <f t="shared" si="119"/>
        <v>-423.07692307692292</v>
      </c>
      <c r="DD203" s="16">
        <f t="shared" si="120"/>
        <v>0</v>
      </c>
      <c r="DE203" s="16">
        <f t="shared" si="121"/>
        <v>0</v>
      </c>
      <c r="DF203" s="16">
        <f t="shared" si="122"/>
        <v>0</v>
      </c>
      <c r="DG203" s="14">
        <f>IF([1]Sheet2!DR202=999999,"NA",[1]Sheet2!DR202)</f>
        <v>73103</v>
      </c>
      <c r="DH203" s="14">
        <f>IF([1]Sheet2!DS202=999999,"NA",[1]Sheet2!DS202)</f>
        <v>165</v>
      </c>
      <c r="DI203" s="14">
        <f>IF([1]Sheet2!DT202=999999,"NA",[1]Sheet2!DT202)</f>
        <v>165</v>
      </c>
      <c r="DJ203" s="14" t="str">
        <f>IF([1]Sheet2!DU202=999999,"NA",[1]Sheet2!DU202)</f>
        <v>NA</v>
      </c>
      <c r="DK203" s="14" t="str">
        <f>IF([1]Sheet2!DV202=999999,"NA",[1]Sheet2!DV202)</f>
        <v>NA</v>
      </c>
      <c r="DL203" s="14" t="str">
        <f>IF([1]Sheet2!DW202=999999,"NA",[1]Sheet2!DW202)</f>
        <v>NA</v>
      </c>
      <c r="DM203" s="14">
        <f>IF([1]Sheet2!DX202=999999,"NA",[1]Sheet2!DX202)</f>
        <v>165</v>
      </c>
      <c r="DN203" s="14">
        <f>IF([1]Sheet2!DY202=999999,"NA",[1]Sheet2!DY202)</f>
        <v>165</v>
      </c>
      <c r="DO203" s="14" t="str">
        <f>IF([1]Sheet2!DZ202=999999,"NA",[1]Sheet2!DZ202)</f>
        <v>NA</v>
      </c>
      <c r="DP203" s="14" t="str">
        <f>IF([1]Sheet2!EA202=999999,"NA",[1]Sheet2!EA202)</f>
        <v>NA</v>
      </c>
      <c r="DQ203" s="14">
        <f>[1]Sheet2!CX202</f>
        <v>0</v>
      </c>
      <c r="DR203" s="14">
        <f>[1]Sheet2!CY202</f>
        <v>0</v>
      </c>
      <c r="DS203" s="14">
        <f>[1]Sheet2!CZ202</f>
        <v>0</v>
      </c>
      <c r="DT203" s="14">
        <f>[1]Sheet2!DA202</f>
        <v>0</v>
      </c>
      <c r="DU203" s="14">
        <f>[1]Sheet2!DB202</f>
        <v>0</v>
      </c>
      <c r="DV203" s="14">
        <f>[1]Sheet2!DC202</f>
        <v>0</v>
      </c>
      <c r="DW203" s="14">
        <f>[1]Sheet2!DD202</f>
        <v>0</v>
      </c>
      <c r="DX203" s="14">
        <f>[1]Sheet2!DE202</f>
        <v>0</v>
      </c>
      <c r="DY203" s="14">
        <f>[1]Sheet2!DF202</f>
        <v>0</v>
      </c>
      <c r="DZ203" s="14">
        <f>[1]Sheet2!DG202</f>
        <v>0</v>
      </c>
    </row>
    <row r="204" spans="1:130" x14ac:dyDescent="0.25">
      <c r="A204" s="15">
        <v>43666</v>
      </c>
      <c r="B204" s="1"/>
      <c r="C204" s="1"/>
      <c r="D204" s="1"/>
      <c r="E204" s="14">
        <f>[1]Sheet2!N203</f>
        <v>0</v>
      </c>
      <c r="F204" s="14">
        <f>[1]Sheet2!BE203</f>
        <v>0</v>
      </c>
      <c r="G204" s="14">
        <f>[1]Sheet2!CV203</f>
        <v>262.03473945409428</v>
      </c>
      <c r="H204" s="1"/>
      <c r="I204" s="1"/>
      <c r="J204" s="1"/>
      <c r="K204" s="16">
        <f>Demand_CWRS!B$9/31</f>
        <v>137.44229993796523</v>
      </c>
      <c r="L204" s="16">
        <f>Demand_CWRS!C$9/31</f>
        <v>616.54259718775836</v>
      </c>
      <c r="M204" s="16">
        <f>Demand_CWRS!D$9/31</f>
        <v>0</v>
      </c>
      <c r="N204" s="16">
        <f>Demand_CWRS!E$9/31</f>
        <v>140.39247311827955</v>
      </c>
      <c r="O204" s="16">
        <f>Demand_CWRS!F$9/31</f>
        <v>245.11049679487181</v>
      </c>
      <c r="P204" s="16">
        <f>Demand_CWRS!G$9/31</f>
        <v>137.44229993796523</v>
      </c>
      <c r="Q204" s="16">
        <f>Demand_CWRS!H$9/31</f>
        <v>616.54259718775836</v>
      </c>
      <c r="R204" s="16">
        <f>Demand_CWRS!I$9/31</f>
        <v>245.11049679487181</v>
      </c>
      <c r="S204" s="16">
        <f>Demand_CWRS!J$9/31</f>
        <v>245.11049679487181</v>
      </c>
      <c r="T204" s="16">
        <f>Demand_CWRS!K$9/31</f>
        <v>245.11049679487181</v>
      </c>
      <c r="U204" s="16">
        <f t="shared" si="93"/>
        <v>-29109.6075361558</v>
      </c>
      <c r="V204" s="16">
        <f t="shared" si="94"/>
        <v>-99187.013482216396</v>
      </c>
      <c r="W204" s="16">
        <f t="shared" si="95"/>
        <v>0</v>
      </c>
      <c r="X204" s="16">
        <f t="shared" si="96"/>
        <v>-23349.126012187011</v>
      </c>
      <c r="Y204" s="16">
        <f t="shared" si="97"/>
        <v>-46180.373770691323</v>
      </c>
      <c r="Z204" s="16">
        <f t="shared" si="98"/>
        <v>-28783.834387117349</v>
      </c>
      <c r="AA204" s="16">
        <f t="shared" si="99"/>
        <v>-98687.013482216396</v>
      </c>
      <c r="AB204" s="16">
        <f t="shared" si="100"/>
        <v>-43696.52828992204</v>
      </c>
      <c r="AC204" s="16">
        <f t="shared" si="101"/>
        <v>-43696.528289922033</v>
      </c>
      <c r="AD204" s="16">
        <f t="shared" si="102"/>
        <v>-44396.528289922026</v>
      </c>
      <c r="AE204" s="14">
        <f>IF([1]Sheet2!AJ203=999999,"NA",[1]Sheet2!AJ203)</f>
        <v>0</v>
      </c>
      <c r="AF204" s="14">
        <f>IF([1]Sheet2!AK203=999999,"NA",[1]Sheet2!AK203)</f>
        <v>0</v>
      </c>
      <c r="AG204" s="14" t="str">
        <f>IF([1]Sheet2!AL203=999999,"NA",[1]Sheet2!AL203)</f>
        <v>NA</v>
      </c>
      <c r="AH204" s="14">
        <f>IF([1]Sheet2!AM203=999999,"NA",[1]Sheet2!AM203)</f>
        <v>164</v>
      </c>
      <c r="AI204" s="14">
        <f>IF([1]Sheet2!AN203=999999,"NA",[1]Sheet2!AN203)</f>
        <v>164</v>
      </c>
      <c r="AJ204" s="14">
        <f>IF([1]Sheet2!AO203=999999,"NA",[1]Sheet2!AO203)</f>
        <v>164</v>
      </c>
      <c r="AK204" s="14">
        <f>IF([1]Sheet2!AP203=999999,"NA",[1]Sheet2!AP203)</f>
        <v>0</v>
      </c>
      <c r="AL204" s="14">
        <f>IF([1]Sheet2!AQ203=999999,"NA",[1]Sheet2!AQ203)</f>
        <v>40</v>
      </c>
      <c r="AM204" s="14">
        <f>IF([1]Sheet2!AR203=999999,"NA",[1]Sheet2!AR203)</f>
        <v>164</v>
      </c>
      <c r="AN204" s="14">
        <f>IF([1]Sheet2!AS203=999999,"NA",[1]Sheet2!AS203)</f>
        <v>96</v>
      </c>
      <c r="AO204" s="14">
        <f>[1]Sheet2!P203</f>
        <v>0</v>
      </c>
      <c r="AP204" s="14">
        <f>[1]Sheet2!Q203</f>
        <v>0</v>
      </c>
      <c r="AQ204" s="14">
        <f>[1]Sheet2!R203</f>
        <v>0</v>
      </c>
      <c r="AR204" s="14">
        <f>[1]Sheet2!S203</f>
        <v>0</v>
      </c>
      <c r="AS204" s="14">
        <f>[1]Sheet2!T203</f>
        <v>0</v>
      </c>
      <c r="AT204" s="14">
        <f>[1]Sheet2!U203</f>
        <v>0</v>
      </c>
      <c r="AU204" s="14">
        <f>[1]Sheet2!V203</f>
        <v>0</v>
      </c>
      <c r="AV204" s="14">
        <f>[1]Sheet2!W203</f>
        <v>0</v>
      </c>
      <c r="AW204" s="14">
        <f>[1]Sheet2!X203</f>
        <v>0</v>
      </c>
      <c r="AX204" s="14">
        <f>[1]Sheet2!Y203</f>
        <v>0</v>
      </c>
      <c r="AY204" s="16">
        <f>Demand_LP!B$9/31</f>
        <v>878.29658550454917</v>
      </c>
      <c r="AZ204" s="16">
        <f>Demand_LP!C$9/31</f>
        <v>663.85442514474767</v>
      </c>
      <c r="BA204" s="16">
        <f>Demand_LP!D$9/31</f>
        <v>335.39784946236568</v>
      </c>
      <c r="BB204" s="16">
        <f>Demand_LP!E$9/31</f>
        <v>725.23531844499576</v>
      </c>
      <c r="BC204" s="16">
        <f>Demand_LP!F$9/31</f>
        <v>456.65268558726217</v>
      </c>
      <c r="BD204" s="16">
        <f>Demand_LP!G$9/31</f>
        <v>878.29658550454917</v>
      </c>
      <c r="BE204" s="16">
        <f>Demand_LP!H$9/31</f>
        <v>663.85442514474767</v>
      </c>
      <c r="BF204" s="16">
        <f>Demand_LP!I$9/31</f>
        <v>456.65268558726217</v>
      </c>
      <c r="BG204" s="16">
        <f>Demand_LP!J$9/31</f>
        <v>456.65268558726217</v>
      </c>
      <c r="BH204" s="16">
        <f>Demand_LP!K$9/31</f>
        <v>456.65268558726217</v>
      </c>
      <c r="BI204" s="16" t="e">
        <f t="shared" si="103"/>
        <v>#VALUE!</v>
      </c>
      <c r="BJ204" s="16">
        <f t="shared" si="104"/>
        <v>-120463.18337468962</v>
      </c>
      <c r="BK204" s="16">
        <f t="shared" si="105"/>
        <v>-61399.563399503662</v>
      </c>
      <c r="BL204" s="16">
        <f t="shared" si="106"/>
        <v>-153066.61276292763</v>
      </c>
      <c r="BM204" s="16">
        <f t="shared" si="107"/>
        <v>-91914.100258118197</v>
      </c>
      <c r="BN204" s="16">
        <f t="shared" si="108"/>
        <v>-152447.84141097942</v>
      </c>
      <c r="BO204" s="16">
        <f t="shared" si="109"/>
        <v>-122820.76286186914</v>
      </c>
      <c r="BP204" s="16">
        <f t="shared" si="110"/>
        <v>-91371.7841764888</v>
      </c>
      <c r="BQ204" s="16">
        <f t="shared" si="111"/>
        <v>-87971.784176488844</v>
      </c>
      <c r="BR204" s="16">
        <f t="shared" si="112"/>
        <v>-89171.7841764888</v>
      </c>
      <c r="BS204" s="14">
        <f>IF([1]Sheet2!CA203=999999,"NA",[1]Sheet2!CA203)</f>
        <v>127307.21582351136</v>
      </c>
      <c r="BT204" s="14">
        <f>IF([1]Sheet2!CB203=999999,"NA",[1]Sheet2!CB203)</f>
        <v>86</v>
      </c>
      <c r="BU204" s="14">
        <f>IF([1]Sheet2!CC203=999999,"NA",[1]Sheet2!CC203)</f>
        <v>164</v>
      </c>
      <c r="BV204" s="14">
        <f>IF([1]Sheet2!CD203=999999,"NA",[1]Sheet2!CD203)</f>
        <v>164</v>
      </c>
      <c r="BW204" s="14">
        <f>IF([1]Sheet2!CE203=999999,"NA",[1]Sheet2!CE203)</f>
        <v>126</v>
      </c>
      <c r="BX204" s="14">
        <f>IF([1]Sheet2!CF203=999999,"NA",[1]Sheet2!CF203)</f>
        <v>164</v>
      </c>
      <c r="BY204" s="14">
        <f>IF([1]Sheet2!CG203=999999,"NA",[1]Sheet2!CG203)</f>
        <v>58</v>
      </c>
      <c r="BZ204" s="14">
        <f>IF([1]Sheet2!CH203=999999,"NA",[1]Sheet2!CH203)</f>
        <v>164</v>
      </c>
      <c r="CA204" s="14">
        <f>IF([1]Sheet2!CI203=999999,"NA",[1]Sheet2!CI203)</f>
        <v>164</v>
      </c>
      <c r="CB204" s="14">
        <f>IF([1]Sheet2!CJ203=999999,"NA",[1]Sheet2!CJ203)</f>
        <v>164</v>
      </c>
      <c r="CC204" s="14">
        <f>[1]Sheet2!BG203</f>
        <v>0</v>
      </c>
      <c r="CD204" s="14">
        <f>[1]Sheet2!BH203</f>
        <v>0</v>
      </c>
      <c r="CE204" s="14">
        <f>[1]Sheet2!BI203</f>
        <v>0</v>
      </c>
      <c r="CF204" s="14">
        <f>[1]Sheet2!BJ203</f>
        <v>0</v>
      </c>
      <c r="CG204" s="14">
        <f>[1]Sheet2!BK203</f>
        <v>0</v>
      </c>
      <c r="CH204" s="14">
        <f>[1]Sheet2!BL203</f>
        <v>0</v>
      </c>
      <c r="CI204" s="14">
        <f>[1]Sheet2!BM203</f>
        <v>0</v>
      </c>
      <c r="CJ204" s="14">
        <f>[1]Sheet2!BN203</f>
        <v>0</v>
      </c>
      <c r="CK204" s="14">
        <f>[1]Sheet2!BO203</f>
        <v>0</v>
      </c>
      <c r="CL204" s="14">
        <f>[1]Sheet2!BP203</f>
        <v>0</v>
      </c>
      <c r="CM204" s="16">
        <f>Demand_SW!B$9/31</f>
        <v>131.01736972704714</v>
      </c>
      <c r="CN204" s="16">
        <f>Demand_SW!C$9/31</f>
        <v>0</v>
      </c>
      <c r="CO204" s="16">
        <f>Demand_SW!D$9/31</f>
        <v>0</v>
      </c>
      <c r="CP204" s="16">
        <f>Demand_SW!E$9/31</f>
        <v>0</v>
      </c>
      <c r="CQ204" s="16">
        <f>Demand_SW!F$9/31</f>
        <v>0</v>
      </c>
      <c r="CR204" s="16">
        <f>Demand_SW!G$9/31</f>
        <v>131.01736972704714</v>
      </c>
      <c r="CS204" s="16">
        <f>Demand_SW!H$9/31</f>
        <v>0</v>
      </c>
      <c r="CT204" s="16">
        <f>Demand_SW!I$9/31</f>
        <v>0</v>
      </c>
      <c r="CU204" s="16">
        <f>Demand_SW!J$9/31</f>
        <v>0</v>
      </c>
      <c r="CV204" s="16">
        <f>Demand_SW!K$9/31</f>
        <v>0</v>
      </c>
      <c r="CW204" s="16">
        <f t="shared" si="113"/>
        <v>23781.960297766782</v>
      </c>
      <c r="CX204" s="16">
        <f t="shared" si="114"/>
        <v>-423.07692307692292</v>
      </c>
      <c r="CY204" s="16">
        <f t="shared" si="115"/>
        <v>0</v>
      </c>
      <c r="CZ204" s="16">
        <f t="shared" si="116"/>
        <v>0</v>
      </c>
      <c r="DA204" s="16">
        <f t="shared" si="117"/>
        <v>0</v>
      </c>
      <c r="DB204" s="16">
        <f t="shared" si="118"/>
        <v>-25747.270471464013</v>
      </c>
      <c r="DC204" s="16">
        <f t="shared" si="119"/>
        <v>-423.07692307692292</v>
      </c>
      <c r="DD204" s="16">
        <f t="shared" si="120"/>
        <v>0</v>
      </c>
      <c r="DE204" s="16">
        <f t="shared" si="121"/>
        <v>0</v>
      </c>
      <c r="DF204" s="16">
        <f t="shared" si="122"/>
        <v>0</v>
      </c>
      <c r="DG204" s="14">
        <f>IF([1]Sheet2!DR203=999999,"NA",[1]Sheet2!DR203)</f>
        <v>73103</v>
      </c>
      <c r="DH204" s="14">
        <f>IF([1]Sheet2!DS203=999999,"NA",[1]Sheet2!DS203)</f>
        <v>164</v>
      </c>
      <c r="DI204" s="14">
        <f>IF([1]Sheet2!DT203=999999,"NA",[1]Sheet2!DT203)</f>
        <v>164</v>
      </c>
      <c r="DJ204" s="14" t="str">
        <f>IF([1]Sheet2!DU203=999999,"NA",[1]Sheet2!DU203)</f>
        <v>NA</v>
      </c>
      <c r="DK204" s="14" t="str">
        <f>IF([1]Sheet2!DV203=999999,"NA",[1]Sheet2!DV203)</f>
        <v>NA</v>
      </c>
      <c r="DL204" s="14" t="str">
        <f>IF([1]Sheet2!DW203=999999,"NA",[1]Sheet2!DW203)</f>
        <v>NA</v>
      </c>
      <c r="DM204" s="14">
        <f>IF([1]Sheet2!DX203=999999,"NA",[1]Sheet2!DX203)</f>
        <v>164</v>
      </c>
      <c r="DN204" s="14">
        <f>IF([1]Sheet2!DY203=999999,"NA",[1]Sheet2!DY203)</f>
        <v>164</v>
      </c>
      <c r="DO204" s="14" t="str">
        <f>IF([1]Sheet2!DZ203=999999,"NA",[1]Sheet2!DZ203)</f>
        <v>NA</v>
      </c>
      <c r="DP204" s="14" t="str">
        <f>IF([1]Sheet2!EA203=999999,"NA",[1]Sheet2!EA203)</f>
        <v>NA</v>
      </c>
      <c r="DQ204" s="14">
        <f>[1]Sheet2!CX203</f>
        <v>0</v>
      </c>
      <c r="DR204" s="14">
        <f>[1]Sheet2!CY203</f>
        <v>0</v>
      </c>
      <c r="DS204" s="14">
        <f>[1]Sheet2!CZ203</f>
        <v>0</v>
      </c>
      <c r="DT204" s="14">
        <f>[1]Sheet2!DA203</f>
        <v>0</v>
      </c>
      <c r="DU204" s="14">
        <f>[1]Sheet2!DB203</f>
        <v>0</v>
      </c>
      <c r="DV204" s="14">
        <f>[1]Sheet2!DC203</f>
        <v>0</v>
      </c>
      <c r="DW204" s="14">
        <f>[1]Sheet2!DD203</f>
        <v>0</v>
      </c>
      <c r="DX204" s="14">
        <f>[1]Sheet2!DE203</f>
        <v>0</v>
      </c>
      <c r="DY204" s="14">
        <f>[1]Sheet2!DF203</f>
        <v>0</v>
      </c>
      <c r="DZ204" s="14">
        <f>[1]Sheet2!DG203</f>
        <v>0</v>
      </c>
    </row>
    <row r="205" spans="1:130" x14ac:dyDescent="0.25">
      <c r="A205" s="15">
        <v>43667</v>
      </c>
      <c r="B205" s="1"/>
      <c r="C205" s="1"/>
      <c r="D205" s="1"/>
      <c r="E205" s="14">
        <f>[1]Sheet2!N204</f>
        <v>0</v>
      </c>
      <c r="F205" s="14">
        <f>[1]Sheet2!BE204</f>
        <v>0</v>
      </c>
      <c r="G205" s="14">
        <f>[1]Sheet2!CV204</f>
        <v>262.03473945409428</v>
      </c>
      <c r="H205" s="1"/>
      <c r="I205" s="1"/>
      <c r="J205" s="1"/>
      <c r="K205" s="16">
        <f>Demand_CWRS!B$9/31</f>
        <v>137.44229993796523</v>
      </c>
      <c r="L205" s="16">
        <f>Demand_CWRS!C$9/31</f>
        <v>616.54259718775836</v>
      </c>
      <c r="M205" s="16">
        <f>Demand_CWRS!D$9/31</f>
        <v>0</v>
      </c>
      <c r="N205" s="16">
        <f>Demand_CWRS!E$9/31</f>
        <v>140.39247311827955</v>
      </c>
      <c r="O205" s="16">
        <f>Demand_CWRS!F$9/31</f>
        <v>245.11049679487181</v>
      </c>
      <c r="P205" s="16">
        <f>Demand_CWRS!G$9/31</f>
        <v>137.44229993796523</v>
      </c>
      <c r="Q205" s="16">
        <f>Demand_CWRS!H$9/31</f>
        <v>616.54259718775836</v>
      </c>
      <c r="R205" s="16">
        <f>Demand_CWRS!I$9/31</f>
        <v>245.11049679487181</v>
      </c>
      <c r="S205" s="16">
        <f>Demand_CWRS!J$9/31</f>
        <v>245.11049679487181</v>
      </c>
      <c r="T205" s="16">
        <f>Demand_CWRS!K$9/31</f>
        <v>245.11049679487181</v>
      </c>
      <c r="U205" s="16">
        <f t="shared" si="93"/>
        <v>-29247.049836093764</v>
      </c>
      <c r="V205" s="16">
        <f t="shared" si="94"/>
        <v>-99803.556079404152</v>
      </c>
      <c r="W205" s="16">
        <f t="shared" si="95"/>
        <v>0</v>
      </c>
      <c r="X205" s="16">
        <f t="shared" si="96"/>
        <v>-23489.518485305289</v>
      </c>
      <c r="Y205" s="16">
        <f t="shared" si="97"/>
        <v>-46425.484267486194</v>
      </c>
      <c r="Z205" s="16">
        <f t="shared" si="98"/>
        <v>-28921.276687055313</v>
      </c>
      <c r="AA205" s="16">
        <f t="shared" si="99"/>
        <v>-99303.556079404152</v>
      </c>
      <c r="AB205" s="16">
        <f t="shared" si="100"/>
        <v>-43941.638786716911</v>
      </c>
      <c r="AC205" s="16">
        <f t="shared" si="101"/>
        <v>-43941.638786716903</v>
      </c>
      <c r="AD205" s="16">
        <f t="shared" si="102"/>
        <v>-44641.638786716896</v>
      </c>
      <c r="AE205" s="14">
        <f>IF([1]Sheet2!AJ204=999999,"NA",[1]Sheet2!AJ204)</f>
        <v>0</v>
      </c>
      <c r="AF205" s="14">
        <f>IF([1]Sheet2!AK204=999999,"NA",[1]Sheet2!AK204)</f>
        <v>0</v>
      </c>
      <c r="AG205" s="14" t="str">
        <f>IF([1]Sheet2!AL204=999999,"NA",[1]Sheet2!AL204)</f>
        <v>NA</v>
      </c>
      <c r="AH205" s="14">
        <f>IF([1]Sheet2!AM204=999999,"NA",[1]Sheet2!AM204)</f>
        <v>163</v>
      </c>
      <c r="AI205" s="14">
        <f>IF([1]Sheet2!AN204=999999,"NA",[1]Sheet2!AN204)</f>
        <v>163</v>
      </c>
      <c r="AJ205" s="14">
        <f>IF([1]Sheet2!AO204=999999,"NA",[1]Sheet2!AO204)</f>
        <v>163</v>
      </c>
      <c r="AK205" s="14">
        <f>IF([1]Sheet2!AP204=999999,"NA",[1]Sheet2!AP204)</f>
        <v>0</v>
      </c>
      <c r="AL205" s="14">
        <f>IF([1]Sheet2!AQ204=999999,"NA",[1]Sheet2!AQ204)</f>
        <v>39</v>
      </c>
      <c r="AM205" s="14">
        <f>IF([1]Sheet2!AR204=999999,"NA",[1]Sheet2!AR204)</f>
        <v>163</v>
      </c>
      <c r="AN205" s="14">
        <f>IF([1]Sheet2!AS204=999999,"NA",[1]Sheet2!AS204)</f>
        <v>95</v>
      </c>
      <c r="AO205" s="14">
        <f>[1]Sheet2!P204</f>
        <v>0</v>
      </c>
      <c r="AP205" s="14">
        <f>[1]Sheet2!Q204</f>
        <v>0</v>
      </c>
      <c r="AQ205" s="14">
        <f>[1]Sheet2!R204</f>
        <v>0</v>
      </c>
      <c r="AR205" s="14">
        <f>[1]Sheet2!S204</f>
        <v>0</v>
      </c>
      <c r="AS205" s="14">
        <f>[1]Sheet2!T204</f>
        <v>0</v>
      </c>
      <c r="AT205" s="14">
        <f>[1]Sheet2!U204</f>
        <v>0</v>
      </c>
      <c r="AU205" s="14">
        <f>[1]Sheet2!V204</f>
        <v>0</v>
      </c>
      <c r="AV205" s="14">
        <f>[1]Sheet2!W204</f>
        <v>0</v>
      </c>
      <c r="AW205" s="14">
        <f>[1]Sheet2!X204</f>
        <v>0</v>
      </c>
      <c r="AX205" s="14">
        <f>[1]Sheet2!Y204</f>
        <v>0</v>
      </c>
      <c r="AY205" s="16">
        <f>Demand_LP!B$9/31</f>
        <v>878.29658550454917</v>
      </c>
      <c r="AZ205" s="16">
        <f>Demand_LP!C$9/31</f>
        <v>663.85442514474767</v>
      </c>
      <c r="BA205" s="16">
        <f>Demand_LP!D$9/31</f>
        <v>335.39784946236568</v>
      </c>
      <c r="BB205" s="16">
        <f>Demand_LP!E$9/31</f>
        <v>725.23531844499576</v>
      </c>
      <c r="BC205" s="16">
        <f>Demand_LP!F$9/31</f>
        <v>456.65268558726217</v>
      </c>
      <c r="BD205" s="16">
        <f>Demand_LP!G$9/31</f>
        <v>878.29658550454917</v>
      </c>
      <c r="BE205" s="16">
        <f>Demand_LP!H$9/31</f>
        <v>663.85442514474767</v>
      </c>
      <c r="BF205" s="16">
        <f>Demand_LP!I$9/31</f>
        <v>456.65268558726217</v>
      </c>
      <c r="BG205" s="16">
        <f>Demand_LP!J$9/31</f>
        <v>456.65268558726217</v>
      </c>
      <c r="BH205" s="16">
        <f>Demand_LP!K$9/31</f>
        <v>456.65268558726217</v>
      </c>
      <c r="BI205" s="16" t="e">
        <f t="shared" si="103"/>
        <v>#VALUE!</v>
      </c>
      <c r="BJ205" s="16">
        <f t="shared" si="104"/>
        <v>-121127.03779983436</v>
      </c>
      <c r="BK205" s="16">
        <f t="shared" si="105"/>
        <v>-61734.961248966029</v>
      </c>
      <c r="BL205" s="16">
        <f t="shared" si="106"/>
        <v>-153791.84808137262</v>
      </c>
      <c r="BM205" s="16">
        <f t="shared" si="107"/>
        <v>-92370.752943705462</v>
      </c>
      <c r="BN205" s="16">
        <f t="shared" si="108"/>
        <v>-153326.13799648397</v>
      </c>
      <c r="BO205" s="16">
        <f t="shared" si="109"/>
        <v>-123484.61728701388</v>
      </c>
      <c r="BP205" s="16">
        <f t="shared" si="110"/>
        <v>-91828.436862076065</v>
      </c>
      <c r="BQ205" s="16">
        <f t="shared" si="111"/>
        <v>-88428.436862076109</v>
      </c>
      <c r="BR205" s="16">
        <f t="shared" si="112"/>
        <v>-89628.436862076065</v>
      </c>
      <c r="BS205" s="14">
        <f>IF([1]Sheet2!CA204=999999,"NA",[1]Sheet2!CA204)</f>
        <v>126850.56313792409</v>
      </c>
      <c r="BT205" s="14">
        <f>IF([1]Sheet2!CB204=999999,"NA",[1]Sheet2!CB204)</f>
        <v>85</v>
      </c>
      <c r="BU205" s="14">
        <f>IF([1]Sheet2!CC204=999999,"NA",[1]Sheet2!CC204)</f>
        <v>163</v>
      </c>
      <c r="BV205" s="14">
        <f>IF([1]Sheet2!CD204=999999,"NA",[1]Sheet2!CD204)</f>
        <v>163</v>
      </c>
      <c r="BW205" s="14">
        <f>IF([1]Sheet2!CE204=999999,"NA",[1]Sheet2!CE204)</f>
        <v>125</v>
      </c>
      <c r="BX205" s="14">
        <f>IF([1]Sheet2!CF204=999999,"NA",[1]Sheet2!CF204)</f>
        <v>163</v>
      </c>
      <c r="BY205" s="14">
        <f>IF([1]Sheet2!CG204=999999,"NA",[1]Sheet2!CG204)</f>
        <v>57</v>
      </c>
      <c r="BZ205" s="14">
        <f>IF([1]Sheet2!CH204=999999,"NA",[1]Sheet2!CH204)</f>
        <v>163</v>
      </c>
      <c r="CA205" s="14">
        <f>IF([1]Sheet2!CI204=999999,"NA",[1]Sheet2!CI204)</f>
        <v>163</v>
      </c>
      <c r="CB205" s="14">
        <f>IF([1]Sheet2!CJ204=999999,"NA",[1]Sheet2!CJ204)</f>
        <v>163</v>
      </c>
      <c r="CC205" s="14">
        <f>[1]Sheet2!BG204</f>
        <v>0</v>
      </c>
      <c r="CD205" s="14">
        <f>[1]Sheet2!BH204</f>
        <v>0</v>
      </c>
      <c r="CE205" s="14">
        <f>[1]Sheet2!BI204</f>
        <v>0</v>
      </c>
      <c r="CF205" s="14">
        <f>[1]Sheet2!BJ204</f>
        <v>0</v>
      </c>
      <c r="CG205" s="14">
        <f>[1]Sheet2!BK204</f>
        <v>0</v>
      </c>
      <c r="CH205" s="14">
        <f>[1]Sheet2!BL204</f>
        <v>0</v>
      </c>
      <c r="CI205" s="14">
        <f>[1]Sheet2!BM204</f>
        <v>0</v>
      </c>
      <c r="CJ205" s="14">
        <f>[1]Sheet2!BN204</f>
        <v>0</v>
      </c>
      <c r="CK205" s="14">
        <f>[1]Sheet2!BO204</f>
        <v>0</v>
      </c>
      <c r="CL205" s="14">
        <f>[1]Sheet2!BP204</f>
        <v>0</v>
      </c>
      <c r="CM205" s="16">
        <f>Demand_SW!B$9/31</f>
        <v>131.01736972704714</v>
      </c>
      <c r="CN205" s="16">
        <f>Demand_SW!C$9/31</f>
        <v>0</v>
      </c>
      <c r="CO205" s="16">
        <f>Demand_SW!D$9/31</f>
        <v>0</v>
      </c>
      <c r="CP205" s="16">
        <f>Demand_SW!E$9/31</f>
        <v>0</v>
      </c>
      <c r="CQ205" s="16">
        <f>Demand_SW!F$9/31</f>
        <v>0</v>
      </c>
      <c r="CR205" s="16">
        <f>Demand_SW!G$9/31</f>
        <v>131.01736972704714</v>
      </c>
      <c r="CS205" s="16">
        <f>Demand_SW!H$9/31</f>
        <v>0</v>
      </c>
      <c r="CT205" s="16">
        <f>Demand_SW!I$9/31</f>
        <v>0</v>
      </c>
      <c r="CU205" s="16">
        <f>Demand_SW!J$9/31</f>
        <v>0</v>
      </c>
      <c r="CV205" s="16">
        <f>Demand_SW!K$9/31</f>
        <v>0</v>
      </c>
      <c r="CW205" s="16">
        <f t="shared" si="113"/>
        <v>23650.942928039734</v>
      </c>
      <c r="CX205" s="16">
        <f t="shared" si="114"/>
        <v>-423.07692307692292</v>
      </c>
      <c r="CY205" s="16">
        <f t="shared" si="115"/>
        <v>0</v>
      </c>
      <c r="CZ205" s="16">
        <f t="shared" si="116"/>
        <v>0</v>
      </c>
      <c r="DA205" s="16">
        <f t="shared" si="117"/>
        <v>0</v>
      </c>
      <c r="DB205" s="16">
        <f t="shared" si="118"/>
        <v>-25878.287841191061</v>
      </c>
      <c r="DC205" s="16">
        <f t="shared" si="119"/>
        <v>-423.07692307692292</v>
      </c>
      <c r="DD205" s="16">
        <f t="shared" si="120"/>
        <v>0</v>
      </c>
      <c r="DE205" s="16">
        <f t="shared" si="121"/>
        <v>0</v>
      </c>
      <c r="DF205" s="16">
        <f t="shared" si="122"/>
        <v>0</v>
      </c>
      <c r="DG205" s="14">
        <f>IF([1]Sheet2!DR204=999999,"NA",[1]Sheet2!DR204)</f>
        <v>73103</v>
      </c>
      <c r="DH205" s="14">
        <f>IF([1]Sheet2!DS204=999999,"NA",[1]Sheet2!DS204)</f>
        <v>163</v>
      </c>
      <c r="DI205" s="14">
        <f>IF([1]Sheet2!DT204=999999,"NA",[1]Sheet2!DT204)</f>
        <v>163</v>
      </c>
      <c r="DJ205" s="14" t="str">
        <f>IF([1]Sheet2!DU204=999999,"NA",[1]Sheet2!DU204)</f>
        <v>NA</v>
      </c>
      <c r="DK205" s="14" t="str">
        <f>IF([1]Sheet2!DV204=999999,"NA",[1]Sheet2!DV204)</f>
        <v>NA</v>
      </c>
      <c r="DL205" s="14" t="str">
        <f>IF([1]Sheet2!DW204=999999,"NA",[1]Sheet2!DW204)</f>
        <v>NA</v>
      </c>
      <c r="DM205" s="14">
        <f>IF([1]Sheet2!DX204=999999,"NA",[1]Sheet2!DX204)</f>
        <v>163</v>
      </c>
      <c r="DN205" s="14">
        <f>IF([1]Sheet2!DY204=999999,"NA",[1]Sheet2!DY204)</f>
        <v>163</v>
      </c>
      <c r="DO205" s="14" t="str">
        <f>IF([1]Sheet2!DZ204=999999,"NA",[1]Sheet2!DZ204)</f>
        <v>NA</v>
      </c>
      <c r="DP205" s="14" t="str">
        <f>IF([1]Sheet2!EA204=999999,"NA",[1]Sheet2!EA204)</f>
        <v>NA</v>
      </c>
      <c r="DQ205" s="14">
        <f>[1]Sheet2!CX204</f>
        <v>0</v>
      </c>
      <c r="DR205" s="14">
        <f>[1]Sheet2!CY204</f>
        <v>0</v>
      </c>
      <c r="DS205" s="14">
        <f>[1]Sheet2!CZ204</f>
        <v>0</v>
      </c>
      <c r="DT205" s="14">
        <f>[1]Sheet2!DA204</f>
        <v>0</v>
      </c>
      <c r="DU205" s="14">
        <f>[1]Sheet2!DB204</f>
        <v>0</v>
      </c>
      <c r="DV205" s="14">
        <f>[1]Sheet2!DC204</f>
        <v>0</v>
      </c>
      <c r="DW205" s="14">
        <f>[1]Sheet2!DD204</f>
        <v>0</v>
      </c>
      <c r="DX205" s="14">
        <f>[1]Sheet2!DE204</f>
        <v>0</v>
      </c>
      <c r="DY205" s="14">
        <f>[1]Sheet2!DF204</f>
        <v>0</v>
      </c>
      <c r="DZ205" s="14">
        <f>[1]Sheet2!DG204</f>
        <v>0</v>
      </c>
    </row>
    <row r="206" spans="1:130" x14ac:dyDescent="0.25">
      <c r="A206" s="15">
        <v>43668</v>
      </c>
      <c r="B206" s="1"/>
      <c r="C206" s="1"/>
      <c r="D206" s="1"/>
      <c r="E206" s="14">
        <f>[1]Sheet2!N205</f>
        <v>0</v>
      </c>
      <c r="F206" s="14">
        <f>[1]Sheet2!BE205</f>
        <v>0</v>
      </c>
      <c r="G206" s="14">
        <f>[1]Sheet2!CV205</f>
        <v>262.03473945409428</v>
      </c>
      <c r="H206" s="1"/>
      <c r="I206" s="1"/>
      <c r="J206" s="1"/>
      <c r="K206" s="16">
        <f>Demand_CWRS!B$9/31</f>
        <v>137.44229993796523</v>
      </c>
      <c r="L206" s="16">
        <f>Demand_CWRS!C$9/31</f>
        <v>616.54259718775836</v>
      </c>
      <c r="M206" s="16">
        <f>Demand_CWRS!D$9/31</f>
        <v>0</v>
      </c>
      <c r="N206" s="16">
        <f>Demand_CWRS!E$9/31</f>
        <v>140.39247311827955</v>
      </c>
      <c r="O206" s="16">
        <f>Demand_CWRS!F$9/31</f>
        <v>245.11049679487181</v>
      </c>
      <c r="P206" s="16">
        <f>Demand_CWRS!G$9/31</f>
        <v>137.44229993796523</v>
      </c>
      <c r="Q206" s="16">
        <f>Demand_CWRS!H$9/31</f>
        <v>616.54259718775836</v>
      </c>
      <c r="R206" s="16">
        <f>Demand_CWRS!I$9/31</f>
        <v>245.11049679487181</v>
      </c>
      <c r="S206" s="16">
        <f>Demand_CWRS!J$9/31</f>
        <v>245.11049679487181</v>
      </c>
      <c r="T206" s="16">
        <f>Demand_CWRS!K$9/31</f>
        <v>245.11049679487181</v>
      </c>
      <c r="U206" s="16">
        <f t="shared" si="93"/>
        <v>-29384.492136031728</v>
      </c>
      <c r="V206" s="16">
        <f t="shared" si="94"/>
        <v>-100420.09867659191</v>
      </c>
      <c r="W206" s="16">
        <f t="shared" si="95"/>
        <v>0</v>
      </c>
      <c r="X206" s="16">
        <f t="shared" si="96"/>
        <v>-23629.910958423567</v>
      </c>
      <c r="Y206" s="16">
        <f t="shared" si="97"/>
        <v>-46670.594764281064</v>
      </c>
      <c r="Z206" s="16">
        <f t="shared" si="98"/>
        <v>-29058.718986993277</v>
      </c>
      <c r="AA206" s="16">
        <f t="shared" si="99"/>
        <v>-99920.098676591908</v>
      </c>
      <c r="AB206" s="16">
        <f t="shared" si="100"/>
        <v>-44186.749283511781</v>
      </c>
      <c r="AC206" s="16">
        <f t="shared" si="101"/>
        <v>-44186.749283511774</v>
      </c>
      <c r="AD206" s="16">
        <f t="shared" si="102"/>
        <v>-44886.749283511766</v>
      </c>
      <c r="AE206" s="14">
        <f>IF([1]Sheet2!AJ205=999999,"NA",[1]Sheet2!AJ205)</f>
        <v>0</v>
      </c>
      <c r="AF206" s="14">
        <f>IF([1]Sheet2!AK205=999999,"NA",[1]Sheet2!AK205)</f>
        <v>0</v>
      </c>
      <c r="AG206" s="14" t="str">
        <f>IF([1]Sheet2!AL205=999999,"NA",[1]Sheet2!AL205)</f>
        <v>NA</v>
      </c>
      <c r="AH206" s="14">
        <f>IF([1]Sheet2!AM205=999999,"NA",[1]Sheet2!AM205)</f>
        <v>162</v>
      </c>
      <c r="AI206" s="14">
        <f>IF([1]Sheet2!AN205=999999,"NA",[1]Sheet2!AN205)</f>
        <v>162</v>
      </c>
      <c r="AJ206" s="14">
        <f>IF([1]Sheet2!AO205=999999,"NA",[1]Sheet2!AO205)</f>
        <v>162</v>
      </c>
      <c r="AK206" s="14">
        <f>IF([1]Sheet2!AP205=999999,"NA",[1]Sheet2!AP205)</f>
        <v>0</v>
      </c>
      <c r="AL206" s="14">
        <f>IF([1]Sheet2!AQ205=999999,"NA",[1]Sheet2!AQ205)</f>
        <v>38</v>
      </c>
      <c r="AM206" s="14">
        <f>IF([1]Sheet2!AR205=999999,"NA",[1]Sheet2!AR205)</f>
        <v>162</v>
      </c>
      <c r="AN206" s="14">
        <f>IF([1]Sheet2!AS205=999999,"NA",[1]Sheet2!AS205)</f>
        <v>94</v>
      </c>
      <c r="AO206" s="14">
        <f>[1]Sheet2!P205</f>
        <v>0</v>
      </c>
      <c r="AP206" s="14">
        <f>[1]Sheet2!Q205</f>
        <v>0</v>
      </c>
      <c r="AQ206" s="14">
        <f>[1]Sheet2!R205</f>
        <v>0</v>
      </c>
      <c r="AR206" s="14">
        <f>[1]Sheet2!S205</f>
        <v>0</v>
      </c>
      <c r="AS206" s="14">
        <f>[1]Sheet2!T205</f>
        <v>0</v>
      </c>
      <c r="AT206" s="14">
        <f>[1]Sheet2!U205</f>
        <v>0</v>
      </c>
      <c r="AU206" s="14">
        <f>[1]Sheet2!V205</f>
        <v>0</v>
      </c>
      <c r="AV206" s="14">
        <f>[1]Sheet2!W205</f>
        <v>0</v>
      </c>
      <c r="AW206" s="14">
        <f>[1]Sheet2!X205</f>
        <v>0</v>
      </c>
      <c r="AX206" s="14">
        <f>[1]Sheet2!Y205</f>
        <v>0</v>
      </c>
      <c r="AY206" s="16">
        <f>Demand_LP!B$9/31</f>
        <v>878.29658550454917</v>
      </c>
      <c r="AZ206" s="16">
        <f>Demand_LP!C$9/31</f>
        <v>663.85442514474767</v>
      </c>
      <c r="BA206" s="16">
        <f>Demand_LP!D$9/31</f>
        <v>335.39784946236568</v>
      </c>
      <c r="BB206" s="16">
        <f>Demand_LP!E$9/31</f>
        <v>725.23531844499576</v>
      </c>
      <c r="BC206" s="16">
        <f>Demand_LP!F$9/31</f>
        <v>456.65268558726217</v>
      </c>
      <c r="BD206" s="16">
        <f>Demand_LP!G$9/31</f>
        <v>878.29658550454917</v>
      </c>
      <c r="BE206" s="16">
        <f>Demand_LP!H$9/31</f>
        <v>663.85442514474767</v>
      </c>
      <c r="BF206" s="16">
        <f>Demand_LP!I$9/31</f>
        <v>456.65268558726217</v>
      </c>
      <c r="BG206" s="16">
        <f>Demand_LP!J$9/31</f>
        <v>456.65268558726217</v>
      </c>
      <c r="BH206" s="16">
        <f>Demand_LP!K$9/31</f>
        <v>456.65268558726217</v>
      </c>
      <c r="BI206" s="16" t="e">
        <f t="shared" si="103"/>
        <v>#VALUE!</v>
      </c>
      <c r="BJ206" s="16">
        <f t="shared" si="104"/>
        <v>-121790.89222497911</v>
      </c>
      <c r="BK206" s="16">
        <f t="shared" si="105"/>
        <v>-62070.359098428395</v>
      </c>
      <c r="BL206" s="16">
        <f t="shared" si="106"/>
        <v>-154517.08339981761</v>
      </c>
      <c r="BM206" s="16">
        <f t="shared" si="107"/>
        <v>-92827.405629292727</v>
      </c>
      <c r="BN206" s="16">
        <f t="shared" si="108"/>
        <v>-154204.43458198852</v>
      </c>
      <c r="BO206" s="16">
        <f t="shared" si="109"/>
        <v>-124148.47171215863</v>
      </c>
      <c r="BP206" s="16">
        <f t="shared" si="110"/>
        <v>-92285.08954766333</v>
      </c>
      <c r="BQ206" s="16">
        <f t="shared" si="111"/>
        <v>-88885.089547663374</v>
      </c>
      <c r="BR206" s="16">
        <f t="shared" si="112"/>
        <v>-90085.08954766333</v>
      </c>
      <c r="BS206" s="14">
        <f>IF([1]Sheet2!CA205=999999,"NA",[1]Sheet2!CA205)</f>
        <v>126393.91045233683</v>
      </c>
      <c r="BT206" s="14">
        <f>IF([1]Sheet2!CB205=999999,"NA",[1]Sheet2!CB205)</f>
        <v>84</v>
      </c>
      <c r="BU206" s="14">
        <f>IF([1]Sheet2!CC205=999999,"NA",[1]Sheet2!CC205)</f>
        <v>162</v>
      </c>
      <c r="BV206" s="14">
        <f>IF([1]Sheet2!CD205=999999,"NA",[1]Sheet2!CD205)</f>
        <v>162</v>
      </c>
      <c r="BW206" s="14">
        <f>IF([1]Sheet2!CE205=999999,"NA",[1]Sheet2!CE205)</f>
        <v>124</v>
      </c>
      <c r="BX206" s="14">
        <f>IF([1]Sheet2!CF205=999999,"NA",[1]Sheet2!CF205)</f>
        <v>162</v>
      </c>
      <c r="BY206" s="14">
        <f>IF([1]Sheet2!CG205=999999,"NA",[1]Sheet2!CG205)</f>
        <v>56</v>
      </c>
      <c r="BZ206" s="14">
        <f>IF([1]Sheet2!CH205=999999,"NA",[1]Sheet2!CH205)</f>
        <v>162</v>
      </c>
      <c r="CA206" s="14">
        <f>IF([1]Sheet2!CI205=999999,"NA",[1]Sheet2!CI205)</f>
        <v>162</v>
      </c>
      <c r="CB206" s="14">
        <f>IF([1]Sheet2!CJ205=999999,"NA",[1]Sheet2!CJ205)</f>
        <v>162</v>
      </c>
      <c r="CC206" s="14">
        <f>[1]Sheet2!BG205</f>
        <v>0</v>
      </c>
      <c r="CD206" s="14">
        <f>[1]Sheet2!BH205</f>
        <v>0</v>
      </c>
      <c r="CE206" s="14">
        <f>[1]Sheet2!BI205</f>
        <v>0</v>
      </c>
      <c r="CF206" s="14">
        <f>[1]Sheet2!BJ205</f>
        <v>0</v>
      </c>
      <c r="CG206" s="14">
        <f>[1]Sheet2!BK205</f>
        <v>0</v>
      </c>
      <c r="CH206" s="14">
        <f>[1]Sheet2!BL205</f>
        <v>0</v>
      </c>
      <c r="CI206" s="14">
        <f>[1]Sheet2!BM205</f>
        <v>0</v>
      </c>
      <c r="CJ206" s="14">
        <f>[1]Sheet2!BN205</f>
        <v>0</v>
      </c>
      <c r="CK206" s="14">
        <f>[1]Sheet2!BO205</f>
        <v>0</v>
      </c>
      <c r="CL206" s="14">
        <f>[1]Sheet2!BP205</f>
        <v>0</v>
      </c>
      <c r="CM206" s="16">
        <f>Demand_SW!B$9/31</f>
        <v>131.01736972704714</v>
      </c>
      <c r="CN206" s="16">
        <f>Demand_SW!C$9/31</f>
        <v>0</v>
      </c>
      <c r="CO206" s="16">
        <f>Demand_SW!D$9/31</f>
        <v>0</v>
      </c>
      <c r="CP206" s="16">
        <f>Demand_SW!E$9/31</f>
        <v>0</v>
      </c>
      <c r="CQ206" s="16">
        <f>Demand_SW!F$9/31</f>
        <v>0</v>
      </c>
      <c r="CR206" s="16">
        <f>Demand_SW!G$9/31</f>
        <v>131.01736972704714</v>
      </c>
      <c r="CS206" s="16">
        <f>Demand_SW!H$9/31</f>
        <v>0</v>
      </c>
      <c r="CT206" s="16">
        <f>Demand_SW!I$9/31</f>
        <v>0</v>
      </c>
      <c r="CU206" s="16">
        <f>Demand_SW!J$9/31</f>
        <v>0</v>
      </c>
      <c r="CV206" s="16">
        <f>Demand_SW!K$9/31</f>
        <v>0</v>
      </c>
      <c r="CW206" s="16">
        <f t="shared" si="113"/>
        <v>23519.925558312687</v>
      </c>
      <c r="CX206" s="16">
        <f t="shared" si="114"/>
        <v>-423.07692307692292</v>
      </c>
      <c r="CY206" s="16">
        <f t="shared" si="115"/>
        <v>0</v>
      </c>
      <c r="CZ206" s="16">
        <f t="shared" si="116"/>
        <v>0</v>
      </c>
      <c r="DA206" s="16">
        <f t="shared" si="117"/>
        <v>0</v>
      </c>
      <c r="DB206" s="16">
        <f t="shared" si="118"/>
        <v>-26009.305210918108</v>
      </c>
      <c r="DC206" s="16">
        <f t="shared" si="119"/>
        <v>-423.07692307692292</v>
      </c>
      <c r="DD206" s="16">
        <f t="shared" si="120"/>
        <v>0</v>
      </c>
      <c r="DE206" s="16">
        <f t="shared" si="121"/>
        <v>0</v>
      </c>
      <c r="DF206" s="16">
        <f t="shared" si="122"/>
        <v>0</v>
      </c>
      <c r="DG206" s="14">
        <f>IF([1]Sheet2!DR205=999999,"NA",[1]Sheet2!DR205)</f>
        <v>73103</v>
      </c>
      <c r="DH206" s="14">
        <f>IF([1]Sheet2!DS205=999999,"NA",[1]Sheet2!DS205)</f>
        <v>162</v>
      </c>
      <c r="DI206" s="14">
        <f>IF([1]Sheet2!DT205=999999,"NA",[1]Sheet2!DT205)</f>
        <v>162</v>
      </c>
      <c r="DJ206" s="14" t="str">
        <f>IF([1]Sheet2!DU205=999999,"NA",[1]Sheet2!DU205)</f>
        <v>NA</v>
      </c>
      <c r="DK206" s="14" t="str">
        <f>IF([1]Sheet2!DV205=999999,"NA",[1]Sheet2!DV205)</f>
        <v>NA</v>
      </c>
      <c r="DL206" s="14" t="str">
        <f>IF([1]Sheet2!DW205=999999,"NA",[1]Sheet2!DW205)</f>
        <v>NA</v>
      </c>
      <c r="DM206" s="14">
        <f>IF([1]Sheet2!DX205=999999,"NA",[1]Sheet2!DX205)</f>
        <v>162</v>
      </c>
      <c r="DN206" s="14">
        <f>IF([1]Sheet2!DY205=999999,"NA",[1]Sheet2!DY205)</f>
        <v>162</v>
      </c>
      <c r="DO206" s="14" t="str">
        <f>IF([1]Sheet2!DZ205=999999,"NA",[1]Sheet2!DZ205)</f>
        <v>NA</v>
      </c>
      <c r="DP206" s="14" t="str">
        <f>IF([1]Sheet2!EA205=999999,"NA",[1]Sheet2!EA205)</f>
        <v>NA</v>
      </c>
      <c r="DQ206" s="14">
        <f>[1]Sheet2!CX205</f>
        <v>0</v>
      </c>
      <c r="DR206" s="14">
        <f>[1]Sheet2!CY205</f>
        <v>0</v>
      </c>
      <c r="DS206" s="14">
        <f>[1]Sheet2!CZ205</f>
        <v>0</v>
      </c>
      <c r="DT206" s="14">
        <f>[1]Sheet2!DA205</f>
        <v>0</v>
      </c>
      <c r="DU206" s="14">
        <f>[1]Sheet2!DB205</f>
        <v>0</v>
      </c>
      <c r="DV206" s="14">
        <f>[1]Sheet2!DC205</f>
        <v>0</v>
      </c>
      <c r="DW206" s="14">
        <f>[1]Sheet2!DD205</f>
        <v>0</v>
      </c>
      <c r="DX206" s="14">
        <f>[1]Sheet2!DE205</f>
        <v>0</v>
      </c>
      <c r="DY206" s="14">
        <f>[1]Sheet2!DF205</f>
        <v>0</v>
      </c>
      <c r="DZ206" s="14">
        <f>[1]Sheet2!DG205</f>
        <v>0</v>
      </c>
    </row>
    <row r="207" spans="1:130" x14ac:dyDescent="0.25">
      <c r="A207" s="15">
        <v>43669</v>
      </c>
      <c r="B207" s="1"/>
      <c r="C207" s="1"/>
      <c r="D207" s="1"/>
      <c r="E207" s="14">
        <f>[1]Sheet2!N206</f>
        <v>0</v>
      </c>
      <c r="F207" s="14">
        <f>[1]Sheet2!BE206</f>
        <v>0</v>
      </c>
      <c r="G207" s="14">
        <f>[1]Sheet2!CV206</f>
        <v>262.03473945409428</v>
      </c>
      <c r="H207" s="1"/>
      <c r="I207" s="1"/>
      <c r="J207" s="1"/>
      <c r="K207" s="16">
        <f>Demand_CWRS!B$9/31</f>
        <v>137.44229993796523</v>
      </c>
      <c r="L207" s="16">
        <f>Demand_CWRS!C$9/31</f>
        <v>616.54259718775836</v>
      </c>
      <c r="M207" s="16">
        <f>Demand_CWRS!D$9/31</f>
        <v>0</v>
      </c>
      <c r="N207" s="16">
        <f>Demand_CWRS!E$9/31</f>
        <v>140.39247311827955</v>
      </c>
      <c r="O207" s="16">
        <f>Demand_CWRS!F$9/31</f>
        <v>245.11049679487181</v>
      </c>
      <c r="P207" s="16">
        <f>Demand_CWRS!G$9/31</f>
        <v>137.44229993796523</v>
      </c>
      <c r="Q207" s="16">
        <f>Demand_CWRS!H$9/31</f>
        <v>616.54259718775836</v>
      </c>
      <c r="R207" s="16">
        <f>Demand_CWRS!I$9/31</f>
        <v>245.11049679487181</v>
      </c>
      <c r="S207" s="16">
        <f>Demand_CWRS!J$9/31</f>
        <v>245.11049679487181</v>
      </c>
      <c r="T207" s="16">
        <f>Demand_CWRS!K$9/31</f>
        <v>245.11049679487181</v>
      </c>
      <c r="U207" s="16">
        <f t="shared" si="93"/>
        <v>-29521.934435969692</v>
      </c>
      <c r="V207" s="16">
        <f t="shared" si="94"/>
        <v>-101036.64127377966</v>
      </c>
      <c r="W207" s="16">
        <f t="shared" si="95"/>
        <v>0</v>
      </c>
      <c r="X207" s="16">
        <f t="shared" si="96"/>
        <v>-23770.303431541844</v>
      </c>
      <c r="Y207" s="16">
        <f t="shared" si="97"/>
        <v>-46915.705261075935</v>
      </c>
      <c r="Z207" s="16">
        <f t="shared" si="98"/>
        <v>-29196.161286931241</v>
      </c>
      <c r="AA207" s="16">
        <f t="shared" si="99"/>
        <v>-100536.64127377966</v>
      </c>
      <c r="AB207" s="16">
        <f t="shared" si="100"/>
        <v>-44431.859780306651</v>
      </c>
      <c r="AC207" s="16">
        <f t="shared" si="101"/>
        <v>-44431.859780306644</v>
      </c>
      <c r="AD207" s="16">
        <f t="shared" si="102"/>
        <v>-45131.859780306637</v>
      </c>
      <c r="AE207" s="14">
        <f>IF([1]Sheet2!AJ206=999999,"NA",[1]Sheet2!AJ206)</f>
        <v>0</v>
      </c>
      <c r="AF207" s="14">
        <f>IF([1]Sheet2!AK206=999999,"NA",[1]Sheet2!AK206)</f>
        <v>0</v>
      </c>
      <c r="AG207" s="14" t="str">
        <f>IF([1]Sheet2!AL206=999999,"NA",[1]Sheet2!AL206)</f>
        <v>NA</v>
      </c>
      <c r="AH207" s="14">
        <f>IF([1]Sheet2!AM206=999999,"NA",[1]Sheet2!AM206)</f>
        <v>161</v>
      </c>
      <c r="AI207" s="14">
        <f>IF([1]Sheet2!AN206=999999,"NA",[1]Sheet2!AN206)</f>
        <v>161</v>
      </c>
      <c r="AJ207" s="14">
        <f>IF([1]Sheet2!AO206=999999,"NA",[1]Sheet2!AO206)</f>
        <v>161</v>
      </c>
      <c r="AK207" s="14">
        <f>IF([1]Sheet2!AP206=999999,"NA",[1]Sheet2!AP206)</f>
        <v>0</v>
      </c>
      <c r="AL207" s="14">
        <f>IF([1]Sheet2!AQ206=999999,"NA",[1]Sheet2!AQ206)</f>
        <v>37</v>
      </c>
      <c r="AM207" s="14">
        <f>IF([1]Sheet2!AR206=999999,"NA",[1]Sheet2!AR206)</f>
        <v>161</v>
      </c>
      <c r="AN207" s="14">
        <f>IF([1]Sheet2!AS206=999999,"NA",[1]Sheet2!AS206)</f>
        <v>93</v>
      </c>
      <c r="AO207" s="14">
        <f>[1]Sheet2!P206</f>
        <v>0</v>
      </c>
      <c r="AP207" s="14">
        <f>[1]Sheet2!Q206</f>
        <v>0</v>
      </c>
      <c r="AQ207" s="14">
        <f>[1]Sheet2!R206</f>
        <v>0</v>
      </c>
      <c r="AR207" s="14">
        <f>[1]Sheet2!S206</f>
        <v>0</v>
      </c>
      <c r="AS207" s="14">
        <f>[1]Sheet2!T206</f>
        <v>0</v>
      </c>
      <c r="AT207" s="14">
        <f>[1]Sheet2!U206</f>
        <v>0</v>
      </c>
      <c r="AU207" s="14">
        <f>[1]Sheet2!V206</f>
        <v>0</v>
      </c>
      <c r="AV207" s="14">
        <f>[1]Sheet2!W206</f>
        <v>0</v>
      </c>
      <c r="AW207" s="14">
        <f>[1]Sheet2!X206</f>
        <v>0</v>
      </c>
      <c r="AX207" s="14">
        <f>[1]Sheet2!Y206</f>
        <v>0</v>
      </c>
      <c r="AY207" s="16">
        <f>Demand_LP!B$9/31</f>
        <v>878.29658550454917</v>
      </c>
      <c r="AZ207" s="16">
        <f>Demand_LP!C$9/31</f>
        <v>663.85442514474767</v>
      </c>
      <c r="BA207" s="16">
        <f>Demand_LP!D$9/31</f>
        <v>335.39784946236568</v>
      </c>
      <c r="BB207" s="16">
        <f>Demand_LP!E$9/31</f>
        <v>725.23531844499576</v>
      </c>
      <c r="BC207" s="16">
        <f>Demand_LP!F$9/31</f>
        <v>456.65268558726217</v>
      </c>
      <c r="BD207" s="16">
        <f>Demand_LP!G$9/31</f>
        <v>878.29658550454917</v>
      </c>
      <c r="BE207" s="16">
        <f>Demand_LP!H$9/31</f>
        <v>663.85442514474767</v>
      </c>
      <c r="BF207" s="16">
        <f>Demand_LP!I$9/31</f>
        <v>456.65268558726217</v>
      </c>
      <c r="BG207" s="16">
        <f>Demand_LP!J$9/31</f>
        <v>456.65268558726217</v>
      </c>
      <c r="BH207" s="16">
        <f>Demand_LP!K$9/31</f>
        <v>456.65268558726217</v>
      </c>
      <c r="BI207" s="16" t="e">
        <f t="shared" si="103"/>
        <v>#VALUE!</v>
      </c>
      <c r="BJ207" s="16">
        <f t="shared" si="104"/>
        <v>-122454.74665012385</v>
      </c>
      <c r="BK207" s="16">
        <f t="shared" si="105"/>
        <v>-62405.756947890761</v>
      </c>
      <c r="BL207" s="16">
        <f t="shared" si="106"/>
        <v>-155242.3187182626</v>
      </c>
      <c r="BM207" s="16">
        <f t="shared" si="107"/>
        <v>-93284.058314879992</v>
      </c>
      <c r="BN207" s="16">
        <f t="shared" si="108"/>
        <v>-155082.73116749307</v>
      </c>
      <c r="BO207" s="16">
        <f t="shared" si="109"/>
        <v>-124812.32613730337</v>
      </c>
      <c r="BP207" s="16">
        <f t="shared" si="110"/>
        <v>-92741.742233250596</v>
      </c>
      <c r="BQ207" s="16">
        <f t="shared" si="111"/>
        <v>-89341.742233250639</v>
      </c>
      <c r="BR207" s="16">
        <f t="shared" si="112"/>
        <v>-90541.742233250596</v>
      </c>
      <c r="BS207" s="14">
        <f>IF([1]Sheet2!CA206=999999,"NA",[1]Sheet2!CA206)</f>
        <v>125937.25776674956</v>
      </c>
      <c r="BT207" s="14">
        <f>IF([1]Sheet2!CB206=999999,"NA",[1]Sheet2!CB206)</f>
        <v>83</v>
      </c>
      <c r="BU207" s="14">
        <f>IF([1]Sheet2!CC206=999999,"NA",[1]Sheet2!CC206)</f>
        <v>161</v>
      </c>
      <c r="BV207" s="14">
        <f>IF([1]Sheet2!CD206=999999,"NA",[1]Sheet2!CD206)</f>
        <v>161</v>
      </c>
      <c r="BW207" s="14">
        <f>IF([1]Sheet2!CE206=999999,"NA",[1]Sheet2!CE206)</f>
        <v>123</v>
      </c>
      <c r="BX207" s="14">
        <f>IF([1]Sheet2!CF206=999999,"NA",[1]Sheet2!CF206)</f>
        <v>161</v>
      </c>
      <c r="BY207" s="14">
        <f>IF([1]Sheet2!CG206=999999,"NA",[1]Sheet2!CG206)</f>
        <v>55</v>
      </c>
      <c r="BZ207" s="14">
        <f>IF([1]Sheet2!CH206=999999,"NA",[1]Sheet2!CH206)</f>
        <v>161</v>
      </c>
      <c r="CA207" s="14">
        <f>IF([1]Sheet2!CI206=999999,"NA",[1]Sheet2!CI206)</f>
        <v>161</v>
      </c>
      <c r="CB207" s="14">
        <f>IF([1]Sheet2!CJ206=999999,"NA",[1]Sheet2!CJ206)</f>
        <v>161</v>
      </c>
      <c r="CC207" s="14">
        <f>[1]Sheet2!BG206</f>
        <v>0</v>
      </c>
      <c r="CD207" s="14">
        <f>[1]Sheet2!BH206</f>
        <v>0</v>
      </c>
      <c r="CE207" s="14">
        <f>[1]Sheet2!BI206</f>
        <v>0</v>
      </c>
      <c r="CF207" s="14">
        <f>[1]Sheet2!BJ206</f>
        <v>0</v>
      </c>
      <c r="CG207" s="14">
        <f>[1]Sheet2!BK206</f>
        <v>0</v>
      </c>
      <c r="CH207" s="14">
        <f>[1]Sheet2!BL206</f>
        <v>0</v>
      </c>
      <c r="CI207" s="14">
        <f>[1]Sheet2!BM206</f>
        <v>0</v>
      </c>
      <c r="CJ207" s="14">
        <f>[1]Sheet2!BN206</f>
        <v>0</v>
      </c>
      <c r="CK207" s="14">
        <f>[1]Sheet2!BO206</f>
        <v>0</v>
      </c>
      <c r="CL207" s="14">
        <f>[1]Sheet2!BP206</f>
        <v>0</v>
      </c>
      <c r="CM207" s="16">
        <f>Demand_SW!B$9/31</f>
        <v>131.01736972704714</v>
      </c>
      <c r="CN207" s="16">
        <f>Demand_SW!C$9/31</f>
        <v>0</v>
      </c>
      <c r="CO207" s="16">
        <f>Demand_SW!D$9/31</f>
        <v>0</v>
      </c>
      <c r="CP207" s="16">
        <f>Demand_SW!E$9/31</f>
        <v>0</v>
      </c>
      <c r="CQ207" s="16">
        <f>Demand_SW!F$9/31</f>
        <v>0</v>
      </c>
      <c r="CR207" s="16">
        <f>Demand_SW!G$9/31</f>
        <v>131.01736972704714</v>
      </c>
      <c r="CS207" s="16">
        <f>Demand_SW!H$9/31</f>
        <v>0</v>
      </c>
      <c r="CT207" s="16">
        <f>Demand_SW!I$9/31</f>
        <v>0</v>
      </c>
      <c r="CU207" s="16">
        <f>Demand_SW!J$9/31</f>
        <v>0</v>
      </c>
      <c r="CV207" s="16">
        <f>Demand_SW!K$9/31</f>
        <v>0</v>
      </c>
      <c r="CW207" s="16">
        <f t="shared" si="113"/>
        <v>23388.908188585639</v>
      </c>
      <c r="CX207" s="16">
        <f t="shared" si="114"/>
        <v>-423.07692307692292</v>
      </c>
      <c r="CY207" s="16">
        <f t="shared" si="115"/>
        <v>0</v>
      </c>
      <c r="CZ207" s="16">
        <f t="shared" si="116"/>
        <v>0</v>
      </c>
      <c r="DA207" s="16">
        <f t="shared" si="117"/>
        <v>0</v>
      </c>
      <c r="DB207" s="16">
        <f t="shared" si="118"/>
        <v>-26140.322580645156</v>
      </c>
      <c r="DC207" s="16">
        <f t="shared" si="119"/>
        <v>-423.07692307692292</v>
      </c>
      <c r="DD207" s="16">
        <f t="shared" si="120"/>
        <v>0</v>
      </c>
      <c r="DE207" s="16">
        <f t="shared" si="121"/>
        <v>0</v>
      </c>
      <c r="DF207" s="16">
        <f t="shared" si="122"/>
        <v>0</v>
      </c>
      <c r="DG207" s="14">
        <f>IF([1]Sheet2!DR206=999999,"NA",[1]Sheet2!DR206)</f>
        <v>73103</v>
      </c>
      <c r="DH207" s="14">
        <f>IF([1]Sheet2!DS206=999999,"NA",[1]Sheet2!DS206)</f>
        <v>161</v>
      </c>
      <c r="DI207" s="14">
        <f>IF([1]Sheet2!DT206=999999,"NA",[1]Sheet2!DT206)</f>
        <v>161</v>
      </c>
      <c r="DJ207" s="14" t="str">
        <f>IF([1]Sheet2!DU206=999999,"NA",[1]Sheet2!DU206)</f>
        <v>NA</v>
      </c>
      <c r="DK207" s="14" t="str">
        <f>IF([1]Sheet2!DV206=999999,"NA",[1]Sheet2!DV206)</f>
        <v>NA</v>
      </c>
      <c r="DL207" s="14" t="str">
        <f>IF([1]Sheet2!DW206=999999,"NA",[1]Sheet2!DW206)</f>
        <v>NA</v>
      </c>
      <c r="DM207" s="14">
        <f>IF([1]Sheet2!DX206=999999,"NA",[1]Sheet2!DX206)</f>
        <v>161</v>
      </c>
      <c r="DN207" s="14">
        <f>IF([1]Sheet2!DY206=999999,"NA",[1]Sheet2!DY206)</f>
        <v>161</v>
      </c>
      <c r="DO207" s="14" t="str">
        <f>IF([1]Sheet2!DZ206=999999,"NA",[1]Sheet2!DZ206)</f>
        <v>NA</v>
      </c>
      <c r="DP207" s="14" t="str">
        <f>IF([1]Sheet2!EA206=999999,"NA",[1]Sheet2!EA206)</f>
        <v>NA</v>
      </c>
      <c r="DQ207" s="14">
        <f>[1]Sheet2!CX206</f>
        <v>0</v>
      </c>
      <c r="DR207" s="14">
        <f>[1]Sheet2!CY206</f>
        <v>0</v>
      </c>
      <c r="DS207" s="14">
        <f>[1]Sheet2!CZ206</f>
        <v>0</v>
      </c>
      <c r="DT207" s="14">
        <f>[1]Sheet2!DA206</f>
        <v>0</v>
      </c>
      <c r="DU207" s="14">
        <f>[1]Sheet2!DB206</f>
        <v>0</v>
      </c>
      <c r="DV207" s="14">
        <f>[1]Sheet2!DC206</f>
        <v>0</v>
      </c>
      <c r="DW207" s="14">
        <f>[1]Sheet2!DD206</f>
        <v>0</v>
      </c>
      <c r="DX207" s="14">
        <f>[1]Sheet2!DE206</f>
        <v>0</v>
      </c>
      <c r="DY207" s="14">
        <f>[1]Sheet2!DF206</f>
        <v>0</v>
      </c>
      <c r="DZ207" s="14">
        <f>[1]Sheet2!DG206</f>
        <v>0</v>
      </c>
    </row>
    <row r="208" spans="1:130" x14ac:dyDescent="0.25">
      <c r="A208" s="15">
        <v>43670</v>
      </c>
      <c r="B208" s="1"/>
      <c r="C208" s="1"/>
      <c r="D208" s="1"/>
      <c r="E208" s="14">
        <f>[1]Sheet2!N207</f>
        <v>0</v>
      </c>
      <c r="F208" s="14">
        <f>[1]Sheet2!BE207</f>
        <v>0</v>
      </c>
      <c r="G208" s="14">
        <f>[1]Sheet2!CV207</f>
        <v>262.03473945409428</v>
      </c>
      <c r="H208" s="1"/>
      <c r="I208" s="1"/>
      <c r="J208" s="1"/>
      <c r="K208" s="16">
        <f>Demand_CWRS!B$9/31</f>
        <v>137.44229993796523</v>
      </c>
      <c r="L208" s="16">
        <f>Demand_CWRS!C$9/31</f>
        <v>616.54259718775836</v>
      </c>
      <c r="M208" s="16">
        <f>Demand_CWRS!D$9/31</f>
        <v>0</v>
      </c>
      <c r="N208" s="16">
        <f>Demand_CWRS!E$9/31</f>
        <v>140.39247311827955</v>
      </c>
      <c r="O208" s="16">
        <f>Demand_CWRS!F$9/31</f>
        <v>245.11049679487181</v>
      </c>
      <c r="P208" s="16">
        <f>Demand_CWRS!G$9/31</f>
        <v>137.44229993796523</v>
      </c>
      <c r="Q208" s="16">
        <f>Demand_CWRS!H$9/31</f>
        <v>616.54259718775836</v>
      </c>
      <c r="R208" s="16">
        <f>Demand_CWRS!I$9/31</f>
        <v>245.11049679487181</v>
      </c>
      <c r="S208" s="16">
        <f>Demand_CWRS!J$9/31</f>
        <v>245.11049679487181</v>
      </c>
      <c r="T208" s="16">
        <f>Demand_CWRS!K$9/31</f>
        <v>245.11049679487181</v>
      </c>
      <c r="U208" s="16">
        <f t="shared" si="93"/>
        <v>-29659.376735907656</v>
      </c>
      <c r="V208" s="16">
        <f t="shared" si="94"/>
        <v>-101653.18387096742</v>
      </c>
      <c r="W208" s="16">
        <f t="shared" si="95"/>
        <v>0</v>
      </c>
      <c r="X208" s="16">
        <f t="shared" si="96"/>
        <v>-23910.695904660122</v>
      </c>
      <c r="Y208" s="16">
        <f t="shared" si="97"/>
        <v>-47160.815757870805</v>
      </c>
      <c r="Z208" s="16">
        <f t="shared" si="98"/>
        <v>-29333.603586869205</v>
      </c>
      <c r="AA208" s="16">
        <f t="shared" si="99"/>
        <v>-101153.18387096742</v>
      </c>
      <c r="AB208" s="16">
        <f t="shared" si="100"/>
        <v>-44676.970277101522</v>
      </c>
      <c r="AC208" s="16">
        <f t="shared" si="101"/>
        <v>-44676.970277101515</v>
      </c>
      <c r="AD208" s="16">
        <f t="shared" si="102"/>
        <v>-45376.970277101507</v>
      </c>
      <c r="AE208" s="14">
        <f>IF([1]Sheet2!AJ207=999999,"NA",[1]Sheet2!AJ207)</f>
        <v>0</v>
      </c>
      <c r="AF208" s="14">
        <f>IF([1]Sheet2!AK207=999999,"NA",[1]Sheet2!AK207)</f>
        <v>0</v>
      </c>
      <c r="AG208" s="14" t="str">
        <f>IF([1]Sheet2!AL207=999999,"NA",[1]Sheet2!AL207)</f>
        <v>NA</v>
      </c>
      <c r="AH208" s="14">
        <f>IF([1]Sheet2!AM207=999999,"NA",[1]Sheet2!AM207)</f>
        <v>160</v>
      </c>
      <c r="AI208" s="14">
        <f>IF([1]Sheet2!AN207=999999,"NA",[1]Sheet2!AN207)</f>
        <v>160</v>
      </c>
      <c r="AJ208" s="14">
        <f>IF([1]Sheet2!AO207=999999,"NA",[1]Sheet2!AO207)</f>
        <v>160</v>
      </c>
      <c r="AK208" s="14">
        <f>IF([1]Sheet2!AP207=999999,"NA",[1]Sheet2!AP207)</f>
        <v>0</v>
      </c>
      <c r="AL208" s="14">
        <f>IF([1]Sheet2!AQ207=999999,"NA",[1]Sheet2!AQ207)</f>
        <v>36</v>
      </c>
      <c r="AM208" s="14">
        <f>IF([1]Sheet2!AR207=999999,"NA",[1]Sheet2!AR207)</f>
        <v>160</v>
      </c>
      <c r="AN208" s="14">
        <f>IF([1]Sheet2!AS207=999999,"NA",[1]Sheet2!AS207)</f>
        <v>92</v>
      </c>
      <c r="AO208" s="14">
        <f>[1]Sheet2!P207</f>
        <v>0</v>
      </c>
      <c r="AP208" s="14">
        <f>[1]Sheet2!Q207</f>
        <v>0</v>
      </c>
      <c r="AQ208" s="14">
        <f>[1]Sheet2!R207</f>
        <v>0</v>
      </c>
      <c r="AR208" s="14">
        <f>[1]Sheet2!S207</f>
        <v>0</v>
      </c>
      <c r="AS208" s="14">
        <f>[1]Sheet2!T207</f>
        <v>0</v>
      </c>
      <c r="AT208" s="14">
        <f>[1]Sheet2!U207</f>
        <v>0</v>
      </c>
      <c r="AU208" s="14">
        <f>[1]Sheet2!V207</f>
        <v>0</v>
      </c>
      <c r="AV208" s="14">
        <f>[1]Sheet2!W207</f>
        <v>0</v>
      </c>
      <c r="AW208" s="14">
        <f>[1]Sheet2!X207</f>
        <v>0</v>
      </c>
      <c r="AX208" s="14">
        <f>[1]Sheet2!Y207</f>
        <v>0</v>
      </c>
      <c r="AY208" s="16">
        <f>Demand_LP!B$9/31</f>
        <v>878.29658550454917</v>
      </c>
      <c r="AZ208" s="16">
        <f>Demand_LP!C$9/31</f>
        <v>663.85442514474767</v>
      </c>
      <c r="BA208" s="16">
        <f>Demand_LP!D$9/31</f>
        <v>335.39784946236568</v>
      </c>
      <c r="BB208" s="16">
        <f>Demand_LP!E$9/31</f>
        <v>725.23531844499576</v>
      </c>
      <c r="BC208" s="16">
        <f>Demand_LP!F$9/31</f>
        <v>456.65268558726217</v>
      </c>
      <c r="BD208" s="16">
        <f>Demand_LP!G$9/31</f>
        <v>878.29658550454917</v>
      </c>
      <c r="BE208" s="16">
        <f>Demand_LP!H$9/31</f>
        <v>663.85442514474767</v>
      </c>
      <c r="BF208" s="16">
        <f>Demand_LP!I$9/31</f>
        <v>456.65268558726217</v>
      </c>
      <c r="BG208" s="16">
        <f>Demand_LP!J$9/31</f>
        <v>456.65268558726217</v>
      </c>
      <c r="BH208" s="16">
        <f>Demand_LP!K$9/31</f>
        <v>456.65268558726217</v>
      </c>
      <c r="BI208" s="16" t="e">
        <f t="shared" si="103"/>
        <v>#VALUE!</v>
      </c>
      <c r="BJ208" s="16">
        <f t="shared" si="104"/>
        <v>-123118.6010752686</v>
      </c>
      <c r="BK208" s="16">
        <f t="shared" si="105"/>
        <v>-62741.154797353127</v>
      </c>
      <c r="BL208" s="16">
        <f t="shared" si="106"/>
        <v>-155967.55403670759</v>
      </c>
      <c r="BM208" s="16">
        <f t="shared" si="107"/>
        <v>-93740.711000467258</v>
      </c>
      <c r="BN208" s="16">
        <f t="shared" si="108"/>
        <v>-155961.02775299762</v>
      </c>
      <c r="BO208" s="16">
        <f t="shared" si="109"/>
        <v>-125476.18056244812</v>
      </c>
      <c r="BP208" s="16">
        <f t="shared" si="110"/>
        <v>-93198.394918837861</v>
      </c>
      <c r="BQ208" s="16">
        <f t="shared" si="111"/>
        <v>-89798.394918837905</v>
      </c>
      <c r="BR208" s="16">
        <f t="shared" si="112"/>
        <v>-90998.394918837861</v>
      </c>
      <c r="BS208" s="14">
        <f>IF([1]Sheet2!CA207=999999,"NA",[1]Sheet2!CA207)</f>
        <v>125480.6050811623</v>
      </c>
      <c r="BT208" s="14">
        <f>IF([1]Sheet2!CB207=999999,"NA",[1]Sheet2!CB207)</f>
        <v>82</v>
      </c>
      <c r="BU208" s="14">
        <f>IF([1]Sheet2!CC207=999999,"NA",[1]Sheet2!CC207)</f>
        <v>160</v>
      </c>
      <c r="BV208" s="14">
        <f>IF([1]Sheet2!CD207=999999,"NA",[1]Sheet2!CD207)</f>
        <v>160</v>
      </c>
      <c r="BW208" s="14">
        <f>IF([1]Sheet2!CE207=999999,"NA",[1]Sheet2!CE207)</f>
        <v>122</v>
      </c>
      <c r="BX208" s="14">
        <f>IF([1]Sheet2!CF207=999999,"NA",[1]Sheet2!CF207)</f>
        <v>160</v>
      </c>
      <c r="BY208" s="14">
        <f>IF([1]Sheet2!CG207=999999,"NA",[1]Sheet2!CG207)</f>
        <v>54</v>
      </c>
      <c r="BZ208" s="14">
        <f>IF([1]Sheet2!CH207=999999,"NA",[1]Sheet2!CH207)</f>
        <v>160</v>
      </c>
      <c r="CA208" s="14">
        <f>IF([1]Sheet2!CI207=999999,"NA",[1]Sheet2!CI207)</f>
        <v>160</v>
      </c>
      <c r="CB208" s="14">
        <f>IF([1]Sheet2!CJ207=999999,"NA",[1]Sheet2!CJ207)</f>
        <v>160</v>
      </c>
      <c r="CC208" s="14">
        <f>[1]Sheet2!BG207</f>
        <v>0</v>
      </c>
      <c r="CD208" s="14">
        <f>[1]Sheet2!BH207</f>
        <v>0</v>
      </c>
      <c r="CE208" s="14">
        <f>[1]Sheet2!BI207</f>
        <v>0</v>
      </c>
      <c r="CF208" s="14">
        <f>[1]Sheet2!BJ207</f>
        <v>0</v>
      </c>
      <c r="CG208" s="14">
        <f>[1]Sheet2!BK207</f>
        <v>0</v>
      </c>
      <c r="CH208" s="14">
        <f>[1]Sheet2!BL207</f>
        <v>0</v>
      </c>
      <c r="CI208" s="14">
        <f>[1]Sheet2!BM207</f>
        <v>0</v>
      </c>
      <c r="CJ208" s="14">
        <f>[1]Sheet2!BN207</f>
        <v>0</v>
      </c>
      <c r="CK208" s="14">
        <f>[1]Sheet2!BO207</f>
        <v>0</v>
      </c>
      <c r="CL208" s="14">
        <f>[1]Sheet2!BP207</f>
        <v>0</v>
      </c>
      <c r="CM208" s="16">
        <f>Demand_SW!B$9/31</f>
        <v>131.01736972704714</v>
      </c>
      <c r="CN208" s="16">
        <f>Demand_SW!C$9/31</f>
        <v>0</v>
      </c>
      <c r="CO208" s="16">
        <f>Demand_SW!D$9/31</f>
        <v>0</v>
      </c>
      <c r="CP208" s="16">
        <f>Demand_SW!E$9/31</f>
        <v>0</v>
      </c>
      <c r="CQ208" s="16">
        <f>Demand_SW!F$9/31</f>
        <v>0</v>
      </c>
      <c r="CR208" s="16">
        <f>Demand_SW!G$9/31</f>
        <v>131.01736972704714</v>
      </c>
      <c r="CS208" s="16">
        <f>Demand_SW!H$9/31</f>
        <v>0</v>
      </c>
      <c r="CT208" s="16">
        <f>Demand_SW!I$9/31</f>
        <v>0</v>
      </c>
      <c r="CU208" s="16">
        <f>Demand_SW!J$9/31</f>
        <v>0</v>
      </c>
      <c r="CV208" s="16">
        <f>Demand_SW!K$9/31</f>
        <v>0</v>
      </c>
      <c r="CW208" s="16">
        <f t="shared" si="113"/>
        <v>23257.890818858592</v>
      </c>
      <c r="CX208" s="16">
        <f t="shared" si="114"/>
        <v>-423.07692307692292</v>
      </c>
      <c r="CY208" s="16">
        <f t="shared" si="115"/>
        <v>0</v>
      </c>
      <c r="CZ208" s="16">
        <f t="shared" si="116"/>
        <v>0</v>
      </c>
      <c r="DA208" s="16">
        <f t="shared" si="117"/>
        <v>0</v>
      </c>
      <c r="DB208" s="16">
        <f t="shared" si="118"/>
        <v>-26271.339950372203</v>
      </c>
      <c r="DC208" s="16">
        <f t="shared" si="119"/>
        <v>-423.07692307692292</v>
      </c>
      <c r="DD208" s="16">
        <f t="shared" si="120"/>
        <v>0</v>
      </c>
      <c r="DE208" s="16">
        <f t="shared" si="121"/>
        <v>0</v>
      </c>
      <c r="DF208" s="16">
        <f t="shared" si="122"/>
        <v>0</v>
      </c>
      <c r="DG208" s="14">
        <f>IF([1]Sheet2!DR207=999999,"NA",[1]Sheet2!DR207)</f>
        <v>73103</v>
      </c>
      <c r="DH208" s="14">
        <f>IF([1]Sheet2!DS207=999999,"NA",[1]Sheet2!DS207)</f>
        <v>160</v>
      </c>
      <c r="DI208" s="14">
        <f>IF([1]Sheet2!DT207=999999,"NA",[1]Sheet2!DT207)</f>
        <v>160</v>
      </c>
      <c r="DJ208" s="14" t="str">
        <f>IF([1]Sheet2!DU207=999999,"NA",[1]Sheet2!DU207)</f>
        <v>NA</v>
      </c>
      <c r="DK208" s="14" t="str">
        <f>IF([1]Sheet2!DV207=999999,"NA",[1]Sheet2!DV207)</f>
        <v>NA</v>
      </c>
      <c r="DL208" s="14" t="str">
        <f>IF([1]Sheet2!DW207=999999,"NA",[1]Sheet2!DW207)</f>
        <v>NA</v>
      </c>
      <c r="DM208" s="14">
        <f>IF([1]Sheet2!DX207=999999,"NA",[1]Sheet2!DX207)</f>
        <v>160</v>
      </c>
      <c r="DN208" s="14">
        <f>IF([1]Sheet2!DY207=999999,"NA",[1]Sheet2!DY207)</f>
        <v>160</v>
      </c>
      <c r="DO208" s="14" t="str">
        <f>IF([1]Sheet2!DZ207=999999,"NA",[1]Sheet2!DZ207)</f>
        <v>NA</v>
      </c>
      <c r="DP208" s="14" t="str">
        <f>IF([1]Sheet2!EA207=999999,"NA",[1]Sheet2!EA207)</f>
        <v>NA</v>
      </c>
      <c r="DQ208" s="14">
        <f>[1]Sheet2!CX207</f>
        <v>0</v>
      </c>
      <c r="DR208" s="14">
        <f>[1]Sheet2!CY207</f>
        <v>0</v>
      </c>
      <c r="DS208" s="14">
        <f>[1]Sheet2!CZ207</f>
        <v>0</v>
      </c>
      <c r="DT208" s="14">
        <f>[1]Sheet2!DA207</f>
        <v>0</v>
      </c>
      <c r="DU208" s="14">
        <f>[1]Sheet2!DB207</f>
        <v>0</v>
      </c>
      <c r="DV208" s="14">
        <f>[1]Sheet2!DC207</f>
        <v>0</v>
      </c>
      <c r="DW208" s="14">
        <f>[1]Sheet2!DD207</f>
        <v>0</v>
      </c>
      <c r="DX208" s="14">
        <f>[1]Sheet2!DE207</f>
        <v>0</v>
      </c>
      <c r="DY208" s="14">
        <f>[1]Sheet2!DF207</f>
        <v>0</v>
      </c>
      <c r="DZ208" s="14">
        <f>[1]Sheet2!DG207</f>
        <v>0</v>
      </c>
    </row>
    <row r="209" spans="1:130" x14ac:dyDescent="0.25">
      <c r="A209" s="15">
        <v>43671</v>
      </c>
      <c r="B209" s="1"/>
      <c r="C209" s="1"/>
      <c r="D209" s="1"/>
      <c r="E209" s="14">
        <f>[1]Sheet2!N208</f>
        <v>0</v>
      </c>
      <c r="F209" s="14">
        <f>[1]Sheet2!BE208</f>
        <v>0</v>
      </c>
      <c r="G209" s="14">
        <f>[1]Sheet2!CV208</f>
        <v>262.03473945409428</v>
      </c>
      <c r="H209" s="1"/>
      <c r="I209" s="1"/>
      <c r="J209" s="1"/>
      <c r="K209" s="16">
        <f>Demand_CWRS!B$9/31</f>
        <v>137.44229993796523</v>
      </c>
      <c r="L209" s="16">
        <f>Demand_CWRS!C$9/31</f>
        <v>616.54259718775836</v>
      </c>
      <c r="M209" s="16">
        <f>Demand_CWRS!D$9/31</f>
        <v>0</v>
      </c>
      <c r="N209" s="16">
        <f>Demand_CWRS!E$9/31</f>
        <v>140.39247311827955</v>
      </c>
      <c r="O209" s="16">
        <f>Demand_CWRS!F$9/31</f>
        <v>245.11049679487181</v>
      </c>
      <c r="P209" s="16">
        <f>Demand_CWRS!G$9/31</f>
        <v>137.44229993796523</v>
      </c>
      <c r="Q209" s="16">
        <f>Demand_CWRS!H$9/31</f>
        <v>616.54259718775836</v>
      </c>
      <c r="R209" s="16">
        <f>Demand_CWRS!I$9/31</f>
        <v>245.11049679487181</v>
      </c>
      <c r="S209" s="16">
        <f>Demand_CWRS!J$9/31</f>
        <v>245.11049679487181</v>
      </c>
      <c r="T209" s="16">
        <f>Demand_CWRS!K$9/31</f>
        <v>245.11049679487181</v>
      </c>
      <c r="U209" s="16">
        <f t="shared" si="93"/>
        <v>-29796.81903584562</v>
      </c>
      <c r="V209" s="16">
        <f t="shared" si="94"/>
        <v>-102269.72646815518</v>
      </c>
      <c r="W209" s="16">
        <f t="shared" si="95"/>
        <v>0</v>
      </c>
      <c r="X209" s="16">
        <f t="shared" si="96"/>
        <v>-24051.0883777784</v>
      </c>
      <c r="Y209" s="16">
        <f t="shared" si="97"/>
        <v>-47405.926254665676</v>
      </c>
      <c r="Z209" s="16">
        <f t="shared" si="98"/>
        <v>-29471.045886807169</v>
      </c>
      <c r="AA209" s="16">
        <f t="shared" si="99"/>
        <v>-101769.72646815518</v>
      </c>
      <c r="AB209" s="16">
        <f t="shared" si="100"/>
        <v>-44922.080773896392</v>
      </c>
      <c r="AC209" s="16">
        <f t="shared" si="101"/>
        <v>-44922.080773896385</v>
      </c>
      <c r="AD209" s="16">
        <f t="shared" si="102"/>
        <v>-45622.080773896378</v>
      </c>
      <c r="AE209" s="14">
        <f>IF([1]Sheet2!AJ208=999999,"NA",[1]Sheet2!AJ208)</f>
        <v>0</v>
      </c>
      <c r="AF209" s="14">
        <f>IF([1]Sheet2!AK208=999999,"NA",[1]Sheet2!AK208)</f>
        <v>0</v>
      </c>
      <c r="AG209" s="14" t="str">
        <f>IF([1]Sheet2!AL208=999999,"NA",[1]Sheet2!AL208)</f>
        <v>NA</v>
      </c>
      <c r="AH209" s="14">
        <f>IF([1]Sheet2!AM208=999999,"NA",[1]Sheet2!AM208)</f>
        <v>159</v>
      </c>
      <c r="AI209" s="14">
        <f>IF([1]Sheet2!AN208=999999,"NA",[1]Sheet2!AN208)</f>
        <v>159</v>
      </c>
      <c r="AJ209" s="14">
        <f>IF([1]Sheet2!AO208=999999,"NA",[1]Sheet2!AO208)</f>
        <v>159</v>
      </c>
      <c r="AK209" s="14">
        <f>IF([1]Sheet2!AP208=999999,"NA",[1]Sheet2!AP208)</f>
        <v>0</v>
      </c>
      <c r="AL209" s="14">
        <f>IF([1]Sheet2!AQ208=999999,"NA",[1]Sheet2!AQ208)</f>
        <v>35</v>
      </c>
      <c r="AM209" s="14">
        <f>IF([1]Sheet2!AR208=999999,"NA",[1]Sheet2!AR208)</f>
        <v>159</v>
      </c>
      <c r="AN209" s="14">
        <f>IF([1]Sheet2!AS208=999999,"NA",[1]Sheet2!AS208)</f>
        <v>91</v>
      </c>
      <c r="AO209" s="14">
        <f>[1]Sheet2!P208</f>
        <v>0</v>
      </c>
      <c r="AP209" s="14">
        <f>[1]Sheet2!Q208</f>
        <v>0</v>
      </c>
      <c r="AQ209" s="14">
        <f>[1]Sheet2!R208</f>
        <v>0</v>
      </c>
      <c r="AR209" s="14">
        <f>[1]Sheet2!S208</f>
        <v>0</v>
      </c>
      <c r="AS209" s="14">
        <f>[1]Sheet2!T208</f>
        <v>0</v>
      </c>
      <c r="AT209" s="14">
        <f>[1]Sheet2!U208</f>
        <v>0</v>
      </c>
      <c r="AU209" s="14">
        <f>[1]Sheet2!V208</f>
        <v>0</v>
      </c>
      <c r="AV209" s="14">
        <f>[1]Sheet2!W208</f>
        <v>0</v>
      </c>
      <c r="AW209" s="14">
        <f>[1]Sheet2!X208</f>
        <v>0</v>
      </c>
      <c r="AX209" s="14">
        <f>[1]Sheet2!Y208</f>
        <v>0</v>
      </c>
      <c r="AY209" s="16">
        <f>Demand_LP!B$9/31</f>
        <v>878.29658550454917</v>
      </c>
      <c r="AZ209" s="16">
        <f>Demand_LP!C$9/31</f>
        <v>663.85442514474767</v>
      </c>
      <c r="BA209" s="16">
        <f>Demand_LP!D$9/31</f>
        <v>335.39784946236568</v>
      </c>
      <c r="BB209" s="16">
        <f>Demand_LP!E$9/31</f>
        <v>725.23531844499576</v>
      </c>
      <c r="BC209" s="16">
        <f>Demand_LP!F$9/31</f>
        <v>456.65268558726217</v>
      </c>
      <c r="BD209" s="16">
        <f>Demand_LP!G$9/31</f>
        <v>878.29658550454917</v>
      </c>
      <c r="BE209" s="16">
        <f>Demand_LP!H$9/31</f>
        <v>663.85442514474767</v>
      </c>
      <c r="BF209" s="16">
        <f>Demand_LP!I$9/31</f>
        <v>456.65268558726217</v>
      </c>
      <c r="BG209" s="16">
        <f>Demand_LP!J$9/31</f>
        <v>456.65268558726217</v>
      </c>
      <c r="BH209" s="16">
        <f>Demand_LP!K$9/31</f>
        <v>456.65268558726217</v>
      </c>
      <c r="BI209" s="16" t="e">
        <f t="shared" si="103"/>
        <v>#VALUE!</v>
      </c>
      <c r="BJ209" s="16">
        <f t="shared" si="104"/>
        <v>-123782.45550041334</v>
      </c>
      <c r="BK209" s="16">
        <f t="shared" si="105"/>
        <v>-63076.552646815493</v>
      </c>
      <c r="BL209" s="16">
        <f t="shared" si="106"/>
        <v>-156692.78935515258</v>
      </c>
      <c r="BM209" s="16">
        <f t="shared" si="107"/>
        <v>-94197.363686054523</v>
      </c>
      <c r="BN209" s="16">
        <f t="shared" si="108"/>
        <v>-156839.32433850216</v>
      </c>
      <c r="BO209" s="16">
        <f t="shared" si="109"/>
        <v>-126140.03498759287</v>
      </c>
      <c r="BP209" s="16">
        <f t="shared" si="110"/>
        <v>-93655.047604425126</v>
      </c>
      <c r="BQ209" s="16">
        <f t="shared" si="111"/>
        <v>-90255.04760442517</v>
      </c>
      <c r="BR209" s="16">
        <f t="shared" si="112"/>
        <v>-91455.047604425126</v>
      </c>
      <c r="BS209" s="14">
        <f>IF([1]Sheet2!CA208=999999,"NA",[1]Sheet2!CA208)</f>
        <v>125023.95239557503</v>
      </c>
      <c r="BT209" s="14">
        <f>IF([1]Sheet2!CB208=999999,"NA",[1]Sheet2!CB208)</f>
        <v>81</v>
      </c>
      <c r="BU209" s="14">
        <f>IF([1]Sheet2!CC208=999999,"NA",[1]Sheet2!CC208)</f>
        <v>159</v>
      </c>
      <c r="BV209" s="14">
        <f>IF([1]Sheet2!CD208=999999,"NA",[1]Sheet2!CD208)</f>
        <v>159</v>
      </c>
      <c r="BW209" s="14">
        <f>IF([1]Sheet2!CE208=999999,"NA",[1]Sheet2!CE208)</f>
        <v>121</v>
      </c>
      <c r="BX209" s="14">
        <f>IF([1]Sheet2!CF208=999999,"NA",[1]Sheet2!CF208)</f>
        <v>159</v>
      </c>
      <c r="BY209" s="14">
        <f>IF([1]Sheet2!CG208=999999,"NA",[1]Sheet2!CG208)</f>
        <v>53</v>
      </c>
      <c r="BZ209" s="14">
        <f>IF([1]Sheet2!CH208=999999,"NA",[1]Sheet2!CH208)</f>
        <v>159</v>
      </c>
      <c r="CA209" s="14">
        <f>IF([1]Sheet2!CI208=999999,"NA",[1]Sheet2!CI208)</f>
        <v>159</v>
      </c>
      <c r="CB209" s="14">
        <f>IF([1]Sheet2!CJ208=999999,"NA",[1]Sheet2!CJ208)</f>
        <v>159</v>
      </c>
      <c r="CC209" s="14">
        <f>[1]Sheet2!BG208</f>
        <v>0</v>
      </c>
      <c r="CD209" s="14">
        <f>[1]Sheet2!BH208</f>
        <v>0</v>
      </c>
      <c r="CE209" s="14">
        <f>[1]Sheet2!BI208</f>
        <v>0</v>
      </c>
      <c r="CF209" s="14">
        <f>[1]Sheet2!BJ208</f>
        <v>0</v>
      </c>
      <c r="CG209" s="14">
        <f>[1]Sheet2!BK208</f>
        <v>0</v>
      </c>
      <c r="CH209" s="14">
        <f>[1]Sheet2!BL208</f>
        <v>0</v>
      </c>
      <c r="CI209" s="14">
        <f>[1]Sheet2!BM208</f>
        <v>0</v>
      </c>
      <c r="CJ209" s="14">
        <f>[1]Sheet2!BN208</f>
        <v>0</v>
      </c>
      <c r="CK209" s="14">
        <f>[1]Sheet2!BO208</f>
        <v>0</v>
      </c>
      <c r="CL209" s="14">
        <f>[1]Sheet2!BP208</f>
        <v>0</v>
      </c>
      <c r="CM209" s="16">
        <f>Demand_SW!B$9/31</f>
        <v>131.01736972704714</v>
      </c>
      <c r="CN209" s="16">
        <f>Demand_SW!C$9/31</f>
        <v>0</v>
      </c>
      <c r="CO209" s="16">
        <f>Demand_SW!D$9/31</f>
        <v>0</v>
      </c>
      <c r="CP209" s="16">
        <f>Demand_SW!E$9/31</f>
        <v>0</v>
      </c>
      <c r="CQ209" s="16">
        <f>Demand_SW!F$9/31</f>
        <v>0</v>
      </c>
      <c r="CR209" s="16">
        <f>Demand_SW!G$9/31</f>
        <v>131.01736972704714</v>
      </c>
      <c r="CS209" s="16">
        <f>Demand_SW!H$9/31</f>
        <v>0</v>
      </c>
      <c r="CT209" s="16">
        <f>Demand_SW!I$9/31</f>
        <v>0</v>
      </c>
      <c r="CU209" s="16">
        <f>Demand_SW!J$9/31</f>
        <v>0</v>
      </c>
      <c r="CV209" s="16">
        <f>Demand_SW!K$9/31</f>
        <v>0</v>
      </c>
      <c r="CW209" s="16">
        <f t="shared" si="113"/>
        <v>23126.873449131544</v>
      </c>
      <c r="CX209" s="16">
        <f t="shared" si="114"/>
        <v>-423.07692307692292</v>
      </c>
      <c r="CY209" s="16">
        <f t="shared" si="115"/>
        <v>0</v>
      </c>
      <c r="CZ209" s="16">
        <f t="shared" si="116"/>
        <v>0</v>
      </c>
      <c r="DA209" s="16">
        <f t="shared" si="117"/>
        <v>0</v>
      </c>
      <c r="DB209" s="16">
        <f t="shared" si="118"/>
        <v>-26402.357320099251</v>
      </c>
      <c r="DC209" s="16">
        <f t="shared" si="119"/>
        <v>-423.07692307692292</v>
      </c>
      <c r="DD209" s="16">
        <f t="shared" si="120"/>
        <v>0</v>
      </c>
      <c r="DE209" s="16">
        <f t="shared" si="121"/>
        <v>0</v>
      </c>
      <c r="DF209" s="16">
        <f t="shared" si="122"/>
        <v>0</v>
      </c>
      <c r="DG209" s="14">
        <f>IF([1]Sheet2!DR208=999999,"NA",[1]Sheet2!DR208)</f>
        <v>73103</v>
      </c>
      <c r="DH209" s="14">
        <f>IF([1]Sheet2!DS208=999999,"NA",[1]Sheet2!DS208)</f>
        <v>159</v>
      </c>
      <c r="DI209" s="14">
        <f>IF([1]Sheet2!DT208=999999,"NA",[1]Sheet2!DT208)</f>
        <v>159</v>
      </c>
      <c r="DJ209" s="14" t="str">
        <f>IF([1]Sheet2!DU208=999999,"NA",[1]Sheet2!DU208)</f>
        <v>NA</v>
      </c>
      <c r="DK209" s="14" t="str">
        <f>IF([1]Sheet2!DV208=999999,"NA",[1]Sheet2!DV208)</f>
        <v>NA</v>
      </c>
      <c r="DL209" s="14" t="str">
        <f>IF([1]Sheet2!DW208=999999,"NA",[1]Sheet2!DW208)</f>
        <v>NA</v>
      </c>
      <c r="DM209" s="14">
        <f>IF([1]Sheet2!DX208=999999,"NA",[1]Sheet2!DX208)</f>
        <v>159</v>
      </c>
      <c r="DN209" s="14">
        <f>IF([1]Sheet2!DY208=999999,"NA",[1]Sheet2!DY208)</f>
        <v>159</v>
      </c>
      <c r="DO209" s="14" t="str">
        <f>IF([1]Sheet2!DZ208=999999,"NA",[1]Sheet2!DZ208)</f>
        <v>NA</v>
      </c>
      <c r="DP209" s="14" t="str">
        <f>IF([1]Sheet2!EA208=999999,"NA",[1]Sheet2!EA208)</f>
        <v>NA</v>
      </c>
      <c r="DQ209" s="14">
        <f>[1]Sheet2!CX208</f>
        <v>0</v>
      </c>
      <c r="DR209" s="14">
        <f>[1]Sheet2!CY208</f>
        <v>0</v>
      </c>
      <c r="DS209" s="14">
        <f>[1]Sheet2!CZ208</f>
        <v>0</v>
      </c>
      <c r="DT209" s="14">
        <f>[1]Sheet2!DA208</f>
        <v>0</v>
      </c>
      <c r="DU209" s="14">
        <f>[1]Sheet2!DB208</f>
        <v>0</v>
      </c>
      <c r="DV209" s="14">
        <f>[1]Sheet2!DC208</f>
        <v>0</v>
      </c>
      <c r="DW209" s="14">
        <f>[1]Sheet2!DD208</f>
        <v>0</v>
      </c>
      <c r="DX209" s="14">
        <f>[1]Sheet2!DE208</f>
        <v>0</v>
      </c>
      <c r="DY209" s="14">
        <f>[1]Sheet2!DF208</f>
        <v>0</v>
      </c>
      <c r="DZ209" s="14">
        <f>[1]Sheet2!DG208</f>
        <v>0</v>
      </c>
    </row>
    <row r="210" spans="1:130" x14ac:dyDescent="0.25">
      <c r="A210" s="15">
        <v>43672</v>
      </c>
      <c r="B210" s="1"/>
      <c r="C210" s="1"/>
      <c r="D210" s="1"/>
      <c r="E210" s="14">
        <f>[1]Sheet2!N209</f>
        <v>0</v>
      </c>
      <c r="F210" s="14">
        <f>[1]Sheet2!BE209</f>
        <v>0</v>
      </c>
      <c r="G210" s="14">
        <f>[1]Sheet2!CV209</f>
        <v>262.03473945409428</v>
      </c>
      <c r="H210" s="1"/>
      <c r="I210" s="1"/>
      <c r="J210" s="1"/>
      <c r="K210" s="16">
        <f>Demand_CWRS!B$9/31</f>
        <v>137.44229993796523</v>
      </c>
      <c r="L210" s="16">
        <f>Demand_CWRS!C$9/31</f>
        <v>616.54259718775836</v>
      </c>
      <c r="M210" s="16">
        <f>Demand_CWRS!D$9/31</f>
        <v>0</v>
      </c>
      <c r="N210" s="16">
        <f>Demand_CWRS!E$9/31</f>
        <v>140.39247311827955</v>
      </c>
      <c r="O210" s="16">
        <f>Demand_CWRS!F$9/31</f>
        <v>245.11049679487181</v>
      </c>
      <c r="P210" s="16">
        <f>Demand_CWRS!G$9/31</f>
        <v>137.44229993796523</v>
      </c>
      <c r="Q210" s="16">
        <f>Demand_CWRS!H$9/31</f>
        <v>616.54259718775836</v>
      </c>
      <c r="R210" s="16">
        <f>Demand_CWRS!I$9/31</f>
        <v>245.11049679487181</v>
      </c>
      <c r="S210" s="16">
        <f>Demand_CWRS!J$9/31</f>
        <v>245.11049679487181</v>
      </c>
      <c r="T210" s="16">
        <f>Demand_CWRS!K$9/31</f>
        <v>245.11049679487181</v>
      </c>
      <c r="U210" s="16">
        <f t="shared" si="93"/>
        <v>-29934.261335783583</v>
      </c>
      <c r="V210" s="16">
        <f t="shared" si="94"/>
        <v>-102886.26906534293</v>
      </c>
      <c r="W210" s="16">
        <f t="shared" si="95"/>
        <v>0</v>
      </c>
      <c r="X210" s="16">
        <f t="shared" si="96"/>
        <v>-24191.480850896678</v>
      </c>
      <c r="Y210" s="16">
        <f t="shared" si="97"/>
        <v>-47651.036751460546</v>
      </c>
      <c r="Z210" s="16">
        <f t="shared" si="98"/>
        <v>-29608.488186745133</v>
      </c>
      <c r="AA210" s="16">
        <f t="shared" si="99"/>
        <v>-102386.26906534293</v>
      </c>
      <c r="AB210" s="16">
        <f t="shared" si="100"/>
        <v>-45167.191270691263</v>
      </c>
      <c r="AC210" s="16">
        <f t="shared" si="101"/>
        <v>-45167.191270691255</v>
      </c>
      <c r="AD210" s="16">
        <f t="shared" si="102"/>
        <v>-45867.191270691248</v>
      </c>
      <c r="AE210" s="14">
        <f>IF([1]Sheet2!AJ209=999999,"NA",[1]Sheet2!AJ209)</f>
        <v>0</v>
      </c>
      <c r="AF210" s="14">
        <f>IF([1]Sheet2!AK209=999999,"NA",[1]Sheet2!AK209)</f>
        <v>0</v>
      </c>
      <c r="AG210" s="14" t="str">
        <f>IF([1]Sheet2!AL209=999999,"NA",[1]Sheet2!AL209)</f>
        <v>NA</v>
      </c>
      <c r="AH210" s="14">
        <f>IF([1]Sheet2!AM209=999999,"NA",[1]Sheet2!AM209)</f>
        <v>158</v>
      </c>
      <c r="AI210" s="14">
        <f>IF([1]Sheet2!AN209=999999,"NA",[1]Sheet2!AN209)</f>
        <v>158</v>
      </c>
      <c r="AJ210" s="14">
        <f>IF([1]Sheet2!AO209=999999,"NA",[1]Sheet2!AO209)</f>
        <v>158</v>
      </c>
      <c r="AK210" s="14">
        <f>IF([1]Sheet2!AP209=999999,"NA",[1]Sheet2!AP209)</f>
        <v>0</v>
      </c>
      <c r="AL210" s="14">
        <f>IF([1]Sheet2!AQ209=999999,"NA",[1]Sheet2!AQ209)</f>
        <v>34</v>
      </c>
      <c r="AM210" s="14">
        <f>IF([1]Sheet2!AR209=999999,"NA",[1]Sheet2!AR209)</f>
        <v>158</v>
      </c>
      <c r="AN210" s="14">
        <f>IF([1]Sheet2!AS209=999999,"NA",[1]Sheet2!AS209)</f>
        <v>90</v>
      </c>
      <c r="AO210" s="14">
        <f>[1]Sheet2!P209</f>
        <v>0</v>
      </c>
      <c r="AP210" s="14">
        <f>[1]Sheet2!Q209</f>
        <v>0</v>
      </c>
      <c r="AQ210" s="14">
        <f>[1]Sheet2!R209</f>
        <v>0</v>
      </c>
      <c r="AR210" s="14">
        <f>[1]Sheet2!S209</f>
        <v>0</v>
      </c>
      <c r="AS210" s="14">
        <f>[1]Sheet2!T209</f>
        <v>0</v>
      </c>
      <c r="AT210" s="14">
        <f>[1]Sheet2!U209</f>
        <v>0</v>
      </c>
      <c r="AU210" s="14">
        <f>[1]Sheet2!V209</f>
        <v>0</v>
      </c>
      <c r="AV210" s="14">
        <f>[1]Sheet2!W209</f>
        <v>0</v>
      </c>
      <c r="AW210" s="14">
        <f>[1]Sheet2!X209</f>
        <v>0</v>
      </c>
      <c r="AX210" s="14">
        <f>[1]Sheet2!Y209</f>
        <v>0</v>
      </c>
      <c r="AY210" s="16">
        <f>Demand_LP!B$9/31</f>
        <v>878.29658550454917</v>
      </c>
      <c r="AZ210" s="16">
        <f>Demand_LP!C$9/31</f>
        <v>663.85442514474767</v>
      </c>
      <c r="BA210" s="16">
        <f>Demand_LP!D$9/31</f>
        <v>335.39784946236568</v>
      </c>
      <c r="BB210" s="16">
        <f>Demand_LP!E$9/31</f>
        <v>725.23531844499576</v>
      </c>
      <c r="BC210" s="16">
        <f>Demand_LP!F$9/31</f>
        <v>456.65268558726217</v>
      </c>
      <c r="BD210" s="16">
        <f>Demand_LP!G$9/31</f>
        <v>878.29658550454917</v>
      </c>
      <c r="BE210" s="16">
        <f>Demand_LP!H$9/31</f>
        <v>663.85442514474767</v>
      </c>
      <c r="BF210" s="16">
        <f>Demand_LP!I$9/31</f>
        <v>456.65268558726217</v>
      </c>
      <c r="BG210" s="16">
        <f>Demand_LP!J$9/31</f>
        <v>456.65268558726217</v>
      </c>
      <c r="BH210" s="16">
        <f>Demand_LP!K$9/31</f>
        <v>456.65268558726217</v>
      </c>
      <c r="BI210" s="16" t="e">
        <f t="shared" si="103"/>
        <v>#VALUE!</v>
      </c>
      <c r="BJ210" s="16">
        <f t="shared" si="104"/>
        <v>-124446.30992555809</v>
      </c>
      <c r="BK210" s="16">
        <f t="shared" si="105"/>
        <v>-63411.950496277859</v>
      </c>
      <c r="BL210" s="16">
        <f t="shared" si="106"/>
        <v>-157418.02467359757</v>
      </c>
      <c r="BM210" s="16">
        <f t="shared" si="107"/>
        <v>-94654.016371641788</v>
      </c>
      <c r="BN210" s="16">
        <f t="shared" si="108"/>
        <v>-157717.62092400671</v>
      </c>
      <c r="BO210" s="16">
        <f t="shared" si="109"/>
        <v>-126803.88941273761</v>
      </c>
      <c r="BP210" s="16">
        <f t="shared" si="110"/>
        <v>-94111.700290012392</v>
      </c>
      <c r="BQ210" s="16">
        <f t="shared" si="111"/>
        <v>-90711.700290012435</v>
      </c>
      <c r="BR210" s="16">
        <f t="shared" si="112"/>
        <v>-91911.700290012392</v>
      </c>
      <c r="BS210" s="14">
        <f>IF([1]Sheet2!CA209=999999,"NA",[1]Sheet2!CA209)</f>
        <v>124567.29970998777</v>
      </c>
      <c r="BT210" s="14">
        <f>IF([1]Sheet2!CB209=999999,"NA",[1]Sheet2!CB209)</f>
        <v>80</v>
      </c>
      <c r="BU210" s="14">
        <f>IF([1]Sheet2!CC209=999999,"NA",[1]Sheet2!CC209)</f>
        <v>158</v>
      </c>
      <c r="BV210" s="14">
        <f>IF([1]Sheet2!CD209=999999,"NA",[1]Sheet2!CD209)</f>
        <v>158</v>
      </c>
      <c r="BW210" s="14">
        <f>IF([1]Sheet2!CE209=999999,"NA",[1]Sheet2!CE209)</f>
        <v>120</v>
      </c>
      <c r="BX210" s="14">
        <f>IF([1]Sheet2!CF209=999999,"NA",[1]Sheet2!CF209)</f>
        <v>158</v>
      </c>
      <c r="BY210" s="14">
        <f>IF([1]Sheet2!CG209=999999,"NA",[1]Sheet2!CG209)</f>
        <v>52</v>
      </c>
      <c r="BZ210" s="14">
        <f>IF([1]Sheet2!CH209=999999,"NA",[1]Sheet2!CH209)</f>
        <v>158</v>
      </c>
      <c r="CA210" s="14">
        <f>IF([1]Sheet2!CI209=999999,"NA",[1]Sheet2!CI209)</f>
        <v>158</v>
      </c>
      <c r="CB210" s="14">
        <f>IF([1]Sheet2!CJ209=999999,"NA",[1]Sheet2!CJ209)</f>
        <v>158</v>
      </c>
      <c r="CC210" s="14">
        <f>[1]Sheet2!BG209</f>
        <v>0</v>
      </c>
      <c r="CD210" s="14">
        <f>[1]Sheet2!BH209</f>
        <v>0</v>
      </c>
      <c r="CE210" s="14">
        <f>[1]Sheet2!BI209</f>
        <v>0</v>
      </c>
      <c r="CF210" s="14">
        <f>[1]Sheet2!BJ209</f>
        <v>0</v>
      </c>
      <c r="CG210" s="14">
        <f>[1]Sheet2!BK209</f>
        <v>0</v>
      </c>
      <c r="CH210" s="14">
        <f>[1]Sheet2!BL209</f>
        <v>0</v>
      </c>
      <c r="CI210" s="14">
        <f>[1]Sheet2!BM209</f>
        <v>0</v>
      </c>
      <c r="CJ210" s="14">
        <f>[1]Sheet2!BN209</f>
        <v>0</v>
      </c>
      <c r="CK210" s="14">
        <f>[1]Sheet2!BO209</f>
        <v>0</v>
      </c>
      <c r="CL210" s="14">
        <f>[1]Sheet2!BP209</f>
        <v>0</v>
      </c>
      <c r="CM210" s="16">
        <f>Demand_SW!B$9/31</f>
        <v>131.01736972704714</v>
      </c>
      <c r="CN210" s="16">
        <f>Demand_SW!C$9/31</f>
        <v>0</v>
      </c>
      <c r="CO210" s="16">
        <f>Demand_SW!D$9/31</f>
        <v>0</v>
      </c>
      <c r="CP210" s="16">
        <f>Demand_SW!E$9/31</f>
        <v>0</v>
      </c>
      <c r="CQ210" s="16">
        <f>Demand_SW!F$9/31</f>
        <v>0</v>
      </c>
      <c r="CR210" s="16">
        <f>Demand_SW!G$9/31</f>
        <v>131.01736972704714</v>
      </c>
      <c r="CS210" s="16">
        <f>Demand_SW!H$9/31</f>
        <v>0</v>
      </c>
      <c r="CT210" s="16">
        <f>Demand_SW!I$9/31</f>
        <v>0</v>
      </c>
      <c r="CU210" s="16">
        <f>Demand_SW!J$9/31</f>
        <v>0</v>
      </c>
      <c r="CV210" s="16">
        <f>Demand_SW!K$9/31</f>
        <v>0</v>
      </c>
      <c r="CW210" s="16">
        <f t="shared" si="113"/>
        <v>22995.856079404497</v>
      </c>
      <c r="CX210" s="16">
        <f t="shared" si="114"/>
        <v>-423.07692307692292</v>
      </c>
      <c r="CY210" s="16">
        <f t="shared" si="115"/>
        <v>0</v>
      </c>
      <c r="CZ210" s="16">
        <f t="shared" si="116"/>
        <v>0</v>
      </c>
      <c r="DA210" s="16">
        <f t="shared" si="117"/>
        <v>0</v>
      </c>
      <c r="DB210" s="16">
        <f t="shared" si="118"/>
        <v>-26533.374689826298</v>
      </c>
      <c r="DC210" s="16">
        <f t="shared" si="119"/>
        <v>-423.07692307692292</v>
      </c>
      <c r="DD210" s="16">
        <f t="shared" si="120"/>
        <v>0</v>
      </c>
      <c r="DE210" s="16">
        <f t="shared" si="121"/>
        <v>0</v>
      </c>
      <c r="DF210" s="16">
        <f t="shared" si="122"/>
        <v>0</v>
      </c>
      <c r="DG210" s="14">
        <f>IF([1]Sheet2!DR209=999999,"NA",[1]Sheet2!DR209)</f>
        <v>73103</v>
      </c>
      <c r="DH210" s="14">
        <f>IF([1]Sheet2!DS209=999999,"NA",[1]Sheet2!DS209)</f>
        <v>158</v>
      </c>
      <c r="DI210" s="14">
        <f>IF([1]Sheet2!DT209=999999,"NA",[1]Sheet2!DT209)</f>
        <v>158</v>
      </c>
      <c r="DJ210" s="14" t="str">
        <f>IF([1]Sheet2!DU209=999999,"NA",[1]Sheet2!DU209)</f>
        <v>NA</v>
      </c>
      <c r="DK210" s="14" t="str">
        <f>IF([1]Sheet2!DV209=999999,"NA",[1]Sheet2!DV209)</f>
        <v>NA</v>
      </c>
      <c r="DL210" s="14" t="str">
        <f>IF([1]Sheet2!DW209=999999,"NA",[1]Sheet2!DW209)</f>
        <v>NA</v>
      </c>
      <c r="DM210" s="14">
        <f>IF([1]Sheet2!DX209=999999,"NA",[1]Sheet2!DX209)</f>
        <v>158</v>
      </c>
      <c r="DN210" s="14">
        <f>IF([1]Sheet2!DY209=999999,"NA",[1]Sheet2!DY209)</f>
        <v>158</v>
      </c>
      <c r="DO210" s="14" t="str">
        <f>IF([1]Sheet2!DZ209=999999,"NA",[1]Sheet2!DZ209)</f>
        <v>NA</v>
      </c>
      <c r="DP210" s="14" t="str">
        <f>IF([1]Sheet2!EA209=999999,"NA",[1]Sheet2!EA209)</f>
        <v>NA</v>
      </c>
      <c r="DQ210" s="14">
        <f>[1]Sheet2!CX209</f>
        <v>0</v>
      </c>
      <c r="DR210" s="14">
        <f>[1]Sheet2!CY209</f>
        <v>0</v>
      </c>
      <c r="DS210" s="14">
        <f>[1]Sheet2!CZ209</f>
        <v>0</v>
      </c>
      <c r="DT210" s="14">
        <f>[1]Sheet2!DA209</f>
        <v>0</v>
      </c>
      <c r="DU210" s="14">
        <f>[1]Sheet2!DB209</f>
        <v>0</v>
      </c>
      <c r="DV210" s="14">
        <f>[1]Sheet2!DC209</f>
        <v>0</v>
      </c>
      <c r="DW210" s="14">
        <f>[1]Sheet2!DD209</f>
        <v>0</v>
      </c>
      <c r="DX210" s="14">
        <f>[1]Sheet2!DE209</f>
        <v>0</v>
      </c>
      <c r="DY210" s="14">
        <f>[1]Sheet2!DF209</f>
        <v>0</v>
      </c>
      <c r="DZ210" s="14">
        <f>[1]Sheet2!DG209</f>
        <v>0</v>
      </c>
    </row>
    <row r="211" spans="1:130" x14ac:dyDescent="0.25">
      <c r="A211" s="15">
        <v>43673</v>
      </c>
      <c r="B211" s="1"/>
      <c r="C211" s="1"/>
      <c r="D211" s="1"/>
      <c r="E211" s="14">
        <f>[1]Sheet2!N210</f>
        <v>0</v>
      </c>
      <c r="F211" s="14">
        <f>[1]Sheet2!BE210</f>
        <v>0</v>
      </c>
      <c r="G211" s="14">
        <f>[1]Sheet2!CV210</f>
        <v>262.03473945409428</v>
      </c>
      <c r="H211" s="1"/>
      <c r="I211" s="1"/>
      <c r="J211" s="1"/>
      <c r="K211" s="16">
        <f>Demand_CWRS!B$9/31</f>
        <v>137.44229993796523</v>
      </c>
      <c r="L211" s="16">
        <f>Demand_CWRS!C$9/31</f>
        <v>616.54259718775836</v>
      </c>
      <c r="M211" s="16">
        <f>Demand_CWRS!D$9/31</f>
        <v>0</v>
      </c>
      <c r="N211" s="16">
        <f>Demand_CWRS!E$9/31</f>
        <v>140.39247311827955</v>
      </c>
      <c r="O211" s="16">
        <f>Demand_CWRS!F$9/31</f>
        <v>245.11049679487181</v>
      </c>
      <c r="P211" s="16">
        <f>Demand_CWRS!G$9/31</f>
        <v>137.44229993796523</v>
      </c>
      <c r="Q211" s="16">
        <f>Demand_CWRS!H$9/31</f>
        <v>616.54259718775836</v>
      </c>
      <c r="R211" s="16">
        <f>Demand_CWRS!I$9/31</f>
        <v>245.11049679487181</v>
      </c>
      <c r="S211" s="16">
        <f>Demand_CWRS!J$9/31</f>
        <v>245.11049679487181</v>
      </c>
      <c r="T211" s="16">
        <f>Demand_CWRS!K$9/31</f>
        <v>245.11049679487181</v>
      </c>
      <c r="U211" s="16">
        <f t="shared" si="93"/>
        <v>-30071.703635721547</v>
      </c>
      <c r="V211" s="16">
        <f t="shared" si="94"/>
        <v>-103502.81166253069</v>
      </c>
      <c r="W211" s="16">
        <f t="shared" si="95"/>
        <v>0</v>
      </c>
      <c r="X211" s="16">
        <f t="shared" si="96"/>
        <v>-24331.873324014956</v>
      </c>
      <c r="Y211" s="16">
        <f t="shared" si="97"/>
        <v>-47896.147248255416</v>
      </c>
      <c r="Z211" s="16">
        <f t="shared" si="98"/>
        <v>-29745.930486683097</v>
      </c>
      <c r="AA211" s="16">
        <f t="shared" si="99"/>
        <v>-103002.81166253069</v>
      </c>
      <c r="AB211" s="16">
        <f t="shared" si="100"/>
        <v>-45412.301767486133</v>
      </c>
      <c r="AC211" s="16">
        <f t="shared" si="101"/>
        <v>-45412.301767486126</v>
      </c>
      <c r="AD211" s="16">
        <f t="shared" si="102"/>
        <v>-46112.301767486118</v>
      </c>
      <c r="AE211" s="14">
        <f>IF([1]Sheet2!AJ210=999999,"NA",[1]Sheet2!AJ210)</f>
        <v>0</v>
      </c>
      <c r="AF211" s="14">
        <f>IF([1]Sheet2!AK210=999999,"NA",[1]Sheet2!AK210)</f>
        <v>0</v>
      </c>
      <c r="AG211" s="14" t="str">
        <f>IF([1]Sheet2!AL210=999999,"NA",[1]Sheet2!AL210)</f>
        <v>NA</v>
      </c>
      <c r="AH211" s="14">
        <f>IF([1]Sheet2!AM210=999999,"NA",[1]Sheet2!AM210)</f>
        <v>157</v>
      </c>
      <c r="AI211" s="14">
        <f>IF([1]Sheet2!AN210=999999,"NA",[1]Sheet2!AN210)</f>
        <v>157</v>
      </c>
      <c r="AJ211" s="14">
        <f>IF([1]Sheet2!AO210=999999,"NA",[1]Sheet2!AO210)</f>
        <v>157</v>
      </c>
      <c r="AK211" s="14">
        <f>IF([1]Sheet2!AP210=999999,"NA",[1]Sheet2!AP210)</f>
        <v>0</v>
      </c>
      <c r="AL211" s="14">
        <f>IF([1]Sheet2!AQ210=999999,"NA",[1]Sheet2!AQ210)</f>
        <v>33</v>
      </c>
      <c r="AM211" s="14">
        <f>IF([1]Sheet2!AR210=999999,"NA",[1]Sheet2!AR210)</f>
        <v>157</v>
      </c>
      <c r="AN211" s="14">
        <f>IF([1]Sheet2!AS210=999999,"NA",[1]Sheet2!AS210)</f>
        <v>89</v>
      </c>
      <c r="AO211" s="14">
        <f>[1]Sheet2!P210</f>
        <v>0</v>
      </c>
      <c r="AP211" s="14">
        <f>[1]Sheet2!Q210</f>
        <v>0</v>
      </c>
      <c r="AQ211" s="14">
        <f>[1]Sheet2!R210</f>
        <v>0</v>
      </c>
      <c r="AR211" s="14">
        <f>[1]Sheet2!S210</f>
        <v>0</v>
      </c>
      <c r="AS211" s="14">
        <f>[1]Sheet2!T210</f>
        <v>0</v>
      </c>
      <c r="AT211" s="14">
        <f>[1]Sheet2!U210</f>
        <v>0</v>
      </c>
      <c r="AU211" s="14">
        <f>[1]Sheet2!V210</f>
        <v>0</v>
      </c>
      <c r="AV211" s="14">
        <f>[1]Sheet2!W210</f>
        <v>0</v>
      </c>
      <c r="AW211" s="14">
        <f>[1]Sheet2!X210</f>
        <v>0</v>
      </c>
      <c r="AX211" s="14">
        <f>[1]Sheet2!Y210</f>
        <v>0</v>
      </c>
      <c r="AY211" s="16">
        <f>Demand_LP!B$9/31</f>
        <v>878.29658550454917</v>
      </c>
      <c r="AZ211" s="16">
        <f>Demand_LP!C$9/31</f>
        <v>663.85442514474767</v>
      </c>
      <c r="BA211" s="16">
        <f>Demand_LP!D$9/31</f>
        <v>335.39784946236568</v>
      </c>
      <c r="BB211" s="16">
        <f>Demand_LP!E$9/31</f>
        <v>725.23531844499576</v>
      </c>
      <c r="BC211" s="16">
        <f>Demand_LP!F$9/31</f>
        <v>456.65268558726217</v>
      </c>
      <c r="BD211" s="16">
        <f>Demand_LP!G$9/31</f>
        <v>878.29658550454917</v>
      </c>
      <c r="BE211" s="16">
        <f>Demand_LP!H$9/31</f>
        <v>663.85442514474767</v>
      </c>
      <c r="BF211" s="16">
        <f>Demand_LP!I$9/31</f>
        <v>456.65268558726217</v>
      </c>
      <c r="BG211" s="16">
        <f>Demand_LP!J$9/31</f>
        <v>456.65268558726217</v>
      </c>
      <c r="BH211" s="16">
        <f>Demand_LP!K$9/31</f>
        <v>456.65268558726217</v>
      </c>
      <c r="BI211" s="16" t="e">
        <f t="shared" si="103"/>
        <v>#VALUE!</v>
      </c>
      <c r="BJ211" s="16">
        <f t="shared" si="104"/>
        <v>-125110.16435070283</v>
      </c>
      <c r="BK211" s="16">
        <f t="shared" si="105"/>
        <v>-63747.348345740225</v>
      </c>
      <c r="BL211" s="16">
        <f t="shared" si="106"/>
        <v>-158143.25999204256</v>
      </c>
      <c r="BM211" s="16">
        <f t="shared" si="107"/>
        <v>-95110.669057229054</v>
      </c>
      <c r="BN211" s="16">
        <f t="shared" si="108"/>
        <v>-158595.91750951126</v>
      </c>
      <c r="BO211" s="16">
        <f t="shared" si="109"/>
        <v>-127467.74383788236</v>
      </c>
      <c r="BP211" s="16">
        <f t="shared" si="110"/>
        <v>-94568.352975599657</v>
      </c>
      <c r="BQ211" s="16">
        <f t="shared" si="111"/>
        <v>-91168.352975599701</v>
      </c>
      <c r="BR211" s="16">
        <f t="shared" si="112"/>
        <v>-92368.352975599657</v>
      </c>
      <c r="BS211" s="14">
        <f>IF([1]Sheet2!CA210=999999,"NA",[1]Sheet2!CA210)</f>
        <v>124110.6470244005</v>
      </c>
      <c r="BT211" s="14">
        <f>IF([1]Sheet2!CB210=999999,"NA",[1]Sheet2!CB210)</f>
        <v>79</v>
      </c>
      <c r="BU211" s="14">
        <f>IF([1]Sheet2!CC210=999999,"NA",[1]Sheet2!CC210)</f>
        <v>157</v>
      </c>
      <c r="BV211" s="14">
        <f>IF([1]Sheet2!CD210=999999,"NA",[1]Sheet2!CD210)</f>
        <v>157</v>
      </c>
      <c r="BW211" s="14">
        <f>IF([1]Sheet2!CE210=999999,"NA",[1]Sheet2!CE210)</f>
        <v>119</v>
      </c>
      <c r="BX211" s="14">
        <f>IF([1]Sheet2!CF210=999999,"NA",[1]Sheet2!CF210)</f>
        <v>157</v>
      </c>
      <c r="BY211" s="14">
        <f>IF([1]Sheet2!CG210=999999,"NA",[1]Sheet2!CG210)</f>
        <v>51</v>
      </c>
      <c r="BZ211" s="14">
        <f>IF([1]Sheet2!CH210=999999,"NA",[1]Sheet2!CH210)</f>
        <v>157</v>
      </c>
      <c r="CA211" s="14">
        <f>IF([1]Sheet2!CI210=999999,"NA",[1]Sheet2!CI210)</f>
        <v>157</v>
      </c>
      <c r="CB211" s="14">
        <f>IF([1]Sheet2!CJ210=999999,"NA",[1]Sheet2!CJ210)</f>
        <v>157</v>
      </c>
      <c r="CC211" s="14">
        <f>[1]Sheet2!BG210</f>
        <v>0</v>
      </c>
      <c r="CD211" s="14">
        <f>[1]Sheet2!BH210</f>
        <v>0</v>
      </c>
      <c r="CE211" s="14">
        <f>[1]Sheet2!BI210</f>
        <v>0</v>
      </c>
      <c r="CF211" s="14">
        <f>[1]Sheet2!BJ210</f>
        <v>0</v>
      </c>
      <c r="CG211" s="14">
        <f>[1]Sheet2!BK210</f>
        <v>0</v>
      </c>
      <c r="CH211" s="14">
        <f>[1]Sheet2!BL210</f>
        <v>0</v>
      </c>
      <c r="CI211" s="14">
        <f>[1]Sheet2!BM210</f>
        <v>0</v>
      </c>
      <c r="CJ211" s="14">
        <f>[1]Sheet2!BN210</f>
        <v>0</v>
      </c>
      <c r="CK211" s="14">
        <f>[1]Sheet2!BO210</f>
        <v>0</v>
      </c>
      <c r="CL211" s="14">
        <f>[1]Sheet2!BP210</f>
        <v>0</v>
      </c>
      <c r="CM211" s="16">
        <f>Demand_SW!B$9/31</f>
        <v>131.01736972704714</v>
      </c>
      <c r="CN211" s="16">
        <f>Demand_SW!C$9/31</f>
        <v>0</v>
      </c>
      <c r="CO211" s="16">
        <f>Demand_SW!D$9/31</f>
        <v>0</v>
      </c>
      <c r="CP211" s="16">
        <f>Demand_SW!E$9/31</f>
        <v>0</v>
      </c>
      <c r="CQ211" s="16">
        <f>Demand_SW!F$9/31</f>
        <v>0</v>
      </c>
      <c r="CR211" s="16">
        <f>Demand_SW!G$9/31</f>
        <v>131.01736972704714</v>
      </c>
      <c r="CS211" s="16">
        <f>Demand_SW!H$9/31</f>
        <v>0</v>
      </c>
      <c r="CT211" s="16">
        <f>Demand_SW!I$9/31</f>
        <v>0</v>
      </c>
      <c r="CU211" s="16">
        <f>Demand_SW!J$9/31</f>
        <v>0</v>
      </c>
      <c r="CV211" s="16">
        <f>Demand_SW!K$9/31</f>
        <v>0</v>
      </c>
      <c r="CW211" s="16">
        <f t="shared" si="113"/>
        <v>22864.83870967745</v>
      </c>
      <c r="CX211" s="16">
        <f t="shared" si="114"/>
        <v>-423.07692307692292</v>
      </c>
      <c r="CY211" s="16">
        <f t="shared" si="115"/>
        <v>0</v>
      </c>
      <c r="CZ211" s="16">
        <f t="shared" si="116"/>
        <v>0</v>
      </c>
      <c r="DA211" s="16">
        <f t="shared" si="117"/>
        <v>0</v>
      </c>
      <c r="DB211" s="16">
        <f t="shared" si="118"/>
        <v>-26664.392059553345</v>
      </c>
      <c r="DC211" s="16">
        <f t="shared" si="119"/>
        <v>-423.07692307692292</v>
      </c>
      <c r="DD211" s="16">
        <f t="shared" si="120"/>
        <v>0</v>
      </c>
      <c r="DE211" s="16">
        <f t="shared" si="121"/>
        <v>0</v>
      </c>
      <c r="DF211" s="16">
        <f t="shared" si="122"/>
        <v>0</v>
      </c>
      <c r="DG211" s="14">
        <f>IF([1]Sheet2!DR210=999999,"NA",[1]Sheet2!DR210)</f>
        <v>73103</v>
      </c>
      <c r="DH211" s="14">
        <f>IF([1]Sheet2!DS210=999999,"NA",[1]Sheet2!DS210)</f>
        <v>157</v>
      </c>
      <c r="DI211" s="14">
        <f>IF([1]Sheet2!DT210=999999,"NA",[1]Sheet2!DT210)</f>
        <v>157</v>
      </c>
      <c r="DJ211" s="14" t="str">
        <f>IF([1]Sheet2!DU210=999999,"NA",[1]Sheet2!DU210)</f>
        <v>NA</v>
      </c>
      <c r="DK211" s="14" t="str">
        <f>IF([1]Sheet2!DV210=999999,"NA",[1]Sheet2!DV210)</f>
        <v>NA</v>
      </c>
      <c r="DL211" s="14" t="str">
        <f>IF([1]Sheet2!DW210=999999,"NA",[1]Sheet2!DW210)</f>
        <v>NA</v>
      </c>
      <c r="DM211" s="14">
        <f>IF([1]Sheet2!DX210=999999,"NA",[1]Sheet2!DX210)</f>
        <v>157</v>
      </c>
      <c r="DN211" s="14">
        <f>IF([1]Sheet2!DY210=999999,"NA",[1]Sheet2!DY210)</f>
        <v>157</v>
      </c>
      <c r="DO211" s="14" t="str">
        <f>IF([1]Sheet2!DZ210=999999,"NA",[1]Sheet2!DZ210)</f>
        <v>NA</v>
      </c>
      <c r="DP211" s="14" t="str">
        <f>IF([1]Sheet2!EA210=999999,"NA",[1]Sheet2!EA210)</f>
        <v>NA</v>
      </c>
      <c r="DQ211" s="14">
        <f>[1]Sheet2!CX210</f>
        <v>0</v>
      </c>
      <c r="DR211" s="14">
        <f>[1]Sheet2!CY210</f>
        <v>0</v>
      </c>
      <c r="DS211" s="14">
        <f>[1]Sheet2!CZ210</f>
        <v>0</v>
      </c>
      <c r="DT211" s="14">
        <f>[1]Sheet2!DA210</f>
        <v>0</v>
      </c>
      <c r="DU211" s="14">
        <f>[1]Sheet2!DB210</f>
        <v>0</v>
      </c>
      <c r="DV211" s="14">
        <f>[1]Sheet2!DC210</f>
        <v>0</v>
      </c>
      <c r="DW211" s="14">
        <f>[1]Sheet2!DD210</f>
        <v>0</v>
      </c>
      <c r="DX211" s="14">
        <f>[1]Sheet2!DE210</f>
        <v>0</v>
      </c>
      <c r="DY211" s="14">
        <f>[1]Sheet2!DF210</f>
        <v>0</v>
      </c>
      <c r="DZ211" s="14">
        <f>[1]Sheet2!DG210</f>
        <v>0</v>
      </c>
    </row>
    <row r="212" spans="1:130" x14ac:dyDescent="0.25">
      <c r="A212" s="15">
        <v>43674</v>
      </c>
      <c r="B212" s="1"/>
      <c r="C212" s="1"/>
      <c r="D212" s="1"/>
      <c r="E212" s="14">
        <f>[1]Sheet2!N211</f>
        <v>0</v>
      </c>
      <c r="F212" s="14">
        <f>[1]Sheet2!BE211</f>
        <v>0</v>
      </c>
      <c r="G212" s="14">
        <f>[1]Sheet2!CV211</f>
        <v>262.03473945409428</v>
      </c>
      <c r="H212" s="1"/>
      <c r="I212" s="1"/>
      <c r="J212" s="1"/>
      <c r="K212" s="16">
        <f>Demand_CWRS!B$9/31</f>
        <v>137.44229993796523</v>
      </c>
      <c r="L212" s="16">
        <f>Demand_CWRS!C$9/31</f>
        <v>616.54259718775836</v>
      </c>
      <c r="M212" s="16">
        <f>Demand_CWRS!D$9/31</f>
        <v>0</v>
      </c>
      <c r="N212" s="16">
        <f>Demand_CWRS!E$9/31</f>
        <v>140.39247311827955</v>
      </c>
      <c r="O212" s="16">
        <f>Demand_CWRS!F$9/31</f>
        <v>245.11049679487181</v>
      </c>
      <c r="P212" s="16">
        <f>Demand_CWRS!G$9/31</f>
        <v>137.44229993796523</v>
      </c>
      <c r="Q212" s="16">
        <f>Demand_CWRS!H$9/31</f>
        <v>616.54259718775836</v>
      </c>
      <c r="R212" s="16">
        <f>Demand_CWRS!I$9/31</f>
        <v>245.11049679487181</v>
      </c>
      <c r="S212" s="16">
        <f>Demand_CWRS!J$9/31</f>
        <v>245.11049679487181</v>
      </c>
      <c r="T212" s="16">
        <f>Demand_CWRS!K$9/31</f>
        <v>245.11049679487181</v>
      </c>
      <c r="U212" s="16">
        <f t="shared" si="93"/>
        <v>-30209.145935659511</v>
      </c>
      <c r="V212" s="16">
        <f t="shared" si="94"/>
        <v>-104119.35425971844</v>
      </c>
      <c r="W212" s="16">
        <f t="shared" si="95"/>
        <v>0</v>
      </c>
      <c r="X212" s="16">
        <f t="shared" si="96"/>
        <v>-24472.265797133234</v>
      </c>
      <c r="Y212" s="16">
        <f t="shared" si="97"/>
        <v>-48141.257745050287</v>
      </c>
      <c r="Z212" s="16">
        <f t="shared" si="98"/>
        <v>-29883.372786621061</v>
      </c>
      <c r="AA212" s="16">
        <f t="shared" si="99"/>
        <v>-103619.35425971844</v>
      </c>
      <c r="AB212" s="16">
        <f t="shared" si="100"/>
        <v>-45657.412264281003</v>
      </c>
      <c r="AC212" s="16">
        <f t="shared" si="101"/>
        <v>-45657.412264280996</v>
      </c>
      <c r="AD212" s="16">
        <f t="shared" si="102"/>
        <v>-46357.412264280989</v>
      </c>
      <c r="AE212" s="14">
        <f>IF([1]Sheet2!AJ211=999999,"NA",[1]Sheet2!AJ211)</f>
        <v>0</v>
      </c>
      <c r="AF212" s="14">
        <f>IF([1]Sheet2!AK211=999999,"NA",[1]Sheet2!AK211)</f>
        <v>0</v>
      </c>
      <c r="AG212" s="14" t="str">
        <f>IF([1]Sheet2!AL211=999999,"NA",[1]Sheet2!AL211)</f>
        <v>NA</v>
      </c>
      <c r="AH212" s="14">
        <f>IF([1]Sheet2!AM211=999999,"NA",[1]Sheet2!AM211)</f>
        <v>156</v>
      </c>
      <c r="AI212" s="14">
        <f>IF([1]Sheet2!AN211=999999,"NA",[1]Sheet2!AN211)</f>
        <v>156</v>
      </c>
      <c r="AJ212" s="14">
        <f>IF([1]Sheet2!AO211=999999,"NA",[1]Sheet2!AO211)</f>
        <v>156</v>
      </c>
      <c r="AK212" s="14">
        <f>IF([1]Sheet2!AP211=999999,"NA",[1]Sheet2!AP211)</f>
        <v>0</v>
      </c>
      <c r="AL212" s="14">
        <f>IF([1]Sheet2!AQ211=999999,"NA",[1]Sheet2!AQ211)</f>
        <v>32</v>
      </c>
      <c r="AM212" s="14">
        <f>IF([1]Sheet2!AR211=999999,"NA",[1]Sheet2!AR211)</f>
        <v>156</v>
      </c>
      <c r="AN212" s="14">
        <f>IF([1]Sheet2!AS211=999999,"NA",[1]Sheet2!AS211)</f>
        <v>88</v>
      </c>
      <c r="AO212" s="14">
        <f>[1]Sheet2!P211</f>
        <v>0</v>
      </c>
      <c r="AP212" s="14">
        <f>[1]Sheet2!Q211</f>
        <v>0</v>
      </c>
      <c r="AQ212" s="14">
        <f>[1]Sheet2!R211</f>
        <v>0</v>
      </c>
      <c r="AR212" s="14">
        <f>[1]Sheet2!S211</f>
        <v>0</v>
      </c>
      <c r="AS212" s="14">
        <f>[1]Sheet2!T211</f>
        <v>0</v>
      </c>
      <c r="AT212" s="14">
        <f>[1]Sheet2!U211</f>
        <v>0</v>
      </c>
      <c r="AU212" s="14">
        <f>[1]Sheet2!V211</f>
        <v>0</v>
      </c>
      <c r="AV212" s="14">
        <f>[1]Sheet2!W211</f>
        <v>0</v>
      </c>
      <c r="AW212" s="14">
        <f>[1]Sheet2!X211</f>
        <v>0</v>
      </c>
      <c r="AX212" s="14">
        <f>[1]Sheet2!Y211</f>
        <v>0</v>
      </c>
      <c r="AY212" s="16">
        <f>Demand_LP!B$9/31</f>
        <v>878.29658550454917</v>
      </c>
      <c r="AZ212" s="16">
        <f>Demand_LP!C$9/31</f>
        <v>663.85442514474767</v>
      </c>
      <c r="BA212" s="16">
        <f>Demand_LP!D$9/31</f>
        <v>335.39784946236568</v>
      </c>
      <c r="BB212" s="16">
        <f>Demand_LP!E$9/31</f>
        <v>725.23531844499576</v>
      </c>
      <c r="BC212" s="16">
        <f>Demand_LP!F$9/31</f>
        <v>456.65268558726217</v>
      </c>
      <c r="BD212" s="16">
        <f>Demand_LP!G$9/31</f>
        <v>878.29658550454917</v>
      </c>
      <c r="BE212" s="16">
        <f>Demand_LP!H$9/31</f>
        <v>663.85442514474767</v>
      </c>
      <c r="BF212" s="16">
        <f>Demand_LP!I$9/31</f>
        <v>456.65268558726217</v>
      </c>
      <c r="BG212" s="16">
        <f>Demand_LP!J$9/31</f>
        <v>456.65268558726217</v>
      </c>
      <c r="BH212" s="16">
        <f>Demand_LP!K$9/31</f>
        <v>456.65268558726217</v>
      </c>
      <c r="BI212" s="16" t="e">
        <f t="shared" si="103"/>
        <v>#VALUE!</v>
      </c>
      <c r="BJ212" s="16">
        <f t="shared" si="104"/>
        <v>-125774.01877584758</v>
      </c>
      <c r="BK212" s="16">
        <f t="shared" si="105"/>
        <v>-64082.746195202591</v>
      </c>
      <c r="BL212" s="16">
        <f t="shared" si="106"/>
        <v>-158868.49531048755</v>
      </c>
      <c r="BM212" s="16">
        <f t="shared" si="107"/>
        <v>-95567.321742816319</v>
      </c>
      <c r="BN212" s="16">
        <f t="shared" si="108"/>
        <v>-159474.21409501581</v>
      </c>
      <c r="BO212" s="16">
        <f t="shared" si="109"/>
        <v>-128131.5982630271</v>
      </c>
      <c r="BP212" s="16">
        <f t="shared" si="110"/>
        <v>-95025.005661186922</v>
      </c>
      <c r="BQ212" s="16">
        <f t="shared" si="111"/>
        <v>-91625.005661186966</v>
      </c>
      <c r="BR212" s="16">
        <f t="shared" si="112"/>
        <v>-92825.005661186922</v>
      </c>
      <c r="BS212" s="14">
        <f>IF([1]Sheet2!CA211=999999,"NA",[1]Sheet2!CA211)</f>
        <v>123653.99433881324</v>
      </c>
      <c r="BT212" s="14">
        <f>IF([1]Sheet2!CB211=999999,"NA",[1]Sheet2!CB211)</f>
        <v>78</v>
      </c>
      <c r="BU212" s="14">
        <f>IF([1]Sheet2!CC211=999999,"NA",[1]Sheet2!CC211)</f>
        <v>156</v>
      </c>
      <c r="BV212" s="14">
        <f>IF([1]Sheet2!CD211=999999,"NA",[1]Sheet2!CD211)</f>
        <v>156</v>
      </c>
      <c r="BW212" s="14">
        <f>IF([1]Sheet2!CE211=999999,"NA",[1]Sheet2!CE211)</f>
        <v>118</v>
      </c>
      <c r="BX212" s="14">
        <f>IF([1]Sheet2!CF211=999999,"NA",[1]Sheet2!CF211)</f>
        <v>156</v>
      </c>
      <c r="BY212" s="14">
        <f>IF([1]Sheet2!CG211=999999,"NA",[1]Sheet2!CG211)</f>
        <v>50</v>
      </c>
      <c r="BZ212" s="14">
        <f>IF([1]Sheet2!CH211=999999,"NA",[1]Sheet2!CH211)</f>
        <v>156</v>
      </c>
      <c r="CA212" s="14">
        <f>IF([1]Sheet2!CI211=999999,"NA",[1]Sheet2!CI211)</f>
        <v>156</v>
      </c>
      <c r="CB212" s="14">
        <f>IF([1]Sheet2!CJ211=999999,"NA",[1]Sheet2!CJ211)</f>
        <v>156</v>
      </c>
      <c r="CC212" s="14">
        <f>[1]Sheet2!BG211</f>
        <v>0</v>
      </c>
      <c r="CD212" s="14">
        <f>[1]Sheet2!BH211</f>
        <v>0</v>
      </c>
      <c r="CE212" s="14">
        <f>[1]Sheet2!BI211</f>
        <v>0</v>
      </c>
      <c r="CF212" s="14">
        <f>[1]Sheet2!BJ211</f>
        <v>0</v>
      </c>
      <c r="CG212" s="14">
        <f>[1]Sheet2!BK211</f>
        <v>0</v>
      </c>
      <c r="CH212" s="14">
        <f>[1]Sheet2!BL211</f>
        <v>0</v>
      </c>
      <c r="CI212" s="14">
        <f>[1]Sheet2!BM211</f>
        <v>0</v>
      </c>
      <c r="CJ212" s="14">
        <f>[1]Sheet2!BN211</f>
        <v>0</v>
      </c>
      <c r="CK212" s="14">
        <f>[1]Sheet2!BO211</f>
        <v>0</v>
      </c>
      <c r="CL212" s="14">
        <f>[1]Sheet2!BP211</f>
        <v>0</v>
      </c>
      <c r="CM212" s="16">
        <f>Demand_SW!B$9/31</f>
        <v>131.01736972704714</v>
      </c>
      <c r="CN212" s="16">
        <f>Demand_SW!C$9/31</f>
        <v>0</v>
      </c>
      <c r="CO212" s="16">
        <f>Demand_SW!D$9/31</f>
        <v>0</v>
      </c>
      <c r="CP212" s="16">
        <f>Demand_SW!E$9/31</f>
        <v>0</v>
      </c>
      <c r="CQ212" s="16">
        <f>Demand_SW!F$9/31</f>
        <v>0</v>
      </c>
      <c r="CR212" s="16">
        <f>Demand_SW!G$9/31</f>
        <v>131.01736972704714</v>
      </c>
      <c r="CS212" s="16">
        <f>Demand_SW!H$9/31</f>
        <v>0</v>
      </c>
      <c r="CT212" s="16">
        <f>Demand_SW!I$9/31</f>
        <v>0</v>
      </c>
      <c r="CU212" s="16">
        <f>Demand_SW!J$9/31</f>
        <v>0</v>
      </c>
      <c r="CV212" s="16">
        <f>Demand_SW!K$9/31</f>
        <v>0</v>
      </c>
      <c r="CW212" s="16">
        <f t="shared" si="113"/>
        <v>22733.821339950402</v>
      </c>
      <c r="CX212" s="16">
        <f t="shared" si="114"/>
        <v>-423.07692307692292</v>
      </c>
      <c r="CY212" s="16">
        <f t="shared" si="115"/>
        <v>0</v>
      </c>
      <c r="CZ212" s="16">
        <f t="shared" si="116"/>
        <v>0</v>
      </c>
      <c r="DA212" s="16">
        <f t="shared" si="117"/>
        <v>0</v>
      </c>
      <c r="DB212" s="16">
        <f t="shared" si="118"/>
        <v>-26795.409429280393</v>
      </c>
      <c r="DC212" s="16">
        <f t="shared" si="119"/>
        <v>-423.07692307692292</v>
      </c>
      <c r="DD212" s="16">
        <f t="shared" si="120"/>
        <v>0</v>
      </c>
      <c r="DE212" s="16">
        <f t="shared" si="121"/>
        <v>0</v>
      </c>
      <c r="DF212" s="16">
        <f t="shared" si="122"/>
        <v>0</v>
      </c>
      <c r="DG212" s="14">
        <f>IF([1]Sheet2!DR211=999999,"NA",[1]Sheet2!DR211)</f>
        <v>73103</v>
      </c>
      <c r="DH212" s="14">
        <f>IF([1]Sheet2!DS211=999999,"NA",[1]Sheet2!DS211)</f>
        <v>156</v>
      </c>
      <c r="DI212" s="14">
        <f>IF([1]Sheet2!DT211=999999,"NA",[1]Sheet2!DT211)</f>
        <v>156</v>
      </c>
      <c r="DJ212" s="14" t="str">
        <f>IF([1]Sheet2!DU211=999999,"NA",[1]Sheet2!DU211)</f>
        <v>NA</v>
      </c>
      <c r="DK212" s="14" t="str">
        <f>IF([1]Sheet2!DV211=999999,"NA",[1]Sheet2!DV211)</f>
        <v>NA</v>
      </c>
      <c r="DL212" s="14" t="str">
        <f>IF([1]Sheet2!DW211=999999,"NA",[1]Sheet2!DW211)</f>
        <v>NA</v>
      </c>
      <c r="DM212" s="14">
        <f>IF([1]Sheet2!DX211=999999,"NA",[1]Sheet2!DX211)</f>
        <v>156</v>
      </c>
      <c r="DN212" s="14">
        <f>IF([1]Sheet2!DY211=999999,"NA",[1]Sheet2!DY211)</f>
        <v>156</v>
      </c>
      <c r="DO212" s="14" t="str">
        <f>IF([1]Sheet2!DZ211=999999,"NA",[1]Sheet2!DZ211)</f>
        <v>NA</v>
      </c>
      <c r="DP212" s="14" t="str">
        <f>IF([1]Sheet2!EA211=999999,"NA",[1]Sheet2!EA211)</f>
        <v>NA</v>
      </c>
      <c r="DQ212" s="14">
        <f>[1]Sheet2!CX211</f>
        <v>0</v>
      </c>
      <c r="DR212" s="14">
        <f>[1]Sheet2!CY211</f>
        <v>0</v>
      </c>
      <c r="DS212" s="14">
        <f>[1]Sheet2!CZ211</f>
        <v>0</v>
      </c>
      <c r="DT212" s="14">
        <f>[1]Sheet2!DA211</f>
        <v>0</v>
      </c>
      <c r="DU212" s="14">
        <f>[1]Sheet2!DB211</f>
        <v>0</v>
      </c>
      <c r="DV212" s="14">
        <f>[1]Sheet2!DC211</f>
        <v>0</v>
      </c>
      <c r="DW212" s="14">
        <f>[1]Sheet2!DD211</f>
        <v>0</v>
      </c>
      <c r="DX212" s="14">
        <f>[1]Sheet2!DE211</f>
        <v>0</v>
      </c>
      <c r="DY212" s="14">
        <f>[1]Sheet2!DF211</f>
        <v>0</v>
      </c>
      <c r="DZ212" s="14">
        <f>[1]Sheet2!DG211</f>
        <v>0</v>
      </c>
    </row>
    <row r="213" spans="1:130" x14ac:dyDescent="0.25">
      <c r="A213" s="15">
        <v>43675</v>
      </c>
      <c r="B213" s="1"/>
      <c r="C213" s="1"/>
      <c r="D213" s="1"/>
      <c r="E213" s="14">
        <f>[1]Sheet2!N212</f>
        <v>0</v>
      </c>
      <c r="F213" s="14">
        <f>[1]Sheet2!BE212</f>
        <v>0</v>
      </c>
      <c r="G213" s="14">
        <f>[1]Sheet2!CV212</f>
        <v>262.03473945409428</v>
      </c>
      <c r="H213" s="1"/>
      <c r="I213" s="1"/>
      <c r="J213" s="1"/>
      <c r="K213" s="16">
        <f>Demand_CWRS!B$9/31</f>
        <v>137.44229993796523</v>
      </c>
      <c r="L213" s="16">
        <f>Demand_CWRS!C$9/31</f>
        <v>616.54259718775836</v>
      </c>
      <c r="M213" s="16">
        <f>Demand_CWRS!D$9/31</f>
        <v>0</v>
      </c>
      <c r="N213" s="16">
        <f>Demand_CWRS!E$9/31</f>
        <v>140.39247311827955</v>
      </c>
      <c r="O213" s="16">
        <f>Demand_CWRS!F$9/31</f>
        <v>245.11049679487181</v>
      </c>
      <c r="P213" s="16">
        <f>Demand_CWRS!G$9/31</f>
        <v>137.44229993796523</v>
      </c>
      <c r="Q213" s="16">
        <f>Demand_CWRS!H$9/31</f>
        <v>616.54259718775836</v>
      </c>
      <c r="R213" s="16">
        <f>Demand_CWRS!I$9/31</f>
        <v>245.11049679487181</v>
      </c>
      <c r="S213" s="16">
        <f>Demand_CWRS!J$9/31</f>
        <v>245.11049679487181</v>
      </c>
      <c r="T213" s="16">
        <f>Demand_CWRS!K$9/31</f>
        <v>245.11049679487181</v>
      </c>
      <c r="U213" s="16">
        <f t="shared" si="93"/>
        <v>-30346.588235597475</v>
      </c>
      <c r="V213" s="16">
        <f t="shared" si="94"/>
        <v>-104735.8968569062</v>
      </c>
      <c r="W213" s="16">
        <f t="shared" si="95"/>
        <v>0</v>
      </c>
      <c r="X213" s="16">
        <f t="shared" si="96"/>
        <v>-24612.658270251512</v>
      </c>
      <c r="Y213" s="16">
        <f t="shared" si="97"/>
        <v>-48386.368241845157</v>
      </c>
      <c r="Z213" s="16">
        <f t="shared" si="98"/>
        <v>-30020.815086559025</v>
      </c>
      <c r="AA213" s="16">
        <f t="shared" si="99"/>
        <v>-104235.8968569062</v>
      </c>
      <c r="AB213" s="16">
        <f t="shared" si="100"/>
        <v>-45902.522761075874</v>
      </c>
      <c r="AC213" s="16">
        <f t="shared" si="101"/>
        <v>-45902.522761075867</v>
      </c>
      <c r="AD213" s="16">
        <f t="shared" si="102"/>
        <v>-46602.522761075859</v>
      </c>
      <c r="AE213" s="14">
        <f>IF([1]Sheet2!AJ212=999999,"NA",[1]Sheet2!AJ212)</f>
        <v>0</v>
      </c>
      <c r="AF213" s="14">
        <f>IF([1]Sheet2!AK212=999999,"NA",[1]Sheet2!AK212)</f>
        <v>0</v>
      </c>
      <c r="AG213" s="14" t="str">
        <f>IF([1]Sheet2!AL212=999999,"NA",[1]Sheet2!AL212)</f>
        <v>NA</v>
      </c>
      <c r="AH213" s="14">
        <f>IF([1]Sheet2!AM212=999999,"NA",[1]Sheet2!AM212)</f>
        <v>155</v>
      </c>
      <c r="AI213" s="14">
        <f>IF([1]Sheet2!AN212=999999,"NA",[1]Sheet2!AN212)</f>
        <v>155</v>
      </c>
      <c r="AJ213" s="14">
        <f>IF([1]Sheet2!AO212=999999,"NA",[1]Sheet2!AO212)</f>
        <v>155</v>
      </c>
      <c r="AK213" s="14">
        <f>IF([1]Sheet2!AP212=999999,"NA",[1]Sheet2!AP212)</f>
        <v>0</v>
      </c>
      <c r="AL213" s="14">
        <f>IF([1]Sheet2!AQ212=999999,"NA",[1]Sheet2!AQ212)</f>
        <v>31</v>
      </c>
      <c r="AM213" s="14">
        <f>IF([1]Sheet2!AR212=999999,"NA",[1]Sheet2!AR212)</f>
        <v>155</v>
      </c>
      <c r="AN213" s="14">
        <f>IF([1]Sheet2!AS212=999999,"NA",[1]Sheet2!AS212)</f>
        <v>87</v>
      </c>
      <c r="AO213" s="14">
        <f>[1]Sheet2!P212</f>
        <v>0</v>
      </c>
      <c r="AP213" s="14">
        <f>[1]Sheet2!Q212</f>
        <v>0</v>
      </c>
      <c r="AQ213" s="14">
        <f>[1]Sheet2!R212</f>
        <v>0</v>
      </c>
      <c r="AR213" s="14">
        <f>[1]Sheet2!S212</f>
        <v>0</v>
      </c>
      <c r="AS213" s="14">
        <f>[1]Sheet2!T212</f>
        <v>0</v>
      </c>
      <c r="AT213" s="14">
        <f>[1]Sheet2!U212</f>
        <v>0</v>
      </c>
      <c r="AU213" s="14">
        <f>[1]Sheet2!V212</f>
        <v>0</v>
      </c>
      <c r="AV213" s="14">
        <f>[1]Sheet2!W212</f>
        <v>0</v>
      </c>
      <c r="AW213" s="14">
        <f>[1]Sheet2!X212</f>
        <v>0</v>
      </c>
      <c r="AX213" s="14">
        <f>[1]Sheet2!Y212</f>
        <v>0</v>
      </c>
      <c r="AY213" s="16">
        <f>Demand_LP!B$9/31</f>
        <v>878.29658550454917</v>
      </c>
      <c r="AZ213" s="16">
        <f>Demand_LP!C$9/31</f>
        <v>663.85442514474767</v>
      </c>
      <c r="BA213" s="16">
        <f>Demand_LP!D$9/31</f>
        <v>335.39784946236568</v>
      </c>
      <c r="BB213" s="16">
        <f>Demand_LP!E$9/31</f>
        <v>725.23531844499576</v>
      </c>
      <c r="BC213" s="16">
        <f>Demand_LP!F$9/31</f>
        <v>456.65268558726217</v>
      </c>
      <c r="BD213" s="16">
        <f>Demand_LP!G$9/31</f>
        <v>878.29658550454917</v>
      </c>
      <c r="BE213" s="16">
        <f>Demand_LP!H$9/31</f>
        <v>663.85442514474767</v>
      </c>
      <c r="BF213" s="16">
        <f>Demand_LP!I$9/31</f>
        <v>456.65268558726217</v>
      </c>
      <c r="BG213" s="16">
        <f>Demand_LP!J$9/31</f>
        <v>456.65268558726217</v>
      </c>
      <c r="BH213" s="16">
        <f>Demand_LP!K$9/31</f>
        <v>456.65268558726217</v>
      </c>
      <c r="BI213" s="16" t="e">
        <f t="shared" si="103"/>
        <v>#VALUE!</v>
      </c>
      <c r="BJ213" s="16">
        <f t="shared" si="104"/>
        <v>-126437.87320099233</v>
      </c>
      <c r="BK213" s="16">
        <f t="shared" si="105"/>
        <v>-64418.144044664958</v>
      </c>
      <c r="BL213" s="16">
        <f t="shared" si="106"/>
        <v>-159593.73062893254</v>
      </c>
      <c r="BM213" s="16">
        <f t="shared" si="107"/>
        <v>-96023.974428403584</v>
      </c>
      <c r="BN213" s="16">
        <f t="shared" si="108"/>
        <v>-160352.51068052035</v>
      </c>
      <c r="BO213" s="16">
        <f t="shared" si="109"/>
        <v>-128795.45268817185</v>
      </c>
      <c r="BP213" s="16">
        <f t="shared" si="110"/>
        <v>-95481.658346774188</v>
      </c>
      <c r="BQ213" s="16">
        <f t="shared" si="111"/>
        <v>-92081.658346774231</v>
      </c>
      <c r="BR213" s="16">
        <f t="shared" si="112"/>
        <v>-93281.658346774188</v>
      </c>
      <c r="BS213" s="14">
        <f>IF([1]Sheet2!CA212=999999,"NA",[1]Sheet2!CA212)</f>
        <v>123197.34165322597</v>
      </c>
      <c r="BT213" s="14">
        <f>IF([1]Sheet2!CB212=999999,"NA",[1]Sheet2!CB212)</f>
        <v>77</v>
      </c>
      <c r="BU213" s="14">
        <f>IF([1]Sheet2!CC212=999999,"NA",[1]Sheet2!CC212)</f>
        <v>155</v>
      </c>
      <c r="BV213" s="14">
        <f>IF([1]Sheet2!CD212=999999,"NA",[1]Sheet2!CD212)</f>
        <v>155</v>
      </c>
      <c r="BW213" s="14">
        <f>IF([1]Sheet2!CE212=999999,"NA",[1]Sheet2!CE212)</f>
        <v>117</v>
      </c>
      <c r="BX213" s="14">
        <f>IF([1]Sheet2!CF212=999999,"NA",[1]Sheet2!CF212)</f>
        <v>155</v>
      </c>
      <c r="BY213" s="14">
        <f>IF([1]Sheet2!CG212=999999,"NA",[1]Sheet2!CG212)</f>
        <v>49</v>
      </c>
      <c r="BZ213" s="14">
        <f>IF([1]Sheet2!CH212=999999,"NA",[1]Sheet2!CH212)</f>
        <v>155</v>
      </c>
      <c r="CA213" s="14">
        <f>IF([1]Sheet2!CI212=999999,"NA",[1]Sheet2!CI212)</f>
        <v>155</v>
      </c>
      <c r="CB213" s="14">
        <f>IF([1]Sheet2!CJ212=999999,"NA",[1]Sheet2!CJ212)</f>
        <v>155</v>
      </c>
      <c r="CC213" s="14">
        <f>[1]Sheet2!BG212</f>
        <v>0</v>
      </c>
      <c r="CD213" s="14">
        <f>[1]Sheet2!BH212</f>
        <v>0</v>
      </c>
      <c r="CE213" s="14">
        <f>[1]Sheet2!BI212</f>
        <v>0</v>
      </c>
      <c r="CF213" s="14">
        <f>[1]Sheet2!BJ212</f>
        <v>0</v>
      </c>
      <c r="CG213" s="14">
        <f>[1]Sheet2!BK212</f>
        <v>0</v>
      </c>
      <c r="CH213" s="14">
        <f>[1]Sheet2!BL212</f>
        <v>0</v>
      </c>
      <c r="CI213" s="14">
        <f>[1]Sheet2!BM212</f>
        <v>0</v>
      </c>
      <c r="CJ213" s="14">
        <f>[1]Sheet2!BN212</f>
        <v>0</v>
      </c>
      <c r="CK213" s="14">
        <f>[1]Sheet2!BO212</f>
        <v>0</v>
      </c>
      <c r="CL213" s="14">
        <f>[1]Sheet2!BP212</f>
        <v>0</v>
      </c>
      <c r="CM213" s="16">
        <f>Demand_SW!B$9/31</f>
        <v>131.01736972704714</v>
      </c>
      <c r="CN213" s="16">
        <f>Demand_SW!C$9/31</f>
        <v>0</v>
      </c>
      <c r="CO213" s="16">
        <f>Demand_SW!D$9/31</f>
        <v>0</v>
      </c>
      <c r="CP213" s="16">
        <f>Demand_SW!E$9/31</f>
        <v>0</v>
      </c>
      <c r="CQ213" s="16">
        <f>Demand_SW!F$9/31</f>
        <v>0</v>
      </c>
      <c r="CR213" s="16">
        <f>Demand_SW!G$9/31</f>
        <v>131.01736972704714</v>
      </c>
      <c r="CS213" s="16">
        <f>Demand_SW!H$9/31</f>
        <v>0</v>
      </c>
      <c r="CT213" s="16">
        <f>Demand_SW!I$9/31</f>
        <v>0</v>
      </c>
      <c r="CU213" s="16">
        <f>Demand_SW!J$9/31</f>
        <v>0</v>
      </c>
      <c r="CV213" s="16">
        <f>Demand_SW!K$9/31</f>
        <v>0</v>
      </c>
      <c r="CW213" s="16">
        <f t="shared" si="113"/>
        <v>22602.803970223355</v>
      </c>
      <c r="CX213" s="16">
        <f t="shared" si="114"/>
        <v>-423.07692307692292</v>
      </c>
      <c r="CY213" s="16">
        <f t="shared" si="115"/>
        <v>0</v>
      </c>
      <c r="CZ213" s="16">
        <f t="shared" si="116"/>
        <v>0</v>
      </c>
      <c r="DA213" s="16">
        <f t="shared" si="117"/>
        <v>0</v>
      </c>
      <c r="DB213" s="16">
        <f t="shared" si="118"/>
        <v>-26926.42679900744</v>
      </c>
      <c r="DC213" s="16">
        <f t="shared" si="119"/>
        <v>-423.07692307692292</v>
      </c>
      <c r="DD213" s="16">
        <f t="shared" si="120"/>
        <v>0</v>
      </c>
      <c r="DE213" s="16">
        <f t="shared" si="121"/>
        <v>0</v>
      </c>
      <c r="DF213" s="16">
        <f t="shared" si="122"/>
        <v>0</v>
      </c>
      <c r="DG213" s="14">
        <f>IF([1]Sheet2!DR212=999999,"NA",[1]Sheet2!DR212)</f>
        <v>73103</v>
      </c>
      <c r="DH213" s="14">
        <f>IF([1]Sheet2!DS212=999999,"NA",[1]Sheet2!DS212)</f>
        <v>155</v>
      </c>
      <c r="DI213" s="14">
        <f>IF([1]Sheet2!DT212=999999,"NA",[1]Sheet2!DT212)</f>
        <v>155</v>
      </c>
      <c r="DJ213" s="14" t="str">
        <f>IF([1]Sheet2!DU212=999999,"NA",[1]Sheet2!DU212)</f>
        <v>NA</v>
      </c>
      <c r="DK213" s="14" t="str">
        <f>IF([1]Sheet2!DV212=999999,"NA",[1]Sheet2!DV212)</f>
        <v>NA</v>
      </c>
      <c r="DL213" s="14" t="str">
        <f>IF([1]Sheet2!DW212=999999,"NA",[1]Sheet2!DW212)</f>
        <v>NA</v>
      </c>
      <c r="DM213" s="14">
        <f>IF([1]Sheet2!DX212=999999,"NA",[1]Sheet2!DX212)</f>
        <v>155</v>
      </c>
      <c r="DN213" s="14">
        <f>IF([1]Sheet2!DY212=999999,"NA",[1]Sheet2!DY212)</f>
        <v>155</v>
      </c>
      <c r="DO213" s="14" t="str">
        <f>IF([1]Sheet2!DZ212=999999,"NA",[1]Sheet2!DZ212)</f>
        <v>NA</v>
      </c>
      <c r="DP213" s="14" t="str">
        <f>IF([1]Sheet2!EA212=999999,"NA",[1]Sheet2!EA212)</f>
        <v>NA</v>
      </c>
      <c r="DQ213" s="14">
        <f>[1]Sheet2!CX212</f>
        <v>0</v>
      </c>
      <c r="DR213" s="14">
        <f>[1]Sheet2!CY212</f>
        <v>0</v>
      </c>
      <c r="DS213" s="14">
        <f>[1]Sheet2!CZ212</f>
        <v>0</v>
      </c>
      <c r="DT213" s="14">
        <f>[1]Sheet2!DA212</f>
        <v>0</v>
      </c>
      <c r="DU213" s="14">
        <f>[1]Sheet2!DB212</f>
        <v>0</v>
      </c>
      <c r="DV213" s="14">
        <f>[1]Sheet2!DC212</f>
        <v>0</v>
      </c>
      <c r="DW213" s="14">
        <f>[1]Sheet2!DD212</f>
        <v>0</v>
      </c>
      <c r="DX213" s="14">
        <f>[1]Sheet2!DE212</f>
        <v>0</v>
      </c>
      <c r="DY213" s="14">
        <f>[1]Sheet2!DF212</f>
        <v>0</v>
      </c>
      <c r="DZ213" s="14">
        <f>[1]Sheet2!DG212</f>
        <v>0</v>
      </c>
    </row>
    <row r="214" spans="1:130" x14ac:dyDescent="0.25">
      <c r="A214" s="15">
        <v>43676</v>
      </c>
      <c r="B214" s="1"/>
      <c r="C214" s="1"/>
      <c r="D214" s="1"/>
      <c r="E214" s="14">
        <f>[1]Sheet2!N213</f>
        <v>0</v>
      </c>
      <c r="F214" s="14">
        <f>[1]Sheet2!BE213</f>
        <v>0</v>
      </c>
      <c r="G214" s="14">
        <f>[1]Sheet2!CV213</f>
        <v>262.03473945409428</v>
      </c>
      <c r="H214" s="1"/>
      <c r="I214" s="1"/>
      <c r="J214" s="1"/>
      <c r="K214" s="16">
        <f>Demand_CWRS!B$9/31</f>
        <v>137.44229993796523</v>
      </c>
      <c r="L214" s="16">
        <f>Demand_CWRS!C$9/31</f>
        <v>616.54259718775836</v>
      </c>
      <c r="M214" s="16">
        <f>Demand_CWRS!D$9/31</f>
        <v>0</v>
      </c>
      <c r="N214" s="16">
        <f>Demand_CWRS!E$9/31</f>
        <v>140.39247311827955</v>
      </c>
      <c r="O214" s="16">
        <f>Demand_CWRS!F$9/31</f>
        <v>245.11049679487181</v>
      </c>
      <c r="P214" s="16">
        <f>Demand_CWRS!G$9/31</f>
        <v>137.44229993796523</v>
      </c>
      <c r="Q214" s="16">
        <f>Demand_CWRS!H$9/31</f>
        <v>616.54259718775836</v>
      </c>
      <c r="R214" s="16">
        <f>Demand_CWRS!I$9/31</f>
        <v>245.11049679487181</v>
      </c>
      <c r="S214" s="16">
        <f>Demand_CWRS!J$9/31</f>
        <v>245.11049679487181</v>
      </c>
      <c r="T214" s="16">
        <f>Demand_CWRS!K$9/31</f>
        <v>245.11049679487181</v>
      </c>
      <c r="U214" s="16">
        <f t="shared" si="93"/>
        <v>-30484.030535535439</v>
      </c>
      <c r="V214" s="16">
        <f t="shared" si="94"/>
        <v>-105352.43945409395</v>
      </c>
      <c r="W214" s="16">
        <f t="shared" si="95"/>
        <v>0</v>
      </c>
      <c r="X214" s="16">
        <f t="shared" si="96"/>
        <v>-24753.050743369789</v>
      </c>
      <c r="Y214" s="16">
        <f t="shared" si="97"/>
        <v>-48631.478738640028</v>
      </c>
      <c r="Z214" s="16">
        <f t="shared" si="98"/>
        <v>-30158.257386496989</v>
      </c>
      <c r="AA214" s="16">
        <f t="shared" si="99"/>
        <v>-104852.43945409395</v>
      </c>
      <c r="AB214" s="16">
        <f t="shared" si="100"/>
        <v>-46147.633257870744</v>
      </c>
      <c r="AC214" s="16">
        <f t="shared" si="101"/>
        <v>-46147.633257870737</v>
      </c>
      <c r="AD214" s="16">
        <f t="shared" si="102"/>
        <v>-46847.63325787073</v>
      </c>
      <c r="AE214" s="14">
        <f>IF([1]Sheet2!AJ213=999999,"NA",[1]Sheet2!AJ213)</f>
        <v>0</v>
      </c>
      <c r="AF214" s="14">
        <f>IF([1]Sheet2!AK213=999999,"NA",[1]Sheet2!AK213)</f>
        <v>0</v>
      </c>
      <c r="AG214" s="14" t="str">
        <f>IF([1]Sheet2!AL213=999999,"NA",[1]Sheet2!AL213)</f>
        <v>NA</v>
      </c>
      <c r="AH214" s="14">
        <f>IF([1]Sheet2!AM213=999999,"NA",[1]Sheet2!AM213)</f>
        <v>154</v>
      </c>
      <c r="AI214" s="14">
        <f>IF([1]Sheet2!AN213=999999,"NA",[1]Sheet2!AN213)</f>
        <v>154</v>
      </c>
      <c r="AJ214" s="14">
        <f>IF([1]Sheet2!AO213=999999,"NA",[1]Sheet2!AO213)</f>
        <v>154</v>
      </c>
      <c r="AK214" s="14">
        <f>IF([1]Sheet2!AP213=999999,"NA",[1]Sheet2!AP213)</f>
        <v>0</v>
      </c>
      <c r="AL214" s="14">
        <f>IF([1]Sheet2!AQ213=999999,"NA",[1]Sheet2!AQ213)</f>
        <v>30</v>
      </c>
      <c r="AM214" s="14">
        <f>IF([1]Sheet2!AR213=999999,"NA",[1]Sheet2!AR213)</f>
        <v>154</v>
      </c>
      <c r="AN214" s="14">
        <f>IF([1]Sheet2!AS213=999999,"NA",[1]Sheet2!AS213)</f>
        <v>86</v>
      </c>
      <c r="AO214" s="14">
        <f>[1]Sheet2!P213</f>
        <v>0</v>
      </c>
      <c r="AP214" s="14">
        <f>[1]Sheet2!Q213</f>
        <v>0</v>
      </c>
      <c r="AQ214" s="14">
        <f>[1]Sheet2!R213</f>
        <v>0</v>
      </c>
      <c r="AR214" s="14">
        <f>[1]Sheet2!S213</f>
        <v>0</v>
      </c>
      <c r="AS214" s="14">
        <f>[1]Sheet2!T213</f>
        <v>0</v>
      </c>
      <c r="AT214" s="14">
        <f>[1]Sheet2!U213</f>
        <v>0</v>
      </c>
      <c r="AU214" s="14">
        <f>[1]Sheet2!V213</f>
        <v>0</v>
      </c>
      <c r="AV214" s="14">
        <f>[1]Sheet2!W213</f>
        <v>0</v>
      </c>
      <c r="AW214" s="14">
        <f>[1]Sheet2!X213</f>
        <v>0</v>
      </c>
      <c r="AX214" s="14">
        <f>[1]Sheet2!Y213</f>
        <v>0</v>
      </c>
      <c r="AY214" s="16">
        <f>Demand_LP!B$9/31</f>
        <v>878.29658550454917</v>
      </c>
      <c r="AZ214" s="16">
        <f>Demand_LP!C$9/31</f>
        <v>663.85442514474767</v>
      </c>
      <c r="BA214" s="16">
        <f>Demand_LP!D$9/31</f>
        <v>335.39784946236568</v>
      </c>
      <c r="BB214" s="16">
        <f>Demand_LP!E$9/31</f>
        <v>725.23531844499576</v>
      </c>
      <c r="BC214" s="16">
        <f>Demand_LP!F$9/31</f>
        <v>456.65268558726217</v>
      </c>
      <c r="BD214" s="16">
        <f>Demand_LP!G$9/31</f>
        <v>878.29658550454917</v>
      </c>
      <c r="BE214" s="16">
        <f>Demand_LP!H$9/31</f>
        <v>663.85442514474767</v>
      </c>
      <c r="BF214" s="16">
        <f>Demand_LP!I$9/31</f>
        <v>456.65268558726217</v>
      </c>
      <c r="BG214" s="16">
        <f>Demand_LP!J$9/31</f>
        <v>456.65268558726217</v>
      </c>
      <c r="BH214" s="16">
        <f>Demand_LP!K$9/31</f>
        <v>456.65268558726217</v>
      </c>
      <c r="BI214" s="16" t="e">
        <f t="shared" si="103"/>
        <v>#VALUE!</v>
      </c>
      <c r="BJ214" s="16">
        <f t="shared" si="104"/>
        <v>-127101.72762613707</v>
      </c>
      <c r="BK214" s="16">
        <f t="shared" si="105"/>
        <v>-64753.541894127324</v>
      </c>
      <c r="BL214" s="16">
        <f t="shared" si="106"/>
        <v>-160318.96594737752</v>
      </c>
      <c r="BM214" s="16">
        <f t="shared" si="107"/>
        <v>-96480.627113990849</v>
      </c>
      <c r="BN214" s="16">
        <f t="shared" si="108"/>
        <v>-161230.8072660249</v>
      </c>
      <c r="BO214" s="16">
        <f t="shared" si="109"/>
        <v>-129459.30711331659</v>
      </c>
      <c r="BP214" s="16">
        <f t="shared" si="110"/>
        <v>-95938.311032361453</v>
      </c>
      <c r="BQ214" s="16">
        <f t="shared" si="111"/>
        <v>-92538.311032361496</v>
      </c>
      <c r="BR214" s="16">
        <f t="shared" si="112"/>
        <v>-93738.311032361453</v>
      </c>
      <c r="BS214" s="14">
        <f>IF([1]Sheet2!CA213=999999,"NA",[1]Sheet2!CA213)</f>
        <v>122740.68896763871</v>
      </c>
      <c r="BT214" s="14">
        <f>IF([1]Sheet2!CB213=999999,"NA",[1]Sheet2!CB213)</f>
        <v>76</v>
      </c>
      <c r="BU214" s="14">
        <f>IF([1]Sheet2!CC213=999999,"NA",[1]Sheet2!CC213)</f>
        <v>154</v>
      </c>
      <c r="BV214" s="14">
        <f>IF([1]Sheet2!CD213=999999,"NA",[1]Sheet2!CD213)</f>
        <v>154</v>
      </c>
      <c r="BW214" s="14">
        <f>IF([1]Sheet2!CE213=999999,"NA",[1]Sheet2!CE213)</f>
        <v>116</v>
      </c>
      <c r="BX214" s="14">
        <f>IF([1]Sheet2!CF213=999999,"NA",[1]Sheet2!CF213)</f>
        <v>154</v>
      </c>
      <c r="BY214" s="14">
        <f>IF([1]Sheet2!CG213=999999,"NA",[1]Sheet2!CG213)</f>
        <v>48</v>
      </c>
      <c r="BZ214" s="14">
        <f>IF([1]Sheet2!CH213=999999,"NA",[1]Sheet2!CH213)</f>
        <v>154</v>
      </c>
      <c r="CA214" s="14">
        <f>IF([1]Sheet2!CI213=999999,"NA",[1]Sheet2!CI213)</f>
        <v>154</v>
      </c>
      <c r="CB214" s="14">
        <f>IF([1]Sheet2!CJ213=999999,"NA",[1]Sheet2!CJ213)</f>
        <v>154</v>
      </c>
      <c r="CC214" s="14">
        <f>[1]Sheet2!BG213</f>
        <v>0</v>
      </c>
      <c r="CD214" s="14">
        <f>[1]Sheet2!BH213</f>
        <v>0</v>
      </c>
      <c r="CE214" s="14">
        <f>[1]Sheet2!BI213</f>
        <v>0</v>
      </c>
      <c r="CF214" s="14">
        <f>[1]Sheet2!BJ213</f>
        <v>0</v>
      </c>
      <c r="CG214" s="14">
        <f>[1]Sheet2!BK213</f>
        <v>0</v>
      </c>
      <c r="CH214" s="14">
        <f>[1]Sheet2!BL213</f>
        <v>0</v>
      </c>
      <c r="CI214" s="14">
        <f>[1]Sheet2!BM213</f>
        <v>0</v>
      </c>
      <c r="CJ214" s="14">
        <f>[1]Sheet2!BN213</f>
        <v>0</v>
      </c>
      <c r="CK214" s="14">
        <f>[1]Sheet2!BO213</f>
        <v>0</v>
      </c>
      <c r="CL214" s="14">
        <f>[1]Sheet2!BP213</f>
        <v>0</v>
      </c>
      <c r="CM214" s="16">
        <f>Demand_SW!B$9/31</f>
        <v>131.01736972704714</v>
      </c>
      <c r="CN214" s="16">
        <f>Demand_SW!C$9/31</f>
        <v>0</v>
      </c>
      <c r="CO214" s="16">
        <f>Demand_SW!D$9/31</f>
        <v>0</v>
      </c>
      <c r="CP214" s="16">
        <f>Demand_SW!E$9/31</f>
        <v>0</v>
      </c>
      <c r="CQ214" s="16">
        <f>Demand_SW!F$9/31</f>
        <v>0</v>
      </c>
      <c r="CR214" s="16">
        <f>Demand_SW!G$9/31</f>
        <v>131.01736972704714</v>
      </c>
      <c r="CS214" s="16">
        <f>Demand_SW!H$9/31</f>
        <v>0</v>
      </c>
      <c r="CT214" s="16">
        <f>Demand_SW!I$9/31</f>
        <v>0</v>
      </c>
      <c r="CU214" s="16">
        <f>Demand_SW!J$9/31</f>
        <v>0</v>
      </c>
      <c r="CV214" s="16">
        <f>Demand_SW!K$9/31</f>
        <v>0</v>
      </c>
      <c r="CW214" s="16">
        <f t="shared" si="113"/>
        <v>22471.786600496307</v>
      </c>
      <c r="CX214" s="16">
        <f t="shared" si="114"/>
        <v>-423.07692307692292</v>
      </c>
      <c r="CY214" s="16">
        <f t="shared" si="115"/>
        <v>0</v>
      </c>
      <c r="CZ214" s="16">
        <f t="shared" si="116"/>
        <v>0</v>
      </c>
      <c r="DA214" s="16">
        <f t="shared" si="117"/>
        <v>0</v>
      </c>
      <c r="DB214" s="16">
        <f t="shared" si="118"/>
        <v>-27057.444168734488</v>
      </c>
      <c r="DC214" s="16">
        <f t="shared" si="119"/>
        <v>-423.07692307692292</v>
      </c>
      <c r="DD214" s="16">
        <f t="shared" si="120"/>
        <v>0</v>
      </c>
      <c r="DE214" s="16">
        <f t="shared" si="121"/>
        <v>0</v>
      </c>
      <c r="DF214" s="16">
        <f t="shared" si="122"/>
        <v>0</v>
      </c>
      <c r="DG214" s="14">
        <f>IF([1]Sheet2!DR213=999999,"NA",[1]Sheet2!DR213)</f>
        <v>73103</v>
      </c>
      <c r="DH214" s="14">
        <f>IF([1]Sheet2!DS213=999999,"NA",[1]Sheet2!DS213)</f>
        <v>154</v>
      </c>
      <c r="DI214" s="14">
        <f>IF([1]Sheet2!DT213=999999,"NA",[1]Sheet2!DT213)</f>
        <v>154</v>
      </c>
      <c r="DJ214" s="14" t="str">
        <f>IF([1]Sheet2!DU213=999999,"NA",[1]Sheet2!DU213)</f>
        <v>NA</v>
      </c>
      <c r="DK214" s="14" t="str">
        <f>IF([1]Sheet2!DV213=999999,"NA",[1]Sheet2!DV213)</f>
        <v>NA</v>
      </c>
      <c r="DL214" s="14" t="str">
        <f>IF([1]Sheet2!DW213=999999,"NA",[1]Sheet2!DW213)</f>
        <v>NA</v>
      </c>
      <c r="DM214" s="14">
        <f>IF([1]Sheet2!DX213=999999,"NA",[1]Sheet2!DX213)</f>
        <v>154</v>
      </c>
      <c r="DN214" s="14">
        <f>IF([1]Sheet2!DY213=999999,"NA",[1]Sheet2!DY213)</f>
        <v>154</v>
      </c>
      <c r="DO214" s="14" t="str">
        <f>IF([1]Sheet2!DZ213=999999,"NA",[1]Sheet2!DZ213)</f>
        <v>NA</v>
      </c>
      <c r="DP214" s="14" t="str">
        <f>IF([1]Sheet2!EA213=999999,"NA",[1]Sheet2!EA213)</f>
        <v>NA</v>
      </c>
      <c r="DQ214" s="14">
        <f>[1]Sheet2!CX213</f>
        <v>0</v>
      </c>
      <c r="DR214" s="14">
        <f>[1]Sheet2!CY213</f>
        <v>0</v>
      </c>
      <c r="DS214" s="14">
        <f>[1]Sheet2!CZ213</f>
        <v>0</v>
      </c>
      <c r="DT214" s="14">
        <f>[1]Sheet2!DA213</f>
        <v>0</v>
      </c>
      <c r="DU214" s="14">
        <f>[1]Sheet2!DB213</f>
        <v>0</v>
      </c>
      <c r="DV214" s="14">
        <f>[1]Sheet2!DC213</f>
        <v>0</v>
      </c>
      <c r="DW214" s="14">
        <f>[1]Sheet2!DD213</f>
        <v>0</v>
      </c>
      <c r="DX214" s="14">
        <f>[1]Sheet2!DE213</f>
        <v>0</v>
      </c>
      <c r="DY214" s="14">
        <f>[1]Sheet2!DF213</f>
        <v>0</v>
      </c>
      <c r="DZ214" s="14">
        <f>[1]Sheet2!DG213</f>
        <v>0</v>
      </c>
    </row>
    <row r="215" spans="1:130" x14ac:dyDescent="0.25">
      <c r="A215" s="15">
        <v>43677</v>
      </c>
      <c r="B215" s="1"/>
      <c r="C215" s="1"/>
      <c r="D215" s="1"/>
      <c r="E215" s="14">
        <f>[1]Sheet2!N214</f>
        <v>0</v>
      </c>
      <c r="F215" s="14">
        <f>[1]Sheet2!BE214</f>
        <v>0</v>
      </c>
      <c r="G215" s="14">
        <f>[1]Sheet2!CV214</f>
        <v>262.03473945409428</v>
      </c>
      <c r="H215" s="1"/>
      <c r="I215" s="1"/>
      <c r="J215" s="1"/>
      <c r="K215" s="16">
        <f>Demand_CWRS!B$9/31</f>
        <v>137.44229993796523</v>
      </c>
      <c r="L215" s="16">
        <f>Demand_CWRS!C$9/31</f>
        <v>616.54259718775836</v>
      </c>
      <c r="M215" s="16">
        <f>Demand_CWRS!D$9/31</f>
        <v>0</v>
      </c>
      <c r="N215" s="16">
        <f>Demand_CWRS!E$9/31</f>
        <v>140.39247311827955</v>
      </c>
      <c r="O215" s="16">
        <f>Demand_CWRS!F$9/31</f>
        <v>245.11049679487181</v>
      </c>
      <c r="P215" s="16">
        <f>Demand_CWRS!G$9/31</f>
        <v>137.44229993796523</v>
      </c>
      <c r="Q215" s="16">
        <f>Demand_CWRS!H$9/31</f>
        <v>616.54259718775836</v>
      </c>
      <c r="R215" s="16">
        <f>Demand_CWRS!I$9/31</f>
        <v>245.11049679487181</v>
      </c>
      <c r="S215" s="16">
        <f>Demand_CWRS!J$9/31</f>
        <v>245.11049679487181</v>
      </c>
      <c r="T215" s="16">
        <f>Demand_CWRS!K$9/31</f>
        <v>245.11049679487181</v>
      </c>
      <c r="U215" s="16">
        <f t="shared" si="93"/>
        <v>-30621.472835473403</v>
      </c>
      <c r="V215" s="16">
        <f t="shared" si="94"/>
        <v>-105968.98205128171</v>
      </c>
      <c r="W215" s="16">
        <f t="shared" si="95"/>
        <v>0</v>
      </c>
      <c r="X215" s="16">
        <f t="shared" si="96"/>
        <v>-24893.443216488067</v>
      </c>
      <c r="Y215" s="16">
        <f t="shared" si="97"/>
        <v>-48876.589235434898</v>
      </c>
      <c r="Z215" s="16">
        <f t="shared" si="98"/>
        <v>-30295.699686434953</v>
      </c>
      <c r="AA215" s="16">
        <f t="shared" si="99"/>
        <v>-105468.98205128171</v>
      </c>
      <c r="AB215" s="16">
        <f t="shared" si="100"/>
        <v>-46392.743754665615</v>
      </c>
      <c r="AC215" s="16">
        <f t="shared" si="101"/>
        <v>-46392.743754665607</v>
      </c>
      <c r="AD215" s="16">
        <f t="shared" si="102"/>
        <v>-47092.7437546656</v>
      </c>
      <c r="AE215" s="14">
        <f>IF([1]Sheet2!AJ214=999999,"NA",[1]Sheet2!AJ214)</f>
        <v>0</v>
      </c>
      <c r="AF215" s="14">
        <f>IF([1]Sheet2!AK214=999999,"NA",[1]Sheet2!AK214)</f>
        <v>0</v>
      </c>
      <c r="AG215" s="14" t="str">
        <f>IF([1]Sheet2!AL214=999999,"NA",[1]Sheet2!AL214)</f>
        <v>NA</v>
      </c>
      <c r="AH215" s="14">
        <f>IF([1]Sheet2!AM214=999999,"NA",[1]Sheet2!AM214)</f>
        <v>153</v>
      </c>
      <c r="AI215" s="14">
        <f>IF([1]Sheet2!AN214=999999,"NA",[1]Sheet2!AN214)</f>
        <v>153</v>
      </c>
      <c r="AJ215" s="14">
        <f>IF([1]Sheet2!AO214=999999,"NA",[1]Sheet2!AO214)</f>
        <v>153</v>
      </c>
      <c r="AK215" s="14">
        <f>IF([1]Sheet2!AP214=999999,"NA",[1]Sheet2!AP214)</f>
        <v>0</v>
      </c>
      <c r="AL215" s="14">
        <f>IF([1]Sheet2!AQ214=999999,"NA",[1]Sheet2!AQ214)</f>
        <v>29</v>
      </c>
      <c r="AM215" s="14">
        <f>IF([1]Sheet2!AR214=999999,"NA",[1]Sheet2!AR214)</f>
        <v>153</v>
      </c>
      <c r="AN215" s="14">
        <f>IF([1]Sheet2!AS214=999999,"NA",[1]Sheet2!AS214)</f>
        <v>85</v>
      </c>
      <c r="AO215" s="14">
        <f>[1]Sheet2!P214</f>
        <v>0</v>
      </c>
      <c r="AP215" s="14">
        <f>[1]Sheet2!Q214</f>
        <v>0</v>
      </c>
      <c r="AQ215" s="14">
        <f>[1]Sheet2!R214</f>
        <v>0</v>
      </c>
      <c r="AR215" s="14">
        <f>[1]Sheet2!S214</f>
        <v>0</v>
      </c>
      <c r="AS215" s="14">
        <f>[1]Sheet2!T214</f>
        <v>0</v>
      </c>
      <c r="AT215" s="14">
        <f>[1]Sheet2!U214</f>
        <v>0</v>
      </c>
      <c r="AU215" s="14">
        <f>[1]Sheet2!V214</f>
        <v>0</v>
      </c>
      <c r="AV215" s="14">
        <f>[1]Sheet2!W214</f>
        <v>0</v>
      </c>
      <c r="AW215" s="14">
        <f>[1]Sheet2!X214</f>
        <v>0</v>
      </c>
      <c r="AX215" s="14">
        <f>[1]Sheet2!Y214</f>
        <v>0</v>
      </c>
      <c r="AY215" s="16">
        <f>Demand_LP!B$9/31</f>
        <v>878.29658550454917</v>
      </c>
      <c r="AZ215" s="16">
        <f>Demand_LP!C$9/31</f>
        <v>663.85442514474767</v>
      </c>
      <c r="BA215" s="16">
        <f>Demand_LP!D$9/31</f>
        <v>335.39784946236568</v>
      </c>
      <c r="BB215" s="16">
        <f>Demand_LP!E$9/31</f>
        <v>725.23531844499576</v>
      </c>
      <c r="BC215" s="16">
        <f>Demand_LP!F$9/31</f>
        <v>456.65268558726217</v>
      </c>
      <c r="BD215" s="16">
        <f>Demand_LP!G$9/31</f>
        <v>878.29658550454917</v>
      </c>
      <c r="BE215" s="16">
        <f>Demand_LP!H$9/31</f>
        <v>663.85442514474767</v>
      </c>
      <c r="BF215" s="16">
        <f>Demand_LP!I$9/31</f>
        <v>456.65268558726217</v>
      </c>
      <c r="BG215" s="16">
        <f>Demand_LP!J$9/31</f>
        <v>456.65268558726217</v>
      </c>
      <c r="BH215" s="16">
        <f>Demand_LP!K$9/31</f>
        <v>456.65268558726217</v>
      </c>
      <c r="BI215" s="16" t="e">
        <f t="shared" si="103"/>
        <v>#VALUE!</v>
      </c>
      <c r="BJ215" s="16">
        <f t="shared" si="104"/>
        <v>-127765.58205128182</v>
      </c>
      <c r="BK215" s="16">
        <f t="shared" si="105"/>
        <v>-65088.93974358969</v>
      </c>
      <c r="BL215" s="16">
        <f t="shared" si="106"/>
        <v>-161044.20126582251</v>
      </c>
      <c r="BM215" s="16">
        <f t="shared" si="107"/>
        <v>-96937.279799578115</v>
      </c>
      <c r="BN215" s="16">
        <f t="shared" si="108"/>
        <v>-162109.10385152945</v>
      </c>
      <c r="BO215" s="16">
        <f t="shared" si="109"/>
        <v>-130123.16153846134</v>
      </c>
      <c r="BP215" s="16">
        <f t="shared" si="110"/>
        <v>-96394.963717948718</v>
      </c>
      <c r="BQ215" s="16">
        <f t="shared" si="111"/>
        <v>-92994.963717948762</v>
      </c>
      <c r="BR215" s="16">
        <f t="shared" si="112"/>
        <v>-94194.963717948718</v>
      </c>
      <c r="BS215" s="14">
        <f>IF([1]Sheet2!CA214=999999,"NA",[1]Sheet2!CA214)</f>
        <v>122284.03628205144</v>
      </c>
      <c r="BT215" s="14">
        <f>IF([1]Sheet2!CB214=999999,"NA",[1]Sheet2!CB214)</f>
        <v>75</v>
      </c>
      <c r="BU215" s="14">
        <f>IF([1]Sheet2!CC214=999999,"NA",[1]Sheet2!CC214)</f>
        <v>153</v>
      </c>
      <c r="BV215" s="14">
        <f>IF([1]Sheet2!CD214=999999,"NA",[1]Sheet2!CD214)</f>
        <v>153</v>
      </c>
      <c r="BW215" s="14">
        <f>IF([1]Sheet2!CE214=999999,"NA",[1]Sheet2!CE214)</f>
        <v>115</v>
      </c>
      <c r="BX215" s="14">
        <f>IF([1]Sheet2!CF214=999999,"NA",[1]Sheet2!CF214)</f>
        <v>153</v>
      </c>
      <c r="BY215" s="14">
        <f>IF([1]Sheet2!CG214=999999,"NA",[1]Sheet2!CG214)</f>
        <v>47</v>
      </c>
      <c r="BZ215" s="14">
        <f>IF([1]Sheet2!CH214=999999,"NA",[1]Sheet2!CH214)</f>
        <v>153</v>
      </c>
      <c r="CA215" s="14">
        <f>IF([1]Sheet2!CI214=999999,"NA",[1]Sheet2!CI214)</f>
        <v>153</v>
      </c>
      <c r="CB215" s="14">
        <f>IF([1]Sheet2!CJ214=999999,"NA",[1]Sheet2!CJ214)</f>
        <v>153</v>
      </c>
      <c r="CC215" s="14">
        <f>[1]Sheet2!BG214</f>
        <v>0</v>
      </c>
      <c r="CD215" s="14">
        <f>[1]Sheet2!BH214</f>
        <v>0</v>
      </c>
      <c r="CE215" s="14">
        <f>[1]Sheet2!BI214</f>
        <v>0</v>
      </c>
      <c r="CF215" s="14">
        <f>[1]Sheet2!BJ214</f>
        <v>0</v>
      </c>
      <c r="CG215" s="14">
        <f>[1]Sheet2!BK214</f>
        <v>0</v>
      </c>
      <c r="CH215" s="14">
        <f>[1]Sheet2!BL214</f>
        <v>0</v>
      </c>
      <c r="CI215" s="14">
        <f>[1]Sheet2!BM214</f>
        <v>0</v>
      </c>
      <c r="CJ215" s="14">
        <f>[1]Sheet2!BN214</f>
        <v>0</v>
      </c>
      <c r="CK215" s="14">
        <f>[1]Sheet2!BO214</f>
        <v>0</v>
      </c>
      <c r="CL215" s="14">
        <f>[1]Sheet2!BP214</f>
        <v>0</v>
      </c>
      <c r="CM215" s="16">
        <f>Demand_SW!B$9/31</f>
        <v>131.01736972704714</v>
      </c>
      <c r="CN215" s="16">
        <f>Demand_SW!C$9/31</f>
        <v>0</v>
      </c>
      <c r="CO215" s="16">
        <f>Demand_SW!D$9/31</f>
        <v>0</v>
      </c>
      <c r="CP215" s="16">
        <f>Demand_SW!E$9/31</f>
        <v>0</v>
      </c>
      <c r="CQ215" s="16">
        <f>Demand_SW!F$9/31</f>
        <v>0</v>
      </c>
      <c r="CR215" s="16">
        <f>Demand_SW!G$9/31</f>
        <v>131.01736972704714</v>
      </c>
      <c r="CS215" s="16">
        <f>Demand_SW!H$9/31</f>
        <v>0</v>
      </c>
      <c r="CT215" s="16">
        <f>Demand_SW!I$9/31</f>
        <v>0</v>
      </c>
      <c r="CU215" s="16">
        <f>Demand_SW!J$9/31</f>
        <v>0</v>
      </c>
      <c r="CV215" s="16">
        <f>Demand_SW!K$9/31</f>
        <v>0</v>
      </c>
      <c r="CW215" s="16">
        <f t="shared" si="113"/>
        <v>22340.76923076926</v>
      </c>
      <c r="CX215" s="16">
        <f t="shared" si="114"/>
        <v>-423.07692307692292</v>
      </c>
      <c r="CY215" s="16">
        <f t="shared" si="115"/>
        <v>0</v>
      </c>
      <c r="CZ215" s="16">
        <f t="shared" si="116"/>
        <v>0</v>
      </c>
      <c r="DA215" s="16">
        <f t="shared" si="117"/>
        <v>0</v>
      </c>
      <c r="DB215" s="16">
        <f t="shared" si="118"/>
        <v>-27188.461538461535</v>
      </c>
      <c r="DC215" s="16">
        <f t="shared" si="119"/>
        <v>-423.07692307692292</v>
      </c>
      <c r="DD215" s="16">
        <f t="shared" si="120"/>
        <v>0</v>
      </c>
      <c r="DE215" s="16">
        <f t="shared" si="121"/>
        <v>0</v>
      </c>
      <c r="DF215" s="16">
        <f t="shared" si="122"/>
        <v>0</v>
      </c>
      <c r="DG215" s="14">
        <f>IF([1]Sheet2!DR214=999999,"NA",[1]Sheet2!DR214)</f>
        <v>73103</v>
      </c>
      <c r="DH215" s="14">
        <f>IF([1]Sheet2!DS214=999999,"NA",[1]Sheet2!DS214)</f>
        <v>153</v>
      </c>
      <c r="DI215" s="14">
        <f>IF([1]Sheet2!DT214=999999,"NA",[1]Sheet2!DT214)</f>
        <v>153</v>
      </c>
      <c r="DJ215" s="14" t="str">
        <f>IF([1]Sheet2!DU214=999999,"NA",[1]Sheet2!DU214)</f>
        <v>NA</v>
      </c>
      <c r="DK215" s="14" t="str">
        <f>IF([1]Sheet2!DV214=999999,"NA",[1]Sheet2!DV214)</f>
        <v>NA</v>
      </c>
      <c r="DL215" s="14" t="str">
        <f>IF([1]Sheet2!DW214=999999,"NA",[1]Sheet2!DW214)</f>
        <v>NA</v>
      </c>
      <c r="DM215" s="14">
        <f>IF([1]Sheet2!DX214=999999,"NA",[1]Sheet2!DX214)</f>
        <v>153</v>
      </c>
      <c r="DN215" s="14">
        <f>IF([1]Sheet2!DY214=999999,"NA",[1]Sheet2!DY214)</f>
        <v>153</v>
      </c>
      <c r="DO215" s="14" t="str">
        <f>IF([1]Sheet2!DZ214=999999,"NA",[1]Sheet2!DZ214)</f>
        <v>NA</v>
      </c>
      <c r="DP215" s="14" t="str">
        <f>IF([1]Sheet2!EA214=999999,"NA",[1]Sheet2!EA214)</f>
        <v>NA</v>
      </c>
      <c r="DQ215" s="14">
        <f>[1]Sheet2!CX214</f>
        <v>0</v>
      </c>
      <c r="DR215" s="14">
        <f>[1]Sheet2!CY214</f>
        <v>0</v>
      </c>
      <c r="DS215" s="14">
        <f>[1]Sheet2!CZ214</f>
        <v>0</v>
      </c>
      <c r="DT215" s="14">
        <f>[1]Sheet2!DA214</f>
        <v>0</v>
      </c>
      <c r="DU215" s="14">
        <f>[1]Sheet2!DB214</f>
        <v>0</v>
      </c>
      <c r="DV215" s="14">
        <f>[1]Sheet2!DC214</f>
        <v>0</v>
      </c>
      <c r="DW215" s="14">
        <f>[1]Sheet2!DD214</f>
        <v>0</v>
      </c>
      <c r="DX215" s="14">
        <f>[1]Sheet2!DE214</f>
        <v>0</v>
      </c>
      <c r="DY215" s="14">
        <f>[1]Sheet2!DF214</f>
        <v>0</v>
      </c>
      <c r="DZ215" s="14">
        <f>[1]Sheet2!DG214</f>
        <v>0</v>
      </c>
    </row>
    <row r="216" spans="1:130" x14ac:dyDescent="0.25">
      <c r="A216" s="15">
        <v>43678</v>
      </c>
      <c r="B216" s="1"/>
      <c r="C216" s="1"/>
      <c r="D216" s="1"/>
      <c r="E216" s="14">
        <f>[1]Sheet2!N215</f>
        <v>0</v>
      </c>
      <c r="F216" s="14">
        <f>[1]Sheet2!BE215</f>
        <v>0</v>
      </c>
      <c r="G216" s="14">
        <f>[1]Sheet2!CV215</f>
        <v>262.03473945409428</v>
      </c>
      <c r="H216" s="1"/>
      <c r="I216" s="1"/>
      <c r="J216" s="1"/>
      <c r="K216" s="16">
        <f>Demand_CWRS!B$10/31</f>
        <v>120.8438508064516</v>
      </c>
      <c r="L216" s="16">
        <f>Demand_CWRS!C$10/31</f>
        <v>552.80165425971859</v>
      </c>
      <c r="M216" s="16">
        <f>Demand_CWRS!D$10/31</f>
        <v>0</v>
      </c>
      <c r="N216" s="16">
        <f>Demand_CWRS!E$10/31</f>
        <v>141.75971877584777</v>
      </c>
      <c r="O216" s="16">
        <f>Demand_CWRS!F$10/31</f>
        <v>252.70758116211746</v>
      </c>
      <c r="P216" s="16">
        <f>Demand_CWRS!G$10/31</f>
        <v>116.12903225806451</v>
      </c>
      <c r="Q216" s="16">
        <f>Demand_CWRS!H$10/31</f>
        <v>552.80165425971859</v>
      </c>
      <c r="R216" s="16">
        <f>Demand_CWRS!I$10/31</f>
        <v>252.70758116211746</v>
      </c>
      <c r="S216" s="16">
        <f>Demand_CWRS!J$10/31</f>
        <v>252.70758116211746</v>
      </c>
      <c r="T216" s="16">
        <f>Demand_CWRS!K$10/31</f>
        <v>252.70758116211746</v>
      </c>
      <c r="U216" s="16">
        <f t="shared" si="93"/>
        <v>-30742.316686279853</v>
      </c>
      <c r="V216" s="16">
        <f t="shared" si="94"/>
        <v>-106521.78370554143</v>
      </c>
      <c r="W216" s="16">
        <f t="shared" si="95"/>
        <v>0</v>
      </c>
      <c r="X216" s="16">
        <f t="shared" si="96"/>
        <v>-25035.202935263915</v>
      </c>
      <c r="Y216" s="16">
        <f t="shared" si="97"/>
        <v>-49129.296816597016</v>
      </c>
      <c r="Z216" s="16">
        <f t="shared" si="98"/>
        <v>-30411.828718693017</v>
      </c>
      <c r="AA216" s="16">
        <f t="shared" si="99"/>
        <v>-106021.78370554143</v>
      </c>
      <c r="AB216" s="16">
        <f t="shared" si="100"/>
        <v>-46645.451335827733</v>
      </c>
      <c r="AC216" s="16">
        <f t="shared" si="101"/>
        <v>-46645.451335827725</v>
      </c>
      <c r="AD216" s="16">
        <f t="shared" si="102"/>
        <v>-47345.451335827718</v>
      </c>
      <c r="AE216" s="14">
        <f>IF([1]Sheet2!AJ215=999999,"NA",[1]Sheet2!AJ215)</f>
        <v>0</v>
      </c>
      <c r="AF216" s="14">
        <f>IF([1]Sheet2!AK215=999999,"NA",[1]Sheet2!AK215)</f>
        <v>0</v>
      </c>
      <c r="AG216" s="14" t="str">
        <f>IF([1]Sheet2!AL215=999999,"NA",[1]Sheet2!AL215)</f>
        <v>NA</v>
      </c>
      <c r="AH216" s="14">
        <f>IF([1]Sheet2!AM215=999999,"NA",[1]Sheet2!AM215)</f>
        <v>152</v>
      </c>
      <c r="AI216" s="14">
        <f>IF([1]Sheet2!AN215=999999,"NA",[1]Sheet2!AN215)</f>
        <v>152</v>
      </c>
      <c r="AJ216" s="14">
        <f>IF([1]Sheet2!AO215=999999,"NA",[1]Sheet2!AO215)</f>
        <v>152</v>
      </c>
      <c r="AK216" s="14">
        <f>IF([1]Sheet2!AP215=999999,"NA",[1]Sheet2!AP215)</f>
        <v>0</v>
      </c>
      <c r="AL216" s="14">
        <f>IF([1]Sheet2!AQ215=999999,"NA",[1]Sheet2!AQ215)</f>
        <v>28</v>
      </c>
      <c r="AM216" s="14">
        <f>IF([1]Sheet2!AR215=999999,"NA",[1]Sheet2!AR215)</f>
        <v>152</v>
      </c>
      <c r="AN216" s="14">
        <f>IF([1]Sheet2!AS215=999999,"NA",[1]Sheet2!AS215)</f>
        <v>84</v>
      </c>
      <c r="AO216" s="14">
        <f>[1]Sheet2!P215</f>
        <v>0</v>
      </c>
      <c r="AP216" s="14">
        <f>[1]Sheet2!Q215</f>
        <v>0</v>
      </c>
      <c r="AQ216" s="14">
        <f>[1]Sheet2!R215</f>
        <v>0</v>
      </c>
      <c r="AR216" s="14">
        <f>[1]Sheet2!S215</f>
        <v>0</v>
      </c>
      <c r="AS216" s="14">
        <f>[1]Sheet2!T215</f>
        <v>0</v>
      </c>
      <c r="AT216" s="14">
        <f>[1]Sheet2!U215</f>
        <v>0</v>
      </c>
      <c r="AU216" s="14">
        <f>[1]Sheet2!V215</f>
        <v>0</v>
      </c>
      <c r="AV216" s="14">
        <f>[1]Sheet2!W215</f>
        <v>0</v>
      </c>
      <c r="AW216" s="14">
        <f>[1]Sheet2!X215</f>
        <v>0</v>
      </c>
      <c r="AX216" s="14">
        <f>[1]Sheet2!Y215</f>
        <v>0</v>
      </c>
      <c r="AY216" s="16">
        <f>Demand_LP!B$10/31</f>
        <v>857.18246226220015</v>
      </c>
      <c r="AZ216" s="16">
        <f>Demand_LP!C$10/31</f>
        <v>528.30835401157981</v>
      </c>
      <c r="BA216" s="16">
        <f>Demand_LP!D$10/31</f>
        <v>338.76323407775027</v>
      </c>
      <c r="BB216" s="16">
        <f>Demand_LP!E$10/31</f>
        <v>735.04776674937955</v>
      </c>
      <c r="BC216" s="16">
        <f>Demand_LP!F$10/31</f>
        <v>479.51259046732832</v>
      </c>
      <c r="BD216" s="16">
        <f>Demand_LP!G$10/31</f>
        <v>857.18246226220015</v>
      </c>
      <c r="BE216" s="16">
        <f>Demand_LP!H$10/31</f>
        <v>528.30835401157981</v>
      </c>
      <c r="BF216" s="16">
        <f>Demand_LP!I$10/31</f>
        <v>479.51259046732832</v>
      </c>
      <c r="BG216" s="16">
        <f>Demand_LP!J$10/31</f>
        <v>479.51259046732832</v>
      </c>
      <c r="BH216" s="16">
        <f>Demand_LP!K$10/31</f>
        <v>479.51259046732832</v>
      </c>
      <c r="BI216" s="16" t="e">
        <f t="shared" si="103"/>
        <v>#VALUE!</v>
      </c>
      <c r="BJ216" s="16">
        <f t="shared" si="104"/>
        <v>-128293.89040529339</v>
      </c>
      <c r="BK216" s="16">
        <f t="shared" si="105"/>
        <v>-65427.702977667439</v>
      </c>
      <c r="BL216" s="16">
        <f t="shared" si="106"/>
        <v>-161779.24903257188</v>
      </c>
      <c r="BM216" s="16">
        <f t="shared" si="107"/>
        <v>-97416.792390045448</v>
      </c>
      <c r="BN216" s="16">
        <f t="shared" si="108"/>
        <v>-162966.28631379164</v>
      </c>
      <c r="BO216" s="16">
        <f t="shared" si="109"/>
        <v>-130651.46989247292</v>
      </c>
      <c r="BP216" s="16">
        <f t="shared" si="110"/>
        <v>-96874.476308416051</v>
      </c>
      <c r="BQ216" s="16">
        <f t="shared" si="111"/>
        <v>-93474.476308416095</v>
      </c>
      <c r="BR216" s="16">
        <f t="shared" si="112"/>
        <v>-94674.476308416051</v>
      </c>
      <c r="BS216" s="14">
        <f>IF([1]Sheet2!CA215=999999,"NA",[1]Sheet2!CA215)</f>
        <v>121804.52369158411</v>
      </c>
      <c r="BT216" s="14">
        <f>IF([1]Sheet2!CB215=999999,"NA",[1]Sheet2!CB215)</f>
        <v>74</v>
      </c>
      <c r="BU216" s="14">
        <f>IF([1]Sheet2!CC215=999999,"NA",[1]Sheet2!CC215)</f>
        <v>152</v>
      </c>
      <c r="BV216" s="14">
        <f>IF([1]Sheet2!CD215=999999,"NA",[1]Sheet2!CD215)</f>
        <v>152</v>
      </c>
      <c r="BW216" s="14">
        <f>IF([1]Sheet2!CE215=999999,"NA",[1]Sheet2!CE215)</f>
        <v>114</v>
      </c>
      <c r="BX216" s="14">
        <f>IF([1]Sheet2!CF215=999999,"NA",[1]Sheet2!CF215)</f>
        <v>152</v>
      </c>
      <c r="BY216" s="14">
        <f>IF([1]Sheet2!CG215=999999,"NA",[1]Sheet2!CG215)</f>
        <v>46</v>
      </c>
      <c r="BZ216" s="14">
        <f>IF([1]Sheet2!CH215=999999,"NA",[1]Sheet2!CH215)</f>
        <v>152</v>
      </c>
      <c r="CA216" s="14">
        <f>IF([1]Sheet2!CI215=999999,"NA",[1]Sheet2!CI215)</f>
        <v>152</v>
      </c>
      <c r="CB216" s="14">
        <f>IF([1]Sheet2!CJ215=999999,"NA",[1]Sheet2!CJ215)</f>
        <v>152</v>
      </c>
      <c r="CC216" s="14">
        <f>[1]Sheet2!BG215</f>
        <v>0</v>
      </c>
      <c r="CD216" s="14">
        <f>[1]Sheet2!BH215</f>
        <v>0</v>
      </c>
      <c r="CE216" s="14">
        <f>[1]Sheet2!BI215</f>
        <v>0</v>
      </c>
      <c r="CF216" s="14">
        <f>[1]Sheet2!BJ215</f>
        <v>0</v>
      </c>
      <c r="CG216" s="14">
        <f>[1]Sheet2!BK215</f>
        <v>0</v>
      </c>
      <c r="CH216" s="14">
        <f>[1]Sheet2!BL215</f>
        <v>0</v>
      </c>
      <c r="CI216" s="14">
        <f>[1]Sheet2!BM215</f>
        <v>0</v>
      </c>
      <c r="CJ216" s="14">
        <f>[1]Sheet2!BN215</f>
        <v>0</v>
      </c>
      <c r="CK216" s="14">
        <f>[1]Sheet2!BO215</f>
        <v>0</v>
      </c>
      <c r="CL216" s="14">
        <f>[1]Sheet2!BP215</f>
        <v>0</v>
      </c>
      <c r="CM216" s="16">
        <f>Demand_SW!B$10/31</f>
        <v>131.01736972704714</v>
      </c>
      <c r="CN216" s="16">
        <f>Demand_SW!C$10/31</f>
        <v>0</v>
      </c>
      <c r="CO216" s="16">
        <f>Demand_SW!D$10/31</f>
        <v>0</v>
      </c>
      <c r="CP216" s="16">
        <f>Demand_SW!E$10/31</f>
        <v>0</v>
      </c>
      <c r="CQ216" s="16">
        <f>Demand_SW!F$10/31</f>
        <v>0</v>
      </c>
      <c r="CR216" s="16">
        <f>Demand_SW!G$10/31</f>
        <v>131.01736972704714</v>
      </c>
      <c r="CS216" s="16">
        <f>Demand_SW!H$10/31</f>
        <v>0</v>
      </c>
      <c r="CT216" s="16">
        <f>Demand_SW!I$10/31</f>
        <v>0</v>
      </c>
      <c r="CU216" s="16">
        <f>Demand_SW!J$10/31</f>
        <v>0</v>
      </c>
      <c r="CV216" s="16">
        <f>Demand_SW!K$10/31</f>
        <v>0</v>
      </c>
      <c r="CW216" s="16">
        <f t="shared" si="113"/>
        <v>22209.751861042212</v>
      </c>
      <c r="CX216" s="16">
        <f t="shared" si="114"/>
        <v>-423.07692307692292</v>
      </c>
      <c r="CY216" s="16">
        <f t="shared" si="115"/>
        <v>0</v>
      </c>
      <c r="CZ216" s="16">
        <f t="shared" si="116"/>
        <v>0</v>
      </c>
      <c r="DA216" s="16">
        <f t="shared" si="117"/>
        <v>0</v>
      </c>
      <c r="DB216" s="16">
        <f t="shared" si="118"/>
        <v>-27319.478908188583</v>
      </c>
      <c r="DC216" s="16">
        <f t="shared" si="119"/>
        <v>-423.07692307692292</v>
      </c>
      <c r="DD216" s="16">
        <f t="shared" si="120"/>
        <v>0</v>
      </c>
      <c r="DE216" s="16">
        <f t="shared" si="121"/>
        <v>0</v>
      </c>
      <c r="DF216" s="16">
        <f t="shared" si="122"/>
        <v>0</v>
      </c>
      <c r="DG216" s="14">
        <f>IF([1]Sheet2!DR215=999999,"NA",[1]Sheet2!DR215)</f>
        <v>73103</v>
      </c>
      <c r="DH216" s="14">
        <f>IF([1]Sheet2!DS215=999999,"NA",[1]Sheet2!DS215)</f>
        <v>152</v>
      </c>
      <c r="DI216" s="14">
        <f>IF([1]Sheet2!DT215=999999,"NA",[1]Sheet2!DT215)</f>
        <v>152</v>
      </c>
      <c r="DJ216" s="14" t="str">
        <f>IF([1]Sheet2!DU215=999999,"NA",[1]Sheet2!DU215)</f>
        <v>NA</v>
      </c>
      <c r="DK216" s="14" t="str">
        <f>IF([1]Sheet2!DV215=999999,"NA",[1]Sheet2!DV215)</f>
        <v>NA</v>
      </c>
      <c r="DL216" s="14" t="str">
        <f>IF([1]Sheet2!DW215=999999,"NA",[1]Sheet2!DW215)</f>
        <v>NA</v>
      </c>
      <c r="DM216" s="14">
        <f>IF([1]Sheet2!DX215=999999,"NA",[1]Sheet2!DX215)</f>
        <v>152</v>
      </c>
      <c r="DN216" s="14">
        <f>IF([1]Sheet2!DY215=999999,"NA",[1]Sheet2!DY215)</f>
        <v>152</v>
      </c>
      <c r="DO216" s="14" t="str">
        <f>IF([1]Sheet2!DZ215=999999,"NA",[1]Sheet2!DZ215)</f>
        <v>NA</v>
      </c>
      <c r="DP216" s="14" t="str">
        <f>IF([1]Sheet2!EA215=999999,"NA",[1]Sheet2!EA215)</f>
        <v>NA</v>
      </c>
      <c r="DQ216" s="14">
        <f>[1]Sheet2!CX215</f>
        <v>0</v>
      </c>
      <c r="DR216" s="14">
        <f>[1]Sheet2!CY215</f>
        <v>0</v>
      </c>
      <c r="DS216" s="14">
        <f>[1]Sheet2!CZ215</f>
        <v>0</v>
      </c>
      <c r="DT216" s="14">
        <f>[1]Sheet2!DA215</f>
        <v>0</v>
      </c>
      <c r="DU216" s="14">
        <f>[1]Sheet2!DB215</f>
        <v>0</v>
      </c>
      <c r="DV216" s="14">
        <f>[1]Sheet2!DC215</f>
        <v>0</v>
      </c>
      <c r="DW216" s="14">
        <f>[1]Sheet2!DD215</f>
        <v>0</v>
      </c>
      <c r="DX216" s="14">
        <f>[1]Sheet2!DE215</f>
        <v>0</v>
      </c>
      <c r="DY216" s="14">
        <f>[1]Sheet2!DF215</f>
        <v>0</v>
      </c>
      <c r="DZ216" s="14">
        <f>[1]Sheet2!DG215</f>
        <v>0</v>
      </c>
    </row>
    <row r="217" spans="1:130" x14ac:dyDescent="0.25">
      <c r="A217" s="15">
        <v>43679</v>
      </c>
      <c r="B217" s="1"/>
      <c r="C217" s="1"/>
      <c r="D217" s="1"/>
      <c r="E217" s="14">
        <f>[1]Sheet2!N216</f>
        <v>0</v>
      </c>
      <c r="F217" s="14">
        <f>[1]Sheet2!BE216</f>
        <v>0</v>
      </c>
      <c r="G217" s="14">
        <f>[1]Sheet2!CV216</f>
        <v>262.03473945409428</v>
      </c>
      <c r="H217" s="1"/>
      <c r="I217" s="1"/>
      <c r="J217" s="1"/>
      <c r="K217" s="16">
        <f>Demand_CWRS!B$10/31</f>
        <v>120.8438508064516</v>
      </c>
      <c r="L217" s="16">
        <f>Demand_CWRS!C$10/31</f>
        <v>552.80165425971859</v>
      </c>
      <c r="M217" s="16">
        <f>Demand_CWRS!D$10/31</f>
        <v>0</v>
      </c>
      <c r="N217" s="16">
        <f>Demand_CWRS!E$10/31</f>
        <v>141.75971877584777</v>
      </c>
      <c r="O217" s="16">
        <f>Demand_CWRS!F$10/31</f>
        <v>252.70758116211746</v>
      </c>
      <c r="P217" s="16">
        <f>Demand_CWRS!G$10/31</f>
        <v>116.12903225806451</v>
      </c>
      <c r="Q217" s="16">
        <f>Demand_CWRS!H$10/31</f>
        <v>552.80165425971859</v>
      </c>
      <c r="R217" s="16">
        <f>Demand_CWRS!I$10/31</f>
        <v>252.70758116211746</v>
      </c>
      <c r="S217" s="16">
        <f>Demand_CWRS!J$10/31</f>
        <v>252.70758116211746</v>
      </c>
      <c r="T217" s="16">
        <f>Demand_CWRS!K$10/31</f>
        <v>252.70758116211746</v>
      </c>
      <c r="U217" s="16">
        <f t="shared" si="93"/>
        <v>-30863.160537086304</v>
      </c>
      <c r="V217" s="16">
        <f t="shared" si="94"/>
        <v>-107074.58535980115</v>
      </c>
      <c r="W217" s="16">
        <f t="shared" si="95"/>
        <v>0</v>
      </c>
      <c r="X217" s="16">
        <f t="shared" si="96"/>
        <v>-25176.962654039762</v>
      </c>
      <c r="Y217" s="16">
        <f t="shared" si="97"/>
        <v>-49382.004397759134</v>
      </c>
      <c r="Z217" s="16">
        <f t="shared" si="98"/>
        <v>-30527.957750951082</v>
      </c>
      <c r="AA217" s="16">
        <f t="shared" si="99"/>
        <v>-106574.58535980115</v>
      </c>
      <c r="AB217" s="16">
        <f t="shared" si="100"/>
        <v>-46898.158916989851</v>
      </c>
      <c r="AC217" s="16">
        <f t="shared" si="101"/>
        <v>-46898.158916989843</v>
      </c>
      <c r="AD217" s="16">
        <f t="shared" si="102"/>
        <v>-47598.158916989836</v>
      </c>
      <c r="AE217" s="14">
        <f>IF([1]Sheet2!AJ216=999999,"NA",[1]Sheet2!AJ216)</f>
        <v>0</v>
      </c>
      <c r="AF217" s="14">
        <f>IF([1]Sheet2!AK216=999999,"NA",[1]Sheet2!AK216)</f>
        <v>0</v>
      </c>
      <c r="AG217" s="14" t="str">
        <f>IF([1]Sheet2!AL216=999999,"NA",[1]Sheet2!AL216)</f>
        <v>NA</v>
      </c>
      <c r="AH217" s="14">
        <f>IF([1]Sheet2!AM216=999999,"NA",[1]Sheet2!AM216)</f>
        <v>151</v>
      </c>
      <c r="AI217" s="14">
        <f>IF([1]Sheet2!AN216=999999,"NA",[1]Sheet2!AN216)</f>
        <v>151</v>
      </c>
      <c r="AJ217" s="14">
        <f>IF([1]Sheet2!AO216=999999,"NA",[1]Sheet2!AO216)</f>
        <v>151</v>
      </c>
      <c r="AK217" s="14">
        <f>IF([1]Sheet2!AP216=999999,"NA",[1]Sheet2!AP216)</f>
        <v>0</v>
      </c>
      <c r="AL217" s="14">
        <f>IF([1]Sheet2!AQ216=999999,"NA",[1]Sheet2!AQ216)</f>
        <v>27</v>
      </c>
      <c r="AM217" s="14">
        <f>IF([1]Sheet2!AR216=999999,"NA",[1]Sheet2!AR216)</f>
        <v>151</v>
      </c>
      <c r="AN217" s="14">
        <f>IF([1]Sheet2!AS216=999999,"NA",[1]Sheet2!AS216)</f>
        <v>83</v>
      </c>
      <c r="AO217" s="14">
        <f>[1]Sheet2!P216</f>
        <v>0</v>
      </c>
      <c r="AP217" s="14">
        <f>[1]Sheet2!Q216</f>
        <v>0</v>
      </c>
      <c r="AQ217" s="14">
        <f>[1]Sheet2!R216</f>
        <v>0</v>
      </c>
      <c r="AR217" s="14">
        <f>[1]Sheet2!S216</f>
        <v>0</v>
      </c>
      <c r="AS217" s="14">
        <f>[1]Sheet2!T216</f>
        <v>0</v>
      </c>
      <c r="AT217" s="14">
        <f>[1]Sheet2!U216</f>
        <v>0</v>
      </c>
      <c r="AU217" s="14">
        <f>[1]Sheet2!V216</f>
        <v>0</v>
      </c>
      <c r="AV217" s="14">
        <f>[1]Sheet2!W216</f>
        <v>0</v>
      </c>
      <c r="AW217" s="14">
        <f>[1]Sheet2!X216</f>
        <v>0</v>
      </c>
      <c r="AX217" s="14">
        <f>[1]Sheet2!Y216</f>
        <v>0</v>
      </c>
      <c r="AY217" s="16">
        <f>Demand_LP!B$10/31</f>
        <v>857.18246226220015</v>
      </c>
      <c r="AZ217" s="16">
        <f>Demand_LP!C$10/31</f>
        <v>528.30835401157981</v>
      </c>
      <c r="BA217" s="16">
        <f>Demand_LP!D$10/31</f>
        <v>338.76323407775027</v>
      </c>
      <c r="BB217" s="16">
        <f>Demand_LP!E$10/31</f>
        <v>735.04776674937955</v>
      </c>
      <c r="BC217" s="16">
        <f>Demand_LP!F$10/31</f>
        <v>479.51259046732832</v>
      </c>
      <c r="BD217" s="16">
        <f>Demand_LP!G$10/31</f>
        <v>857.18246226220015</v>
      </c>
      <c r="BE217" s="16">
        <f>Demand_LP!H$10/31</f>
        <v>528.30835401157981</v>
      </c>
      <c r="BF217" s="16">
        <f>Demand_LP!I$10/31</f>
        <v>479.51259046732832</v>
      </c>
      <c r="BG217" s="16">
        <f>Demand_LP!J$10/31</f>
        <v>479.51259046732832</v>
      </c>
      <c r="BH217" s="16">
        <f>Demand_LP!K$10/31</f>
        <v>479.51259046732832</v>
      </c>
      <c r="BI217" s="16" t="e">
        <f t="shared" si="103"/>
        <v>#VALUE!</v>
      </c>
      <c r="BJ217" s="16">
        <f t="shared" si="104"/>
        <v>-128822.19875930497</v>
      </c>
      <c r="BK217" s="16">
        <f t="shared" si="105"/>
        <v>-65766.466211745195</v>
      </c>
      <c r="BL217" s="16">
        <f t="shared" si="106"/>
        <v>-162514.29679932125</v>
      </c>
      <c r="BM217" s="16">
        <f t="shared" si="107"/>
        <v>-97896.304980512781</v>
      </c>
      <c r="BN217" s="16">
        <f t="shared" si="108"/>
        <v>-163823.46877605384</v>
      </c>
      <c r="BO217" s="16">
        <f t="shared" si="109"/>
        <v>-131179.77824648449</v>
      </c>
      <c r="BP217" s="16">
        <f t="shared" si="110"/>
        <v>-97353.988898883385</v>
      </c>
      <c r="BQ217" s="16">
        <f t="shared" si="111"/>
        <v>-93953.988898883428</v>
      </c>
      <c r="BR217" s="16">
        <f t="shared" si="112"/>
        <v>-95153.988898883385</v>
      </c>
      <c r="BS217" s="14">
        <f>IF([1]Sheet2!CA216=999999,"NA",[1]Sheet2!CA216)</f>
        <v>121325.01110111678</v>
      </c>
      <c r="BT217" s="14">
        <f>IF([1]Sheet2!CB216=999999,"NA",[1]Sheet2!CB216)</f>
        <v>73</v>
      </c>
      <c r="BU217" s="14">
        <f>IF([1]Sheet2!CC216=999999,"NA",[1]Sheet2!CC216)</f>
        <v>151</v>
      </c>
      <c r="BV217" s="14">
        <f>IF([1]Sheet2!CD216=999999,"NA",[1]Sheet2!CD216)</f>
        <v>151</v>
      </c>
      <c r="BW217" s="14">
        <f>IF([1]Sheet2!CE216=999999,"NA",[1]Sheet2!CE216)</f>
        <v>113</v>
      </c>
      <c r="BX217" s="14">
        <f>IF([1]Sheet2!CF216=999999,"NA",[1]Sheet2!CF216)</f>
        <v>151</v>
      </c>
      <c r="BY217" s="14">
        <f>IF([1]Sheet2!CG216=999999,"NA",[1]Sheet2!CG216)</f>
        <v>45</v>
      </c>
      <c r="BZ217" s="14">
        <f>IF([1]Sheet2!CH216=999999,"NA",[1]Sheet2!CH216)</f>
        <v>151</v>
      </c>
      <c r="CA217" s="14">
        <f>IF([1]Sheet2!CI216=999999,"NA",[1]Sheet2!CI216)</f>
        <v>151</v>
      </c>
      <c r="CB217" s="14">
        <f>IF([1]Sheet2!CJ216=999999,"NA",[1]Sheet2!CJ216)</f>
        <v>151</v>
      </c>
      <c r="CC217" s="14">
        <f>[1]Sheet2!BG216</f>
        <v>0</v>
      </c>
      <c r="CD217" s="14">
        <f>[1]Sheet2!BH216</f>
        <v>0</v>
      </c>
      <c r="CE217" s="14">
        <f>[1]Sheet2!BI216</f>
        <v>0</v>
      </c>
      <c r="CF217" s="14">
        <f>[1]Sheet2!BJ216</f>
        <v>0</v>
      </c>
      <c r="CG217" s="14">
        <f>[1]Sheet2!BK216</f>
        <v>0</v>
      </c>
      <c r="CH217" s="14">
        <f>[1]Sheet2!BL216</f>
        <v>0</v>
      </c>
      <c r="CI217" s="14">
        <f>[1]Sheet2!BM216</f>
        <v>0</v>
      </c>
      <c r="CJ217" s="14">
        <f>[1]Sheet2!BN216</f>
        <v>0</v>
      </c>
      <c r="CK217" s="14">
        <f>[1]Sheet2!BO216</f>
        <v>0</v>
      </c>
      <c r="CL217" s="14">
        <f>[1]Sheet2!BP216</f>
        <v>0</v>
      </c>
      <c r="CM217" s="16">
        <f>Demand_SW!B$10/31</f>
        <v>131.01736972704714</v>
      </c>
      <c r="CN217" s="16">
        <f>Demand_SW!C$10/31</f>
        <v>0</v>
      </c>
      <c r="CO217" s="16">
        <f>Demand_SW!D$10/31</f>
        <v>0</v>
      </c>
      <c r="CP217" s="16">
        <f>Demand_SW!E$10/31</f>
        <v>0</v>
      </c>
      <c r="CQ217" s="16">
        <f>Demand_SW!F$10/31</f>
        <v>0</v>
      </c>
      <c r="CR217" s="16">
        <f>Demand_SW!G$10/31</f>
        <v>131.01736972704714</v>
      </c>
      <c r="CS217" s="16">
        <f>Demand_SW!H$10/31</f>
        <v>0</v>
      </c>
      <c r="CT217" s="16">
        <f>Demand_SW!I$10/31</f>
        <v>0</v>
      </c>
      <c r="CU217" s="16">
        <f>Demand_SW!J$10/31</f>
        <v>0</v>
      </c>
      <c r="CV217" s="16">
        <f>Demand_SW!K$10/31</f>
        <v>0</v>
      </c>
      <c r="CW217" s="16">
        <f t="shared" si="113"/>
        <v>22078.734491315165</v>
      </c>
      <c r="CX217" s="16">
        <f t="shared" si="114"/>
        <v>-423.07692307692292</v>
      </c>
      <c r="CY217" s="16">
        <f t="shared" si="115"/>
        <v>0</v>
      </c>
      <c r="CZ217" s="16">
        <f t="shared" si="116"/>
        <v>0</v>
      </c>
      <c r="DA217" s="16">
        <f t="shared" si="117"/>
        <v>0</v>
      </c>
      <c r="DB217" s="16">
        <f t="shared" si="118"/>
        <v>-27450.49627791563</v>
      </c>
      <c r="DC217" s="16">
        <f t="shared" si="119"/>
        <v>-423.07692307692292</v>
      </c>
      <c r="DD217" s="16">
        <f t="shared" si="120"/>
        <v>0</v>
      </c>
      <c r="DE217" s="16">
        <f t="shared" si="121"/>
        <v>0</v>
      </c>
      <c r="DF217" s="16">
        <f t="shared" si="122"/>
        <v>0</v>
      </c>
      <c r="DG217" s="14">
        <f>IF([1]Sheet2!DR216=999999,"NA",[1]Sheet2!DR216)</f>
        <v>73103</v>
      </c>
      <c r="DH217" s="14">
        <f>IF([1]Sheet2!DS216=999999,"NA",[1]Sheet2!DS216)</f>
        <v>151</v>
      </c>
      <c r="DI217" s="14">
        <f>IF([1]Sheet2!DT216=999999,"NA",[1]Sheet2!DT216)</f>
        <v>151</v>
      </c>
      <c r="DJ217" s="14" t="str">
        <f>IF([1]Sheet2!DU216=999999,"NA",[1]Sheet2!DU216)</f>
        <v>NA</v>
      </c>
      <c r="DK217" s="14" t="str">
        <f>IF([1]Sheet2!DV216=999999,"NA",[1]Sheet2!DV216)</f>
        <v>NA</v>
      </c>
      <c r="DL217" s="14" t="str">
        <f>IF([1]Sheet2!DW216=999999,"NA",[1]Sheet2!DW216)</f>
        <v>NA</v>
      </c>
      <c r="DM217" s="14">
        <f>IF([1]Sheet2!DX216=999999,"NA",[1]Sheet2!DX216)</f>
        <v>151</v>
      </c>
      <c r="DN217" s="14">
        <f>IF([1]Sheet2!DY216=999999,"NA",[1]Sheet2!DY216)</f>
        <v>151</v>
      </c>
      <c r="DO217" s="14" t="str">
        <f>IF([1]Sheet2!DZ216=999999,"NA",[1]Sheet2!DZ216)</f>
        <v>NA</v>
      </c>
      <c r="DP217" s="14" t="str">
        <f>IF([1]Sheet2!EA216=999999,"NA",[1]Sheet2!EA216)</f>
        <v>NA</v>
      </c>
      <c r="DQ217" s="14">
        <f>[1]Sheet2!CX216</f>
        <v>0</v>
      </c>
      <c r="DR217" s="14">
        <f>[1]Sheet2!CY216</f>
        <v>0</v>
      </c>
      <c r="DS217" s="14">
        <f>[1]Sheet2!CZ216</f>
        <v>0</v>
      </c>
      <c r="DT217" s="14">
        <f>[1]Sheet2!DA216</f>
        <v>0</v>
      </c>
      <c r="DU217" s="14">
        <f>[1]Sheet2!DB216</f>
        <v>0</v>
      </c>
      <c r="DV217" s="14">
        <f>[1]Sheet2!DC216</f>
        <v>0</v>
      </c>
      <c r="DW217" s="14">
        <f>[1]Sheet2!DD216</f>
        <v>0</v>
      </c>
      <c r="DX217" s="14">
        <f>[1]Sheet2!DE216</f>
        <v>0</v>
      </c>
      <c r="DY217" s="14">
        <f>[1]Sheet2!DF216</f>
        <v>0</v>
      </c>
      <c r="DZ217" s="14">
        <f>[1]Sheet2!DG216</f>
        <v>0</v>
      </c>
    </row>
    <row r="218" spans="1:130" x14ac:dyDescent="0.25">
      <c r="A218" s="15">
        <v>43680</v>
      </c>
      <c r="B218" s="1"/>
      <c r="C218" s="1"/>
      <c r="D218" s="1"/>
      <c r="E218" s="14">
        <f>[1]Sheet2!N217</f>
        <v>0</v>
      </c>
      <c r="F218" s="14">
        <f>[1]Sheet2!BE217</f>
        <v>0</v>
      </c>
      <c r="G218" s="14">
        <f>[1]Sheet2!CV217</f>
        <v>262.03473945409428</v>
      </c>
      <c r="H218" s="1"/>
      <c r="I218" s="1"/>
      <c r="J218" s="1"/>
      <c r="K218" s="16">
        <f>Demand_CWRS!B$10/31</f>
        <v>120.8438508064516</v>
      </c>
      <c r="L218" s="16">
        <f>Demand_CWRS!C$10/31</f>
        <v>552.80165425971859</v>
      </c>
      <c r="M218" s="16">
        <f>Demand_CWRS!D$10/31</f>
        <v>0</v>
      </c>
      <c r="N218" s="16">
        <f>Demand_CWRS!E$10/31</f>
        <v>141.75971877584777</v>
      </c>
      <c r="O218" s="16">
        <f>Demand_CWRS!F$10/31</f>
        <v>252.70758116211746</v>
      </c>
      <c r="P218" s="16">
        <f>Demand_CWRS!G$10/31</f>
        <v>116.12903225806451</v>
      </c>
      <c r="Q218" s="16">
        <f>Demand_CWRS!H$10/31</f>
        <v>552.80165425971859</v>
      </c>
      <c r="R218" s="16">
        <f>Demand_CWRS!I$10/31</f>
        <v>252.70758116211746</v>
      </c>
      <c r="S218" s="16">
        <f>Demand_CWRS!J$10/31</f>
        <v>252.70758116211746</v>
      </c>
      <c r="T218" s="16">
        <f>Demand_CWRS!K$10/31</f>
        <v>252.70758116211746</v>
      </c>
      <c r="U218" s="16">
        <f t="shared" si="93"/>
        <v>-29051.004387892754</v>
      </c>
      <c r="V218" s="16">
        <f t="shared" si="94"/>
        <v>-98783.387014060863</v>
      </c>
      <c r="W218" s="16">
        <f t="shared" si="95"/>
        <v>0</v>
      </c>
      <c r="X218" s="16">
        <f t="shared" si="96"/>
        <v>-25318.72237281561</v>
      </c>
      <c r="Y218" s="16">
        <f t="shared" si="97"/>
        <v>-49634.711978921252</v>
      </c>
      <c r="Z218" s="16">
        <f t="shared" si="98"/>
        <v>-30644.086783209146</v>
      </c>
      <c r="AA218" s="16">
        <f t="shared" si="99"/>
        <v>-107127.38701406086</v>
      </c>
      <c r="AB218" s="16">
        <f t="shared" si="100"/>
        <v>-47150.866498151969</v>
      </c>
      <c r="AC218" s="16">
        <f t="shared" si="101"/>
        <v>-47150.866498151961</v>
      </c>
      <c r="AD218" s="16">
        <f t="shared" si="102"/>
        <v>-47850.866498151954</v>
      </c>
      <c r="AE218" s="14">
        <f>IF([1]Sheet2!AJ217=999999,"NA",[1]Sheet2!AJ217)</f>
        <v>0</v>
      </c>
      <c r="AF218" s="14">
        <f>IF([1]Sheet2!AK217=999999,"NA",[1]Sheet2!AK217)</f>
        <v>0</v>
      </c>
      <c r="AG218" s="14" t="str">
        <f>IF([1]Sheet2!AL217=999999,"NA",[1]Sheet2!AL217)</f>
        <v>NA</v>
      </c>
      <c r="AH218" s="14">
        <f>IF([1]Sheet2!AM217=999999,"NA",[1]Sheet2!AM217)</f>
        <v>150</v>
      </c>
      <c r="AI218" s="14">
        <f>IF([1]Sheet2!AN217=999999,"NA",[1]Sheet2!AN217)</f>
        <v>150</v>
      </c>
      <c r="AJ218" s="14">
        <f>IF([1]Sheet2!AO217=999999,"NA",[1]Sheet2!AO217)</f>
        <v>150</v>
      </c>
      <c r="AK218" s="14">
        <f>IF([1]Sheet2!AP217=999999,"NA",[1]Sheet2!AP217)</f>
        <v>0</v>
      </c>
      <c r="AL218" s="14">
        <f>IF([1]Sheet2!AQ217=999999,"NA",[1]Sheet2!AQ217)</f>
        <v>26</v>
      </c>
      <c r="AM218" s="14">
        <f>IF([1]Sheet2!AR217=999999,"NA",[1]Sheet2!AR217)</f>
        <v>150</v>
      </c>
      <c r="AN218" s="14">
        <f>IF([1]Sheet2!AS217=999999,"NA",[1]Sheet2!AS217)</f>
        <v>82</v>
      </c>
      <c r="AO218" s="14">
        <f>[1]Sheet2!P217</f>
        <v>1933</v>
      </c>
      <c r="AP218" s="14">
        <f>[1]Sheet2!Q217</f>
        <v>8844</v>
      </c>
      <c r="AQ218" s="14">
        <f>[1]Sheet2!R217</f>
        <v>0</v>
      </c>
      <c r="AR218" s="14">
        <f>[1]Sheet2!S217</f>
        <v>0</v>
      </c>
      <c r="AS218" s="14">
        <f>[1]Sheet2!T217</f>
        <v>0</v>
      </c>
      <c r="AT218" s="14">
        <f>[1]Sheet2!U217</f>
        <v>0</v>
      </c>
      <c r="AU218" s="14">
        <f>[1]Sheet2!V217</f>
        <v>0</v>
      </c>
      <c r="AV218" s="14">
        <f>[1]Sheet2!W217</f>
        <v>0</v>
      </c>
      <c r="AW218" s="14">
        <f>[1]Sheet2!X217</f>
        <v>0</v>
      </c>
      <c r="AX218" s="14">
        <f>[1]Sheet2!Y217</f>
        <v>0</v>
      </c>
      <c r="AY218" s="16">
        <f>Demand_LP!B$10/31</f>
        <v>857.18246226220015</v>
      </c>
      <c r="AZ218" s="16">
        <f>Demand_LP!C$10/31</f>
        <v>528.30835401157981</v>
      </c>
      <c r="BA218" s="16">
        <f>Demand_LP!D$10/31</f>
        <v>338.76323407775027</v>
      </c>
      <c r="BB218" s="16">
        <f>Demand_LP!E$10/31</f>
        <v>735.04776674937955</v>
      </c>
      <c r="BC218" s="16">
        <f>Demand_LP!F$10/31</f>
        <v>479.51259046732832</v>
      </c>
      <c r="BD218" s="16">
        <f>Demand_LP!G$10/31</f>
        <v>857.18246226220015</v>
      </c>
      <c r="BE218" s="16">
        <f>Demand_LP!H$10/31</f>
        <v>528.30835401157981</v>
      </c>
      <c r="BF218" s="16">
        <f>Demand_LP!I$10/31</f>
        <v>479.51259046732832</v>
      </c>
      <c r="BG218" s="16">
        <f>Demand_LP!J$10/31</f>
        <v>479.51259046732832</v>
      </c>
      <c r="BH218" s="16">
        <f>Demand_LP!K$10/31</f>
        <v>479.51259046732832</v>
      </c>
      <c r="BI218" s="16" t="e">
        <f t="shared" si="103"/>
        <v>#VALUE!</v>
      </c>
      <c r="BJ218" s="16">
        <f t="shared" si="104"/>
        <v>-122493.50711331655</v>
      </c>
      <c r="BK218" s="16">
        <f t="shared" si="105"/>
        <v>-61879.229445822944</v>
      </c>
      <c r="BL218" s="16">
        <f t="shared" si="106"/>
        <v>-160539.34456607062</v>
      </c>
      <c r="BM218" s="16">
        <f t="shared" si="107"/>
        <v>-98375.817570980114</v>
      </c>
      <c r="BN218" s="16">
        <f t="shared" si="108"/>
        <v>-164680.65123831603</v>
      </c>
      <c r="BO218" s="16">
        <f t="shared" si="109"/>
        <v>-131708.08660049608</v>
      </c>
      <c r="BP218" s="16">
        <f t="shared" si="110"/>
        <v>-97833.501489350718</v>
      </c>
      <c r="BQ218" s="16">
        <f t="shared" si="111"/>
        <v>-94433.501489350761</v>
      </c>
      <c r="BR218" s="16">
        <f t="shared" si="112"/>
        <v>-95633.501489350718</v>
      </c>
      <c r="BS218" s="14">
        <f>IF([1]Sheet2!CA217=999999,"NA",[1]Sheet2!CA217)</f>
        <v>120845.49851064944</v>
      </c>
      <c r="BT218" s="14">
        <f>IF([1]Sheet2!CB217=999999,"NA",[1]Sheet2!CB217)</f>
        <v>80</v>
      </c>
      <c r="BU218" s="14">
        <f>IF([1]Sheet2!CC217=999999,"NA",[1]Sheet2!CC217)</f>
        <v>150</v>
      </c>
      <c r="BV218" s="14">
        <f>IF([1]Sheet2!CD217=999999,"NA",[1]Sheet2!CD217)</f>
        <v>150</v>
      </c>
      <c r="BW218" s="14">
        <f>IF([1]Sheet2!CE217=999999,"NA",[1]Sheet2!CE217)</f>
        <v>112</v>
      </c>
      <c r="BX218" s="14">
        <f>IF([1]Sheet2!CF217=999999,"NA",[1]Sheet2!CF217)</f>
        <v>150</v>
      </c>
      <c r="BY218" s="14">
        <f>IF([1]Sheet2!CG217=999999,"NA",[1]Sheet2!CG217)</f>
        <v>44</v>
      </c>
      <c r="BZ218" s="14">
        <f>IF([1]Sheet2!CH217=999999,"NA",[1]Sheet2!CH217)</f>
        <v>150</v>
      </c>
      <c r="CA218" s="14">
        <f>IF([1]Sheet2!CI217=999999,"NA",[1]Sheet2!CI217)</f>
        <v>150</v>
      </c>
      <c r="CB218" s="14">
        <f>IF([1]Sheet2!CJ217=999999,"NA",[1]Sheet2!CJ217)</f>
        <v>150</v>
      </c>
      <c r="CC218" s="14" t="str">
        <f>[1]Sheet2!BG217</f>
        <v>Arg</v>
      </c>
      <c r="CD218" s="14">
        <f>[1]Sheet2!BH217</f>
        <v>6857</v>
      </c>
      <c r="CE218" s="14">
        <f>[1]Sheet2!BI217</f>
        <v>4226</v>
      </c>
      <c r="CF218" s="14">
        <f>[1]Sheet2!BJ217</f>
        <v>2710</v>
      </c>
      <c r="CG218" s="14">
        <f>[1]Sheet2!BK217</f>
        <v>0</v>
      </c>
      <c r="CH218" s="14">
        <f>[1]Sheet2!BL217</f>
        <v>0</v>
      </c>
      <c r="CI218" s="14">
        <f>[1]Sheet2!BM217</f>
        <v>0</v>
      </c>
      <c r="CJ218" s="14">
        <f>[1]Sheet2!BN217</f>
        <v>0</v>
      </c>
      <c r="CK218" s="14">
        <f>[1]Sheet2!BO217</f>
        <v>0</v>
      </c>
      <c r="CL218" s="14">
        <f>[1]Sheet2!BP217</f>
        <v>0</v>
      </c>
      <c r="CM218" s="16">
        <f>Demand_SW!B$10/31</f>
        <v>131.01736972704714</v>
      </c>
      <c r="CN218" s="16">
        <f>Demand_SW!C$10/31</f>
        <v>0</v>
      </c>
      <c r="CO218" s="16">
        <f>Demand_SW!D$10/31</f>
        <v>0</v>
      </c>
      <c r="CP218" s="16">
        <f>Demand_SW!E$10/31</f>
        <v>0</v>
      </c>
      <c r="CQ218" s="16">
        <f>Demand_SW!F$10/31</f>
        <v>0</v>
      </c>
      <c r="CR218" s="16">
        <f>Demand_SW!G$10/31</f>
        <v>131.01736972704714</v>
      </c>
      <c r="CS218" s="16">
        <f>Demand_SW!H$10/31</f>
        <v>0</v>
      </c>
      <c r="CT218" s="16">
        <f>Demand_SW!I$10/31</f>
        <v>0</v>
      </c>
      <c r="CU218" s="16">
        <f>Demand_SW!J$10/31</f>
        <v>0</v>
      </c>
      <c r="CV218" s="16">
        <f>Demand_SW!K$10/31</f>
        <v>0</v>
      </c>
      <c r="CW218" s="16">
        <f t="shared" si="113"/>
        <v>71947.717121588124</v>
      </c>
      <c r="CX218" s="16">
        <f t="shared" si="114"/>
        <v>20683.923076923078</v>
      </c>
      <c r="CY218" s="16">
        <f t="shared" si="115"/>
        <v>0</v>
      </c>
      <c r="CZ218" s="16">
        <f t="shared" si="116"/>
        <v>0</v>
      </c>
      <c r="DA218" s="16">
        <f t="shared" si="117"/>
        <v>0</v>
      </c>
      <c r="DB218" s="16">
        <f t="shared" si="118"/>
        <v>-27581.513647642678</v>
      </c>
      <c r="DC218" s="16">
        <f t="shared" si="119"/>
        <v>-423.07692307692292</v>
      </c>
      <c r="DD218" s="16">
        <f t="shared" si="120"/>
        <v>0</v>
      </c>
      <c r="DE218" s="16">
        <f t="shared" si="121"/>
        <v>0</v>
      </c>
      <c r="DF218" s="16">
        <f t="shared" si="122"/>
        <v>0</v>
      </c>
      <c r="DG218" s="14">
        <f>IF([1]Sheet2!DR217=999999,"NA",[1]Sheet2!DR217)</f>
        <v>73103</v>
      </c>
      <c r="DH218" s="14">
        <f>IF([1]Sheet2!DS217=999999,"NA",[1]Sheet2!DS217)</f>
        <v>150</v>
      </c>
      <c r="DI218" s="14">
        <f>IF([1]Sheet2!DT217=999999,"NA",[1]Sheet2!DT217)</f>
        <v>150</v>
      </c>
      <c r="DJ218" s="14" t="str">
        <f>IF([1]Sheet2!DU217=999999,"NA",[1]Sheet2!DU217)</f>
        <v>NA</v>
      </c>
      <c r="DK218" s="14" t="str">
        <f>IF([1]Sheet2!DV217=999999,"NA",[1]Sheet2!DV217)</f>
        <v>NA</v>
      </c>
      <c r="DL218" s="14" t="str">
        <f>IF([1]Sheet2!DW217=999999,"NA",[1]Sheet2!DW217)</f>
        <v>NA</v>
      </c>
      <c r="DM218" s="14">
        <f>IF([1]Sheet2!DX217=999999,"NA",[1]Sheet2!DX217)</f>
        <v>150</v>
      </c>
      <c r="DN218" s="14">
        <f>IF([1]Sheet2!DY217=999999,"NA",[1]Sheet2!DY217)</f>
        <v>150</v>
      </c>
      <c r="DO218" s="14" t="str">
        <f>IF([1]Sheet2!DZ217=999999,"NA",[1]Sheet2!DZ217)</f>
        <v>NA</v>
      </c>
      <c r="DP218" s="14" t="str">
        <f>IF([1]Sheet2!EA217=999999,"NA",[1]Sheet2!EA217)</f>
        <v>NA</v>
      </c>
      <c r="DQ218" s="14">
        <f>[1]Sheet2!CX217</f>
        <v>50000</v>
      </c>
      <c r="DR218" s="14">
        <f>[1]Sheet2!CY217</f>
        <v>21107</v>
      </c>
      <c r="DS218" s="14">
        <f>[1]Sheet2!CZ217</f>
        <v>0</v>
      </c>
      <c r="DT218" s="14">
        <f>[1]Sheet2!DA217</f>
        <v>0</v>
      </c>
      <c r="DU218" s="14">
        <f>[1]Sheet2!DB217</f>
        <v>0</v>
      </c>
      <c r="DV218" s="14">
        <f>[1]Sheet2!DC217</f>
        <v>0</v>
      </c>
      <c r="DW218" s="14">
        <f>[1]Sheet2!DD217</f>
        <v>0</v>
      </c>
      <c r="DX218" s="14">
        <f>[1]Sheet2!DE217</f>
        <v>0</v>
      </c>
      <c r="DY218" s="14">
        <f>[1]Sheet2!DF217</f>
        <v>0</v>
      </c>
      <c r="DZ218" s="14">
        <f>[1]Sheet2!DG217</f>
        <v>0</v>
      </c>
    </row>
    <row r="219" spans="1:130" x14ac:dyDescent="0.25">
      <c r="A219" s="15">
        <v>43681</v>
      </c>
      <c r="B219" s="1"/>
      <c r="C219" s="1"/>
      <c r="D219" s="1"/>
      <c r="E219" s="14">
        <f>[1]Sheet2!N218</f>
        <v>0</v>
      </c>
      <c r="F219" s="14">
        <f>[1]Sheet2!BE218</f>
        <v>0</v>
      </c>
      <c r="G219" s="14">
        <f>[1]Sheet2!CV218</f>
        <v>262.03473945409428</v>
      </c>
      <c r="H219" s="1"/>
      <c r="I219" s="1"/>
      <c r="J219" s="1"/>
      <c r="K219" s="16">
        <f>Demand_CWRS!B$10/31</f>
        <v>120.8438508064516</v>
      </c>
      <c r="L219" s="16">
        <f>Demand_CWRS!C$10/31</f>
        <v>552.80165425971859</v>
      </c>
      <c r="M219" s="16">
        <f>Demand_CWRS!D$10/31</f>
        <v>0</v>
      </c>
      <c r="N219" s="16">
        <f>Demand_CWRS!E$10/31</f>
        <v>141.75971877584777</v>
      </c>
      <c r="O219" s="16">
        <f>Demand_CWRS!F$10/31</f>
        <v>252.70758116211746</v>
      </c>
      <c r="P219" s="16">
        <f>Demand_CWRS!G$10/31</f>
        <v>116.12903225806451</v>
      </c>
      <c r="Q219" s="16">
        <f>Demand_CWRS!H$10/31</f>
        <v>552.80165425971859</v>
      </c>
      <c r="R219" s="16">
        <f>Demand_CWRS!I$10/31</f>
        <v>252.70758116211746</v>
      </c>
      <c r="S219" s="16">
        <f>Demand_CWRS!J$10/31</f>
        <v>252.70758116211746</v>
      </c>
      <c r="T219" s="16">
        <f>Demand_CWRS!K$10/31</f>
        <v>252.70758116211746</v>
      </c>
      <c r="U219" s="16">
        <f t="shared" si="93"/>
        <v>-29171.848238699204</v>
      </c>
      <c r="V219" s="16">
        <f t="shared" si="94"/>
        <v>-99336.188668320581</v>
      </c>
      <c r="W219" s="16">
        <f t="shared" si="95"/>
        <v>0</v>
      </c>
      <c r="X219" s="16">
        <f t="shared" si="96"/>
        <v>-25460.482091591457</v>
      </c>
      <c r="Y219" s="16">
        <f t="shared" si="97"/>
        <v>-49887.41956008337</v>
      </c>
      <c r="Z219" s="16">
        <f t="shared" si="98"/>
        <v>-30760.215815467211</v>
      </c>
      <c r="AA219" s="16">
        <f t="shared" si="99"/>
        <v>-107680.18866832058</v>
      </c>
      <c r="AB219" s="16">
        <f t="shared" si="100"/>
        <v>-47403.574079314087</v>
      </c>
      <c r="AC219" s="16">
        <f t="shared" si="101"/>
        <v>-47403.574079314079</v>
      </c>
      <c r="AD219" s="16">
        <f t="shared" si="102"/>
        <v>-48103.574079314072</v>
      </c>
      <c r="AE219" s="14">
        <f>IF([1]Sheet2!AJ218=999999,"NA",[1]Sheet2!AJ218)</f>
        <v>0</v>
      </c>
      <c r="AF219" s="14">
        <f>IF([1]Sheet2!AK218=999999,"NA",[1]Sheet2!AK218)</f>
        <v>0</v>
      </c>
      <c r="AG219" s="14" t="str">
        <f>IF([1]Sheet2!AL218=999999,"NA",[1]Sheet2!AL218)</f>
        <v>NA</v>
      </c>
      <c r="AH219" s="14">
        <f>IF([1]Sheet2!AM218=999999,"NA",[1]Sheet2!AM218)</f>
        <v>149</v>
      </c>
      <c r="AI219" s="14">
        <f>IF([1]Sheet2!AN218=999999,"NA",[1]Sheet2!AN218)</f>
        <v>149</v>
      </c>
      <c r="AJ219" s="14">
        <f>IF([1]Sheet2!AO218=999999,"NA",[1]Sheet2!AO218)</f>
        <v>149</v>
      </c>
      <c r="AK219" s="14">
        <f>IF([1]Sheet2!AP218=999999,"NA",[1]Sheet2!AP218)</f>
        <v>0</v>
      </c>
      <c r="AL219" s="14">
        <f>IF([1]Sheet2!AQ218=999999,"NA",[1]Sheet2!AQ218)</f>
        <v>25</v>
      </c>
      <c r="AM219" s="14">
        <f>IF([1]Sheet2!AR218=999999,"NA",[1]Sheet2!AR218)</f>
        <v>149</v>
      </c>
      <c r="AN219" s="14">
        <f>IF([1]Sheet2!AS218=999999,"NA",[1]Sheet2!AS218)</f>
        <v>81</v>
      </c>
      <c r="AO219" s="14">
        <f>[1]Sheet2!P218</f>
        <v>0</v>
      </c>
      <c r="AP219" s="14">
        <f>[1]Sheet2!Q218</f>
        <v>0</v>
      </c>
      <c r="AQ219" s="14">
        <f>[1]Sheet2!R218</f>
        <v>0</v>
      </c>
      <c r="AR219" s="14">
        <f>[1]Sheet2!S218</f>
        <v>0</v>
      </c>
      <c r="AS219" s="14">
        <f>[1]Sheet2!T218</f>
        <v>0</v>
      </c>
      <c r="AT219" s="14">
        <f>[1]Sheet2!U218</f>
        <v>0</v>
      </c>
      <c r="AU219" s="14">
        <f>[1]Sheet2!V218</f>
        <v>0</v>
      </c>
      <c r="AV219" s="14">
        <f>[1]Sheet2!W218</f>
        <v>0</v>
      </c>
      <c r="AW219" s="14">
        <f>[1]Sheet2!X218</f>
        <v>0</v>
      </c>
      <c r="AX219" s="14">
        <f>[1]Sheet2!Y218</f>
        <v>0</v>
      </c>
      <c r="AY219" s="16">
        <f>Demand_LP!B$10/31</f>
        <v>857.18246226220015</v>
      </c>
      <c r="AZ219" s="16">
        <f>Demand_LP!C$10/31</f>
        <v>528.30835401157981</v>
      </c>
      <c r="BA219" s="16">
        <f>Demand_LP!D$10/31</f>
        <v>338.76323407775027</v>
      </c>
      <c r="BB219" s="16">
        <f>Demand_LP!E$10/31</f>
        <v>735.04776674937955</v>
      </c>
      <c r="BC219" s="16">
        <f>Demand_LP!F$10/31</f>
        <v>479.51259046732832</v>
      </c>
      <c r="BD219" s="16">
        <f>Demand_LP!G$10/31</f>
        <v>857.18246226220015</v>
      </c>
      <c r="BE219" s="16">
        <f>Demand_LP!H$10/31</f>
        <v>528.30835401157981</v>
      </c>
      <c r="BF219" s="16">
        <f>Demand_LP!I$10/31</f>
        <v>479.51259046732832</v>
      </c>
      <c r="BG219" s="16">
        <f>Demand_LP!J$10/31</f>
        <v>479.51259046732832</v>
      </c>
      <c r="BH219" s="16">
        <f>Demand_LP!K$10/31</f>
        <v>479.51259046732832</v>
      </c>
      <c r="BI219" s="16" t="e">
        <f t="shared" si="103"/>
        <v>#VALUE!</v>
      </c>
      <c r="BJ219" s="16">
        <f t="shared" si="104"/>
        <v>-123021.81546732812</v>
      </c>
      <c r="BK219" s="16">
        <f t="shared" si="105"/>
        <v>-62217.992679900693</v>
      </c>
      <c r="BL219" s="16">
        <f t="shared" si="106"/>
        <v>-161274.39233281999</v>
      </c>
      <c r="BM219" s="16">
        <f t="shared" si="107"/>
        <v>-98855.330161447448</v>
      </c>
      <c r="BN219" s="16">
        <f t="shared" si="108"/>
        <v>-165537.83370057822</v>
      </c>
      <c r="BO219" s="16">
        <f t="shared" si="109"/>
        <v>-132236.39495450768</v>
      </c>
      <c r="BP219" s="16">
        <f t="shared" si="110"/>
        <v>-98313.014079818051</v>
      </c>
      <c r="BQ219" s="16">
        <f t="shared" si="111"/>
        <v>-94913.014079818095</v>
      </c>
      <c r="BR219" s="16">
        <f t="shared" si="112"/>
        <v>-96113.014079818051</v>
      </c>
      <c r="BS219" s="14">
        <f>IF([1]Sheet2!CA218=999999,"NA",[1]Sheet2!CA218)</f>
        <v>120365.98592018211</v>
      </c>
      <c r="BT219" s="14">
        <f>IF([1]Sheet2!CB218=999999,"NA",[1]Sheet2!CB218)</f>
        <v>79</v>
      </c>
      <c r="BU219" s="14">
        <f>IF([1]Sheet2!CC218=999999,"NA",[1]Sheet2!CC218)</f>
        <v>149</v>
      </c>
      <c r="BV219" s="14">
        <f>IF([1]Sheet2!CD218=999999,"NA",[1]Sheet2!CD218)</f>
        <v>149</v>
      </c>
      <c r="BW219" s="14">
        <f>IF([1]Sheet2!CE218=999999,"NA",[1]Sheet2!CE218)</f>
        <v>111</v>
      </c>
      <c r="BX219" s="14">
        <f>IF([1]Sheet2!CF218=999999,"NA",[1]Sheet2!CF218)</f>
        <v>149</v>
      </c>
      <c r="BY219" s="14">
        <f>IF([1]Sheet2!CG218=999999,"NA",[1]Sheet2!CG218)</f>
        <v>43</v>
      </c>
      <c r="BZ219" s="14">
        <f>IF([1]Sheet2!CH218=999999,"NA",[1]Sheet2!CH218)</f>
        <v>149</v>
      </c>
      <c r="CA219" s="14">
        <f>IF([1]Sheet2!CI218=999999,"NA",[1]Sheet2!CI218)</f>
        <v>149</v>
      </c>
      <c r="CB219" s="14">
        <f>IF([1]Sheet2!CJ218=999999,"NA",[1]Sheet2!CJ218)</f>
        <v>149</v>
      </c>
      <c r="CC219" s="14">
        <f>[1]Sheet2!BG218</f>
        <v>0</v>
      </c>
      <c r="CD219" s="14">
        <f>[1]Sheet2!BH218</f>
        <v>0</v>
      </c>
      <c r="CE219" s="14">
        <f>[1]Sheet2!BI218</f>
        <v>0</v>
      </c>
      <c r="CF219" s="14">
        <f>[1]Sheet2!BJ218</f>
        <v>0</v>
      </c>
      <c r="CG219" s="14">
        <f>[1]Sheet2!BK218</f>
        <v>0</v>
      </c>
      <c r="CH219" s="14">
        <f>[1]Sheet2!BL218</f>
        <v>0</v>
      </c>
      <c r="CI219" s="14">
        <f>[1]Sheet2!BM218</f>
        <v>0</v>
      </c>
      <c r="CJ219" s="14">
        <f>[1]Sheet2!BN218</f>
        <v>0</v>
      </c>
      <c r="CK219" s="14">
        <f>[1]Sheet2!BO218</f>
        <v>0</v>
      </c>
      <c r="CL219" s="14">
        <f>[1]Sheet2!BP218</f>
        <v>0</v>
      </c>
      <c r="CM219" s="16">
        <f>Demand_SW!B$10/31</f>
        <v>131.01736972704714</v>
      </c>
      <c r="CN219" s="16">
        <f>Demand_SW!C$10/31</f>
        <v>0</v>
      </c>
      <c r="CO219" s="16">
        <f>Demand_SW!D$10/31</f>
        <v>0</v>
      </c>
      <c r="CP219" s="16">
        <f>Demand_SW!E$10/31</f>
        <v>0</v>
      </c>
      <c r="CQ219" s="16">
        <f>Demand_SW!F$10/31</f>
        <v>0</v>
      </c>
      <c r="CR219" s="16">
        <f>Demand_SW!G$10/31</f>
        <v>131.01736972704714</v>
      </c>
      <c r="CS219" s="16">
        <f>Demand_SW!H$10/31</f>
        <v>0</v>
      </c>
      <c r="CT219" s="16">
        <f>Demand_SW!I$10/31</f>
        <v>0</v>
      </c>
      <c r="CU219" s="16">
        <f>Demand_SW!J$10/31</f>
        <v>0</v>
      </c>
      <c r="CV219" s="16">
        <f>Demand_SW!K$10/31</f>
        <v>0</v>
      </c>
      <c r="CW219" s="16">
        <f t="shared" si="113"/>
        <v>71816.699751861073</v>
      </c>
      <c r="CX219" s="16">
        <f t="shared" si="114"/>
        <v>20683.923076923078</v>
      </c>
      <c r="CY219" s="16">
        <f t="shared" si="115"/>
        <v>0</v>
      </c>
      <c r="CZ219" s="16">
        <f t="shared" si="116"/>
        <v>0</v>
      </c>
      <c r="DA219" s="16">
        <f t="shared" si="117"/>
        <v>0</v>
      </c>
      <c r="DB219" s="16">
        <f t="shared" si="118"/>
        <v>-27712.531017369725</v>
      </c>
      <c r="DC219" s="16">
        <f t="shared" si="119"/>
        <v>-423.07692307692292</v>
      </c>
      <c r="DD219" s="16">
        <f t="shared" si="120"/>
        <v>0</v>
      </c>
      <c r="DE219" s="16">
        <f t="shared" si="121"/>
        <v>0</v>
      </c>
      <c r="DF219" s="16">
        <f t="shared" si="122"/>
        <v>0</v>
      </c>
      <c r="DG219" s="14">
        <f>IF([1]Sheet2!DR218=999999,"NA",[1]Sheet2!DR218)</f>
        <v>73103</v>
      </c>
      <c r="DH219" s="14">
        <f>IF([1]Sheet2!DS218=999999,"NA",[1]Sheet2!DS218)</f>
        <v>149</v>
      </c>
      <c r="DI219" s="14">
        <f>IF([1]Sheet2!DT218=999999,"NA",[1]Sheet2!DT218)</f>
        <v>149</v>
      </c>
      <c r="DJ219" s="14" t="str">
        <f>IF([1]Sheet2!DU218=999999,"NA",[1]Sheet2!DU218)</f>
        <v>NA</v>
      </c>
      <c r="DK219" s="14" t="str">
        <f>IF([1]Sheet2!DV218=999999,"NA",[1]Sheet2!DV218)</f>
        <v>NA</v>
      </c>
      <c r="DL219" s="14" t="str">
        <f>IF([1]Sheet2!DW218=999999,"NA",[1]Sheet2!DW218)</f>
        <v>NA</v>
      </c>
      <c r="DM219" s="14">
        <f>IF([1]Sheet2!DX218=999999,"NA",[1]Sheet2!DX218)</f>
        <v>149</v>
      </c>
      <c r="DN219" s="14">
        <f>IF([1]Sheet2!DY218=999999,"NA",[1]Sheet2!DY218)</f>
        <v>149</v>
      </c>
      <c r="DO219" s="14" t="str">
        <f>IF([1]Sheet2!DZ218=999999,"NA",[1]Sheet2!DZ218)</f>
        <v>NA</v>
      </c>
      <c r="DP219" s="14" t="str">
        <f>IF([1]Sheet2!EA218=999999,"NA",[1]Sheet2!EA218)</f>
        <v>NA</v>
      </c>
      <c r="DQ219" s="14">
        <f>[1]Sheet2!CX218</f>
        <v>0</v>
      </c>
      <c r="DR219" s="14">
        <f>[1]Sheet2!CY218</f>
        <v>0</v>
      </c>
      <c r="DS219" s="14">
        <f>[1]Sheet2!CZ218</f>
        <v>0</v>
      </c>
      <c r="DT219" s="14">
        <f>[1]Sheet2!DA218</f>
        <v>0</v>
      </c>
      <c r="DU219" s="14">
        <f>[1]Sheet2!DB218</f>
        <v>0</v>
      </c>
      <c r="DV219" s="14">
        <f>[1]Sheet2!DC218</f>
        <v>0</v>
      </c>
      <c r="DW219" s="14">
        <f>[1]Sheet2!DD218</f>
        <v>0</v>
      </c>
      <c r="DX219" s="14">
        <f>[1]Sheet2!DE218</f>
        <v>0</v>
      </c>
      <c r="DY219" s="14">
        <f>[1]Sheet2!DF218</f>
        <v>0</v>
      </c>
      <c r="DZ219" s="14">
        <f>[1]Sheet2!DG218</f>
        <v>0</v>
      </c>
    </row>
    <row r="220" spans="1:130" x14ac:dyDescent="0.25">
      <c r="A220" s="15">
        <v>43682</v>
      </c>
      <c r="B220" s="1"/>
      <c r="C220" s="1"/>
      <c r="D220" s="1"/>
      <c r="E220" s="14">
        <f>[1]Sheet2!N219</f>
        <v>0</v>
      </c>
      <c r="F220" s="14">
        <f>[1]Sheet2!BE219</f>
        <v>0</v>
      </c>
      <c r="G220" s="14">
        <f>[1]Sheet2!CV219</f>
        <v>262.03473945409428</v>
      </c>
      <c r="H220" s="1"/>
      <c r="I220" s="1"/>
      <c r="J220" s="1"/>
      <c r="K220" s="16">
        <f>Demand_CWRS!B$10/31</f>
        <v>120.8438508064516</v>
      </c>
      <c r="L220" s="16">
        <f>Demand_CWRS!C$10/31</f>
        <v>552.80165425971859</v>
      </c>
      <c r="M220" s="16">
        <f>Demand_CWRS!D$10/31</f>
        <v>0</v>
      </c>
      <c r="N220" s="16">
        <f>Demand_CWRS!E$10/31</f>
        <v>141.75971877584777</v>
      </c>
      <c r="O220" s="16">
        <f>Demand_CWRS!F$10/31</f>
        <v>252.70758116211746</v>
      </c>
      <c r="P220" s="16">
        <f>Demand_CWRS!G$10/31</f>
        <v>116.12903225806451</v>
      </c>
      <c r="Q220" s="16">
        <f>Demand_CWRS!H$10/31</f>
        <v>552.80165425971859</v>
      </c>
      <c r="R220" s="16">
        <f>Demand_CWRS!I$10/31</f>
        <v>252.70758116211746</v>
      </c>
      <c r="S220" s="16">
        <f>Demand_CWRS!J$10/31</f>
        <v>252.70758116211746</v>
      </c>
      <c r="T220" s="16">
        <f>Demand_CWRS!K$10/31</f>
        <v>252.70758116211746</v>
      </c>
      <c r="U220" s="16">
        <f t="shared" si="93"/>
        <v>-29292.692089505654</v>
      </c>
      <c r="V220" s="16">
        <f t="shared" si="94"/>
        <v>-99888.990322580299</v>
      </c>
      <c r="W220" s="16">
        <f t="shared" si="95"/>
        <v>0</v>
      </c>
      <c r="X220" s="16">
        <f t="shared" si="96"/>
        <v>-25602.241810367304</v>
      </c>
      <c r="Y220" s="16">
        <f t="shared" si="97"/>
        <v>-50140.127141245488</v>
      </c>
      <c r="Z220" s="16">
        <f t="shared" si="98"/>
        <v>-30876.344847725275</v>
      </c>
      <c r="AA220" s="16">
        <f t="shared" si="99"/>
        <v>-108232.9903225803</v>
      </c>
      <c r="AB220" s="16">
        <f t="shared" si="100"/>
        <v>-47656.281660476205</v>
      </c>
      <c r="AC220" s="16">
        <f t="shared" si="101"/>
        <v>-47656.281660476197</v>
      </c>
      <c r="AD220" s="16">
        <f t="shared" si="102"/>
        <v>-48356.28166047619</v>
      </c>
      <c r="AE220" s="14">
        <f>IF([1]Sheet2!AJ219=999999,"NA",[1]Sheet2!AJ219)</f>
        <v>0</v>
      </c>
      <c r="AF220" s="14">
        <f>IF([1]Sheet2!AK219=999999,"NA",[1]Sheet2!AK219)</f>
        <v>0</v>
      </c>
      <c r="AG220" s="14" t="str">
        <f>IF([1]Sheet2!AL219=999999,"NA",[1]Sheet2!AL219)</f>
        <v>NA</v>
      </c>
      <c r="AH220" s="14">
        <f>IF([1]Sheet2!AM219=999999,"NA",[1]Sheet2!AM219)</f>
        <v>148</v>
      </c>
      <c r="AI220" s="14">
        <f>IF([1]Sheet2!AN219=999999,"NA",[1]Sheet2!AN219)</f>
        <v>148</v>
      </c>
      <c r="AJ220" s="14">
        <f>IF([1]Sheet2!AO219=999999,"NA",[1]Sheet2!AO219)</f>
        <v>148</v>
      </c>
      <c r="AK220" s="14">
        <f>IF([1]Sheet2!AP219=999999,"NA",[1]Sheet2!AP219)</f>
        <v>0</v>
      </c>
      <c r="AL220" s="14">
        <f>IF([1]Sheet2!AQ219=999999,"NA",[1]Sheet2!AQ219)</f>
        <v>24</v>
      </c>
      <c r="AM220" s="14">
        <f>IF([1]Sheet2!AR219=999999,"NA",[1]Sheet2!AR219)</f>
        <v>148</v>
      </c>
      <c r="AN220" s="14">
        <f>IF([1]Sheet2!AS219=999999,"NA",[1]Sheet2!AS219)</f>
        <v>80</v>
      </c>
      <c r="AO220" s="14">
        <f>[1]Sheet2!P219</f>
        <v>0</v>
      </c>
      <c r="AP220" s="14">
        <f>[1]Sheet2!Q219</f>
        <v>0</v>
      </c>
      <c r="AQ220" s="14">
        <f>[1]Sheet2!R219</f>
        <v>0</v>
      </c>
      <c r="AR220" s="14">
        <f>[1]Sheet2!S219</f>
        <v>0</v>
      </c>
      <c r="AS220" s="14">
        <f>[1]Sheet2!T219</f>
        <v>0</v>
      </c>
      <c r="AT220" s="14">
        <f>[1]Sheet2!U219</f>
        <v>0</v>
      </c>
      <c r="AU220" s="14">
        <f>[1]Sheet2!V219</f>
        <v>0</v>
      </c>
      <c r="AV220" s="14">
        <f>[1]Sheet2!W219</f>
        <v>0</v>
      </c>
      <c r="AW220" s="14">
        <f>[1]Sheet2!X219</f>
        <v>0</v>
      </c>
      <c r="AX220" s="14">
        <f>[1]Sheet2!Y219</f>
        <v>0</v>
      </c>
      <c r="AY220" s="16">
        <f>Demand_LP!B$10/31</f>
        <v>857.18246226220015</v>
      </c>
      <c r="AZ220" s="16">
        <f>Demand_LP!C$10/31</f>
        <v>528.30835401157981</v>
      </c>
      <c r="BA220" s="16">
        <f>Demand_LP!D$10/31</f>
        <v>338.76323407775027</v>
      </c>
      <c r="BB220" s="16">
        <f>Demand_LP!E$10/31</f>
        <v>735.04776674937955</v>
      </c>
      <c r="BC220" s="16">
        <f>Demand_LP!F$10/31</f>
        <v>479.51259046732832</v>
      </c>
      <c r="BD220" s="16">
        <f>Demand_LP!G$10/31</f>
        <v>857.18246226220015</v>
      </c>
      <c r="BE220" s="16">
        <f>Demand_LP!H$10/31</f>
        <v>528.30835401157981</v>
      </c>
      <c r="BF220" s="16">
        <f>Demand_LP!I$10/31</f>
        <v>479.51259046732832</v>
      </c>
      <c r="BG220" s="16">
        <f>Demand_LP!J$10/31</f>
        <v>479.51259046732832</v>
      </c>
      <c r="BH220" s="16">
        <f>Demand_LP!K$10/31</f>
        <v>479.51259046732832</v>
      </c>
      <c r="BI220" s="16" t="e">
        <f t="shared" si="103"/>
        <v>#VALUE!</v>
      </c>
      <c r="BJ220" s="16">
        <f t="shared" si="104"/>
        <v>-123550.1238213397</v>
      </c>
      <c r="BK220" s="16">
        <f t="shared" si="105"/>
        <v>-62556.755913978443</v>
      </c>
      <c r="BL220" s="16">
        <f t="shared" si="106"/>
        <v>-162009.44009956936</v>
      </c>
      <c r="BM220" s="16">
        <f t="shared" si="107"/>
        <v>-99334.842751914781</v>
      </c>
      <c r="BN220" s="16">
        <f t="shared" si="108"/>
        <v>-166395.01616284042</v>
      </c>
      <c r="BO220" s="16">
        <f t="shared" si="109"/>
        <v>-132764.70330851927</v>
      </c>
      <c r="BP220" s="16">
        <f t="shared" si="110"/>
        <v>-98792.526670285384</v>
      </c>
      <c r="BQ220" s="16">
        <f t="shared" si="111"/>
        <v>-95392.526670285428</v>
      </c>
      <c r="BR220" s="16">
        <f t="shared" si="112"/>
        <v>-96592.526670285384</v>
      </c>
      <c r="BS220" s="14">
        <f>IF([1]Sheet2!CA219=999999,"NA",[1]Sheet2!CA219)</f>
        <v>119886.47332971478</v>
      </c>
      <c r="BT220" s="14">
        <f>IF([1]Sheet2!CB219=999999,"NA",[1]Sheet2!CB219)</f>
        <v>78</v>
      </c>
      <c r="BU220" s="14">
        <f>IF([1]Sheet2!CC219=999999,"NA",[1]Sheet2!CC219)</f>
        <v>148</v>
      </c>
      <c r="BV220" s="14">
        <f>IF([1]Sheet2!CD219=999999,"NA",[1]Sheet2!CD219)</f>
        <v>148</v>
      </c>
      <c r="BW220" s="14">
        <f>IF([1]Sheet2!CE219=999999,"NA",[1]Sheet2!CE219)</f>
        <v>110</v>
      </c>
      <c r="BX220" s="14">
        <f>IF([1]Sheet2!CF219=999999,"NA",[1]Sheet2!CF219)</f>
        <v>148</v>
      </c>
      <c r="BY220" s="14">
        <f>IF([1]Sheet2!CG219=999999,"NA",[1]Sheet2!CG219)</f>
        <v>42</v>
      </c>
      <c r="BZ220" s="14">
        <f>IF([1]Sheet2!CH219=999999,"NA",[1]Sheet2!CH219)</f>
        <v>148</v>
      </c>
      <c r="CA220" s="14">
        <f>IF([1]Sheet2!CI219=999999,"NA",[1]Sheet2!CI219)</f>
        <v>148</v>
      </c>
      <c r="CB220" s="14">
        <f>IF([1]Sheet2!CJ219=999999,"NA",[1]Sheet2!CJ219)</f>
        <v>148</v>
      </c>
      <c r="CC220" s="14">
        <f>[1]Sheet2!BG219</f>
        <v>0</v>
      </c>
      <c r="CD220" s="14">
        <f>[1]Sheet2!BH219</f>
        <v>0</v>
      </c>
      <c r="CE220" s="14">
        <f>[1]Sheet2!BI219</f>
        <v>0</v>
      </c>
      <c r="CF220" s="14">
        <f>[1]Sheet2!BJ219</f>
        <v>0</v>
      </c>
      <c r="CG220" s="14">
        <f>[1]Sheet2!BK219</f>
        <v>0</v>
      </c>
      <c r="CH220" s="14">
        <f>[1]Sheet2!BL219</f>
        <v>0</v>
      </c>
      <c r="CI220" s="14">
        <f>[1]Sheet2!BM219</f>
        <v>0</v>
      </c>
      <c r="CJ220" s="14">
        <f>[1]Sheet2!BN219</f>
        <v>0</v>
      </c>
      <c r="CK220" s="14">
        <f>[1]Sheet2!BO219</f>
        <v>0</v>
      </c>
      <c r="CL220" s="14">
        <f>[1]Sheet2!BP219</f>
        <v>0</v>
      </c>
      <c r="CM220" s="16">
        <f>Demand_SW!B$10/31</f>
        <v>131.01736972704714</v>
      </c>
      <c r="CN220" s="16">
        <f>Demand_SW!C$10/31</f>
        <v>0</v>
      </c>
      <c r="CO220" s="16">
        <f>Demand_SW!D$10/31</f>
        <v>0</v>
      </c>
      <c r="CP220" s="16">
        <f>Demand_SW!E$10/31</f>
        <v>0</v>
      </c>
      <c r="CQ220" s="16">
        <f>Demand_SW!F$10/31</f>
        <v>0</v>
      </c>
      <c r="CR220" s="16">
        <f>Demand_SW!G$10/31</f>
        <v>131.01736972704714</v>
      </c>
      <c r="CS220" s="16">
        <f>Demand_SW!H$10/31</f>
        <v>0</v>
      </c>
      <c r="CT220" s="16">
        <f>Demand_SW!I$10/31</f>
        <v>0</v>
      </c>
      <c r="CU220" s="16">
        <f>Demand_SW!J$10/31</f>
        <v>0</v>
      </c>
      <c r="CV220" s="16">
        <f>Demand_SW!K$10/31</f>
        <v>0</v>
      </c>
      <c r="CW220" s="16">
        <f t="shared" si="113"/>
        <v>71685.682382134022</v>
      </c>
      <c r="CX220" s="16">
        <f t="shared" si="114"/>
        <v>20683.923076923078</v>
      </c>
      <c r="CY220" s="16">
        <f t="shared" si="115"/>
        <v>0</v>
      </c>
      <c r="CZ220" s="16">
        <f t="shared" si="116"/>
        <v>0</v>
      </c>
      <c r="DA220" s="16">
        <f t="shared" si="117"/>
        <v>0</v>
      </c>
      <c r="DB220" s="16">
        <f t="shared" si="118"/>
        <v>-27843.548387096773</v>
      </c>
      <c r="DC220" s="16">
        <f t="shared" si="119"/>
        <v>-423.07692307692292</v>
      </c>
      <c r="DD220" s="16">
        <f t="shared" si="120"/>
        <v>0</v>
      </c>
      <c r="DE220" s="16">
        <f t="shared" si="121"/>
        <v>0</v>
      </c>
      <c r="DF220" s="16">
        <f t="shared" si="122"/>
        <v>0</v>
      </c>
      <c r="DG220" s="14">
        <f>IF([1]Sheet2!DR219=999999,"NA",[1]Sheet2!DR219)</f>
        <v>73103</v>
      </c>
      <c r="DH220" s="14">
        <f>IF([1]Sheet2!DS219=999999,"NA",[1]Sheet2!DS219)</f>
        <v>148</v>
      </c>
      <c r="DI220" s="14">
        <f>IF([1]Sheet2!DT219=999999,"NA",[1]Sheet2!DT219)</f>
        <v>148</v>
      </c>
      <c r="DJ220" s="14" t="str">
        <f>IF([1]Sheet2!DU219=999999,"NA",[1]Sheet2!DU219)</f>
        <v>NA</v>
      </c>
      <c r="DK220" s="14" t="str">
        <f>IF([1]Sheet2!DV219=999999,"NA",[1]Sheet2!DV219)</f>
        <v>NA</v>
      </c>
      <c r="DL220" s="14" t="str">
        <f>IF([1]Sheet2!DW219=999999,"NA",[1]Sheet2!DW219)</f>
        <v>NA</v>
      </c>
      <c r="DM220" s="14">
        <f>IF([1]Sheet2!DX219=999999,"NA",[1]Sheet2!DX219)</f>
        <v>148</v>
      </c>
      <c r="DN220" s="14">
        <f>IF([1]Sheet2!DY219=999999,"NA",[1]Sheet2!DY219)</f>
        <v>148</v>
      </c>
      <c r="DO220" s="14" t="str">
        <f>IF([1]Sheet2!DZ219=999999,"NA",[1]Sheet2!DZ219)</f>
        <v>NA</v>
      </c>
      <c r="DP220" s="14" t="str">
        <f>IF([1]Sheet2!EA219=999999,"NA",[1]Sheet2!EA219)</f>
        <v>NA</v>
      </c>
      <c r="DQ220" s="14">
        <f>[1]Sheet2!CX219</f>
        <v>0</v>
      </c>
      <c r="DR220" s="14">
        <f>[1]Sheet2!CY219</f>
        <v>0</v>
      </c>
      <c r="DS220" s="14">
        <f>[1]Sheet2!CZ219</f>
        <v>0</v>
      </c>
      <c r="DT220" s="14">
        <f>[1]Sheet2!DA219</f>
        <v>0</v>
      </c>
      <c r="DU220" s="14">
        <f>[1]Sheet2!DB219</f>
        <v>0</v>
      </c>
      <c r="DV220" s="14">
        <f>[1]Sheet2!DC219</f>
        <v>0</v>
      </c>
      <c r="DW220" s="14">
        <f>[1]Sheet2!DD219</f>
        <v>0</v>
      </c>
      <c r="DX220" s="14">
        <f>[1]Sheet2!DE219</f>
        <v>0</v>
      </c>
      <c r="DY220" s="14">
        <f>[1]Sheet2!DF219</f>
        <v>0</v>
      </c>
      <c r="DZ220" s="14">
        <f>[1]Sheet2!DG219</f>
        <v>0</v>
      </c>
    </row>
    <row r="221" spans="1:130" x14ac:dyDescent="0.25">
      <c r="A221" s="15">
        <v>43683</v>
      </c>
      <c r="B221" s="1"/>
      <c r="C221" s="1"/>
      <c r="D221" s="1"/>
      <c r="E221" s="14">
        <f>[1]Sheet2!N220</f>
        <v>0</v>
      </c>
      <c r="F221" s="14">
        <f>[1]Sheet2!BE220</f>
        <v>0</v>
      </c>
      <c r="G221" s="14">
        <f>[1]Sheet2!CV220</f>
        <v>262.03473945409428</v>
      </c>
      <c r="H221" s="1"/>
      <c r="I221" s="1"/>
      <c r="J221" s="1"/>
      <c r="K221" s="16">
        <f>Demand_CWRS!B$10/31</f>
        <v>120.8438508064516</v>
      </c>
      <c r="L221" s="16">
        <f>Demand_CWRS!C$10/31</f>
        <v>552.80165425971859</v>
      </c>
      <c r="M221" s="16">
        <f>Demand_CWRS!D$10/31</f>
        <v>0</v>
      </c>
      <c r="N221" s="16">
        <f>Demand_CWRS!E$10/31</f>
        <v>141.75971877584777</v>
      </c>
      <c r="O221" s="16">
        <f>Demand_CWRS!F$10/31</f>
        <v>252.70758116211746</v>
      </c>
      <c r="P221" s="16">
        <f>Demand_CWRS!G$10/31</f>
        <v>116.12903225806451</v>
      </c>
      <c r="Q221" s="16">
        <f>Demand_CWRS!H$10/31</f>
        <v>552.80165425971859</v>
      </c>
      <c r="R221" s="16">
        <f>Demand_CWRS!I$10/31</f>
        <v>252.70758116211746</v>
      </c>
      <c r="S221" s="16">
        <f>Demand_CWRS!J$10/31</f>
        <v>252.70758116211746</v>
      </c>
      <c r="T221" s="16">
        <f>Demand_CWRS!K$10/31</f>
        <v>252.70758116211746</v>
      </c>
      <c r="U221" s="16">
        <f t="shared" si="93"/>
        <v>-29413.535940312104</v>
      </c>
      <c r="V221" s="16">
        <f t="shared" si="94"/>
        <v>-100441.79197684002</v>
      </c>
      <c r="W221" s="16">
        <f t="shared" si="95"/>
        <v>0</v>
      </c>
      <c r="X221" s="16">
        <f t="shared" si="96"/>
        <v>-25744.001529143152</v>
      </c>
      <c r="Y221" s="16">
        <f t="shared" si="97"/>
        <v>-50392.834722407606</v>
      </c>
      <c r="Z221" s="16">
        <f t="shared" si="98"/>
        <v>-30992.473879983339</v>
      </c>
      <c r="AA221" s="16">
        <f t="shared" si="99"/>
        <v>-108785.79197684002</v>
      </c>
      <c r="AB221" s="16">
        <f t="shared" si="100"/>
        <v>-47908.989241638323</v>
      </c>
      <c r="AC221" s="16">
        <f t="shared" si="101"/>
        <v>-47908.989241638315</v>
      </c>
      <c r="AD221" s="16">
        <f t="shared" si="102"/>
        <v>-48608.989241638308</v>
      </c>
      <c r="AE221" s="14">
        <f>IF([1]Sheet2!AJ220=999999,"NA",[1]Sheet2!AJ220)</f>
        <v>0</v>
      </c>
      <c r="AF221" s="14">
        <f>IF([1]Sheet2!AK220=999999,"NA",[1]Sheet2!AK220)</f>
        <v>0</v>
      </c>
      <c r="AG221" s="14" t="str">
        <f>IF([1]Sheet2!AL220=999999,"NA",[1]Sheet2!AL220)</f>
        <v>NA</v>
      </c>
      <c r="AH221" s="14">
        <f>IF([1]Sheet2!AM220=999999,"NA",[1]Sheet2!AM220)</f>
        <v>147</v>
      </c>
      <c r="AI221" s="14">
        <f>IF([1]Sheet2!AN220=999999,"NA",[1]Sheet2!AN220)</f>
        <v>147</v>
      </c>
      <c r="AJ221" s="14">
        <f>IF([1]Sheet2!AO220=999999,"NA",[1]Sheet2!AO220)</f>
        <v>147</v>
      </c>
      <c r="AK221" s="14">
        <f>IF([1]Sheet2!AP220=999999,"NA",[1]Sheet2!AP220)</f>
        <v>0</v>
      </c>
      <c r="AL221" s="14">
        <f>IF([1]Sheet2!AQ220=999999,"NA",[1]Sheet2!AQ220)</f>
        <v>23</v>
      </c>
      <c r="AM221" s="14">
        <f>IF([1]Sheet2!AR220=999999,"NA",[1]Sheet2!AR220)</f>
        <v>147</v>
      </c>
      <c r="AN221" s="14">
        <f>IF([1]Sheet2!AS220=999999,"NA",[1]Sheet2!AS220)</f>
        <v>79</v>
      </c>
      <c r="AO221" s="14">
        <f>[1]Sheet2!P220</f>
        <v>0</v>
      </c>
      <c r="AP221" s="14">
        <f>[1]Sheet2!Q220</f>
        <v>0</v>
      </c>
      <c r="AQ221" s="14">
        <f>[1]Sheet2!R220</f>
        <v>0</v>
      </c>
      <c r="AR221" s="14">
        <f>[1]Sheet2!S220</f>
        <v>0</v>
      </c>
      <c r="AS221" s="14">
        <f>[1]Sheet2!T220</f>
        <v>0</v>
      </c>
      <c r="AT221" s="14">
        <f>[1]Sheet2!U220</f>
        <v>0</v>
      </c>
      <c r="AU221" s="14">
        <f>[1]Sheet2!V220</f>
        <v>0</v>
      </c>
      <c r="AV221" s="14">
        <f>[1]Sheet2!W220</f>
        <v>0</v>
      </c>
      <c r="AW221" s="14">
        <f>[1]Sheet2!X220</f>
        <v>0</v>
      </c>
      <c r="AX221" s="14">
        <f>[1]Sheet2!Y220</f>
        <v>0</v>
      </c>
      <c r="AY221" s="16">
        <f>Demand_LP!B$10/31</f>
        <v>857.18246226220015</v>
      </c>
      <c r="AZ221" s="16">
        <f>Demand_LP!C$10/31</f>
        <v>528.30835401157981</v>
      </c>
      <c r="BA221" s="16">
        <f>Demand_LP!D$10/31</f>
        <v>338.76323407775027</v>
      </c>
      <c r="BB221" s="16">
        <f>Demand_LP!E$10/31</f>
        <v>735.04776674937955</v>
      </c>
      <c r="BC221" s="16">
        <f>Demand_LP!F$10/31</f>
        <v>479.51259046732832</v>
      </c>
      <c r="BD221" s="16">
        <f>Demand_LP!G$10/31</f>
        <v>857.18246226220015</v>
      </c>
      <c r="BE221" s="16">
        <f>Demand_LP!H$10/31</f>
        <v>528.30835401157981</v>
      </c>
      <c r="BF221" s="16">
        <f>Demand_LP!I$10/31</f>
        <v>479.51259046732832</v>
      </c>
      <c r="BG221" s="16">
        <f>Demand_LP!J$10/31</f>
        <v>479.51259046732832</v>
      </c>
      <c r="BH221" s="16">
        <f>Demand_LP!K$10/31</f>
        <v>479.51259046732832</v>
      </c>
      <c r="BI221" s="16" t="e">
        <f t="shared" si="103"/>
        <v>#VALUE!</v>
      </c>
      <c r="BJ221" s="16">
        <f t="shared" si="104"/>
        <v>-124078.43217535128</v>
      </c>
      <c r="BK221" s="16">
        <f t="shared" si="105"/>
        <v>-62895.519148056192</v>
      </c>
      <c r="BL221" s="16">
        <f t="shared" si="106"/>
        <v>-162744.48786631873</v>
      </c>
      <c r="BM221" s="16">
        <f t="shared" si="107"/>
        <v>-99814.355342382114</v>
      </c>
      <c r="BN221" s="16">
        <f t="shared" si="108"/>
        <v>-167252.19862510261</v>
      </c>
      <c r="BO221" s="16">
        <f t="shared" si="109"/>
        <v>-133293.01166253086</v>
      </c>
      <c r="BP221" s="16">
        <f t="shared" si="110"/>
        <v>-99272.039260752717</v>
      </c>
      <c r="BQ221" s="16">
        <f t="shared" si="111"/>
        <v>-95872.039260752761</v>
      </c>
      <c r="BR221" s="16">
        <f t="shared" si="112"/>
        <v>-97072.039260752717</v>
      </c>
      <c r="BS221" s="14">
        <f>IF([1]Sheet2!CA220=999999,"NA",[1]Sheet2!CA220)</f>
        <v>119406.96073924744</v>
      </c>
      <c r="BT221" s="14">
        <f>IF([1]Sheet2!CB220=999999,"NA",[1]Sheet2!CB220)</f>
        <v>77</v>
      </c>
      <c r="BU221" s="14">
        <f>IF([1]Sheet2!CC220=999999,"NA",[1]Sheet2!CC220)</f>
        <v>147</v>
      </c>
      <c r="BV221" s="14">
        <f>IF([1]Sheet2!CD220=999999,"NA",[1]Sheet2!CD220)</f>
        <v>147</v>
      </c>
      <c r="BW221" s="14">
        <f>IF([1]Sheet2!CE220=999999,"NA",[1]Sheet2!CE220)</f>
        <v>109</v>
      </c>
      <c r="BX221" s="14">
        <f>IF([1]Sheet2!CF220=999999,"NA",[1]Sheet2!CF220)</f>
        <v>147</v>
      </c>
      <c r="BY221" s="14">
        <f>IF([1]Sheet2!CG220=999999,"NA",[1]Sheet2!CG220)</f>
        <v>41</v>
      </c>
      <c r="BZ221" s="14">
        <f>IF([1]Sheet2!CH220=999999,"NA",[1]Sheet2!CH220)</f>
        <v>147</v>
      </c>
      <c r="CA221" s="14">
        <f>IF([1]Sheet2!CI220=999999,"NA",[1]Sheet2!CI220)</f>
        <v>147</v>
      </c>
      <c r="CB221" s="14">
        <f>IF([1]Sheet2!CJ220=999999,"NA",[1]Sheet2!CJ220)</f>
        <v>147</v>
      </c>
      <c r="CC221" s="14">
        <f>[1]Sheet2!BG220</f>
        <v>0</v>
      </c>
      <c r="CD221" s="14">
        <f>[1]Sheet2!BH220</f>
        <v>0</v>
      </c>
      <c r="CE221" s="14">
        <f>[1]Sheet2!BI220</f>
        <v>0</v>
      </c>
      <c r="CF221" s="14">
        <f>[1]Sheet2!BJ220</f>
        <v>0</v>
      </c>
      <c r="CG221" s="14">
        <f>[1]Sheet2!BK220</f>
        <v>0</v>
      </c>
      <c r="CH221" s="14">
        <f>[1]Sheet2!BL220</f>
        <v>0</v>
      </c>
      <c r="CI221" s="14">
        <f>[1]Sheet2!BM220</f>
        <v>0</v>
      </c>
      <c r="CJ221" s="14">
        <f>[1]Sheet2!BN220</f>
        <v>0</v>
      </c>
      <c r="CK221" s="14">
        <f>[1]Sheet2!BO220</f>
        <v>0</v>
      </c>
      <c r="CL221" s="14">
        <f>[1]Sheet2!BP220</f>
        <v>0</v>
      </c>
      <c r="CM221" s="16">
        <f>Demand_SW!B$10/31</f>
        <v>131.01736972704714</v>
      </c>
      <c r="CN221" s="16">
        <f>Demand_SW!C$10/31</f>
        <v>0</v>
      </c>
      <c r="CO221" s="16">
        <f>Demand_SW!D$10/31</f>
        <v>0</v>
      </c>
      <c r="CP221" s="16">
        <f>Demand_SW!E$10/31</f>
        <v>0</v>
      </c>
      <c r="CQ221" s="16">
        <f>Demand_SW!F$10/31</f>
        <v>0</v>
      </c>
      <c r="CR221" s="16">
        <f>Demand_SW!G$10/31</f>
        <v>131.01736972704714</v>
      </c>
      <c r="CS221" s="16">
        <f>Demand_SW!H$10/31</f>
        <v>0</v>
      </c>
      <c r="CT221" s="16">
        <f>Demand_SW!I$10/31</f>
        <v>0</v>
      </c>
      <c r="CU221" s="16">
        <f>Demand_SW!J$10/31</f>
        <v>0</v>
      </c>
      <c r="CV221" s="16">
        <f>Demand_SW!K$10/31</f>
        <v>0</v>
      </c>
      <c r="CW221" s="16">
        <f t="shared" si="113"/>
        <v>71554.665012406971</v>
      </c>
      <c r="CX221" s="16">
        <f t="shared" si="114"/>
        <v>20683.923076923078</v>
      </c>
      <c r="CY221" s="16">
        <f t="shared" si="115"/>
        <v>0</v>
      </c>
      <c r="CZ221" s="16">
        <f t="shared" si="116"/>
        <v>0</v>
      </c>
      <c r="DA221" s="16">
        <f t="shared" si="117"/>
        <v>0</v>
      </c>
      <c r="DB221" s="16">
        <f t="shared" si="118"/>
        <v>-27974.56575682382</v>
      </c>
      <c r="DC221" s="16">
        <f t="shared" si="119"/>
        <v>-423.07692307692292</v>
      </c>
      <c r="DD221" s="16">
        <f t="shared" si="120"/>
        <v>0</v>
      </c>
      <c r="DE221" s="16">
        <f t="shared" si="121"/>
        <v>0</v>
      </c>
      <c r="DF221" s="16">
        <f t="shared" si="122"/>
        <v>0</v>
      </c>
      <c r="DG221" s="14">
        <f>IF([1]Sheet2!DR220=999999,"NA",[1]Sheet2!DR220)</f>
        <v>73103</v>
      </c>
      <c r="DH221" s="14">
        <f>IF([1]Sheet2!DS220=999999,"NA",[1]Sheet2!DS220)</f>
        <v>147</v>
      </c>
      <c r="DI221" s="14">
        <f>IF([1]Sheet2!DT220=999999,"NA",[1]Sheet2!DT220)</f>
        <v>147</v>
      </c>
      <c r="DJ221" s="14" t="str">
        <f>IF([1]Sheet2!DU220=999999,"NA",[1]Sheet2!DU220)</f>
        <v>NA</v>
      </c>
      <c r="DK221" s="14" t="str">
        <f>IF([1]Sheet2!DV220=999999,"NA",[1]Sheet2!DV220)</f>
        <v>NA</v>
      </c>
      <c r="DL221" s="14" t="str">
        <f>IF([1]Sheet2!DW220=999999,"NA",[1]Sheet2!DW220)</f>
        <v>NA</v>
      </c>
      <c r="DM221" s="14">
        <f>IF([1]Sheet2!DX220=999999,"NA",[1]Sheet2!DX220)</f>
        <v>147</v>
      </c>
      <c r="DN221" s="14">
        <f>IF([1]Sheet2!DY220=999999,"NA",[1]Sheet2!DY220)</f>
        <v>147</v>
      </c>
      <c r="DO221" s="14" t="str">
        <f>IF([1]Sheet2!DZ220=999999,"NA",[1]Sheet2!DZ220)</f>
        <v>NA</v>
      </c>
      <c r="DP221" s="14" t="str">
        <f>IF([1]Sheet2!EA220=999999,"NA",[1]Sheet2!EA220)</f>
        <v>NA</v>
      </c>
      <c r="DQ221" s="14">
        <f>[1]Sheet2!CX220</f>
        <v>0</v>
      </c>
      <c r="DR221" s="14">
        <f>[1]Sheet2!CY220</f>
        <v>0</v>
      </c>
      <c r="DS221" s="14">
        <f>[1]Sheet2!CZ220</f>
        <v>0</v>
      </c>
      <c r="DT221" s="14">
        <f>[1]Sheet2!DA220</f>
        <v>0</v>
      </c>
      <c r="DU221" s="14">
        <f>[1]Sheet2!DB220</f>
        <v>0</v>
      </c>
      <c r="DV221" s="14">
        <f>[1]Sheet2!DC220</f>
        <v>0</v>
      </c>
      <c r="DW221" s="14">
        <f>[1]Sheet2!DD220</f>
        <v>0</v>
      </c>
      <c r="DX221" s="14">
        <f>[1]Sheet2!DE220</f>
        <v>0</v>
      </c>
      <c r="DY221" s="14">
        <f>[1]Sheet2!DF220</f>
        <v>0</v>
      </c>
      <c r="DZ221" s="14">
        <f>[1]Sheet2!DG220</f>
        <v>0</v>
      </c>
    </row>
    <row r="222" spans="1:130" x14ac:dyDescent="0.25">
      <c r="A222" s="15">
        <v>43684</v>
      </c>
      <c r="B222" s="1"/>
      <c r="C222" s="1"/>
      <c r="D222" s="1"/>
      <c r="E222" s="14">
        <f>[1]Sheet2!N221</f>
        <v>0</v>
      </c>
      <c r="F222" s="14">
        <f>[1]Sheet2!BE221</f>
        <v>0</v>
      </c>
      <c r="G222" s="14">
        <f>[1]Sheet2!CV221</f>
        <v>262.03473945409428</v>
      </c>
      <c r="H222" s="1"/>
      <c r="I222" s="1"/>
      <c r="J222" s="1"/>
      <c r="K222" s="16">
        <f>Demand_CWRS!B$10/31</f>
        <v>120.8438508064516</v>
      </c>
      <c r="L222" s="16">
        <f>Demand_CWRS!C$10/31</f>
        <v>552.80165425971859</v>
      </c>
      <c r="M222" s="16">
        <f>Demand_CWRS!D$10/31</f>
        <v>0</v>
      </c>
      <c r="N222" s="16">
        <f>Demand_CWRS!E$10/31</f>
        <v>141.75971877584777</v>
      </c>
      <c r="O222" s="16">
        <f>Demand_CWRS!F$10/31</f>
        <v>252.70758116211746</v>
      </c>
      <c r="P222" s="16">
        <f>Demand_CWRS!G$10/31</f>
        <v>116.12903225806451</v>
      </c>
      <c r="Q222" s="16">
        <f>Demand_CWRS!H$10/31</f>
        <v>552.80165425971859</v>
      </c>
      <c r="R222" s="16">
        <f>Demand_CWRS!I$10/31</f>
        <v>252.70758116211746</v>
      </c>
      <c r="S222" s="16">
        <f>Demand_CWRS!J$10/31</f>
        <v>252.70758116211746</v>
      </c>
      <c r="T222" s="16">
        <f>Demand_CWRS!K$10/31</f>
        <v>252.70758116211746</v>
      </c>
      <c r="U222" s="16">
        <f t="shared" si="93"/>
        <v>-29534.379791118554</v>
      </c>
      <c r="V222" s="16">
        <f t="shared" si="94"/>
        <v>-100994.59363109973</v>
      </c>
      <c r="W222" s="16">
        <f t="shared" si="95"/>
        <v>0</v>
      </c>
      <c r="X222" s="16">
        <f t="shared" si="96"/>
        <v>-25885.761247918999</v>
      </c>
      <c r="Y222" s="16">
        <f t="shared" si="97"/>
        <v>-50645.542303569724</v>
      </c>
      <c r="Z222" s="16">
        <f t="shared" si="98"/>
        <v>-31108.602912241404</v>
      </c>
      <c r="AA222" s="16">
        <f t="shared" si="99"/>
        <v>-109338.59363109973</v>
      </c>
      <c r="AB222" s="16">
        <f t="shared" si="100"/>
        <v>-48161.696822800441</v>
      </c>
      <c r="AC222" s="16">
        <f t="shared" si="101"/>
        <v>-48161.696822800433</v>
      </c>
      <c r="AD222" s="16">
        <f t="shared" si="102"/>
        <v>-48861.696822800426</v>
      </c>
      <c r="AE222" s="14">
        <f>IF([1]Sheet2!AJ221=999999,"NA",[1]Sheet2!AJ221)</f>
        <v>0</v>
      </c>
      <c r="AF222" s="14">
        <f>IF([1]Sheet2!AK221=999999,"NA",[1]Sheet2!AK221)</f>
        <v>0</v>
      </c>
      <c r="AG222" s="14" t="str">
        <f>IF([1]Sheet2!AL221=999999,"NA",[1]Sheet2!AL221)</f>
        <v>NA</v>
      </c>
      <c r="AH222" s="14">
        <f>IF([1]Sheet2!AM221=999999,"NA",[1]Sheet2!AM221)</f>
        <v>146</v>
      </c>
      <c r="AI222" s="14">
        <f>IF([1]Sheet2!AN221=999999,"NA",[1]Sheet2!AN221)</f>
        <v>146</v>
      </c>
      <c r="AJ222" s="14">
        <f>IF([1]Sheet2!AO221=999999,"NA",[1]Sheet2!AO221)</f>
        <v>146</v>
      </c>
      <c r="AK222" s="14">
        <f>IF([1]Sheet2!AP221=999999,"NA",[1]Sheet2!AP221)</f>
        <v>0</v>
      </c>
      <c r="AL222" s="14">
        <f>IF([1]Sheet2!AQ221=999999,"NA",[1]Sheet2!AQ221)</f>
        <v>22</v>
      </c>
      <c r="AM222" s="14">
        <f>IF([1]Sheet2!AR221=999999,"NA",[1]Sheet2!AR221)</f>
        <v>146</v>
      </c>
      <c r="AN222" s="14">
        <f>IF([1]Sheet2!AS221=999999,"NA",[1]Sheet2!AS221)</f>
        <v>78</v>
      </c>
      <c r="AO222" s="14">
        <f>[1]Sheet2!P221</f>
        <v>0</v>
      </c>
      <c r="AP222" s="14">
        <f>[1]Sheet2!Q221</f>
        <v>0</v>
      </c>
      <c r="AQ222" s="14">
        <f>[1]Sheet2!R221</f>
        <v>0</v>
      </c>
      <c r="AR222" s="14">
        <f>[1]Sheet2!S221</f>
        <v>0</v>
      </c>
      <c r="AS222" s="14">
        <f>[1]Sheet2!T221</f>
        <v>0</v>
      </c>
      <c r="AT222" s="14">
        <f>[1]Sheet2!U221</f>
        <v>0</v>
      </c>
      <c r="AU222" s="14">
        <f>[1]Sheet2!V221</f>
        <v>0</v>
      </c>
      <c r="AV222" s="14">
        <f>[1]Sheet2!W221</f>
        <v>0</v>
      </c>
      <c r="AW222" s="14">
        <f>[1]Sheet2!X221</f>
        <v>0</v>
      </c>
      <c r="AX222" s="14">
        <f>[1]Sheet2!Y221</f>
        <v>0</v>
      </c>
      <c r="AY222" s="16">
        <f>Demand_LP!B$10/31</f>
        <v>857.18246226220015</v>
      </c>
      <c r="AZ222" s="16">
        <f>Demand_LP!C$10/31</f>
        <v>528.30835401157981</v>
      </c>
      <c r="BA222" s="16">
        <f>Demand_LP!D$10/31</f>
        <v>338.76323407775027</v>
      </c>
      <c r="BB222" s="16">
        <f>Demand_LP!E$10/31</f>
        <v>735.04776674937955</v>
      </c>
      <c r="BC222" s="16">
        <f>Demand_LP!F$10/31</f>
        <v>479.51259046732832</v>
      </c>
      <c r="BD222" s="16">
        <f>Demand_LP!G$10/31</f>
        <v>857.18246226220015</v>
      </c>
      <c r="BE222" s="16">
        <f>Demand_LP!H$10/31</f>
        <v>528.30835401157981</v>
      </c>
      <c r="BF222" s="16">
        <f>Demand_LP!I$10/31</f>
        <v>479.51259046732832</v>
      </c>
      <c r="BG222" s="16">
        <f>Demand_LP!J$10/31</f>
        <v>479.51259046732832</v>
      </c>
      <c r="BH222" s="16">
        <f>Demand_LP!K$10/31</f>
        <v>479.51259046732832</v>
      </c>
      <c r="BI222" s="16" t="e">
        <f t="shared" si="103"/>
        <v>#VALUE!</v>
      </c>
      <c r="BJ222" s="16">
        <f t="shared" si="104"/>
        <v>-124606.74052936285</v>
      </c>
      <c r="BK222" s="16">
        <f t="shared" si="105"/>
        <v>-63234.282382133941</v>
      </c>
      <c r="BL222" s="16">
        <f t="shared" si="106"/>
        <v>-163479.5356330681</v>
      </c>
      <c r="BM222" s="16">
        <f t="shared" si="107"/>
        <v>-100293.86793284945</v>
      </c>
      <c r="BN222" s="16">
        <f t="shared" si="108"/>
        <v>-168109.3810873648</v>
      </c>
      <c r="BO222" s="16">
        <f t="shared" si="109"/>
        <v>-133821.32001654245</v>
      </c>
      <c r="BP222" s="16">
        <f t="shared" si="110"/>
        <v>-99751.551851220051</v>
      </c>
      <c r="BQ222" s="16">
        <f t="shared" si="111"/>
        <v>-96351.551851220094</v>
      </c>
      <c r="BR222" s="16">
        <f t="shared" si="112"/>
        <v>-97551.551851220051</v>
      </c>
      <c r="BS222" s="14">
        <f>IF([1]Sheet2!CA221=999999,"NA",[1]Sheet2!CA221)</f>
        <v>118927.44814878011</v>
      </c>
      <c r="BT222" s="14">
        <f>IF([1]Sheet2!CB221=999999,"NA",[1]Sheet2!CB221)</f>
        <v>76</v>
      </c>
      <c r="BU222" s="14">
        <f>IF([1]Sheet2!CC221=999999,"NA",[1]Sheet2!CC221)</f>
        <v>146</v>
      </c>
      <c r="BV222" s="14">
        <f>IF([1]Sheet2!CD221=999999,"NA",[1]Sheet2!CD221)</f>
        <v>146</v>
      </c>
      <c r="BW222" s="14">
        <f>IF([1]Sheet2!CE221=999999,"NA",[1]Sheet2!CE221)</f>
        <v>108</v>
      </c>
      <c r="BX222" s="14">
        <f>IF([1]Sheet2!CF221=999999,"NA",[1]Sheet2!CF221)</f>
        <v>146</v>
      </c>
      <c r="BY222" s="14">
        <f>IF([1]Sheet2!CG221=999999,"NA",[1]Sheet2!CG221)</f>
        <v>40</v>
      </c>
      <c r="BZ222" s="14">
        <f>IF([1]Sheet2!CH221=999999,"NA",[1]Sheet2!CH221)</f>
        <v>146</v>
      </c>
      <c r="CA222" s="14">
        <f>IF([1]Sheet2!CI221=999999,"NA",[1]Sheet2!CI221)</f>
        <v>146</v>
      </c>
      <c r="CB222" s="14">
        <f>IF([1]Sheet2!CJ221=999999,"NA",[1]Sheet2!CJ221)</f>
        <v>146</v>
      </c>
      <c r="CC222" s="14">
        <f>[1]Sheet2!BG221</f>
        <v>0</v>
      </c>
      <c r="CD222" s="14">
        <f>[1]Sheet2!BH221</f>
        <v>0</v>
      </c>
      <c r="CE222" s="14">
        <f>[1]Sheet2!BI221</f>
        <v>0</v>
      </c>
      <c r="CF222" s="14">
        <f>[1]Sheet2!BJ221</f>
        <v>0</v>
      </c>
      <c r="CG222" s="14">
        <f>[1]Sheet2!BK221</f>
        <v>0</v>
      </c>
      <c r="CH222" s="14">
        <f>[1]Sheet2!BL221</f>
        <v>0</v>
      </c>
      <c r="CI222" s="14">
        <f>[1]Sheet2!BM221</f>
        <v>0</v>
      </c>
      <c r="CJ222" s="14">
        <f>[1]Sheet2!BN221</f>
        <v>0</v>
      </c>
      <c r="CK222" s="14">
        <f>[1]Sheet2!BO221</f>
        <v>0</v>
      </c>
      <c r="CL222" s="14">
        <f>[1]Sheet2!BP221</f>
        <v>0</v>
      </c>
      <c r="CM222" s="16">
        <f>Demand_SW!B$10/31</f>
        <v>131.01736972704714</v>
      </c>
      <c r="CN222" s="16">
        <f>Demand_SW!C$10/31</f>
        <v>0</v>
      </c>
      <c r="CO222" s="16">
        <f>Demand_SW!D$10/31</f>
        <v>0</v>
      </c>
      <c r="CP222" s="16">
        <f>Demand_SW!E$10/31</f>
        <v>0</v>
      </c>
      <c r="CQ222" s="16">
        <f>Demand_SW!F$10/31</f>
        <v>0</v>
      </c>
      <c r="CR222" s="16">
        <f>Demand_SW!G$10/31</f>
        <v>131.01736972704714</v>
      </c>
      <c r="CS222" s="16">
        <f>Demand_SW!H$10/31</f>
        <v>0</v>
      </c>
      <c r="CT222" s="16">
        <f>Demand_SW!I$10/31</f>
        <v>0</v>
      </c>
      <c r="CU222" s="16">
        <f>Demand_SW!J$10/31</f>
        <v>0</v>
      </c>
      <c r="CV222" s="16">
        <f>Demand_SW!K$10/31</f>
        <v>0</v>
      </c>
      <c r="CW222" s="16">
        <f t="shared" si="113"/>
        <v>71423.64764267992</v>
      </c>
      <c r="CX222" s="16">
        <f t="shared" si="114"/>
        <v>20683.923076923078</v>
      </c>
      <c r="CY222" s="16">
        <f t="shared" si="115"/>
        <v>0</v>
      </c>
      <c r="CZ222" s="16">
        <f t="shared" si="116"/>
        <v>0</v>
      </c>
      <c r="DA222" s="16">
        <f t="shared" si="117"/>
        <v>0</v>
      </c>
      <c r="DB222" s="16">
        <f t="shared" si="118"/>
        <v>-28105.583126550868</v>
      </c>
      <c r="DC222" s="16">
        <f t="shared" si="119"/>
        <v>-423.07692307692292</v>
      </c>
      <c r="DD222" s="16">
        <f t="shared" si="120"/>
        <v>0</v>
      </c>
      <c r="DE222" s="16">
        <f t="shared" si="121"/>
        <v>0</v>
      </c>
      <c r="DF222" s="16">
        <f t="shared" si="122"/>
        <v>0</v>
      </c>
      <c r="DG222" s="14">
        <f>IF([1]Sheet2!DR221=999999,"NA",[1]Sheet2!DR221)</f>
        <v>73103</v>
      </c>
      <c r="DH222" s="14">
        <f>IF([1]Sheet2!DS221=999999,"NA",[1]Sheet2!DS221)</f>
        <v>146</v>
      </c>
      <c r="DI222" s="14">
        <f>IF([1]Sheet2!DT221=999999,"NA",[1]Sheet2!DT221)</f>
        <v>146</v>
      </c>
      <c r="DJ222" s="14" t="str">
        <f>IF([1]Sheet2!DU221=999999,"NA",[1]Sheet2!DU221)</f>
        <v>NA</v>
      </c>
      <c r="DK222" s="14" t="str">
        <f>IF([1]Sheet2!DV221=999999,"NA",[1]Sheet2!DV221)</f>
        <v>NA</v>
      </c>
      <c r="DL222" s="14" t="str">
        <f>IF([1]Sheet2!DW221=999999,"NA",[1]Sheet2!DW221)</f>
        <v>NA</v>
      </c>
      <c r="DM222" s="14">
        <f>IF([1]Sheet2!DX221=999999,"NA",[1]Sheet2!DX221)</f>
        <v>146</v>
      </c>
      <c r="DN222" s="14">
        <f>IF([1]Sheet2!DY221=999999,"NA",[1]Sheet2!DY221)</f>
        <v>146</v>
      </c>
      <c r="DO222" s="14" t="str">
        <f>IF([1]Sheet2!DZ221=999999,"NA",[1]Sheet2!DZ221)</f>
        <v>NA</v>
      </c>
      <c r="DP222" s="14" t="str">
        <f>IF([1]Sheet2!EA221=999999,"NA",[1]Sheet2!EA221)</f>
        <v>NA</v>
      </c>
      <c r="DQ222" s="14">
        <f>[1]Sheet2!CX221</f>
        <v>0</v>
      </c>
      <c r="DR222" s="14">
        <f>[1]Sheet2!CY221</f>
        <v>0</v>
      </c>
      <c r="DS222" s="14">
        <f>[1]Sheet2!CZ221</f>
        <v>0</v>
      </c>
      <c r="DT222" s="14">
        <f>[1]Sheet2!DA221</f>
        <v>0</v>
      </c>
      <c r="DU222" s="14">
        <f>[1]Sheet2!DB221</f>
        <v>0</v>
      </c>
      <c r="DV222" s="14">
        <f>[1]Sheet2!DC221</f>
        <v>0</v>
      </c>
      <c r="DW222" s="14">
        <f>[1]Sheet2!DD221</f>
        <v>0</v>
      </c>
      <c r="DX222" s="14">
        <f>[1]Sheet2!DE221</f>
        <v>0</v>
      </c>
      <c r="DY222" s="14">
        <f>[1]Sheet2!DF221</f>
        <v>0</v>
      </c>
      <c r="DZ222" s="14">
        <f>[1]Sheet2!DG221</f>
        <v>0</v>
      </c>
    </row>
    <row r="223" spans="1:130" x14ac:dyDescent="0.25">
      <c r="A223" s="15">
        <v>43685</v>
      </c>
      <c r="B223" s="1"/>
      <c r="C223" s="1"/>
      <c r="D223" s="1"/>
      <c r="E223" s="14">
        <f>[1]Sheet2!N222</f>
        <v>0</v>
      </c>
      <c r="F223" s="14">
        <f>[1]Sheet2!BE222</f>
        <v>0</v>
      </c>
      <c r="G223" s="14">
        <f>[1]Sheet2!CV222</f>
        <v>262.03473945409428</v>
      </c>
      <c r="H223" s="1"/>
      <c r="I223" s="1"/>
      <c r="J223" s="1"/>
      <c r="K223" s="16">
        <f>Demand_CWRS!B$10/31</f>
        <v>120.8438508064516</v>
      </c>
      <c r="L223" s="16">
        <f>Demand_CWRS!C$10/31</f>
        <v>552.80165425971859</v>
      </c>
      <c r="M223" s="16">
        <f>Demand_CWRS!D$10/31</f>
        <v>0</v>
      </c>
      <c r="N223" s="16">
        <f>Demand_CWRS!E$10/31</f>
        <v>141.75971877584777</v>
      </c>
      <c r="O223" s="16">
        <f>Demand_CWRS!F$10/31</f>
        <v>252.70758116211746</v>
      </c>
      <c r="P223" s="16">
        <f>Demand_CWRS!G$10/31</f>
        <v>116.12903225806451</v>
      </c>
      <c r="Q223" s="16">
        <f>Demand_CWRS!H$10/31</f>
        <v>552.80165425971859</v>
      </c>
      <c r="R223" s="16">
        <f>Demand_CWRS!I$10/31</f>
        <v>252.70758116211746</v>
      </c>
      <c r="S223" s="16">
        <f>Demand_CWRS!J$10/31</f>
        <v>252.70758116211746</v>
      </c>
      <c r="T223" s="16">
        <f>Demand_CWRS!K$10/31</f>
        <v>252.70758116211746</v>
      </c>
      <c r="U223" s="16">
        <f t="shared" si="93"/>
        <v>-29655.223641925004</v>
      </c>
      <c r="V223" s="16">
        <f t="shared" si="94"/>
        <v>-101547.39528535945</v>
      </c>
      <c r="W223" s="16">
        <f t="shared" si="95"/>
        <v>0</v>
      </c>
      <c r="X223" s="16">
        <f t="shared" si="96"/>
        <v>-26027.520966694847</v>
      </c>
      <c r="Y223" s="16">
        <f t="shared" si="97"/>
        <v>-50898.249884731842</v>
      </c>
      <c r="Z223" s="16">
        <f t="shared" si="98"/>
        <v>-31224.731944499468</v>
      </c>
      <c r="AA223" s="16">
        <f t="shared" si="99"/>
        <v>-109891.39528535945</v>
      </c>
      <c r="AB223" s="16">
        <f t="shared" si="100"/>
        <v>-48414.404403962559</v>
      </c>
      <c r="AC223" s="16">
        <f t="shared" si="101"/>
        <v>-48414.404403962551</v>
      </c>
      <c r="AD223" s="16">
        <f t="shared" si="102"/>
        <v>-49114.404403962544</v>
      </c>
      <c r="AE223" s="14">
        <f>IF([1]Sheet2!AJ222=999999,"NA",[1]Sheet2!AJ222)</f>
        <v>0</v>
      </c>
      <c r="AF223" s="14">
        <f>IF([1]Sheet2!AK222=999999,"NA",[1]Sheet2!AK222)</f>
        <v>0</v>
      </c>
      <c r="AG223" s="14" t="str">
        <f>IF([1]Sheet2!AL222=999999,"NA",[1]Sheet2!AL222)</f>
        <v>NA</v>
      </c>
      <c r="AH223" s="14">
        <f>IF([1]Sheet2!AM222=999999,"NA",[1]Sheet2!AM222)</f>
        <v>145</v>
      </c>
      <c r="AI223" s="14">
        <f>IF([1]Sheet2!AN222=999999,"NA",[1]Sheet2!AN222)</f>
        <v>145</v>
      </c>
      <c r="AJ223" s="14">
        <f>IF([1]Sheet2!AO222=999999,"NA",[1]Sheet2!AO222)</f>
        <v>145</v>
      </c>
      <c r="AK223" s="14">
        <f>IF([1]Sheet2!AP222=999999,"NA",[1]Sheet2!AP222)</f>
        <v>0</v>
      </c>
      <c r="AL223" s="14">
        <f>IF([1]Sheet2!AQ222=999999,"NA",[1]Sheet2!AQ222)</f>
        <v>21</v>
      </c>
      <c r="AM223" s="14">
        <f>IF([1]Sheet2!AR222=999999,"NA",[1]Sheet2!AR222)</f>
        <v>145</v>
      </c>
      <c r="AN223" s="14">
        <f>IF([1]Sheet2!AS222=999999,"NA",[1]Sheet2!AS222)</f>
        <v>77</v>
      </c>
      <c r="AO223" s="14">
        <f>[1]Sheet2!P222</f>
        <v>0</v>
      </c>
      <c r="AP223" s="14">
        <f>[1]Sheet2!Q222</f>
        <v>0</v>
      </c>
      <c r="AQ223" s="14">
        <f>[1]Sheet2!R222</f>
        <v>0</v>
      </c>
      <c r="AR223" s="14">
        <f>[1]Sheet2!S222</f>
        <v>0</v>
      </c>
      <c r="AS223" s="14">
        <f>[1]Sheet2!T222</f>
        <v>0</v>
      </c>
      <c r="AT223" s="14">
        <f>[1]Sheet2!U222</f>
        <v>0</v>
      </c>
      <c r="AU223" s="14">
        <f>[1]Sheet2!V222</f>
        <v>0</v>
      </c>
      <c r="AV223" s="14">
        <f>[1]Sheet2!W222</f>
        <v>0</v>
      </c>
      <c r="AW223" s="14">
        <f>[1]Sheet2!X222</f>
        <v>0</v>
      </c>
      <c r="AX223" s="14">
        <f>[1]Sheet2!Y222</f>
        <v>0</v>
      </c>
      <c r="AY223" s="16">
        <f>Demand_LP!B$10/31</f>
        <v>857.18246226220015</v>
      </c>
      <c r="AZ223" s="16">
        <f>Demand_LP!C$10/31</f>
        <v>528.30835401157981</v>
      </c>
      <c r="BA223" s="16">
        <f>Demand_LP!D$10/31</f>
        <v>338.76323407775027</v>
      </c>
      <c r="BB223" s="16">
        <f>Demand_LP!E$10/31</f>
        <v>735.04776674937955</v>
      </c>
      <c r="BC223" s="16">
        <f>Demand_LP!F$10/31</f>
        <v>479.51259046732832</v>
      </c>
      <c r="BD223" s="16">
        <f>Demand_LP!G$10/31</f>
        <v>857.18246226220015</v>
      </c>
      <c r="BE223" s="16">
        <f>Demand_LP!H$10/31</f>
        <v>528.30835401157981</v>
      </c>
      <c r="BF223" s="16">
        <f>Demand_LP!I$10/31</f>
        <v>479.51259046732832</v>
      </c>
      <c r="BG223" s="16">
        <f>Demand_LP!J$10/31</f>
        <v>479.51259046732832</v>
      </c>
      <c r="BH223" s="16">
        <f>Demand_LP!K$10/31</f>
        <v>479.51259046732832</v>
      </c>
      <c r="BI223" s="16" t="e">
        <f t="shared" si="103"/>
        <v>#VALUE!</v>
      </c>
      <c r="BJ223" s="16">
        <f t="shared" si="104"/>
        <v>-125135.04888337443</v>
      </c>
      <c r="BK223" s="16">
        <f t="shared" si="105"/>
        <v>-63573.04561621169</v>
      </c>
      <c r="BL223" s="16">
        <f t="shared" si="106"/>
        <v>-164214.58339981746</v>
      </c>
      <c r="BM223" s="16">
        <f t="shared" si="107"/>
        <v>-100773.38052331678</v>
      </c>
      <c r="BN223" s="16">
        <f t="shared" si="108"/>
        <v>-168966.563549627</v>
      </c>
      <c r="BO223" s="16">
        <f t="shared" si="109"/>
        <v>-134349.62837055404</v>
      </c>
      <c r="BP223" s="16">
        <f t="shared" si="110"/>
        <v>-100231.06444168738</v>
      </c>
      <c r="BQ223" s="16">
        <f t="shared" si="111"/>
        <v>-96831.064441687427</v>
      </c>
      <c r="BR223" s="16">
        <f t="shared" si="112"/>
        <v>-98031.064441687384</v>
      </c>
      <c r="BS223" s="14">
        <f>IF([1]Sheet2!CA222=999999,"NA",[1]Sheet2!CA222)</f>
        <v>118447.93555831278</v>
      </c>
      <c r="BT223" s="14">
        <f>IF([1]Sheet2!CB222=999999,"NA",[1]Sheet2!CB222)</f>
        <v>75</v>
      </c>
      <c r="BU223" s="14">
        <f>IF([1]Sheet2!CC222=999999,"NA",[1]Sheet2!CC222)</f>
        <v>145</v>
      </c>
      <c r="BV223" s="14">
        <f>IF([1]Sheet2!CD222=999999,"NA",[1]Sheet2!CD222)</f>
        <v>145</v>
      </c>
      <c r="BW223" s="14">
        <f>IF([1]Sheet2!CE222=999999,"NA",[1]Sheet2!CE222)</f>
        <v>107</v>
      </c>
      <c r="BX223" s="14">
        <f>IF([1]Sheet2!CF222=999999,"NA",[1]Sheet2!CF222)</f>
        <v>145</v>
      </c>
      <c r="BY223" s="14">
        <f>IF([1]Sheet2!CG222=999999,"NA",[1]Sheet2!CG222)</f>
        <v>39</v>
      </c>
      <c r="BZ223" s="14">
        <f>IF([1]Sheet2!CH222=999999,"NA",[1]Sheet2!CH222)</f>
        <v>145</v>
      </c>
      <c r="CA223" s="14">
        <f>IF([1]Sheet2!CI222=999999,"NA",[1]Sheet2!CI222)</f>
        <v>145</v>
      </c>
      <c r="CB223" s="14">
        <f>IF([1]Sheet2!CJ222=999999,"NA",[1]Sheet2!CJ222)</f>
        <v>145</v>
      </c>
      <c r="CC223" s="14">
        <f>[1]Sheet2!BG222</f>
        <v>0</v>
      </c>
      <c r="CD223" s="14">
        <f>[1]Sheet2!BH222</f>
        <v>0</v>
      </c>
      <c r="CE223" s="14">
        <f>[1]Sheet2!BI222</f>
        <v>0</v>
      </c>
      <c r="CF223" s="14">
        <f>[1]Sheet2!BJ222</f>
        <v>0</v>
      </c>
      <c r="CG223" s="14">
        <f>[1]Sheet2!BK222</f>
        <v>0</v>
      </c>
      <c r="CH223" s="14">
        <f>[1]Sheet2!BL222</f>
        <v>0</v>
      </c>
      <c r="CI223" s="14">
        <f>[1]Sheet2!BM222</f>
        <v>0</v>
      </c>
      <c r="CJ223" s="14">
        <f>[1]Sheet2!BN222</f>
        <v>0</v>
      </c>
      <c r="CK223" s="14">
        <f>[1]Sheet2!BO222</f>
        <v>0</v>
      </c>
      <c r="CL223" s="14">
        <f>[1]Sheet2!BP222</f>
        <v>0</v>
      </c>
      <c r="CM223" s="16">
        <f>Demand_SW!B$10/31</f>
        <v>131.01736972704714</v>
      </c>
      <c r="CN223" s="16">
        <f>Demand_SW!C$10/31</f>
        <v>0</v>
      </c>
      <c r="CO223" s="16">
        <f>Demand_SW!D$10/31</f>
        <v>0</v>
      </c>
      <c r="CP223" s="16">
        <f>Demand_SW!E$10/31</f>
        <v>0</v>
      </c>
      <c r="CQ223" s="16">
        <f>Demand_SW!F$10/31</f>
        <v>0</v>
      </c>
      <c r="CR223" s="16">
        <f>Demand_SW!G$10/31</f>
        <v>131.01736972704714</v>
      </c>
      <c r="CS223" s="16">
        <f>Demand_SW!H$10/31</f>
        <v>0</v>
      </c>
      <c r="CT223" s="16">
        <f>Demand_SW!I$10/31</f>
        <v>0</v>
      </c>
      <c r="CU223" s="16">
        <f>Demand_SW!J$10/31</f>
        <v>0</v>
      </c>
      <c r="CV223" s="16">
        <f>Demand_SW!K$10/31</f>
        <v>0</v>
      </c>
      <c r="CW223" s="16">
        <f t="shared" si="113"/>
        <v>71292.630272952869</v>
      </c>
      <c r="CX223" s="16">
        <f t="shared" si="114"/>
        <v>20683.923076923078</v>
      </c>
      <c r="CY223" s="16">
        <f t="shared" si="115"/>
        <v>0</v>
      </c>
      <c r="CZ223" s="16">
        <f t="shared" si="116"/>
        <v>0</v>
      </c>
      <c r="DA223" s="16">
        <f t="shared" si="117"/>
        <v>0</v>
      </c>
      <c r="DB223" s="16">
        <f t="shared" si="118"/>
        <v>-28236.600496277915</v>
      </c>
      <c r="DC223" s="16">
        <f t="shared" si="119"/>
        <v>-423.07692307692292</v>
      </c>
      <c r="DD223" s="16">
        <f t="shared" si="120"/>
        <v>0</v>
      </c>
      <c r="DE223" s="16">
        <f t="shared" si="121"/>
        <v>0</v>
      </c>
      <c r="DF223" s="16">
        <f t="shared" si="122"/>
        <v>0</v>
      </c>
      <c r="DG223" s="14">
        <f>IF([1]Sheet2!DR222=999999,"NA",[1]Sheet2!DR222)</f>
        <v>73103</v>
      </c>
      <c r="DH223" s="14">
        <f>IF([1]Sheet2!DS222=999999,"NA",[1]Sheet2!DS222)</f>
        <v>145</v>
      </c>
      <c r="DI223" s="14">
        <f>IF([1]Sheet2!DT222=999999,"NA",[1]Sheet2!DT222)</f>
        <v>145</v>
      </c>
      <c r="DJ223" s="14" t="str">
        <f>IF([1]Sheet2!DU222=999999,"NA",[1]Sheet2!DU222)</f>
        <v>NA</v>
      </c>
      <c r="DK223" s="14" t="str">
        <f>IF([1]Sheet2!DV222=999999,"NA",[1]Sheet2!DV222)</f>
        <v>NA</v>
      </c>
      <c r="DL223" s="14" t="str">
        <f>IF([1]Sheet2!DW222=999999,"NA",[1]Sheet2!DW222)</f>
        <v>NA</v>
      </c>
      <c r="DM223" s="14">
        <f>IF([1]Sheet2!DX222=999999,"NA",[1]Sheet2!DX222)</f>
        <v>145</v>
      </c>
      <c r="DN223" s="14">
        <f>IF([1]Sheet2!DY222=999999,"NA",[1]Sheet2!DY222)</f>
        <v>145</v>
      </c>
      <c r="DO223" s="14" t="str">
        <f>IF([1]Sheet2!DZ222=999999,"NA",[1]Sheet2!DZ222)</f>
        <v>NA</v>
      </c>
      <c r="DP223" s="14" t="str">
        <f>IF([1]Sheet2!EA222=999999,"NA",[1]Sheet2!EA222)</f>
        <v>NA</v>
      </c>
      <c r="DQ223" s="14">
        <f>[1]Sheet2!CX222</f>
        <v>0</v>
      </c>
      <c r="DR223" s="14">
        <f>[1]Sheet2!CY222</f>
        <v>0</v>
      </c>
      <c r="DS223" s="14">
        <f>[1]Sheet2!CZ222</f>
        <v>0</v>
      </c>
      <c r="DT223" s="14">
        <f>[1]Sheet2!DA222</f>
        <v>0</v>
      </c>
      <c r="DU223" s="14">
        <f>[1]Sheet2!DB222</f>
        <v>0</v>
      </c>
      <c r="DV223" s="14">
        <f>[1]Sheet2!DC222</f>
        <v>0</v>
      </c>
      <c r="DW223" s="14">
        <f>[1]Sheet2!DD222</f>
        <v>0</v>
      </c>
      <c r="DX223" s="14">
        <f>[1]Sheet2!DE222</f>
        <v>0</v>
      </c>
      <c r="DY223" s="14">
        <f>[1]Sheet2!DF222</f>
        <v>0</v>
      </c>
      <c r="DZ223" s="14">
        <f>[1]Sheet2!DG222</f>
        <v>0</v>
      </c>
    </row>
    <row r="224" spans="1:130" x14ac:dyDescent="0.25">
      <c r="A224" s="15">
        <v>43686</v>
      </c>
      <c r="B224" s="1"/>
      <c r="C224" s="1"/>
      <c r="D224" s="1"/>
      <c r="E224" s="14">
        <f>[1]Sheet2!N223</f>
        <v>0</v>
      </c>
      <c r="F224" s="14">
        <f>[1]Sheet2!BE223</f>
        <v>0</v>
      </c>
      <c r="G224" s="14">
        <f>[1]Sheet2!CV223</f>
        <v>262.03473945409428</v>
      </c>
      <c r="H224" s="1"/>
      <c r="I224" s="1"/>
      <c r="J224" s="1"/>
      <c r="K224" s="16">
        <f>Demand_CWRS!B$10/31</f>
        <v>120.8438508064516</v>
      </c>
      <c r="L224" s="16">
        <f>Demand_CWRS!C$10/31</f>
        <v>552.80165425971859</v>
      </c>
      <c r="M224" s="16">
        <f>Demand_CWRS!D$10/31</f>
        <v>0</v>
      </c>
      <c r="N224" s="16">
        <f>Demand_CWRS!E$10/31</f>
        <v>141.75971877584777</v>
      </c>
      <c r="O224" s="16">
        <f>Demand_CWRS!F$10/31</f>
        <v>252.70758116211746</v>
      </c>
      <c r="P224" s="16">
        <f>Demand_CWRS!G$10/31</f>
        <v>116.12903225806451</v>
      </c>
      <c r="Q224" s="16">
        <f>Demand_CWRS!H$10/31</f>
        <v>552.80165425971859</v>
      </c>
      <c r="R224" s="16">
        <f>Demand_CWRS!I$10/31</f>
        <v>252.70758116211746</v>
      </c>
      <c r="S224" s="16">
        <f>Demand_CWRS!J$10/31</f>
        <v>252.70758116211746</v>
      </c>
      <c r="T224" s="16">
        <f>Demand_CWRS!K$10/31</f>
        <v>252.70758116211746</v>
      </c>
      <c r="U224" s="16">
        <f t="shared" si="93"/>
        <v>-29776.067492731454</v>
      </c>
      <c r="V224" s="16">
        <f t="shared" si="94"/>
        <v>-102100.19693961917</v>
      </c>
      <c r="W224" s="16">
        <f t="shared" si="95"/>
        <v>0</v>
      </c>
      <c r="X224" s="16">
        <f t="shared" si="96"/>
        <v>-23901.280685470694</v>
      </c>
      <c r="Y224" s="16">
        <f t="shared" si="97"/>
        <v>-51150.95746589396</v>
      </c>
      <c r="Z224" s="16">
        <f t="shared" si="98"/>
        <v>-31340.860976757533</v>
      </c>
      <c r="AA224" s="16">
        <f t="shared" si="99"/>
        <v>-110444.19693961917</v>
      </c>
      <c r="AB224" s="16">
        <f t="shared" si="100"/>
        <v>-48667.111985124677</v>
      </c>
      <c r="AC224" s="16">
        <f t="shared" si="101"/>
        <v>-48667.111985124669</v>
      </c>
      <c r="AD224" s="16">
        <f t="shared" si="102"/>
        <v>-49367.111985124662</v>
      </c>
      <c r="AE224" s="14">
        <f>IF([1]Sheet2!AJ223=999999,"NA",[1]Sheet2!AJ223)</f>
        <v>0</v>
      </c>
      <c r="AF224" s="14">
        <f>IF([1]Sheet2!AK223=999999,"NA",[1]Sheet2!AK223)</f>
        <v>0</v>
      </c>
      <c r="AG224" s="14" t="str">
        <f>IF([1]Sheet2!AL223=999999,"NA",[1]Sheet2!AL223)</f>
        <v>NA</v>
      </c>
      <c r="AH224" s="14">
        <f>IF([1]Sheet2!AM223=999999,"NA",[1]Sheet2!AM223)</f>
        <v>144</v>
      </c>
      <c r="AI224" s="14">
        <f>IF([1]Sheet2!AN223=999999,"NA",[1]Sheet2!AN223)</f>
        <v>144</v>
      </c>
      <c r="AJ224" s="14">
        <f>IF([1]Sheet2!AO223=999999,"NA",[1]Sheet2!AO223)</f>
        <v>144</v>
      </c>
      <c r="AK224" s="14">
        <f>IF([1]Sheet2!AP223=999999,"NA",[1]Sheet2!AP223)</f>
        <v>0</v>
      </c>
      <c r="AL224" s="14">
        <f>IF([1]Sheet2!AQ223=999999,"NA",[1]Sheet2!AQ223)</f>
        <v>20</v>
      </c>
      <c r="AM224" s="14">
        <f>IF([1]Sheet2!AR223=999999,"NA",[1]Sheet2!AR223)</f>
        <v>144</v>
      </c>
      <c r="AN224" s="14">
        <f>IF([1]Sheet2!AS223=999999,"NA",[1]Sheet2!AS223)</f>
        <v>76</v>
      </c>
      <c r="AO224" s="14">
        <f>[1]Sheet2!P223</f>
        <v>0</v>
      </c>
      <c r="AP224" s="14">
        <f>[1]Sheet2!Q223</f>
        <v>0</v>
      </c>
      <c r="AQ224" s="14">
        <f>[1]Sheet2!R223</f>
        <v>0</v>
      </c>
      <c r="AR224" s="14">
        <f>[1]Sheet2!S223</f>
        <v>2268</v>
      </c>
      <c r="AS224" s="14">
        <f>[1]Sheet2!T223</f>
        <v>0</v>
      </c>
      <c r="AT224" s="14">
        <f>[1]Sheet2!U223</f>
        <v>0</v>
      </c>
      <c r="AU224" s="14">
        <f>[1]Sheet2!V223</f>
        <v>0</v>
      </c>
      <c r="AV224" s="14">
        <f>[1]Sheet2!W223</f>
        <v>0</v>
      </c>
      <c r="AW224" s="14">
        <f>[1]Sheet2!X223</f>
        <v>0</v>
      </c>
      <c r="AX224" s="14">
        <f>[1]Sheet2!Y223</f>
        <v>0</v>
      </c>
      <c r="AY224" s="16">
        <f>Demand_LP!B$10/31</f>
        <v>857.18246226220015</v>
      </c>
      <c r="AZ224" s="16">
        <f>Demand_LP!C$10/31</f>
        <v>528.30835401157981</v>
      </c>
      <c r="BA224" s="16">
        <f>Demand_LP!D$10/31</f>
        <v>338.76323407775027</v>
      </c>
      <c r="BB224" s="16">
        <f>Demand_LP!E$10/31</f>
        <v>735.04776674937955</v>
      </c>
      <c r="BC224" s="16">
        <f>Demand_LP!F$10/31</f>
        <v>479.51259046732832</v>
      </c>
      <c r="BD224" s="16">
        <f>Demand_LP!G$10/31</f>
        <v>857.18246226220015</v>
      </c>
      <c r="BE224" s="16">
        <f>Demand_LP!H$10/31</f>
        <v>528.30835401157981</v>
      </c>
      <c r="BF224" s="16">
        <f>Demand_LP!I$10/31</f>
        <v>479.51259046732832</v>
      </c>
      <c r="BG224" s="16">
        <f>Demand_LP!J$10/31</f>
        <v>479.51259046732832</v>
      </c>
      <c r="BH224" s="16">
        <f>Demand_LP!K$10/31</f>
        <v>479.51259046732832</v>
      </c>
      <c r="BI224" s="16" t="e">
        <f t="shared" si="103"/>
        <v>#VALUE!</v>
      </c>
      <c r="BJ224" s="16">
        <f t="shared" si="104"/>
        <v>-125663.35723738601</v>
      </c>
      <c r="BK224" s="16">
        <f t="shared" si="105"/>
        <v>-63911.808850289439</v>
      </c>
      <c r="BL224" s="16">
        <f t="shared" si="106"/>
        <v>-164949.63116656683</v>
      </c>
      <c r="BM224" s="16">
        <f t="shared" si="107"/>
        <v>-95372.893113784114</v>
      </c>
      <c r="BN224" s="16">
        <f t="shared" si="108"/>
        <v>-169823.74601188919</v>
      </c>
      <c r="BO224" s="16">
        <f t="shared" si="109"/>
        <v>-134877.93672456563</v>
      </c>
      <c r="BP224" s="16">
        <f t="shared" si="110"/>
        <v>-100710.57703215472</v>
      </c>
      <c r="BQ224" s="16">
        <f t="shared" si="111"/>
        <v>-97310.577032154761</v>
      </c>
      <c r="BR224" s="16">
        <f t="shared" si="112"/>
        <v>-98510.577032154717</v>
      </c>
      <c r="BS224" s="14">
        <f>IF([1]Sheet2!CA223=999999,"NA",[1]Sheet2!CA223)</f>
        <v>117968.42296784544</v>
      </c>
      <c r="BT224" s="14">
        <f>IF([1]Sheet2!CB223=999999,"NA",[1]Sheet2!CB223)</f>
        <v>74</v>
      </c>
      <c r="BU224" s="14">
        <f>IF([1]Sheet2!CC223=999999,"NA",[1]Sheet2!CC223)</f>
        <v>144</v>
      </c>
      <c r="BV224" s="14">
        <f>IF([1]Sheet2!CD223=999999,"NA",[1]Sheet2!CD223)</f>
        <v>144</v>
      </c>
      <c r="BW224" s="14">
        <f>IF([1]Sheet2!CE223=999999,"NA",[1]Sheet2!CE223)</f>
        <v>113</v>
      </c>
      <c r="BX224" s="14">
        <f>IF([1]Sheet2!CF223=999999,"NA",[1]Sheet2!CF223)</f>
        <v>144</v>
      </c>
      <c r="BY224" s="14">
        <f>IF([1]Sheet2!CG223=999999,"NA",[1]Sheet2!CG223)</f>
        <v>38</v>
      </c>
      <c r="BZ224" s="14">
        <f>IF([1]Sheet2!CH223=999999,"NA",[1]Sheet2!CH223)</f>
        <v>144</v>
      </c>
      <c r="CA224" s="14">
        <f>IF([1]Sheet2!CI223=999999,"NA",[1]Sheet2!CI223)</f>
        <v>144</v>
      </c>
      <c r="CB224" s="14">
        <f>IF([1]Sheet2!CJ223=999999,"NA",[1]Sheet2!CJ223)</f>
        <v>144</v>
      </c>
      <c r="CC224" s="14">
        <f>[1]Sheet2!BG223</f>
        <v>0</v>
      </c>
      <c r="CD224" s="14">
        <f>[1]Sheet2!BH223</f>
        <v>0</v>
      </c>
      <c r="CE224" s="14">
        <f>[1]Sheet2!BI223</f>
        <v>0</v>
      </c>
      <c r="CF224" s="14">
        <f>[1]Sheet2!BJ223</f>
        <v>0</v>
      </c>
      <c r="CG224" s="14">
        <f>[1]Sheet2!BK223</f>
        <v>5880</v>
      </c>
      <c r="CH224" s="14">
        <f>[1]Sheet2!BL223</f>
        <v>0</v>
      </c>
      <c r="CI224" s="14">
        <f>[1]Sheet2!BM223</f>
        <v>0</v>
      </c>
      <c r="CJ224" s="14">
        <f>[1]Sheet2!BN223</f>
        <v>0</v>
      </c>
      <c r="CK224" s="14">
        <f>[1]Sheet2!BO223</f>
        <v>0</v>
      </c>
      <c r="CL224" s="14">
        <f>[1]Sheet2!BP223</f>
        <v>0</v>
      </c>
      <c r="CM224" s="16">
        <f>Demand_SW!B$10/31</f>
        <v>131.01736972704714</v>
      </c>
      <c r="CN224" s="16">
        <f>Demand_SW!C$10/31</f>
        <v>0</v>
      </c>
      <c r="CO224" s="16">
        <f>Demand_SW!D$10/31</f>
        <v>0</v>
      </c>
      <c r="CP224" s="16">
        <f>Demand_SW!E$10/31</f>
        <v>0</v>
      </c>
      <c r="CQ224" s="16">
        <f>Demand_SW!F$10/31</f>
        <v>0</v>
      </c>
      <c r="CR224" s="16">
        <f>Demand_SW!G$10/31</f>
        <v>131.01736972704714</v>
      </c>
      <c r="CS224" s="16">
        <f>Demand_SW!H$10/31</f>
        <v>0</v>
      </c>
      <c r="CT224" s="16">
        <f>Demand_SW!I$10/31</f>
        <v>0</v>
      </c>
      <c r="CU224" s="16">
        <f>Demand_SW!J$10/31</f>
        <v>0</v>
      </c>
      <c r="CV224" s="16">
        <f>Demand_SW!K$10/31</f>
        <v>0</v>
      </c>
      <c r="CW224" s="16">
        <f t="shared" si="113"/>
        <v>71161.612903225818</v>
      </c>
      <c r="CX224" s="16">
        <f t="shared" si="114"/>
        <v>20683.923076923078</v>
      </c>
      <c r="CY224" s="16">
        <f t="shared" si="115"/>
        <v>0</v>
      </c>
      <c r="CZ224" s="16">
        <f t="shared" si="116"/>
        <v>0</v>
      </c>
      <c r="DA224" s="16">
        <f t="shared" si="117"/>
        <v>0</v>
      </c>
      <c r="DB224" s="16">
        <f t="shared" si="118"/>
        <v>-28367.617866004963</v>
      </c>
      <c r="DC224" s="16">
        <f t="shared" si="119"/>
        <v>-423.07692307692292</v>
      </c>
      <c r="DD224" s="16">
        <f t="shared" si="120"/>
        <v>0</v>
      </c>
      <c r="DE224" s="16">
        <f t="shared" si="121"/>
        <v>0</v>
      </c>
      <c r="DF224" s="16">
        <f t="shared" si="122"/>
        <v>0</v>
      </c>
      <c r="DG224" s="14">
        <f>IF([1]Sheet2!DR223=999999,"NA",[1]Sheet2!DR223)</f>
        <v>73103</v>
      </c>
      <c r="DH224" s="14">
        <f>IF([1]Sheet2!DS223=999999,"NA",[1]Sheet2!DS223)</f>
        <v>144</v>
      </c>
      <c r="DI224" s="14">
        <f>IF([1]Sheet2!DT223=999999,"NA",[1]Sheet2!DT223)</f>
        <v>144</v>
      </c>
      <c r="DJ224" s="14" t="str">
        <f>IF([1]Sheet2!DU223=999999,"NA",[1]Sheet2!DU223)</f>
        <v>NA</v>
      </c>
      <c r="DK224" s="14" t="str">
        <f>IF([1]Sheet2!DV223=999999,"NA",[1]Sheet2!DV223)</f>
        <v>NA</v>
      </c>
      <c r="DL224" s="14" t="str">
        <f>IF([1]Sheet2!DW223=999999,"NA",[1]Sheet2!DW223)</f>
        <v>NA</v>
      </c>
      <c r="DM224" s="14">
        <f>IF([1]Sheet2!DX223=999999,"NA",[1]Sheet2!DX223)</f>
        <v>144</v>
      </c>
      <c r="DN224" s="14">
        <f>IF([1]Sheet2!DY223=999999,"NA",[1]Sheet2!DY223)</f>
        <v>144</v>
      </c>
      <c r="DO224" s="14" t="str">
        <f>IF([1]Sheet2!DZ223=999999,"NA",[1]Sheet2!DZ223)</f>
        <v>NA</v>
      </c>
      <c r="DP224" s="14" t="str">
        <f>IF([1]Sheet2!EA223=999999,"NA",[1]Sheet2!EA223)</f>
        <v>NA</v>
      </c>
      <c r="DQ224" s="14">
        <f>[1]Sheet2!CX223</f>
        <v>0</v>
      </c>
      <c r="DR224" s="14">
        <f>[1]Sheet2!CY223</f>
        <v>0</v>
      </c>
      <c r="DS224" s="14">
        <f>[1]Sheet2!CZ223</f>
        <v>0</v>
      </c>
      <c r="DT224" s="14">
        <f>[1]Sheet2!DA223</f>
        <v>0</v>
      </c>
      <c r="DU224" s="14">
        <f>[1]Sheet2!DB223</f>
        <v>0</v>
      </c>
      <c r="DV224" s="14">
        <f>[1]Sheet2!DC223</f>
        <v>0</v>
      </c>
      <c r="DW224" s="14">
        <f>[1]Sheet2!DD223</f>
        <v>0</v>
      </c>
      <c r="DX224" s="14">
        <f>[1]Sheet2!DE223</f>
        <v>0</v>
      </c>
      <c r="DY224" s="14">
        <f>[1]Sheet2!DF223</f>
        <v>0</v>
      </c>
      <c r="DZ224" s="14">
        <f>[1]Sheet2!DG223</f>
        <v>0</v>
      </c>
    </row>
    <row r="225" spans="1:130" x14ac:dyDescent="0.25">
      <c r="A225" s="15">
        <v>43687</v>
      </c>
      <c r="B225" s="1"/>
      <c r="C225" s="1"/>
      <c r="D225" s="1"/>
      <c r="E225" s="14">
        <f>[1]Sheet2!N224</f>
        <v>0</v>
      </c>
      <c r="F225" s="14">
        <f>[1]Sheet2!BE224</f>
        <v>0</v>
      </c>
      <c r="G225" s="14">
        <f>[1]Sheet2!CV224</f>
        <v>262.03473945409428</v>
      </c>
      <c r="H225" s="1"/>
      <c r="I225" s="1"/>
      <c r="J225" s="1"/>
      <c r="K225" s="16">
        <f>Demand_CWRS!B$10/31</f>
        <v>120.8438508064516</v>
      </c>
      <c r="L225" s="16">
        <f>Demand_CWRS!C$10/31</f>
        <v>552.80165425971859</v>
      </c>
      <c r="M225" s="16">
        <f>Demand_CWRS!D$10/31</f>
        <v>0</v>
      </c>
      <c r="N225" s="16">
        <f>Demand_CWRS!E$10/31</f>
        <v>141.75971877584777</v>
      </c>
      <c r="O225" s="16">
        <f>Demand_CWRS!F$10/31</f>
        <v>252.70758116211746</v>
      </c>
      <c r="P225" s="16">
        <f>Demand_CWRS!G$10/31</f>
        <v>116.12903225806451</v>
      </c>
      <c r="Q225" s="16">
        <f>Demand_CWRS!H$10/31</f>
        <v>552.80165425971859</v>
      </c>
      <c r="R225" s="16">
        <f>Demand_CWRS!I$10/31</f>
        <v>252.70758116211746</v>
      </c>
      <c r="S225" s="16">
        <f>Demand_CWRS!J$10/31</f>
        <v>252.70758116211746</v>
      </c>
      <c r="T225" s="16">
        <f>Demand_CWRS!K$10/31</f>
        <v>252.70758116211746</v>
      </c>
      <c r="U225" s="16">
        <f t="shared" si="93"/>
        <v>-29896.911343537904</v>
      </c>
      <c r="V225" s="16">
        <f t="shared" si="94"/>
        <v>-102652.99859387889</v>
      </c>
      <c r="W225" s="16">
        <f t="shared" si="95"/>
        <v>0</v>
      </c>
      <c r="X225" s="16">
        <f t="shared" si="96"/>
        <v>-24043.040404246542</v>
      </c>
      <c r="Y225" s="16">
        <f t="shared" si="97"/>
        <v>-51403.665047056078</v>
      </c>
      <c r="Z225" s="16">
        <f t="shared" si="98"/>
        <v>-31456.990009015597</v>
      </c>
      <c r="AA225" s="16">
        <f t="shared" si="99"/>
        <v>-110996.99859387889</v>
      </c>
      <c r="AB225" s="16">
        <f t="shared" si="100"/>
        <v>-48919.819566286795</v>
      </c>
      <c r="AC225" s="16">
        <f t="shared" si="101"/>
        <v>-48919.819566286787</v>
      </c>
      <c r="AD225" s="16">
        <f t="shared" si="102"/>
        <v>-49619.81956628678</v>
      </c>
      <c r="AE225" s="14">
        <f>IF([1]Sheet2!AJ224=999999,"NA",[1]Sheet2!AJ224)</f>
        <v>0</v>
      </c>
      <c r="AF225" s="14">
        <f>IF([1]Sheet2!AK224=999999,"NA",[1]Sheet2!AK224)</f>
        <v>0</v>
      </c>
      <c r="AG225" s="14" t="str">
        <f>IF([1]Sheet2!AL224=999999,"NA",[1]Sheet2!AL224)</f>
        <v>NA</v>
      </c>
      <c r="AH225" s="14">
        <f>IF([1]Sheet2!AM224=999999,"NA",[1]Sheet2!AM224)</f>
        <v>143</v>
      </c>
      <c r="AI225" s="14">
        <f>IF([1]Sheet2!AN224=999999,"NA",[1]Sheet2!AN224)</f>
        <v>143</v>
      </c>
      <c r="AJ225" s="14">
        <f>IF([1]Sheet2!AO224=999999,"NA",[1]Sheet2!AO224)</f>
        <v>143</v>
      </c>
      <c r="AK225" s="14">
        <f>IF([1]Sheet2!AP224=999999,"NA",[1]Sheet2!AP224)</f>
        <v>0</v>
      </c>
      <c r="AL225" s="14">
        <f>IF([1]Sheet2!AQ224=999999,"NA",[1]Sheet2!AQ224)</f>
        <v>19</v>
      </c>
      <c r="AM225" s="14">
        <f>IF([1]Sheet2!AR224=999999,"NA",[1]Sheet2!AR224)</f>
        <v>143</v>
      </c>
      <c r="AN225" s="14">
        <f>IF([1]Sheet2!AS224=999999,"NA",[1]Sheet2!AS224)</f>
        <v>75</v>
      </c>
      <c r="AO225" s="14">
        <f>[1]Sheet2!P224</f>
        <v>0</v>
      </c>
      <c r="AP225" s="14">
        <f>[1]Sheet2!Q224</f>
        <v>0</v>
      </c>
      <c r="AQ225" s="14">
        <f>[1]Sheet2!R224</f>
        <v>0</v>
      </c>
      <c r="AR225" s="14">
        <f>[1]Sheet2!S224</f>
        <v>0</v>
      </c>
      <c r="AS225" s="14">
        <f>[1]Sheet2!T224</f>
        <v>0</v>
      </c>
      <c r="AT225" s="14">
        <f>[1]Sheet2!U224</f>
        <v>0</v>
      </c>
      <c r="AU225" s="14">
        <f>[1]Sheet2!V224</f>
        <v>0</v>
      </c>
      <c r="AV225" s="14">
        <f>[1]Sheet2!W224</f>
        <v>0</v>
      </c>
      <c r="AW225" s="14">
        <f>[1]Sheet2!X224</f>
        <v>0</v>
      </c>
      <c r="AX225" s="14">
        <f>[1]Sheet2!Y224</f>
        <v>0</v>
      </c>
      <c r="AY225" s="16">
        <f>Demand_LP!B$10/31</f>
        <v>857.18246226220015</v>
      </c>
      <c r="AZ225" s="16">
        <f>Demand_LP!C$10/31</f>
        <v>528.30835401157981</v>
      </c>
      <c r="BA225" s="16">
        <f>Demand_LP!D$10/31</f>
        <v>338.76323407775027</v>
      </c>
      <c r="BB225" s="16">
        <f>Demand_LP!E$10/31</f>
        <v>735.04776674937955</v>
      </c>
      <c r="BC225" s="16">
        <f>Demand_LP!F$10/31</f>
        <v>479.51259046732832</v>
      </c>
      <c r="BD225" s="16">
        <f>Demand_LP!G$10/31</f>
        <v>857.18246226220015</v>
      </c>
      <c r="BE225" s="16">
        <f>Demand_LP!H$10/31</f>
        <v>528.30835401157981</v>
      </c>
      <c r="BF225" s="16">
        <f>Demand_LP!I$10/31</f>
        <v>479.51259046732832</v>
      </c>
      <c r="BG225" s="16">
        <f>Demand_LP!J$10/31</f>
        <v>479.51259046732832</v>
      </c>
      <c r="BH225" s="16">
        <f>Demand_LP!K$10/31</f>
        <v>479.51259046732832</v>
      </c>
      <c r="BI225" s="16" t="e">
        <f t="shared" si="103"/>
        <v>#VALUE!</v>
      </c>
      <c r="BJ225" s="16">
        <f t="shared" si="104"/>
        <v>-126191.66559139758</v>
      </c>
      <c r="BK225" s="16">
        <f t="shared" si="105"/>
        <v>-64250.572084367188</v>
      </c>
      <c r="BL225" s="16">
        <f t="shared" si="106"/>
        <v>-165684.6789333162</v>
      </c>
      <c r="BM225" s="16">
        <f t="shared" si="107"/>
        <v>-95852.405704251447</v>
      </c>
      <c r="BN225" s="16">
        <f t="shared" si="108"/>
        <v>-170680.92847415138</v>
      </c>
      <c r="BO225" s="16">
        <f t="shared" si="109"/>
        <v>-135406.24507857722</v>
      </c>
      <c r="BP225" s="16">
        <f t="shared" si="110"/>
        <v>-101190.08962262205</v>
      </c>
      <c r="BQ225" s="16">
        <f t="shared" si="111"/>
        <v>-97790.089622622094</v>
      </c>
      <c r="BR225" s="16">
        <f t="shared" si="112"/>
        <v>-98990.08962262205</v>
      </c>
      <c r="BS225" s="14">
        <f>IF([1]Sheet2!CA224=999999,"NA",[1]Sheet2!CA224)</f>
        <v>117488.91037737811</v>
      </c>
      <c r="BT225" s="14">
        <f>IF([1]Sheet2!CB224=999999,"NA",[1]Sheet2!CB224)</f>
        <v>73</v>
      </c>
      <c r="BU225" s="14">
        <f>IF([1]Sheet2!CC224=999999,"NA",[1]Sheet2!CC224)</f>
        <v>143</v>
      </c>
      <c r="BV225" s="14">
        <f>IF([1]Sheet2!CD224=999999,"NA",[1]Sheet2!CD224)</f>
        <v>143</v>
      </c>
      <c r="BW225" s="14">
        <f>IF([1]Sheet2!CE224=999999,"NA",[1]Sheet2!CE224)</f>
        <v>112</v>
      </c>
      <c r="BX225" s="14">
        <f>IF([1]Sheet2!CF224=999999,"NA",[1]Sheet2!CF224)</f>
        <v>143</v>
      </c>
      <c r="BY225" s="14">
        <f>IF([1]Sheet2!CG224=999999,"NA",[1]Sheet2!CG224)</f>
        <v>37</v>
      </c>
      <c r="BZ225" s="14">
        <f>IF([1]Sheet2!CH224=999999,"NA",[1]Sheet2!CH224)</f>
        <v>143</v>
      </c>
      <c r="CA225" s="14">
        <f>IF([1]Sheet2!CI224=999999,"NA",[1]Sheet2!CI224)</f>
        <v>143</v>
      </c>
      <c r="CB225" s="14">
        <f>IF([1]Sheet2!CJ224=999999,"NA",[1]Sheet2!CJ224)</f>
        <v>143</v>
      </c>
      <c r="CC225" s="14">
        <f>[1]Sheet2!BG224</f>
        <v>0</v>
      </c>
      <c r="CD225" s="14">
        <f>[1]Sheet2!BH224</f>
        <v>0</v>
      </c>
      <c r="CE225" s="14">
        <f>[1]Sheet2!BI224</f>
        <v>0</v>
      </c>
      <c r="CF225" s="14">
        <f>[1]Sheet2!BJ224</f>
        <v>0</v>
      </c>
      <c r="CG225" s="14">
        <f>[1]Sheet2!BK224</f>
        <v>0</v>
      </c>
      <c r="CH225" s="14">
        <f>[1]Sheet2!BL224</f>
        <v>0</v>
      </c>
      <c r="CI225" s="14">
        <f>[1]Sheet2!BM224</f>
        <v>0</v>
      </c>
      <c r="CJ225" s="14">
        <f>[1]Sheet2!BN224</f>
        <v>0</v>
      </c>
      <c r="CK225" s="14">
        <f>[1]Sheet2!BO224</f>
        <v>0</v>
      </c>
      <c r="CL225" s="14">
        <f>[1]Sheet2!BP224</f>
        <v>0</v>
      </c>
      <c r="CM225" s="16">
        <f>Demand_SW!B$10/31</f>
        <v>131.01736972704714</v>
      </c>
      <c r="CN225" s="16">
        <f>Demand_SW!C$10/31</f>
        <v>0</v>
      </c>
      <c r="CO225" s="16">
        <f>Demand_SW!D$10/31</f>
        <v>0</v>
      </c>
      <c r="CP225" s="16">
        <f>Demand_SW!E$10/31</f>
        <v>0</v>
      </c>
      <c r="CQ225" s="16">
        <f>Demand_SW!F$10/31</f>
        <v>0</v>
      </c>
      <c r="CR225" s="16">
        <f>Demand_SW!G$10/31</f>
        <v>131.01736972704714</v>
      </c>
      <c r="CS225" s="16">
        <f>Demand_SW!H$10/31</f>
        <v>0</v>
      </c>
      <c r="CT225" s="16">
        <f>Demand_SW!I$10/31</f>
        <v>0</v>
      </c>
      <c r="CU225" s="16">
        <f>Demand_SW!J$10/31</f>
        <v>0</v>
      </c>
      <c r="CV225" s="16">
        <f>Demand_SW!K$10/31</f>
        <v>0</v>
      </c>
      <c r="CW225" s="16">
        <f t="shared" si="113"/>
        <v>71030.595533498767</v>
      </c>
      <c r="CX225" s="16">
        <f t="shared" si="114"/>
        <v>20683.923076923078</v>
      </c>
      <c r="CY225" s="16">
        <f t="shared" si="115"/>
        <v>0</v>
      </c>
      <c r="CZ225" s="16">
        <f t="shared" si="116"/>
        <v>0</v>
      </c>
      <c r="DA225" s="16">
        <f t="shared" si="117"/>
        <v>0</v>
      </c>
      <c r="DB225" s="16">
        <f t="shared" si="118"/>
        <v>-28498.63523573201</v>
      </c>
      <c r="DC225" s="16">
        <f t="shared" si="119"/>
        <v>-423.07692307692292</v>
      </c>
      <c r="DD225" s="16">
        <f t="shared" si="120"/>
        <v>0</v>
      </c>
      <c r="DE225" s="16">
        <f t="shared" si="121"/>
        <v>0</v>
      </c>
      <c r="DF225" s="16">
        <f t="shared" si="122"/>
        <v>0</v>
      </c>
      <c r="DG225" s="14">
        <f>IF([1]Sheet2!DR224=999999,"NA",[1]Sheet2!DR224)</f>
        <v>73103</v>
      </c>
      <c r="DH225" s="14">
        <f>IF([1]Sheet2!DS224=999999,"NA",[1]Sheet2!DS224)</f>
        <v>143</v>
      </c>
      <c r="DI225" s="14">
        <f>IF([1]Sheet2!DT224=999999,"NA",[1]Sheet2!DT224)</f>
        <v>143</v>
      </c>
      <c r="DJ225" s="14" t="str">
        <f>IF([1]Sheet2!DU224=999999,"NA",[1]Sheet2!DU224)</f>
        <v>NA</v>
      </c>
      <c r="DK225" s="14" t="str">
        <f>IF([1]Sheet2!DV224=999999,"NA",[1]Sheet2!DV224)</f>
        <v>NA</v>
      </c>
      <c r="DL225" s="14" t="str">
        <f>IF([1]Sheet2!DW224=999999,"NA",[1]Sheet2!DW224)</f>
        <v>NA</v>
      </c>
      <c r="DM225" s="14">
        <f>IF([1]Sheet2!DX224=999999,"NA",[1]Sheet2!DX224)</f>
        <v>143</v>
      </c>
      <c r="DN225" s="14">
        <f>IF([1]Sheet2!DY224=999999,"NA",[1]Sheet2!DY224)</f>
        <v>143</v>
      </c>
      <c r="DO225" s="14" t="str">
        <f>IF([1]Sheet2!DZ224=999999,"NA",[1]Sheet2!DZ224)</f>
        <v>NA</v>
      </c>
      <c r="DP225" s="14" t="str">
        <f>IF([1]Sheet2!EA224=999999,"NA",[1]Sheet2!EA224)</f>
        <v>NA</v>
      </c>
      <c r="DQ225" s="14">
        <f>[1]Sheet2!CX224</f>
        <v>0</v>
      </c>
      <c r="DR225" s="14">
        <f>[1]Sheet2!CY224</f>
        <v>0</v>
      </c>
      <c r="DS225" s="14">
        <f>[1]Sheet2!CZ224</f>
        <v>0</v>
      </c>
      <c r="DT225" s="14">
        <f>[1]Sheet2!DA224</f>
        <v>0</v>
      </c>
      <c r="DU225" s="14">
        <f>[1]Sheet2!DB224</f>
        <v>0</v>
      </c>
      <c r="DV225" s="14">
        <f>[1]Sheet2!DC224</f>
        <v>0</v>
      </c>
      <c r="DW225" s="14">
        <f>[1]Sheet2!DD224</f>
        <v>0</v>
      </c>
      <c r="DX225" s="14">
        <f>[1]Sheet2!DE224</f>
        <v>0</v>
      </c>
      <c r="DY225" s="14">
        <f>[1]Sheet2!DF224</f>
        <v>0</v>
      </c>
      <c r="DZ225" s="14">
        <f>[1]Sheet2!DG224</f>
        <v>0</v>
      </c>
    </row>
    <row r="226" spans="1:130" x14ac:dyDescent="0.25">
      <c r="A226" s="15">
        <v>43688</v>
      </c>
      <c r="B226" s="1"/>
      <c r="C226" s="1"/>
      <c r="D226" s="1"/>
      <c r="E226" s="14">
        <f>[1]Sheet2!N225</f>
        <v>0</v>
      </c>
      <c r="F226" s="14">
        <f>[1]Sheet2!BE225</f>
        <v>48000</v>
      </c>
      <c r="G226" s="14">
        <f>[1]Sheet2!CV225</f>
        <v>262.03473945409428</v>
      </c>
      <c r="H226" s="1"/>
      <c r="I226" s="1"/>
      <c r="J226" s="1"/>
      <c r="K226" s="16">
        <f>Demand_CWRS!B$10/31</f>
        <v>120.8438508064516</v>
      </c>
      <c r="L226" s="16">
        <f>Demand_CWRS!C$10/31</f>
        <v>552.80165425971859</v>
      </c>
      <c r="M226" s="16">
        <f>Demand_CWRS!D$10/31</f>
        <v>0</v>
      </c>
      <c r="N226" s="16">
        <f>Demand_CWRS!E$10/31</f>
        <v>141.75971877584777</v>
      </c>
      <c r="O226" s="16">
        <f>Demand_CWRS!F$10/31</f>
        <v>252.70758116211746</v>
      </c>
      <c r="P226" s="16">
        <f>Demand_CWRS!G$10/31</f>
        <v>116.12903225806451</v>
      </c>
      <c r="Q226" s="16">
        <f>Demand_CWRS!H$10/31</f>
        <v>552.80165425971859</v>
      </c>
      <c r="R226" s="16">
        <f>Demand_CWRS!I$10/31</f>
        <v>252.70758116211746</v>
      </c>
      <c r="S226" s="16">
        <f>Demand_CWRS!J$10/31</f>
        <v>252.70758116211746</v>
      </c>
      <c r="T226" s="16">
        <f>Demand_CWRS!K$10/31</f>
        <v>252.70758116211746</v>
      </c>
      <c r="U226" s="16">
        <f t="shared" si="93"/>
        <v>-30017.755194344354</v>
      </c>
      <c r="V226" s="16">
        <f t="shared" si="94"/>
        <v>-103205.80024813861</v>
      </c>
      <c r="W226" s="16">
        <f t="shared" si="95"/>
        <v>0</v>
      </c>
      <c r="X226" s="16">
        <f t="shared" si="96"/>
        <v>-24184.800123022389</v>
      </c>
      <c r="Y226" s="16">
        <f t="shared" si="97"/>
        <v>-51656.372628218196</v>
      </c>
      <c r="Z226" s="16">
        <f t="shared" si="98"/>
        <v>-31573.119041273661</v>
      </c>
      <c r="AA226" s="16">
        <f t="shared" si="99"/>
        <v>-111549.80024813861</v>
      </c>
      <c r="AB226" s="16">
        <f t="shared" si="100"/>
        <v>-49172.527147448913</v>
      </c>
      <c r="AC226" s="16">
        <f t="shared" si="101"/>
        <v>-49172.527147448905</v>
      </c>
      <c r="AD226" s="16">
        <f t="shared" si="102"/>
        <v>-49872.527147448898</v>
      </c>
      <c r="AE226" s="14">
        <f>IF([1]Sheet2!AJ225=999999,"NA",[1]Sheet2!AJ225)</f>
        <v>0</v>
      </c>
      <c r="AF226" s="14">
        <f>IF([1]Sheet2!AK225=999999,"NA",[1]Sheet2!AK225)</f>
        <v>0</v>
      </c>
      <c r="AG226" s="14" t="str">
        <f>IF([1]Sheet2!AL225=999999,"NA",[1]Sheet2!AL225)</f>
        <v>NA</v>
      </c>
      <c r="AH226" s="14">
        <f>IF([1]Sheet2!AM225=999999,"NA",[1]Sheet2!AM225)</f>
        <v>142</v>
      </c>
      <c r="AI226" s="14">
        <f>IF([1]Sheet2!AN225=999999,"NA",[1]Sheet2!AN225)</f>
        <v>142</v>
      </c>
      <c r="AJ226" s="14">
        <f>IF([1]Sheet2!AO225=999999,"NA",[1]Sheet2!AO225)</f>
        <v>142</v>
      </c>
      <c r="AK226" s="14">
        <f>IF([1]Sheet2!AP225=999999,"NA",[1]Sheet2!AP225)</f>
        <v>0</v>
      </c>
      <c r="AL226" s="14">
        <f>IF([1]Sheet2!AQ225=999999,"NA",[1]Sheet2!AQ225)</f>
        <v>18</v>
      </c>
      <c r="AM226" s="14">
        <f>IF([1]Sheet2!AR225=999999,"NA",[1]Sheet2!AR225)</f>
        <v>142</v>
      </c>
      <c r="AN226" s="14">
        <f>IF([1]Sheet2!AS225=999999,"NA",[1]Sheet2!AS225)</f>
        <v>74</v>
      </c>
      <c r="AO226" s="14">
        <f>[1]Sheet2!P225</f>
        <v>0</v>
      </c>
      <c r="AP226" s="14">
        <f>[1]Sheet2!Q225</f>
        <v>0</v>
      </c>
      <c r="AQ226" s="14">
        <f>[1]Sheet2!R225</f>
        <v>0</v>
      </c>
      <c r="AR226" s="14">
        <f>[1]Sheet2!S225</f>
        <v>0</v>
      </c>
      <c r="AS226" s="14">
        <f>[1]Sheet2!T225</f>
        <v>0</v>
      </c>
      <c r="AT226" s="14">
        <f>[1]Sheet2!U225</f>
        <v>0</v>
      </c>
      <c r="AU226" s="14">
        <f>[1]Sheet2!V225</f>
        <v>0</v>
      </c>
      <c r="AV226" s="14">
        <f>[1]Sheet2!W225</f>
        <v>0</v>
      </c>
      <c r="AW226" s="14">
        <f>[1]Sheet2!X225</f>
        <v>0</v>
      </c>
      <c r="AX226" s="14">
        <f>[1]Sheet2!Y225</f>
        <v>0</v>
      </c>
      <c r="AY226" s="16">
        <f>Demand_LP!B$10/31</f>
        <v>857.18246226220015</v>
      </c>
      <c r="AZ226" s="16">
        <f>Demand_LP!C$10/31</f>
        <v>528.30835401157981</v>
      </c>
      <c r="BA226" s="16">
        <f>Demand_LP!D$10/31</f>
        <v>338.76323407775027</v>
      </c>
      <c r="BB226" s="16">
        <f>Demand_LP!E$10/31</f>
        <v>735.04776674937955</v>
      </c>
      <c r="BC226" s="16">
        <f>Demand_LP!F$10/31</f>
        <v>479.51259046732832</v>
      </c>
      <c r="BD226" s="16">
        <f>Demand_LP!G$10/31</f>
        <v>857.18246226220015</v>
      </c>
      <c r="BE226" s="16">
        <f>Demand_LP!H$10/31</f>
        <v>528.30835401157981</v>
      </c>
      <c r="BF226" s="16">
        <f>Demand_LP!I$10/31</f>
        <v>479.51259046732832</v>
      </c>
      <c r="BG226" s="16">
        <f>Demand_LP!J$10/31</f>
        <v>479.51259046732832</v>
      </c>
      <c r="BH226" s="16">
        <f>Demand_LP!K$10/31</f>
        <v>479.51259046732832</v>
      </c>
      <c r="BI226" s="16" t="e">
        <f t="shared" si="103"/>
        <v>#VALUE!</v>
      </c>
      <c r="BJ226" s="16">
        <f t="shared" si="104"/>
        <v>-126719.97394540916</v>
      </c>
      <c r="BK226" s="16">
        <f t="shared" si="105"/>
        <v>-64589.335318444937</v>
      </c>
      <c r="BL226" s="16">
        <f t="shared" si="106"/>
        <v>-166419.72670006557</v>
      </c>
      <c r="BM226" s="16">
        <f t="shared" si="107"/>
        <v>-96331.91829471878</v>
      </c>
      <c r="BN226" s="16">
        <f t="shared" si="108"/>
        <v>-171538.11093641358</v>
      </c>
      <c r="BO226" s="16">
        <f t="shared" si="109"/>
        <v>-135934.55343258881</v>
      </c>
      <c r="BP226" s="16">
        <f t="shared" si="110"/>
        <v>-101669.60221308938</v>
      </c>
      <c r="BQ226" s="16">
        <f t="shared" si="111"/>
        <v>-98269.602213089427</v>
      </c>
      <c r="BR226" s="16">
        <f t="shared" si="112"/>
        <v>-99469.602213089383</v>
      </c>
      <c r="BS226" s="14">
        <f>IF([1]Sheet2!CA225=999999,"NA",[1]Sheet2!CA225)</f>
        <v>117009.39778691078</v>
      </c>
      <c r="BT226" s="14">
        <f>IF([1]Sheet2!CB225=999999,"NA",[1]Sheet2!CB225)</f>
        <v>72</v>
      </c>
      <c r="BU226" s="14">
        <f>IF([1]Sheet2!CC225=999999,"NA",[1]Sheet2!CC225)</f>
        <v>142</v>
      </c>
      <c r="BV226" s="14">
        <f>IF([1]Sheet2!CD225=999999,"NA",[1]Sheet2!CD225)</f>
        <v>142</v>
      </c>
      <c r="BW226" s="14">
        <f>IF([1]Sheet2!CE225=999999,"NA",[1]Sheet2!CE225)</f>
        <v>111</v>
      </c>
      <c r="BX226" s="14">
        <f>IF([1]Sheet2!CF225=999999,"NA",[1]Sheet2!CF225)</f>
        <v>142</v>
      </c>
      <c r="BY226" s="14">
        <f>IF([1]Sheet2!CG225=999999,"NA",[1]Sheet2!CG225)</f>
        <v>36</v>
      </c>
      <c r="BZ226" s="14">
        <f>IF([1]Sheet2!CH225=999999,"NA",[1]Sheet2!CH225)</f>
        <v>142</v>
      </c>
      <c r="CA226" s="14">
        <f>IF([1]Sheet2!CI225=999999,"NA",[1]Sheet2!CI225)</f>
        <v>142</v>
      </c>
      <c r="CB226" s="14">
        <f>IF([1]Sheet2!CJ225=999999,"NA",[1]Sheet2!CJ225)</f>
        <v>142</v>
      </c>
      <c r="CC226" s="14">
        <f>[1]Sheet2!BG225</f>
        <v>0</v>
      </c>
      <c r="CD226" s="14">
        <f>[1]Sheet2!BH225</f>
        <v>0</v>
      </c>
      <c r="CE226" s="14">
        <f>[1]Sheet2!BI225</f>
        <v>0</v>
      </c>
      <c r="CF226" s="14">
        <f>[1]Sheet2!BJ225</f>
        <v>0</v>
      </c>
      <c r="CG226" s="14">
        <f>[1]Sheet2!BK225</f>
        <v>0</v>
      </c>
      <c r="CH226" s="14">
        <f>[1]Sheet2!BL225</f>
        <v>0</v>
      </c>
      <c r="CI226" s="14">
        <f>[1]Sheet2!BM225</f>
        <v>0</v>
      </c>
      <c r="CJ226" s="14">
        <f>[1]Sheet2!BN225</f>
        <v>0</v>
      </c>
      <c r="CK226" s="14">
        <f>[1]Sheet2!BO225</f>
        <v>0</v>
      </c>
      <c r="CL226" s="14">
        <f>[1]Sheet2!BP225</f>
        <v>0</v>
      </c>
      <c r="CM226" s="16">
        <f>Demand_SW!B$10/31</f>
        <v>131.01736972704714</v>
      </c>
      <c r="CN226" s="16">
        <f>Demand_SW!C$10/31</f>
        <v>0</v>
      </c>
      <c r="CO226" s="16">
        <f>Demand_SW!D$10/31</f>
        <v>0</v>
      </c>
      <c r="CP226" s="16">
        <f>Demand_SW!E$10/31</f>
        <v>0</v>
      </c>
      <c r="CQ226" s="16">
        <f>Demand_SW!F$10/31</f>
        <v>0</v>
      </c>
      <c r="CR226" s="16">
        <f>Demand_SW!G$10/31</f>
        <v>131.01736972704714</v>
      </c>
      <c r="CS226" s="16">
        <f>Demand_SW!H$10/31</f>
        <v>0</v>
      </c>
      <c r="CT226" s="16">
        <f>Demand_SW!I$10/31</f>
        <v>0</v>
      </c>
      <c r="CU226" s="16">
        <f>Demand_SW!J$10/31</f>
        <v>0</v>
      </c>
      <c r="CV226" s="16">
        <f>Demand_SW!K$10/31</f>
        <v>0</v>
      </c>
      <c r="CW226" s="16">
        <f t="shared" si="113"/>
        <v>70899.578163771715</v>
      </c>
      <c r="CX226" s="16">
        <f t="shared" si="114"/>
        <v>20683.923076923078</v>
      </c>
      <c r="CY226" s="16">
        <f t="shared" si="115"/>
        <v>0</v>
      </c>
      <c r="CZ226" s="16">
        <f t="shared" si="116"/>
        <v>0</v>
      </c>
      <c r="DA226" s="16">
        <f t="shared" si="117"/>
        <v>0</v>
      </c>
      <c r="DB226" s="16">
        <f t="shared" si="118"/>
        <v>-28629.652605459058</v>
      </c>
      <c r="DC226" s="16">
        <f t="shared" si="119"/>
        <v>-423.07692307692292</v>
      </c>
      <c r="DD226" s="16">
        <f t="shared" si="120"/>
        <v>0</v>
      </c>
      <c r="DE226" s="16">
        <f t="shared" si="121"/>
        <v>0</v>
      </c>
      <c r="DF226" s="16">
        <f t="shared" si="122"/>
        <v>0</v>
      </c>
      <c r="DG226" s="14">
        <f>IF([1]Sheet2!DR225=999999,"NA",[1]Sheet2!DR225)</f>
        <v>73103</v>
      </c>
      <c r="DH226" s="14">
        <f>IF([1]Sheet2!DS225=999999,"NA",[1]Sheet2!DS225)</f>
        <v>142</v>
      </c>
      <c r="DI226" s="14">
        <f>IF([1]Sheet2!DT225=999999,"NA",[1]Sheet2!DT225)</f>
        <v>142</v>
      </c>
      <c r="DJ226" s="14" t="str">
        <f>IF([1]Sheet2!DU225=999999,"NA",[1]Sheet2!DU225)</f>
        <v>NA</v>
      </c>
      <c r="DK226" s="14" t="str">
        <f>IF([1]Sheet2!DV225=999999,"NA",[1]Sheet2!DV225)</f>
        <v>NA</v>
      </c>
      <c r="DL226" s="14" t="str">
        <f>IF([1]Sheet2!DW225=999999,"NA",[1]Sheet2!DW225)</f>
        <v>NA</v>
      </c>
      <c r="DM226" s="14">
        <f>IF([1]Sheet2!DX225=999999,"NA",[1]Sheet2!DX225)</f>
        <v>142</v>
      </c>
      <c r="DN226" s="14">
        <f>IF([1]Sheet2!DY225=999999,"NA",[1]Sheet2!DY225)</f>
        <v>142</v>
      </c>
      <c r="DO226" s="14" t="str">
        <f>IF([1]Sheet2!DZ225=999999,"NA",[1]Sheet2!DZ225)</f>
        <v>NA</v>
      </c>
      <c r="DP226" s="14" t="str">
        <f>IF([1]Sheet2!EA225=999999,"NA",[1]Sheet2!EA225)</f>
        <v>NA</v>
      </c>
      <c r="DQ226" s="14">
        <f>[1]Sheet2!CX225</f>
        <v>0</v>
      </c>
      <c r="DR226" s="14">
        <f>[1]Sheet2!CY225</f>
        <v>0</v>
      </c>
      <c r="DS226" s="14">
        <f>[1]Sheet2!CZ225</f>
        <v>0</v>
      </c>
      <c r="DT226" s="14">
        <f>[1]Sheet2!DA225</f>
        <v>0</v>
      </c>
      <c r="DU226" s="14">
        <f>[1]Sheet2!DB225</f>
        <v>0</v>
      </c>
      <c r="DV226" s="14">
        <f>[1]Sheet2!DC225</f>
        <v>0</v>
      </c>
      <c r="DW226" s="14">
        <f>[1]Sheet2!DD225</f>
        <v>0</v>
      </c>
      <c r="DX226" s="14">
        <f>[1]Sheet2!DE225</f>
        <v>0</v>
      </c>
      <c r="DY226" s="14">
        <f>[1]Sheet2!DF225</f>
        <v>0</v>
      </c>
      <c r="DZ226" s="14">
        <f>[1]Sheet2!DG225</f>
        <v>0</v>
      </c>
    </row>
    <row r="227" spans="1:130" x14ac:dyDescent="0.25">
      <c r="A227" s="15">
        <v>43689</v>
      </c>
      <c r="B227" s="1"/>
      <c r="C227" s="1"/>
      <c r="D227" s="1"/>
      <c r="E227" s="14">
        <f>[1]Sheet2!N226</f>
        <v>0</v>
      </c>
      <c r="F227" s="14">
        <f>[1]Sheet2!BE226</f>
        <v>0</v>
      </c>
      <c r="G227" s="14">
        <f>[1]Sheet2!CV226</f>
        <v>262.03473945409428</v>
      </c>
      <c r="H227" s="1"/>
      <c r="I227" s="1"/>
      <c r="J227" s="1"/>
      <c r="K227" s="16">
        <f>Demand_CWRS!B$10/31</f>
        <v>120.8438508064516</v>
      </c>
      <c r="L227" s="16">
        <f>Demand_CWRS!C$10/31</f>
        <v>552.80165425971859</v>
      </c>
      <c r="M227" s="16">
        <f>Demand_CWRS!D$10/31</f>
        <v>0</v>
      </c>
      <c r="N227" s="16">
        <f>Demand_CWRS!E$10/31</f>
        <v>141.75971877584777</v>
      </c>
      <c r="O227" s="16">
        <f>Demand_CWRS!F$10/31</f>
        <v>252.70758116211746</v>
      </c>
      <c r="P227" s="16">
        <f>Demand_CWRS!G$10/31</f>
        <v>116.12903225806451</v>
      </c>
      <c r="Q227" s="16">
        <f>Demand_CWRS!H$10/31</f>
        <v>552.80165425971859</v>
      </c>
      <c r="R227" s="16">
        <f>Demand_CWRS!I$10/31</f>
        <v>252.70758116211746</v>
      </c>
      <c r="S227" s="16">
        <f>Demand_CWRS!J$10/31</f>
        <v>252.70758116211746</v>
      </c>
      <c r="T227" s="16">
        <f>Demand_CWRS!K$10/31</f>
        <v>252.70758116211746</v>
      </c>
      <c r="U227" s="16">
        <f t="shared" si="93"/>
        <v>-30138.599045150804</v>
      </c>
      <c r="V227" s="16">
        <f t="shared" si="94"/>
        <v>-103758.60190239832</v>
      </c>
      <c r="W227" s="16">
        <f t="shared" si="95"/>
        <v>0</v>
      </c>
      <c r="X227" s="16">
        <f t="shared" si="96"/>
        <v>-24326.559841798236</v>
      </c>
      <c r="Y227" s="16">
        <f t="shared" si="97"/>
        <v>-51909.080209380314</v>
      </c>
      <c r="Z227" s="16">
        <f t="shared" si="98"/>
        <v>-31689.248073531726</v>
      </c>
      <c r="AA227" s="16">
        <f t="shared" si="99"/>
        <v>-112102.60190239832</v>
      </c>
      <c r="AB227" s="16">
        <f t="shared" si="100"/>
        <v>-49425.234728611031</v>
      </c>
      <c r="AC227" s="16">
        <f t="shared" si="101"/>
        <v>-49425.234728611023</v>
      </c>
      <c r="AD227" s="16">
        <f t="shared" si="102"/>
        <v>-50125.234728611016</v>
      </c>
      <c r="AE227" s="14">
        <f>IF([1]Sheet2!AJ226=999999,"NA",[1]Sheet2!AJ226)</f>
        <v>0</v>
      </c>
      <c r="AF227" s="14">
        <f>IF([1]Sheet2!AK226=999999,"NA",[1]Sheet2!AK226)</f>
        <v>0</v>
      </c>
      <c r="AG227" s="14" t="str">
        <f>IF([1]Sheet2!AL226=999999,"NA",[1]Sheet2!AL226)</f>
        <v>NA</v>
      </c>
      <c r="AH227" s="14">
        <f>IF([1]Sheet2!AM226=999999,"NA",[1]Sheet2!AM226)</f>
        <v>141</v>
      </c>
      <c r="AI227" s="14">
        <f>IF([1]Sheet2!AN226=999999,"NA",[1]Sheet2!AN226)</f>
        <v>141</v>
      </c>
      <c r="AJ227" s="14">
        <f>IF([1]Sheet2!AO226=999999,"NA",[1]Sheet2!AO226)</f>
        <v>141</v>
      </c>
      <c r="AK227" s="14">
        <f>IF([1]Sheet2!AP226=999999,"NA",[1]Sheet2!AP226)</f>
        <v>0</v>
      </c>
      <c r="AL227" s="14">
        <f>IF([1]Sheet2!AQ226=999999,"NA",[1]Sheet2!AQ226)</f>
        <v>17</v>
      </c>
      <c r="AM227" s="14">
        <f>IF([1]Sheet2!AR226=999999,"NA",[1]Sheet2!AR226)</f>
        <v>141</v>
      </c>
      <c r="AN227" s="14">
        <f>IF([1]Sheet2!AS226=999999,"NA",[1]Sheet2!AS226)</f>
        <v>73</v>
      </c>
      <c r="AO227" s="14">
        <f>[1]Sheet2!P226</f>
        <v>0</v>
      </c>
      <c r="AP227" s="14">
        <f>[1]Sheet2!Q226</f>
        <v>0</v>
      </c>
      <c r="AQ227" s="14">
        <f>[1]Sheet2!R226</f>
        <v>0</v>
      </c>
      <c r="AR227" s="14">
        <f>[1]Sheet2!S226</f>
        <v>0</v>
      </c>
      <c r="AS227" s="14">
        <f>[1]Sheet2!T226</f>
        <v>0</v>
      </c>
      <c r="AT227" s="14">
        <f>[1]Sheet2!U226</f>
        <v>0</v>
      </c>
      <c r="AU227" s="14">
        <f>[1]Sheet2!V226</f>
        <v>0</v>
      </c>
      <c r="AV227" s="14">
        <f>[1]Sheet2!W226</f>
        <v>0</v>
      </c>
      <c r="AW227" s="14">
        <f>[1]Sheet2!X226</f>
        <v>0</v>
      </c>
      <c r="AX227" s="14">
        <f>[1]Sheet2!Y226</f>
        <v>0</v>
      </c>
      <c r="AY227" s="16">
        <f>Demand_LP!B$10/31</f>
        <v>857.18246226220015</v>
      </c>
      <c r="AZ227" s="16">
        <f>Demand_LP!C$10/31</f>
        <v>528.30835401157981</v>
      </c>
      <c r="BA227" s="16">
        <f>Demand_LP!D$10/31</f>
        <v>338.76323407775027</v>
      </c>
      <c r="BB227" s="16">
        <f>Demand_LP!E$10/31</f>
        <v>735.04776674937955</v>
      </c>
      <c r="BC227" s="16">
        <f>Demand_LP!F$10/31</f>
        <v>479.51259046732832</v>
      </c>
      <c r="BD227" s="16">
        <f>Demand_LP!G$10/31</f>
        <v>857.18246226220015</v>
      </c>
      <c r="BE227" s="16">
        <f>Demand_LP!H$10/31</f>
        <v>528.30835401157981</v>
      </c>
      <c r="BF227" s="16">
        <f>Demand_LP!I$10/31</f>
        <v>479.51259046732832</v>
      </c>
      <c r="BG227" s="16">
        <f>Demand_LP!J$10/31</f>
        <v>479.51259046732832</v>
      </c>
      <c r="BH227" s="16">
        <f>Demand_LP!K$10/31</f>
        <v>479.51259046732832</v>
      </c>
      <c r="BI227" s="16" t="e">
        <f t="shared" si="103"/>
        <v>#VALUE!</v>
      </c>
      <c r="BJ227" s="16">
        <f t="shared" si="104"/>
        <v>-127248.28229942074</v>
      </c>
      <c r="BK227" s="16">
        <f t="shared" si="105"/>
        <v>-64928.098552522686</v>
      </c>
      <c r="BL227" s="16">
        <f t="shared" si="106"/>
        <v>-167154.77446681494</v>
      </c>
      <c r="BM227" s="16">
        <f t="shared" si="107"/>
        <v>-96811.430885186113</v>
      </c>
      <c r="BN227" s="16">
        <f t="shared" si="108"/>
        <v>-172395.29339867577</v>
      </c>
      <c r="BO227" s="16">
        <f t="shared" si="109"/>
        <v>-136462.86178660041</v>
      </c>
      <c r="BP227" s="16">
        <f t="shared" si="110"/>
        <v>-102149.11480355672</v>
      </c>
      <c r="BQ227" s="16">
        <f t="shared" si="111"/>
        <v>-98749.11480355676</v>
      </c>
      <c r="BR227" s="16">
        <f t="shared" si="112"/>
        <v>-99949.114803556717</v>
      </c>
      <c r="BS227" s="14">
        <f>IF([1]Sheet2!CA226=999999,"NA",[1]Sheet2!CA226)</f>
        <v>116529.88519644344</v>
      </c>
      <c r="BT227" s="14">
        <f>IF([1]Sheet2!CB226=999999,"NA",[1]Sheet2!CB226)</f>
        <v>71</v>
      </c>
      <c r="BU227" s="14">
        <f>IF([1]Sheet2!CC226=999999,"NA",[1]Sheet2!CC226)</f>
        <v>141</v>
      </c>
      <c r="BV227" s="14">
        <f>IF([1]Sheet2!CD226=999999,"NA",[1]Sheet2!CD226)</f>
        <v>141</v>
      </c>
      <c r="BW227" s="14">
        <f>IF([1]Sheet2!CE226=999999,"NA",[1]Sheet2!CE226)</f>
        <v>110</v>
      </c>
      <c r="BX227" s="14">
        <f>IF([1]Sheet2!CF226=999999,"NA",[1]Sheet2!CF226)</f>
        <v>141</v>
      </c>
      <c r="BY227" s="14">
        <f>IF([1]Sheet2!CG226=999999,"NA",[1]Sheet2!CG226)</f>
        <v>35</v>
      </c>
      <c r="BZ227" s="14">
        <f>IF([1]Sheet2!CH226=999999,"NA",[1]Sheet2!CH226)</f>
        <v>141</v>
      </c>
      <c r="CA227" s="14">
        <f>IF([1]Sheet2!CI226=999999,"NA",[1]Sheet2!CI226)</f>
        <v>141</v>
      </c>
      <c r="CB227" s="14">
        <f>IF([1]Sheet2!CJ226=999999,"NA",[1]Sheet2!CJ226)</f>
        <v>141</v>
      </c>
      <c r="CC227" s="14">
        <f>[1]Sheet2!BG226</f>
        <v>0</v>
      </c>
      <c r="CD227" s="14">
        <f>[1]Sheet2!BH226</f>
        <v>0</v>
      </c>
      <c r="CE227" s="14">
        <f>[1]Sheet2!BI226</f>
        <v>0</v>
      </c>
      <c r="CF227" s="14">
        <f>[1]Sheet2!BJ226</f>
        <v>0</v>
      </c>
      <c r="CG227" s="14">
        <f>[1]Sheet2!BK226</f>
        <v>0</v>
      </c>
      <c r="CH227" s="14">
        <f>[1]Sheet2!BL226</f>
        <v>0</v>
      </c>
      <c r="CI227" s="14">
        <f>[1]Sheet2!BM226</f>
        <v>0</v>
      </c>
      <c r="CJ227" s="14">
        <f>[1]Sheet2!BN226</f>
        <v>0</v>
      </c>
      <c r="CK227" s="14">
        <f>[1]Sheet2!BO226</f>
        <v>0</v>
      </c>
      <c r="CL227" s="14">
        <f>[1]Sheet2!BP226</f>
        <v>0</v>
      </c>
      <c r="CM227" s="16">
        <f>Demand_SW!B$10/31</f>
        <v>131.01736972704714</v>
      </c>
      <c r="CN227" s="16">
        <f>Demand_SW!C$10/31</f>
        <v>0</v>
      </c>
      <c r="CO227" s="16">
        <f>Demand_SW!D$10/31</f>
        <v>0</v>
      </c>
      <c r="CP227" s="16">
        <f>Demand_SW!E$10/31</f>
        <v>0</v>
      </c>
      <c r="CQ227" s="16">
        <f>Demand_SW!F$10/31</f>
        <v>0</v>
      </c>
      <c r="CR227" s="16">
        <f>Demand_SW!G$10/31</f>
        <v>131.01736972704714</v>
      </c>
      <c r="CS227" s="16">
        <f>Demand_SW!H$10/31</f>
        <v>0</v>
      </c>
      <c r="CT227" s="16">
        <f>Demand_SW!I$10/31</f>
        <v>0</v>
      </c>
      <c r="CU227" s="16">
        <f>Demand_SW!J$10/31</f>
        <v>0</v>
      </c>
      <c r="CV227" s="16">
        <f>Demand_SW!K$10/31</f>
        <v>0</v>
      </c>
      <c r="CW227" s="16">
        <f t="shared" si="113"/>
        <v>70768.560794044664</v>
      </c>
      <c r="CX227" s="16">
        <f t="shared" si="114"/>
        <v>20683.923076923078</v>
      </c>
      <c r="CY227" s="16">
        <f t="shared" si="115"/>
        <v>0</v>
      </c>
      <c r="CZ227" s="16">
        <f t="shared" si="116"/>
        <v>0</v>
      </c>
      <c r="DA227" s="16">
        <f t="shared" si="117"/>
        <v>0</v>
      </c>
      <c r="DB227" s="16">
        <f t="shared" si="118"/>
        <v>-28760.669975186105</v>
      </c>
      <c r="DC227" s="16">
        <f t="shared" si="119"/>
        <v>-423.07692307692292</v>
      </c>
      <c r="DD227" s="16">
        <f t="shared" si="120"/>
        <v>0</v>
      </c>
      <c r="DE227" s="16">
        <f t="shared" si="121"/>
        <v>0</v>
      </c>
      <c r="DF227" s="16">
        <f t="shared" si="122"/>
        <v>0</v>
      </c>
      <c r="DG227" s="14">
        <f>IF([1]Sheet2!DR226=999999,"NA",[1]Sheet2!DR226)</f>
        <v>73103</v>
      </c>
      <c r="DH227" s="14">
        <f>IF([1]Sheet2!DS226=999999,"NA",[1]Sheet2!DS226)</f>
        <v>141</v>
      </c>
      <c r="DI227" s="14">
        <f>IF([1]Sheet2!DT226=999999,"NA",[1]Sheet2!DT226)</f>
        <v>141</v>
      </c>
      <c r="DJ227" s="14" t="str">
        <f>IF([1]Sheet2!DU226=999999,"NA",[1]Sheet2!DU226)</f>
        <v>NA</v>
      </c>
      <c r="DK227" s="14" t="str">
        <f>IF([1]Sheet2!DV226=999999,"NA",[1]Sheet2!DV226)</f>
        <v>NA</v>
      </c>
      <c r="DL227" s="14" t="str">
        <f>IF([1]Sheet2!DW226=999999,"NA",[1]Sheet2!DW226)</f>
        <v>NA</v>
      </c>
      <c r="DM227" s="14">
        <f>IF([1]Sheet2!DX226=999999,"NA",[1]Sheet2!DX226)</f>
        <v>141</v>
      </c>
      <c r="DN227" s="14">
        <f>IF([1]Sheet2!DY226=999999,"NA",[1]Sheet2!DY226)</f>
        <v>141</v>
      </c>
      <c r="DO227" s="14" t="str">
        <f>IF([1]Sheet2!DZ226=999999,"NA",[1]Sheet2!DZ226)</f>
        <v>NA</v>
      </c>
      <c r="DP227" s="14" t="str">
        <f>IF([1]Sheet2!EA226=999999,"NA",[1]Sheet2!EA226)</f>
        <v>NA</v>
      </c>
      <c r="DQ227" s="14">
        <f>[1]Sheet2!CX226</f>
        <v>0</v>
      </c>
      <c r="DR227" s="14">
        <f>[1]Sheet2!CY226</f>
        <v>0</v>
      </c>
      <c r="DS227" s="14">
        <f>[1]Sheet2!CZ226</f>
        <v>0</v>
      </c>
      <c r="DT227" s="14">
        <f>[1]Sheet2!DA226</f>
        <v>0</v>
      </c>
      <c r="DU227" s="14">
        <f>[1]Sheet2!DB226</f>
        <v>0</v>
      </c>
      <c r="DV227" s="14">
        <f>[1]Sheet2!DC226</f>
        <v>0</v>
      </c>
      <c r="DW227" s="14">
        <f>[1]Sheet2!DD226</f>
        <v>0</v>
      </c>
      <c r="DX227" s="14">
        <f>[1]Sheet2!DE226</f>
        <v>0</v>
      </c>
      <c r="DY227" s="14">
        <f>[1]Sheet2!DF226</f>
        <v>0</v>
      </c>
      <c r="DZ227" s="14">
        <f>[1]Sheet2!DG226</f>
        <v>0</v>
      </c>
    </row>
    <row r="228" spans="1:130" x14ac:dyDescent="0.25">
      <c r="A228" s="15">
        <v>43690</v>
      </c>
      <c r="B228" s="1"/>
      <c r="C228" s="1"/>
      <c r="D228" s="1"/>
      <c r="E228" s="14">
        <f>[1]Sheet2!N227</f>
        <v>0</v>
      </c>
      <c r="F228" s="14">
        <f>[1]Sheet2!BE227</f>
        <v>0</v>
      </c>
      <c r="G228" s="14">
        <f>[1]Sheet2!CV227</f>
        <v>262.03473945409428</v>
      </c>
      <c r="H228" s="1"/>
      <c r="I228" s="1"/>
      <c r="J228" s="1"/>
      <c r="K228" s="16">
        <f>Demand_CWRS!B$10/31</f>
        <v>120.8438508064516</v>
      </c>
      <c r="L228" s="16">
        <f>Demand_CWRS!C$10/31</f>
        <v>552.80165425971859</v>
      </c>
      <c r="M228" s="16">
        <f>Demand_CWRS!D$10/31</f>
        <v>0</v>
      </c>
      <c r="N228" s="16">
        <f>Demand_CWRS!E$10/31</f>
        <v>141.75971877584777</v>
      </c>
      <c r="O228" s="16">
        <f>Demand_CWRS!F$10/31</f>
        <v>252.70758116211746</v>
      </c>
      <c r="P228" s="16">
        <f>Demand_CWRS!G$10/31</f>
        <v>116.12903225806451</v>
      </c>
      <c r="Q228" s="16">
        <f>Demand_CWRS!H$10/31</f>
        <v>552.80165425971859</v>
      </c>
      <c r="R228" s="16">
        <f>Demand_CWRS!I$10/31</f>
        <v>252.70758116211746</v>
      </c>
      <c r="S228" s="16">
        <f>Demand_CWRS!J$10/31</f>
        <v>252.70758116211746</v>
      </c>
      <c r="T228" s="16">
        <f>Demand_CWRS!K$10/31</f>
        <v>252.70758116211746</v>
      </c>
      <c r="U228" s="16">
        <f t="shared" si="93"/>
        <v>-30259.442895957254</v>
      </c>
      <c r="V228" s="16">
        <f t="shared" si="94"/>
        <v>-104311.40355665804</v>
      </c>
      <c r="W228" s="16">
        <f t="shared" si="95"/>
        <v>0</v>
      </c>
      <c r="X228" s="16">
        <f t="shared" si="96"/>
        <v>-24468.319560574084</v>
      </c>
      <c r="Y228" s="16">
        <f t="shared" si="97"/>
        <v>-52161.787790542432</v>
      </c>
      <c r="Z228" s="16">
        <f t="shared" si="98"/>
        <v>-31805.37710578979</v>
      </c>
      <c r="AA228" s="16">
        <f t="shared" si="99"/>
        <v>-112655.40355665804</v>
      </c>
      <c r="AB228" s="16">
        <f t="shared" si="100"/>
        <v>-49677.942309773149</v>
      </c>
      <c r="AC228" s="16">
        <f t="shared" si="101"/>
        <v>-49677.942309773141</v>
      </c>
      <c r="AD228" s="16">
        <f t="shared" si="102"/>
        <v>-50377.942309773134</v>
      </c>
      <c r="AE228" s="14">
        <f>IF([1]Sheet2!AJ227=999999,"NA",[1]Sheet2!AJ227)</f>
        <v>0</v>
      </c>
      <c r="AF228" s="14">
        <f>IF([1]Sheet2!AK227=999999,"NA",[1]Sheet2!AK227)</f>
        <v>0</v>
      </c>
      <c r="AG228" s="14" t="str">
        <f>IF([1]Sheet2!AL227=999999,"NA",[1]Sheet2!AL227)</f>
        <v>NA</v>
      </c>
      <c r="AH228" s="14">
        <f>IF([1]Sheet2!AM227=999999,"NA",[1]Sheet2!AM227)</f>
        <v>140</v>
      </c>
      <c r="AI228" s="14">
        <f>IF([1]Sheet2!AN227=999999,"NA",[1]Sheet2!AN227)</f>
        <v>140</v>
      </c>
      <c r="AJ228" s="14">
        <f>IF([1]Sheet2!AO227=999999,"NA",[1]Sheet2!AO227)</f>
        <v>140</v>
      </c>
      <c r="AK228" s="14">
        <f>IF([1]Sheet2!AP227=999999,"NA",[1]Sheet2!AP227)</f>
        <v>0</v>
      </c>
      <c r="AL228" s="14">
        <f>IF([1]Sheet2!AQ227=999999,"NA",[1]Sheet2!AQ227)</f>
        <v>16</v>
      </c>
      <c r="AM228" s="14">
        <f>IF([1]Sheet2!AR227=999999,"NA",[1]Sheet2!AR227)</f>
        <v>140</v>
      </c>
      <c r="AN228" s="14">
        <f>IF([1]Sheet2!AS227=999999,"NA",[1]Sheet2!AS227)</f>
        <v>72</v>
      </c>
      <c r="AO228" s="14">
        <f>[1]Sheet2!P227</f>
        <v>0</v>
      </c>
      <c r="AP228" s="14">
        <f>[1]Sheet2!Q227</f>
        <v>0</v>
      </c>
      <c r="AQ228" s="14">
        <f>[1]Sheet2!R227</f>
        <v>0</v>
      </c>
      <c r="AR228" s="14">
        <f>[1]Sheet2!S227</f>
        <v>0</v>
      </c>
      <c r="AS228" s="14">
        <f>[1]Sheet2!T227</f>
        <v>0</v>
      </c>
      <c r="AT228" s="14">
        <f>[1]Sheet2!U227</f>
        <v>0</v>
      </c>
      <c r="AU228" s="14">
        <f>[1]Sheet2!V227</f>
        <v>0</v>
      </c>
      <c r="AV228" s="14">
        <f>[1]Sheet2!W227</f>
        <v>0</v>
      </c>
      <c r="AW228" s="14">
        <f>[1]Sheet2!X227</f>
        <v>0</v>
      </c>
      <c r="AX228" s="14">
        <f>[1]Sheet2!Y227</f>
        <v>0</v>
      </c>
      <c r="AY228" s="16">
        <f>Demand_LP!B$10/31</f>
        <v>857.18246226220015</v>
      </c>
      <c r="AZ228" s="16">
        <f>Demand_LP!C$10/31</f>
        <v>528.30835401157981</v>
      </c>
      <c r="BA228" s="16">
        <f>Demand_LP!D$10/31</f>
        <v>338.76323407775027</v>
      </c>
      <c r="BB228" s="16">
        <f>Demand_LP!E$10/31</f>
        <v>735.04776674937955</v>
      </c>
      <c r="BC228" s="16">
        <f>Demand_LP!F$10/31</f>
        <v>479.51259046732832</v>
      </c>
      <c r="BD228" s="16">
        <f>Demand_LP!G$10/31</f>
        <v>857.18246226220015</v>
      </c>
      <c r="BE228" s="16">
        <f>Demand_LP!H$10/31</f>
        <v>528.30835401157981</v>
      </c>
      <c r="BF228" s="16">
        <f>Demand_LP!I$10/31</f>
        <v>479.51259046732832</v>
      </c>
      <c r="BG228" s="16">
        <f>Demand_LP!J$10/31</f>
        <v>479.51259046732832</v>
      </c>
      <c r="BH228" s="16">
        <f>Demand_LP!K$10/31</f>
        <v>479.51259046732832</v>
      </c>
      <c r="BI228" s="16" t="e">
        <f t="shared" si="103"/>
        <v>#VALUE!</v>
      </c>
      <c r="BJ228" s="16">
        <f t="shared" si="104"/>
        <v>-127776.59065343231</v>
      </c>
      <c r="BK228" s="16">
        <f t="shared" si="105"/>
        <v>-65266.861786600435</v>
      </c>
      <c r="BL228" s="16">
        <f t="shared" si="106"/>
        <v>-167889.82223356431</v>
      </c>
      <c r="BM228" s="16">
        <f t="shared" si="107"/>
        <v>-97290.943475653447</v>
      </c>
      <c r="BN228" s="16">
        <f t="shared" si="108"/>
        <v>-173252.47586093796</v>
      </c>
      <c r="BO228" s="16">
        <f t="shared" si="109"/>
        <v>-136991.170140612</v>
      </c>
      <c r="BP228" s="16">
        <f t="shared" si="110"/>
        <v>-102628.62739402405</v>
      </c>
      <c r="BQ228" s="16">
        <f t="shared" si="111"/>
        <v>-99228.627394024094</v>
      </c>
      <c r="BR228" s="16">
        <f t="shared" si="112"/>
        <v>-100428.62739402405</v>
      </c>
      <c r="BS228" s="14">
        <f>IF([1]Sheet2!CA227=999999,"NA",[1]Sheet2!CA227)</f>
        <v>116050.37260597611</v>
      </c>
      <c r="BT228" s="14">
        <f>IF([1]Sheet2!CB227=999999,"NA",[1]Sheet2!CB227)</f>
        <v>70</v>
      </c>
      <c r="BU228" s="14">
        <f>IF([1]Sheet2!CC227=999999,"NA",[1]Sheet2!CC227)</f>
        <v>140</v>
      </c>
      <c r="BV228" s="14">
        <f>IF([1]Sheet2!CD227=999999,"NA",[1]Sheet2!CD227)</f>
        <v>140</v>
      </c>
      <c r="BW228" s="14">
        <f>IF([1]Sheet2!CE227=999999,"NA",[1]Sheet2!CE227)</f>
        <v>109</v>
      </c>
      <c r="BX228" s="14">
        <f>IF([1]Sheet2!CF227=999999,"NA",[1]Sheet2!CF227)</f>
        <v>140</v>
      </c>
      <c r="BY228" s="14">
        <f>IF([1]Sheet2!CG227=999999,"NA",[1]Sheet2!CG227)</f>
        <v>34</v>
      </c>
      <c r="BZ228" s="14">
        <f>IF([1]Sheet2!CH227=999999,"NA",[1]Sheet2!CH227)</f>
        <v>140</v>
      </c>
      <c r="CA228" s="14">
        <f>IF([1]Sheet2!CI227=999999,"NA",[1]Sheet2!CI227)</f>
        <v>140</v>
      </c>
      <c r="CB228" s="14">
        <f>IF([1]Sheet2!CJ227=999999,"NA",[1]Sheet2!CJ227)</f>
        <v>140</v>
      </c>
      <c r="CC228" s="14">
        <f>[1]Sheet2!BG227</f>
        <v>0</v>
      </c>
      <c r="CD228" s="14">
        <f>[1]Sheet2!BH227</f>
        <v>0</v>
      </c>
      <c r="CE228" s="14">
        <f>[1]Sheet2!BI227</f>
        <v>0</v>
      </c>
      <c r="CF228" s="14">
        <f>[1]Sheet2!BJ227</f>
        <v>0</v>
      </c>
      <c r="CG228" s="14">
        <f>[1]Sheet2!BK227</f>
        <v>0</v>
      </c>
      <c r="CH228" s="14">
        <f>[1]Sheet2!BL227</f>
        <v>0</v>
      </c>
      <c r="CI228" s="14">
        <f>[1]Sheet2!BM227</f>
        <v>0</v>
      </c>
      <c r="CJ228" s="14">
        <f>[1]Sheet2!BN227</f>
        <v>0</v>
      </c>
      <c r="CK228" s="14">
        <f>[1]Sheet2!BO227</f>
        <v>0</v>
      </c>
      <c r="CL228" s="14">
        <f>[1]Sheet2!BP227</f>
        <v>0</v>
      </c>
      <c r="CM228" s="16">
        <f>Demand_SW!B$10/31</f>
        <v>131.01736972704714</v>
      </c>
      <c r="CN228" s="16">
        <f>Demand_SW!C$10/31</f>
        <v>0</v>
      </c>
      <c r="CO228" s="16">
        <f>Demand_SW!D$10/31</f>
        <v>0</v>
      </c>
      <c r="CP228" s="16">
        <f>Demand_SW!E$10/31</f>
        <v>0</v>
      </c>
      <c r="CQ228" s="16">
        <f>Demand_SW!F$10/31</f>
        <v>0</v>
      </c>
      <c r="CR228" s="16">
        <f>Demand_SW!G$10/31</f>
        <v>131.01736972704714</v>
      </c>
      <c r="CS228" s="16">
        <f>Demand_SW!H$10/31</f>
        <v>0</v>
      </c>
      <c r="CT228" s="16">
        <f>Demand_SW!I$10/31</f>
        <v>0</v>
      </c>
      <c r="CU228" s="16">
        <f>Demand_SW!J$10/31</f>
        <v>0</v>
      </c>
      <c r="CV228" s="16">
        <f>Demand_SW!K$10/31</f>
        <v>0</v>
      </c>
      <c r="CW228" s="16">
        <f t="shared" si="113"/>
        <v>70637.543424317613</v>
      </c>
      <c r="CX228" s="16">
        <f t="shared" si="114"/>
        <v>20683.923076923078</v>
      </c>
      <c r="CY228" s="16">
        <f t="shared" si="115"/>
        <v>0</v>
      </c>
      <c r="CZ228" s="16">
        <f t="shared" si="116"/>
        <v>0</v>
      </c>
      <c r="DA228" s="16">
        <f t="shared" si="117"/>
        <v>0</v>
      </c>
      <c r="DB228" s="16">
        <f t="shared" si="118"/>
        <v>-28891.687344913153</v>
      </c>
      <c r="DC228" s="16">
        <f t="shared" si="119"/>
        <v>-423.07692307692292</v>
      </c>
      <c r="DD228" s="16">
        <f t="shared" si="120"/>
        <v>0</v>
      </c>
      <c r="DE228" s="16">
        <f t="shared" si="121"/>
        <v>0</v>
      </c>
      <c r="DF228" s="16">
        <f t="shared" si="122"/>
        <v>0</v>
      </c>
      <c r="DG228" s="14">
        <f>IF([1]Sheet2!DR227=999999,"NA",[1]Sheet2!DR227)</f>
        <v>73103</v>
      </c>
      <c r="DH228" s="14">
        <f>IF([1]Sheet2!DS227=999999,"NA",[1]Sheet2!DS227)</f>
        <v>140</v>
      </c>
      <c r="DI228" s="14">
        <f>IF([1]Sheet2!DT227=999999,"NA",[1]Sheet2!DT227)</f>
        <v>140</v>
      </c>
      <c r="DJ228" s="14" t="str">
        <f>IF([1]Sheet2!DU227=999999,"NA",[1]Sheet2!DU227)</f>
        <v>NA</v>
      </c>
      <c r="DK228" s="14" t="str">
        <f>IF([1]Sheet2!DV227=999999,"NA",[1]Sheet2!DV227)</f>
        <v>NA</v>
      </c>
      <c r="DL228" s="14" t="str">
        <f>IF([1]Sheet2!DW227=999999,"NA",[1]Sheet2!DW227)</f>
        <v>NA</v>
      </c>
      <c r="DM228" s="14">
        <f>IF([1]Sheet2!DX227=999999,"NA",[1]Sheet2!DX227)</f>
        <v>140</v>
      </c>
      <c r="DN228" s="14">
        <f>IF([1]Sheet2!DY227=999999,"NA",[1]Sheet2!DY227)</f>
        <v>140</v>
      </c>
      <c r="DO228" s="14" t="str">
        <f>IF([1]Sheet2!DZ227=999999,"NA",[1]Sheet2!DZ227)</f>
        <v>NA</v>
      </c>
      <c r="DP228" s="14" t="str">
        <f>IF([1]Sheet2!EA227=999999,"NA",[1]Sheet2!EA227)</f>
        <v>NA</v>
      </c>
      <c r="DQ228" s="14">
        <f>[1]Sheet2!CX227</f>
        <v>0</v>
      </c>
      <c r="DR228" s="14">
        <f>[1]Sheet2!CY227</f>
        <v>0</v>
      </c>
      <c r="DS228" s="14">
        <f>[1]Sheet2!CZ227</f>
        <v>0</v>
      </c>
      <c r="DT228" s="14">
        <f>[1]Sheet2!DA227</f>
        <v>0</v>
      </c>
      <c r="DU228" s="14">
        <f>[1]Sheet2!DB227</f>
        <v>0</v>
      </c>
      <c r="DV228" s="14">
        <f>[1]Sheet2!DC227</f>
        <v>0</v>
      </c>
      <c r="DW228" s="14">
        <f>[1]Sheet2!DD227</f>
        <v>0</v>
      </c>
      <c r="DX228" s="14">
        <f>[1]Sheet2!DE227</f>
        <v>0</v>
      </c>
      <c r="DY228" s="14">
        <f>[1]Sheet2!DF227</f>
        <v>0</v>
      </c>
      <c r="DZ228" s="14">
        <f>[1]Sheet2!DG227</f>
        <v>0</v>
      </c>
    </row>
    <row r="229" spans="1:130" x14ac:dyDescent="0.25">
      <c r="A229" s="15">
        <v>43691</v>
      </c>
      <c r="B229" s="1"/>
      <c r="C229" s="1"/>
      <c r="D229" s="1"/>
      <c r="E229" s="14">
        <f>[1]Sheet2!N228</f>
        <v>0</v>
      </c>
      <c r="F229" s="14">
        <f>[1]Sheet2!BE228</f>
        <v>0</v>
      </c>
      <c r="G229" s="14">
        <f>[1]Sheet2!CV228</f>
        <v>262.03473945409428</v>
      </c>
      <c r="H229" s="1"/>
      <c r="I229" s="1"/>
      <c r="J229" s="1"/>
      <c r="K229" s="16">
        <f>Demand_CWRS!B$10/31</f>
        <v>120.8438508064516</v>
      </c>
      <c r="L229" s="16">
        <f>Demand_CWRS!C$10/31</f>
        <v>552.80165425971859</v>
      </c>
      <c r="M229" s="16">
        <f>Demand_CWRS!D$10/31</f>
        <v>0</v>
      </c>
      <c r="N229" s="16">
        <f>Demand_CWRS!E$10/31</f>
        <v>141.75971877584777</v>
      </c>
      <c r="O229" s="16">
        <f>Demand_CWRS!F$10/31</f>
        <v>252.70758116211746</v>
      </c>
      <c r="P229" s="16">
        <f>Demand_CWRS!G$10/31</f>
        <v>116.12903225806451</v>
      </c>
      <c r="Q229" s="16">
        <f>Demand_CWRS!H$10/31</f>
        <v>552.80165425971859</v>
      </c>
      <c r="R229" s="16">
        <f>Demand_CWRS!I$10/31</f>
        <v>252.70758116211746</v>
      </c>
      <c r="S229" s="16">
        <f>Demand_CWRS!J$10/31</f>
        <v>252.70758116211746</v>
      </c>
      <c r="T229" s="16">
        <f>Demand_CWRS!K$10/31</f>
        <v>252.70758116211746</v>
      </c>
      <c r="U229" s="16">
        <f t="shared" si="93"/>
        <v>-30380.286746763704</v>
      </c>
      <c r="V229" s="16">
        <f t="shared" si="94"/>
        <v>-104864.20521091776</v>
      </c>
      <c r="W229" s="16">
        <f t="shared" si="95"/>
        <v>0</v>
      </c>
      <c r="X229" s="16">
        <f t="shared" si="96"/>
        <v>-24610.079279349931</v>
      </c>
      <c r="Y229" s="16">
        <f t="shared" si="97"/>
        <v>-48371.49537170455</v>
      </c>
      <c r="Z229" s="16">
        <f t="shared" si="98"/>
        <v>-31921.506138047855</v>
      </c>
      <c r="AA229" s="16">
        <f t="shared" si="99"/>
        <v>-113208.20521091776</v>
      </c>
      <c r="AB229" s="16">
        <f t="shared" si="100"/>
        <v>-49930.649890935267</v>
      </c>
      <c r="AC229" s="16">
        <f t="shared" si="101"/>
        <v>-49930.649890935259</v>
      </c>
      <c r="AD229" s="16">
        <f t="shared" si="102"/>
        <v>-50630.649890935252</v>
      </c>
      <c r="AE229" s="14">
        <f>IF([1]Sheet2!AJ228=999999,"NA",[1]Sheet2!AJ228)</f>
        <v>0</v>
      </c>
      <c r="AF229" s="14">
        <f>IF([1]Sheet2!AK228=999999,"NA",[1]Sheet2!AK228)</f>
        <v>0</v>
      </c>
      <c r="AG229" s="14" t="str">
        <f>IF([1]Sheet2!AL228=999999,"NA",[1]Sheet2!AL228)</f>
        <v>NA</v>
      </c>
      <c r="AH229" s="14">
        <f>IF([1]Sheet2!AM228=999999,"NA",[1]Sheet2!AM228)</f>
        <v>139</v>
      </c>
      <c r="AI229" s="14">
        <f>IF([1]Sheet2!AN228=999999,"NA",[1]Sheet2!AN228)</f>
        <v>139</v>
      </c>
      <c r="AJ229" s="14">
        <f>IF([1]Sheet2!AO228=999999,"NA",[1]Sheet2!AO228)</f>
        <v>139</v>
      </c>
      <c r="AK229" s="14">
        <f>IF([1]Sheet2!AP228=999999,"NA",[1]Sheet2!AP228)</f>
        <v>0</v>
      </c>
      <c r="AL229" s="14">
        <f>IF([1]Sheet2!AQ228=999999,"NA",[1]Sheet2!AQ228)</f>
        <v>15</v>
      </c>
      <c r="AM229" s="14">
        <f>IF([1]Sheet2!AR228=999999,"NA",[1]Sheet2!AR228)</f>
        <v>139</v>
      </c>
      <c r="AN229" s="14">
        <f>IF([1]Sheet2!AS228=999999,"NA",[1]Sheet2!AS228)</f>
        <v>71</v>
      </c>
      <c r="AO229" s="14">
        <f>[1]Sheet2!P228</f>
        <v>0</v>
      </c>
      <c r="AP229" s="14">
        <f>[1]Sheet2!Q228</f>
        <v>0</v>
      </c>
      <c r="AQ229" s="14">
        <f>[1]Sheet2!R228</f>
        <v>0</v>
      </c>
      <c r="AR229" s="14">
        <f>[1]Sheet2!S228</f>
        <v>0</v>
      </c>
      <c r="AS229" s="14">
        <f>[1]Sheet2!T228</f>
        <v>4043</v>
      </c>
      <c r="AT229" s="14">
        <f>[1]Sheet2!U228</f>
        <v>0</v>
      </c>
      <c r="AU229" s="14">
        <f>[1]Sheet2!V228</f>
        <v>0</v>
      </c>
      <c r="AV229" s="14">
        <f>[1]Sheet2!W228</f>
        <v>0</v>
      </c>
      <c r="AW229" s="14">
        <f>[1]Sheet2!X228</f>
        <v>0</v>
      </c>
      <c r="AX229" s="14">
        <f>[1]Sheet2!Y228</f>
        <v>0</v>
      </c>
      <c r="AY229" s="16">
        <f>Demand_LP!B$10/31</f>
        <v>857.18246226220015</v>
      </c>
      <c r="AZ229" s="16">
        <f>Demand_LP!C$10/31</f>
        <v>528.30835401157981</v>
      </c>
      <c r="BA229" s="16">
        <f>Demand_LP!D$10/31</f>
        <v>338.76323407775027</v>
      </c>
      <c r="BB229" s="16">
        <f>Demand_LP!E$10/31</f>
        <v>735.04776674937955</v>
      </c>
      <c r="BC229" s="16">
        <f>Demand_LP!F$10/31</f>
        <v>479.51259046732832</v>
      </c>
      <c r="BD229" s="16">
        <f>Demand_LP!G$10/31</f>
        <v>857.18246226220015</v>
      </c>
      <c r="BE229" s="16">
        <f>Demand_LP!H$10/31</f>
        <v>528.30835401157981</v>
      </c>
      <c r="BF229" s="16">
        <f>Demand_LP!I$10/31</f>
        <v>479.51259046732832</v>
      </c>
      <c r="BG229" s="16">
        <f>Demand_LP!J$10/31</f>
        <v>479.51259046732832</v>
      </c>
      <c r="BH229" s="16">
        <f>Demand_LP!K$10/31</f>
        <v>479.51259046732832</v>
      </c>
      <c r="BI229" s="16" t="e">
        <f t="shared" si="103"/>
        <v>#VALUE!</v>
      </c>
      <c r="BJ229" s="16">
        <f t="shared" si="104"/>
        <v>-128304.89900744389</v>
      </c>
      <c r="BK229" s="16">
        <f t="shared" si="105"/>
        <v>-65605.625020678184</v>
      </c>
      <c r="BL229" s="16">
        <f t="shared" si="106"/>
        <v>-168624.87000031368</v>
      </c>
      <c r="BM229" s="16">
        <f t="shared" si="107"/>
        <v>-97770.45606612078</v>
      </c>
      <c r="BN229" s="16">
        <f t="shared" si="108"/>
        <v>-170273.65832320016</v>
      </c>
      <c r="BO229" s="16">
        <f t="shared" si="109"/>
        <v>-137519.47849462359</v>
      </c>
      <c r="BP229" s="16">
        <f t="shared" si="110"/>
        <v>-103108.13998449138</v>
      </c>
      <c r="BQ229" s="16">
        <f t="shared" si="111"/>
        <v>-99708.139984491427</v>
      </c>
      <c r="BR229" s="16">
        <f t="shared" si="112"/>
        <v>-100908.13998449138</v>
      </c>
      <c r="BS229" s="14">
        <f>IF([1]Sheet2!CA228=999999,"NA",[1]Sheet2!CA228)</f>
        <v>115570.86001550878</v>
      </c>
      <c r="BT229" s="14">
        <f>IF([1]Sheet2!CB228=999999,"NA",[1]Sheet2!CB228)</f>
        <v>69</v>
      </c>
      <c r="BU229" s="14">
        <f>IF([1]Sheet2!CC228=999999,"NA",[1]Sheet2!CC228)</f>
        <v>139</v>
      </c>
      <c r="BV229" s="14">
        <f>IF([1]Sheet2!CD228=999999,"NA",[1]Sheet2!CD228)</f>
        <v>139</v>
      </c>
      <c r="BW229" s="14">
        <f>IF([1]Sheet2!CE228=999999,"NA",[1]Sheet2!CE228)</f>
        <v>108</v>
      </c>
      <c r="BX229" s="14">
        <f>IF([1]Sheet2!CF228=999999,"NA",[1]Sheet2!CF228)</f>
        <v>139</v>
      </c>
      <c r="BY229" s="14">
        <f>IF([1]Sheet2!CG228=999999,"NA",[1]Sheet2!CG228)</f>
        <v>33</v>
      </c>
      <c r="BZ229" s="14">
        <f>IF([1]Sheet2!CH228=999999,"NA",[1]Sheet2!CH228)</f>
        <v>139</v>
      </c>
      <c r="CA229" s="14">
        <f>IF([1]Sheet2!CI228=999999,"NA",[1]Sheet2!CI228)</f>
        <v>139</v>
      </c>
      <c r="CB229" s="14">
        <f>IF([1]Sheet2!CJ228=999999,"NA",[1]Sheet2!CJ228)</f>
        <v>139</v>
      </c>
      <c r="CC229" s="14">
        <f>[1]Sheet2!BG228</f>
        <v>0</v>
      </c>
      <c r="CD229" s="14">
        <f>[1]Sheet2!BH228</f>
        <v>0</v>
      </c>
      <c r="CE229" s="14">
        <f>[1]Sheet2!BI228</f>
        <v>0</v>
      </c>
      <c r="CF229" s="14">
        <f>[1]Sheet2!BJ228</f>
        <v>0</v>
      </c>
      <c r="CG229" s="14">
        <f>[1]Sheet2!BK228</f>
        <v>0</v>
      </c>
      <c r="CH229" s="14">
        <f>[1]Sheet2!BL228</f>
        <v>3836</v>
      </c>
      <c r="CI229" s="14">
        <f>[1]Sheet2!BM228</f>
        <v>0</v>
      </c>
      <c r="CJ229" s="14">
        <f>[1]Sheet2!BN228</f>
        <v>0</v>
      </c>
      <c r="CK229" s="14">
        <f>[1]Sheet2!BO228</f>
        <v>0</v>
      </c>
      <c r="CL229" s="14">
        <f>[1]Sheet2!BP228</f>
        <v>0</v>
      </c>
      <c r="CM229" s="16">
        <f>Demand_SW!B$10/31</f>
        <v>131.01736972704714</v>
      </c>
      <c r="CN229" s="16">
        <f>Demand_SW!C$10/31</f>
        <v>0</v>
      </c>
      <c r="CO229" s="16">
        <f>Demand_SW!D$10/31</f>
        <v>0</v>
      </c>
      <c r="CP229" s="16">
        <f>Demand_SW!E$10/31</f>
        <v>0</v>
      </c>
      <c r="CQ229" s="16">
        <f>Demand_SW!F$10/31</f>
        <v>0</v>
      </c>
      <c r="CR229" s="16">
        <f>Demand_SW!G$10/31</f>
        <v>131.01736972704714</v>
      </c>
      <c r="CS229" s="16">
        <f>Demand_SW!H$10/31</f>
        <v>0</v>
      </c>
      <c r="CT229" s="16">
        <f>Demand_SW!I$10/31</f>
        <v>0</v>
      </c>
      <c r="CU229" s="16">
        <f>Demand_SW!J$10/31</f>
        <v>0</v>
      </c>
      <c r="CV229" s="16">
        <f>Demand_SW!K$10/31</f>
        <v>0</v>
      </c>
      <c r="CW229" s="16">
        <f t="shared" si="113"/>
        <v>70506.526054590562</v>
      </c>
      <c r="CX229" s="16">
        <f t="shared" si="114"/>
        <v>20683.923076923078</v>
      </c>
      <c r="CY229" s="16">
        <f t="shared" si="115"/>
        <v>0</v>
      </c>
      <c r="CZ229" s="16">
        <f t="shared" si="116"/>
        <v>0</v>
      </c>
      <c r="DA229" s="16">
        <f t="shared" si="117"/>
        <v>0</v>
      </c>
      <c r="DB229" s="16">
        <f t="shared" si="118"/>
        <v>-29022.7047146402</v>
      </c>
      <c r="DC229" s="16">
        <f t="shared" si="119"/>
        <v>-423.07692307692292</v>
      </c>
      <c r="DD229" s="16">
        <f t="shared" si="120"/>
        <v>0</v>
      </c>
      <c r="DE229" s="16">
        <f t="shared" si="121"/>
        <v>0</v>
      </c>
      <c r="DF229" s="16">
        <f t="shared" si="122"/>
        <v>0</v>
      </c>
      <c r="DG229" s="14">
        <f>IF([1]Sheet2!DR228=999999,"NA",[1]Sheet2!DR228)</f>
        <v>73103</v>
      </c>
      <c r="DH229" s="14">
        <f>IF([1]Sheet2!DS228=999999,"NA",[1]Sheet2!DS228)</f>
        <v>139</v>
      </c>
      <c r="DI229" s="14">
        <f>IF([1]Sheet2!DT228=999999,"NA",[1]Sheet2!DT228)</f>
        <v>139</v>
      </c>
      <c r="DJ229" s="14" t="str">
        <f>IF([1]Sheet2!DU228=999999,"NA",[1]Sheet2!DU228)</f>
        <v>NA</v>
      </c>
      <c r="DK229" s="14" t="str">
        <f>IF([1]Sheet2!DV228=999999,"NA",[1]Sheet2!DV228)</f>
        <v>NA</v>
      </c>
      <c r="DL229" s="14" t="str">
        <f>IF([1]Sheet2!DW228=999999,"NA",[1]Sheet2!DW228)</f>
        <v>NA</v>
      </c>
      <c r="DM229" s="14">
        <f>IF([1]Sheet2!DX228=999999,"NA",[1]Sheet2!DX228)</f>
        <v>139</v>
      </c>
      <c r="DN229" s="14">
        <f>IF([1]Sheet2!DY228=999999,"NA",[1]Sheet2!DY228)</f>
        <v>139</v>
      </c>
      <c r="DO229" s="14" t="str">
        <f>IF([1]Sheet2!DZ228=999999,"NA",[1]Sheet2!DZ228)</f>
        <v>NA</v>
      </c>
      <c r="DP229" s="14" t="str">
        <f>IF([1]Sheet2!EA228=999999,"NA",[1]Sheet2!EA228)</f>
        <v>NA</v>
      </c>
      <c r="DQ229" s="14">
        <f>[1]Sheet2!CX228</f>
        <v>0</v>
      </c>
      <c r="DR229" s="14">
        <f>[1]Sheet2!CY228</f>
        <v>0</v>
      </c>
      <c r="DS229" s="14">
        <f>[1]Sheet2!CZ228</f>
        <v>0</v>
      </c>
      <c r="DT229" s="14">
        <f>[1]Sheet2!DA228</f>
        <v>0</v>
      </c>
      <c r="DU229" s="14">
        <f>[1]Sheet2!DB228</f>
        <v>0</v>
      </c>
      <c r="DV229" s="14">
        <f>[1]Sheet2!DC228</f>
        <v>0</v>
      </c>
      <c r="DW229" s="14">
        <f>[1]Sheet2!DD228</f>
        <v>0</v>
      </c>
      <c r="DX229" s="14">
        <f>[1]Sheet2!DE228</f>
        <v>0</v>
      </c>
      <c r="DY229" s="14">
        <f>[1]Sheet2!DF228</f>
        <v>0</v>
      </c>
      <c r="DZ229" s="14">
        <f>[1]Sheet2!DG228</f>
        <v>0</v>
      </c>
    </row>
    <row r="230" spans="1:130" x14ac:dyDescent="0.25">
      <c r="A230" s="15">
        <v>43692</v>
      </c>
      <c r="B230" s="1"/>
      <c r="C230" s="1"/>
      <c r="D230" s="1"/>
      <c r="E230" s="14">
        <f>[1]Sheet2!N229</f>
        <v>0</v>
      </c>
      <c r="F230" s="14">
        <f>[1]Sheet2!BE229</f>
        <v>0</v>
      </c>
      <c r="G230" s="14">
        <f>[1]Sheet2!CV229</f>
        <v>262.03473945409428</v>
      </c>
      <c r="H230" s="1"/>
      <c r="I230" s="1"/>
      <c r="J230" s="1"/>
      <c r="K230" s="16">
        <f>Demand_CWRS!B$10/31</f>
        <v>120.8438508064516</v>
      </c>
      <c r="L230" s="16">
        <f>Demand_CWRS!C$10/31</f>
        <v>552.80165425971859</v>
      </c>
      <c r="M230" s="16">
        <f>Demand_CWRS!D$10/31</f>
        <v>0</v>
      </c>
      <c r="N230" s="16">
        <f>Demand_CWRS!E$10/31</f>
        <v>141.75971877584777</v>
      </c>
      <c r="O230" s="16">
        <f>Demand_CWRS!F$10/31</f>
        <v>252.70758116211746</v>
      </c>
      <c r="P230" s="16">
        <f>Demand_CWRS!G$10/31</f>
        <v>116.12903225806451</v>
      </c>
      <c r="Q230" s="16">
        <f>Demand_CWRS!H$10/31</f>
        <v>552.80165425971859</v>
      </c>
      <c r="R230" s="16">
        <f>Demand_CWRS!I$10/31</f>
        <v>252.70758116211746</v>
      </c>
      <c r="S230" s="16">
        <f>Demand_CWRS!J$10/31</f>
        <v>252.70758116211746</v>
      </c>
      <c r="T230" s="16">
        <f>Demand_CWRS!K$10/31</f>
        <v>252.70758116211746</v>
      </c>
      <c r="U230" s="16">
        <f t="shared" si="93"/>
        <v>-30501.130597570154</v>
      </c>
      <c r="V230" s="16">
        <f t="shared" si="94"/>
        <v>-105417.00686517748</v>
      </c>
      <c r="W230" s="16">
        <f t="shared" si="95"/>
        <v>0</v>
      </c>
      <c r="X230" s="16">
        <f t="shared" si="96"/>
        <v>-24751.838998125779</v>
      </c>
      <c r="Y230" s="16">
        <f t="shared" si="97"/>
        <v>-48624.202952866668</v>
      </c>
      <c r="Z230" s="16">
        <f t="shared" si="98"/>
        <v>-32037.635170305919</v>
      </c>
      <c r="AA230" s="16">
        <f t="shared" si="99"/>
        <v>-113761.00686517748</v>
      </c>
      <c r="AB230" s="16">
        <f t="shared" si="100"/>
        <v>-50183.357472097385</v>
      </c>
      <c r="AC230" s="16">
        <f t="shared" si="101"/>
        <v>-50183.357472097377</v>
      </c>
      <c r="AD230" s="16">
        <f t="shared" si="102"/>
        <v>-50883.35747209737</v>
      </c>
      <c r="AE230" s="14">
        <f>IF([1]Sheet2!AJ229=999999,"NA",[1]Sheet2!AJ229)</f>
        <v>0</v>
      </c>
      <c r="AF230" s="14">
        <f>IF([1]Sheet2!AK229=999999,"NA",[1]Sheet2!AK229)</f>
        <v>0</v>
      </c>
      <c r="AG230" s="14" t="str">
        <f>IF([1]Sheet2!AL229=999999,"NA",[1]Sheet2!AL229)</f>
        <v>NA</v>
      </c>
      <c r="AH230" s="14">
        <f>IF([1]Sheet2!AM229=999999,"NA",[1]Sheet2!AM229)</f>
        <v>138</v>
      </c>
      <c r="AI230" s="14">
        <f>IF([1]Sheet2!AN229=999999,"NA",[1]Sheet2!AN229)</f>
        <v>138</v>
      </c>
      <c r="AJ230" s="14">
        <f>IF([1]Sheet2!AO229=999999,"NA",[1]Sheet2!AO229)</f>
        <v>138</v>
      </c>
      <c r="AK230" s="14">
        <f>IF([1]Sheet2!AP229=999999,"NA",[1]Sheet2!AP229)</f>
        <v>0</v>
      </c>
      <c r="AL230" s="14">
        <f>IF([1]Sheet2!AQ229=999999,"NA",[1]Sheet2!AQ229)</f>
        <v>14</v>
      </c>
      <c r="AM230" s="14">
        <f>IF([1]Sheet2!AR229=999999,"NA",[1]Sheet2!AR229)</f>
        <v>138</v>
      </c>
      <c r="AN230" s="14">
        <f>IF([1]Sheet2!AS229=999999,"NA",[1]Sheet2!AS229)</f>
        <v>70</v>
      </c>
      <c r="AO230" s="14">
        <f>[1]Sheet2!P229</f>
        <v>0</v>
      </c>
      <c r="AP230" s="14">
        <f>[1]Sheet2!Q229</f>
        <v>0</v>
      </c>
      <c r="AQ230" s="14">
        <f>[1]Sheet2!R229</f>
        <v>0</v>
      </c>
      <c r="AR230" s="14">
        <f>[1]Sheet2!S229</f>
        <v>0</v>
      </c>
      <c r="AS230" s="14">
        <f>[1]Sheet2!T229</f>
        <v>0</v>
      </c>
      <c r="AT230" s="14">
        <f>[1]Sheet2!U229</f>
        <v>0</v>
      </c>
      <c r="AU230" s="14">
        <f>[1]Sheet2!V229</f>
        <v>0</v>
      </c>
      <c r="AV230" s="14">
        <f>[1]Sheet2!W229</f>
        <v>0</v>
      </c>
      <c r="AW230" s="14">
        <f>[1]Sheet2!X229</f>
        <v>0</v>
      </c>
      <c r="AX230" s="14">
        <f>[1]Sheet2!Y229</f>
        <v>0</v>
      </c>
      <c r="AY230" s="16">
        <f>Demand_LP!B$10/31</f>
        <v>857.18246226220015</v>
      </c>
      <c r="AZ230" s="16">
        <f>Demand_LP!C$10/31</f>
        <v>528.30835401157981</v>
      </c>
      <c r="BA230" s="16">
        <f>Demand_LP!D$10/31</f>
        <v>338.76323407775027</v>
      </c>
      <c r="BB230" s="16">
        <f>Demand_LP!E$10/31</f>
        <v>735.04776674937955</v>
      </c>
      <c r="BC230" s="16">
        <f>Demand_LP!F$10/31</f>
        <v>479.51259046732832</v>
      </c>
      <c r="BD230" s="16">
        <f>Demand_LP!G$10/31</f>
        <v>857.18246226220015</v>
      </c>
      <c r="BE230" s="16">
        <f>Demand_LP!H$10/31</f>
        <v>528.30835401157981</v>
      </c>
      <c r="BF230" s="16">
        <f>Demand_LP!I$10/31</f>
        <v>479.51259046732832</v>
      </c>
      <c r="BG230" s="16">
        <f>Demand_LP!J$10/31</f>
        <v>479.51259046732832</v>
      </c>
      <c r="BH230" s="16">
        <f>Demand_LP!K$10/31</f>
        <v>479.51259046732832</v>
      </c>
      <c r="BI230" s="16" t="e">
        <f t="shared" si="103"/>
        <v>#VALUE!</v>
      </c>
      <c r="BJ230" s="16">
        <f t="shared" si="104"/>
        <v>-128833.20736145547</v>
      </c>
      <c r="BK230" s="16">
        <f t="shared" si="105"/>
        <v>-65944.388254755933</v>
      </c>
      <c r="BL230" s="16">
        <f t="shared" si="106"/>
        <v>-169359.91776706305</v>
      </c>
      <c r="BM230" s="16">
        <f t="shared" si="107"/>
        <v>-98249.968656588113</v>
      </c>
      <c r="BN230" s="16">
        <f t="shared" si="108"/>
        <v>-171130.84078546235</v>
      </c>
      <c r="BO230" s="16">
        <f t="shared" si="109"/>
        <v>-138047.78684863518</v>
      </c>
      <c r="BP230" s="16">
        <f t="shared" si="110"/>
        <v>-103587.65257495872</v>
      </c>
      <c r="BQ230" s="16">
        <f t="shared" si="111"/>
        <v>-100187.65257495876</v>
      </c>
      <c r="BR230" s="16">
        <f t="shared" si="112"/>
        <v>-101387.65257495872</v>
      </c>
      <c r="BS230" s="14">
        <f>IF([1]Sheet2!CA229=999999,"NA",[1]Sheet2!CA229)</f>
        <v>115091.34742504144</v>
      </c>
      <c r="BT230" s="14">
        <f>IF([1]Sheet2!CB229=999999,"NA",[1]Sheet2!CB229)</f>
        <v>68</v>
      </c>
      <c r="BU230" s="14">
        <f>IF([1]Sheet2!CC229=999999,"NA",[1]Sheet2!CC229)</f>
        <v>138</v>
      </c>
      <c r="BV230" s="14">
        <f>IF([1]Sheet2!CD229=999999,"NA",[1]Sheet2!CD229)</f>
        <v>138</v>
      </c>
      <c r="BW230" s="14">
        <f>IF([1]Sheet2!CE229=999999,"NA",[1]Sheet2!CE229)</f>
        <v>107</v>
      </c>
      <c r="BX230" s="14">
        <f>IF([1]Sheet2!CF229=999999,"NA",[1]Sheet2!CF229)</f>
        <v>138</v>
      </c>
      <c r="BY230" s="14">
        <f>IF([1]Sheet2!CG229=999999,"NA",[1]Sheet2!CG229)</f>
        <v>32</v>
      </c>
      <c r="BZ230" s="14">
        <f>IF([1]Sheet2!CH229=999999,"NA",[1]Sheet2!CH229)</f>
        <v>138</v>
      </c>
      <c r="CA230" s="14">
        <f>IF([1]Sheet2!CI229=999999,"NA",[1]Sheet2!CI229)</f>
        <v>138</v>
      </c>
      <c r="CB230" s="14">
        <f>IF([1]Sheet2!CJ229=999999,"NA",[1]Sheet2!CJ229)</f>
        <v>138</v>
      </c>
      <c r="CC230" s="14">
        <f>[1]Sheet2!BG229</f>
        <v>0</v>
      </c>
      <c r="CD230" s="14">
        <f>[1]Sheet2!BH229</f>
        <v>0</v>
      </c>
      <c r="CE230" s="14">
        <f>[1]Sheet2!BI229</f>
        <v>0</v>
      </c>
      <c r="CF230" s="14">
        <f>[1]Sheet2!BJ229</f>
        <v>0</v>
      </c>
      <c r="CG230" s="14">
        <f>[1]Sheet2!BK229</f>
        <v>0</v>
      </c>
      <c r="CH230" s="14">
        <f>[1]Sheet2!BL229</f>
        <v>0</v>
      </c>
      <c r="CI230" s="14">
        <f>[1]Sheet2!BM229</f>
        <v>0</v>
      </c>
      <c r="CJ230" s="14">
        <f>[1]Sheet2!BN229</f>
        <v>0</v>
      </c>
      <c r="CK230" s="14">
        <f>[1]Sheet2!BO229</f>
        <v>0</v>
      </c>
      <c r="CL230" s="14">
        <f>[1]Sheet2!BP229</f>
        <v>0</v>
      </c>
      <c r="CM230" s="16">
        <f>Demand_SW!B$10/31</f>
        <v>131.01736972704714</v>
      </c>
      <c r="CN230" s="16">
        <f>Demand_SW!C$10/31</f>
        <v>0</v>
      </c>
      <c r="CO230" s="16">
        <f>Demand_SW!D$10/31</f>
        <v>0</v>
      </c>
      <c r="CP230" s="16">
        <f>Demand_SW!E$10/31</f>
        <v>0</v>
      </c>
      <c r="CQ230" s="16">
        <f>Demand_SW!F$10/31</f>
        <v>0</v>
      </c>
      <c r="CR230" s="16">
        <f>Demand_SW!G$10/31</f>
        <v>131.01736972704714</v>
      </c>
      <c r="CS230" s="16">
        <f>Demand_SW!H$10/31</f>
        <v>0</v>
      </c>
      <c r="CT230" s="16">
        <f>Demand_SW!I$10/31</f>
        <v>0</v>
      </c>
      <c r="CU230" s="16">
        <f>Demand_SW!J$10/31</f>
        <v>0</v>
      </c>
      <c r="CV230" s="16">
        <f>Demand_SW!K$10/31</f>
        <v>0</v>
      </c>
      <c r="CW230" s="16">
        <f t="shared" si="113"/>
        <v>70375.508684863511</v>
      </c>
      <c r="CX230" s="16">
        <f t="shared" si="114"/>
        <v>20683.923076923078</v>
      </c>
      <c r="CY230" s="16">
        <f t="shared" si="115"/>
        <v>0</v>
      </c>
      <c r="CZ230" s="16">
        <f t="shared" si="116"/>
        <v>0</v>
      </c>
      <c r="DA230" s="16">
        <f t="shared" si="117"/>
        <v>0</v>
      </c>
      <c r="DB230" s="16">
        <f t="shared" si="118"/>
        <v>-29153.722084367248</v>
      </c>
      <c r="DC230" s="16">
        <f t="shared" si="119"/>
        <v>-423.07692307692292</v>
      </c>
      <c r="DD230" s="16">
        <f t="shared" si="120"/>
        <v>0</v>
      </c>
      <c r="DE230" s="16">
        <f t="shared" si="121"/>
        <v>0</v>
      </c>
      <c r="DF230" s="16">
        <f t="shared" si="122"/>
        <v>0</v>
      </c>
      <c r="DG230" s="14">
        <f>IF([1]Sheet2!DR229=999999,"NA",[1]Sheet2!DR229)</f>
        <v>73103</v>
      </c>
      <c r="DH230" s="14">
        <f>IF([1]Sheet2!DS229=999999,"NA",[1]Sheet2!DS229)</f>
        <v>138</v>
      </c>
      <c r="DI230" s="14">
        <f>IF([1]Sheet2!DT229=999999,"NA",[1]Sheet2!DT229)</f>
        <v>138</v>
      </c>
      <c r="DJ230" s="14" t="str">
        <f>IF([1]Sheet2!DU229=999999,"NA",[1]Sheet2!DU229)</f>
        <v>NA</v>
      </c>
      <c r="DK230" s="14" t="str">
        <f>IF([1]Sheet2!DV229=999999,"NA",[1]Sheet2!DV229)</f>
        <v>NA</v>
      </c>
      <c r="DL230" s="14" t="str">
        <f>IF([1]Sheet2!DW229=999999,"NA",[1]Sheet2!DW229)</f>
        <v>NA</v>
      </c>
      <c r="DM230" s="14">
        <f>IF([1]Sheet2!DX229=999999,"NA",[1]Sheet2!DX229)</f>
        <v>138</v>
      </c>
      <c r="DN230" s="14">
        <f>IF([1]Sheet2!DY229=999999,"NA",[1]Sheet2!DY229)</f>
        <v>138</v>
      </c>
      <c r="DO230" s="14" t="str">
        <f>IF([1]Sheet2!DZ229=999999,"NA",[1]Sheet2!DZ229)</f>
        <v>NA</v>
      </c>
      <c r="DP230" s="14" t="str">
        <f>IF([1]Sheet2!EA229=999999,"NA",[1]Sheet2!EA229)</f>
        <v>NA</v>
      </c>
      <c r="DQ230" s="14">
        <f>[1]Sheet2!CX229</f>
        <v>0</v>
      </c>
      <c r="DR230" s="14">
        <f>[1]Sheet2!CY229</f>
        <v>0</v>
      </c>
      <c r="DS230" s="14">
        <f>[1]Sheet2!CZ229</f>
        <v>0</v>
      </c>
      <c r="DT230" s="14">
        <f>[1]Sheet2!DA229</f>
        <v>0</v>
      </c>
      <c r="DU230" s="14">
        <f>[1]Sheet2!DB229</f>
        <v>0</v>
      </c>
      <c r="DV230" s="14">
        <f>[1]Sheet2!DC229</f>
        <v>0</v>
      </c>
      <c r="DW230" s="14">
        <f>[1]Sheet2!DD229</f>
        <v>0</v>
      </c>
      <c r="DX230" s="14">
        <f>[1]Sheet2!DE229</f>
        <v>0</v>
      </c>
      <c r="DY230" s="14">
        <f>[1]Sheet2!DF229</f>
        <v>0</v>
      </c>
      <c r="DZ230" s="14">
        <f>[1]Sheet2!DG229</f>
        <v>0</v>
      </c>
    </row>
    <row r="231" spans="1:130" x14ac:dyDescent="0.25">
      <c r="A231" s="15">
        <v>43693</v>
      </c>
      <c r="B231" s="1"/>
      <c r="C231" s="1"/>
      <c r="D231" s="1"/>
      <c r="E231" s="14">
        <f>[1]Sheet2!N230</f>
        <v>0</v>
      </c>
      <c r="F231" s="14">
        <f>[1]Sheet2!BE230</f>
        <v>0</v>
      </c>
      <c r="G231" s="14">
        <f>[1]Sheet2!CV230</f>
        <v>262.03473945409428</v>
      </c>
      <c r="H231" s="1"/>
      <c r="I231" s="1"/>
      <c r="J231" s="1"/>
      <c r="K231" s="16">
        <f>Demand_CWRS!B$10/31</f>
        <v>120.8438508064516</v>
      </c>
      <c r="L231" s="16">
        <f>Demand_CWRS!C$10/31</f>
        <v>552.80165425971859</v>
      </c>
      <c r="M231" s="16">
        <f>Demand_CWRS!D$10/31</f>
        <v>0</v>
      </c>
      <c r="N231" s="16">
        <f>Demand_CWRS!E$10/31</f>
        <v>141.75971877584777</v>
      </c>
      <c r="O231" s="16">
        <f>Demand_CWRS!F$10/31</f>
        <v>252.70758116211746</v>
      </c>
      <c r="P231" s="16">
        <f>Demand_CWRS!G$10/31</f>
        <v>116.12903225806451</v>
      </c>
      <c r="Q231" s="16">
        <f>Demand_CWRS!H$10/31</f>
        <v>552.80165425971859</v>
      </c>
      <c r="R231" s="16">
        <f>Demand_CWRS!I$10/31</f>
        <v>252.70758116211746</v>
      </c>
      <c r="S231" s="16">
        <f>Demand_CWRS!J$10/31</f>
        <v>252.70758116211746</v>
      </c>
      <c r="T231" s="16">
        <f>Demand_CWRS!K$10/31</f>
        <v>252.70758116211746</v>
      </c>
      <c r="U231" s="16">
        <f t="shared" si="93"/>
        <v>-30621.974448376604</v>
      </c>
      <c r="V231" s="16">
        <f t="shared" si="94"/>
        <v>-105969.8085194372</v>
      </c>
      <c r="W231" s="16">
        <f t="shared" si="95"/>
        <v>0</v>
      </c>
      <c r="X231" s="16">
        <f t="shared" si="96"/>
        <v>-24893.598716901626</v>
      </c>
      <c r="Y231" s="16">
        <f t="shared" si="97"/>
        <v>-48876.910534028786</v>
      </c>
      <c r="Z231" s="16">
        <f t="shared" si="98"/>
        <v>-32153.764202563983</v>
      </c>
      <c r="AA231" s="16">
        <f t="shared" si="99"/>
        <v>-114313.8085194372</v>
      </c>
      <c r="AB231" s="16">
        <f t="shared" si="100"/>
        <v>-50436.065053259503</v>
      </c>
      <c r="AC231" s="16">
        <f t="shared" si="101"/>
        <v>-50436.065053259495</v>
      </c>
      <c r="AD231" s="16">
        <f t="shared" si="102"/>
        <v>-51136.065053259488</v>
      </c>
      <c r="AE231" s="14">
        <f>IF([1]Sheet2!AJ230=999999,"NA",[1]Sheet2!AJ230)</f>
        <v>0</v>
      </c>
      <c r="AF231" s="14">
        <f>IF([1]Sheet2!AK230=999999,"NA",[1]Sheet2!AK230)</f>
        <v>0</v>
      </c>
      <c r="AG231" s="14" t="str">
        <f>IF([1]Sheet2!AL230=999999,"NA",[1]Sheet2!AL230)</f>
        <v>NA</v>
      </c>
      <c r="AH231" s="14">
        <f>IF([1]Sheet2!AM230=999999,"NA",[1]Sheet2!AM230)</f>
        <v>137</v>
      </c>
      <c r="AI231" s="14">
        <f>IF([1]Sheet2!AN230=999999,"NA",[1]Sheet2!AN230)</f>
        <v>137</v>
      </c>
      <c r="AJ231" s="14">
        <f>IF([1]Sheet2!AO230=999999,"NA",[1]Sheet2!AO230)</f>
        <v>137</v>
      </c>
      <c r="AK231" s="14">
        <f>IF([1]Sheet2!AP230=999999,"NA",[1]Sheet2!AP230)</f>
        <v>0</v>
      </c>
      <c r="AL231" s="14">
        <f>IF([1]Sheet2!AQ230=999999,"NA",[1]Sheet2!AQ230)</f>
        <v>13</v>
      </c>
      <c r="AM231" s="14">
        <f>IF([1]Sheet2!AR230=999999,"NA",[1]Sheet2!AR230)</f>
        <v>137</v>
      </c>
      <c r="AN231" s="14">
        <f>IF([1]Sheet2!AS230=999999,"NA",[1]Sheet2!AS230)</f>
        <v>69</v>
      </c>
      <c r="AO231" s="14">
        <f>[1]Sheet2!P230</f>
        <v>0</v>
      </c>
      <c r="AP231" s="14">
        <f>[1]Sheet2!Q230</f>
        <v>0</v>
      </c>
      <c r="AQ231" s="14">
        <f>[1]Sheet2!R230</f>
        <v>0</v>
      </c>
      <c r="AR231" s="14">
        <f>[1]Sheet2!S230</f>
        <v>0</v>
      </c>
      <c r="AS231" s="14">
        <f>[1]Sheet2!T230</f>
        <v>0</v>
      </c>
      <c r="AT231" s="14">
        <f>[1]Sheet2!U230</f>
        <v>0</v>
      </c>
      <c r="AU231" s="14">
        <f>[1]Sheet2!V230</f>
        <v>0</v>
      </c>
      <c r="AV231" s="14">
        <f>[1]Sheet2!W230</f>
        <v>0</v>
      </c>
      <c r="AW231" s="14">
        <f>[1]Sheet2!X230</f>
        <v>0</v>
      </c>
      <c r="AX231" s="14">
        <f>[1]Sheet2!Y230</f>
        <v>0</v>
      </c>
      <c r="AY231" s="16">
        <f>Demand_LP!B$10/31</f>
        <v>857.18246226220015</v>
      </c>
      <c r="AZ231" s="16">
        <f>Demand_LP!C$10/31</f>
        <v>528.30835401157981</v>
      </c>
      <c r="BA231" s="16">
        <f>Demand_LP!D$10/31</f>
        <v>338.76323407775027</v>
      </c>
      <c r="BB231" s="16">
        <f>Demand_LP!E$10/31</f>
        <v>735.04776674937955</v>
      </c>
      <c r="BC231" s="16">
        <f>Demand_LP!F$10/31</f>
        <v>479.51259046732832</v>
      </c>
      <c r="BD231" s="16">
        <f>Demand_LP!G$10/31</f>
        <v>857.18246226220015</v>
      </c>
      <c r="BE231" s="16">
        <f>Demand_LP!H$10/31</f>
        <v>528.30835401157981</v>
      </c>
      <c r="BF231" s="16">
        <f>Demand_LP!I$10/31</f>
        <v>479.51259046732832</v>
      </c>
      <c r="BG231" s="16">
        <f>Demand_LP!J$10/31</f>
        <v>479.51259046732832</v>
      </c>
      <c r="BH231" s="16">
        <f>Demand_LP!K$10/31</f>
        <v>479.51259046732832</v>
      </c>
      <c r="BI231" s="16" t="e">
        <f t="shared" si="103"/>
        <v>#VALUE!</v>
      </c>
      <c r="BJ231" s="16">
        <f t="shared" si="104"/>
        <v>-129361.51571546705</v>
      </c>
      <c r="BK231" s="16">
        <f t="shared" si="105"/>
        <v>-66283.151488833682</v>
      </c>
      <c r="BL231" s="16">
        <f t="shared" si="106"/>
        <v>-170094.96553381241</v>
      </c>
      <c r="BM231" s="16">
        <f t="shared" si="107"/>
        <v>-98729.481247055446</v>
      </c>
      <c r="BN231" s="16">
        <f t="shared" si="108"/>
        <v>-171988.02324772454</v>
      </c>
      <c r="BO231" s="16">
        <f t="shared" si="109"/>
        <v>-138576.09520264677</v>
      </c>
      <c r="BP231" s="16">
        <f t="shared" si="110"/>
        <v>-104067.16516542605</v>
      </c>
      <c r="BQ231" s="16">
        <f t="shared" si="111"/>
        <v>-100667.16516542609</v>
      </c>
      <c r="BR231" s="16">
        <f t="shared" si="112"/>
        <v>-101867.16516542605</v>
      </c>
      <c r="BS231" s="14">
        <f>IF([1]Sheet2!CA230=999999,"NA",[1]Sheet2!CA230)</f>
        <v>114611.83483457411</v>
      </c>
      <c r="BT231" s="14">
        <f>IF([1]Sheet2!CB230=999999,"NA",[1]Sheet2!CB230)</f>
        <v>67</v>
      </c>
      <c r="BU231" s="14">
        <f>IF([1]Sheet2!CC230=999999,"NA",[1]Sheet2!CC230)</f>
        <v>137</v>
      </c>
      <c r="BV231" s="14">
        <f>IF([1]Sheet2!CD230=999999,"NA",[1]Sheet2!CD230)</f>
        <v>137</v>
      </c>
      <c r="BW231" s="14">
        <f>IF([1]Sheet2!CE230=999999,"NA",[1]Sheet2!CE230)</f>
        <v>106</v>
      </c>
      <c r="BX231" s="14">
        <f>IF([1]Sheet2!CF230=999999,"NA",[1]Sheet2!CF230)</f>
        <v>137</v>
      </c>
      <c r="BY231" s="14">
        <f>IF([1]Sheet2!CG230=999999,"NA",[1]Sheet2!CG230)</f>
        <v>31</v>
      </c>
      <c r="BZ231" s="14">
        <f>IF([1]Sheet2!CH230=999999,"NA",[1]Sheet2!CH230)</f>
        <v>137</v>
      </c>
      <c r="CA231" s="14">
        <f>IF([1]Sheet2!CI230=999999,"NA",[1]Sheet2!CI230)</f>
        <v>137</v>
      </c>
      <c r="CB231" s="14">
        <f>IF([1]Sheet2!CJ230=999999,"NA",[1]Sheet2!CJ230)</f>
        <v>137</v>
      </c>
      <c r="CC231" s="14">
        <f>[1]Sheet2!BG230</f>
        <v>0</v>
      </c>
      <c r="CD231" s="14">
        <f>[1]Sheet2!BH230</f>
        <v>0</v>
      </c>
      <c r="CE231" s="14">
        <f>[1]Sheet2!BI230</f>
        <v>0</v>
      </c>
      <c r="CF231" s="14">
        <f>[1]Sheet2!BJ230</f>
        <v>0</v>
      </c>
      <c r="CG231" s="14">
        <f>[1]Sheet2!BK230</f>
        <v>0</v>
      </c>
      <c r="CH231" s="14">
        <f>[1]Sheet2!BL230</f>
        <v>0</v>
      </c>
      <c r="CI231" s="14">
        <f>[1]Sheet2!BM230</f>
        <v>0</v>
      </c>
      <c r="CJ231" s="14">
        <f>[1]Sheet2!BN230</f>
        <v>0</v>
      </c>
      <c r="CK231" s="14">
        <f>[1]Sheet2!BO230</f>
        <v>0</v>
      </c>
      <c r="CL231" s="14">
        <f>[1]Sheet2!BP230</f>
        <v>0</v>
      </c>
      <c r="CM231" s="16">
        <f>Demand_SW!B$10/31</f>
        <v>131.01736972704714</v>
      </c>
      <c r="CN231" s="16">
        <f>Demand_SW!C$10/31</f>
        <v>0</v>
      </c>
      <c r="CO231" s="16">
        <f>Demand_SW!D$10/31</f>
        <v>0</v>
      </c>
      <c r="CP231" s="16">
        <f>Demand_SW!E$10/31</f>
        <v>0</v>
      </c>
      <c r="CQ231" s="16">
        <f>Demand_SW!F$10/31</f>
        <v>0</v>
      </c>
      <c r="CR231" s="16">
        <f>Demand_SW!G$10/31</f>
        <v>131.01736972704714</v>
      </c>
      <c r="CS231" s="16">
        <f>Demand_SW!H$10/31</f>
        <v>0</v>
      </c>
      <c r="CT231" s="16">
        <f>Demand_SW!I$10/31</f>
        <v>0</v>
      </c>
      <c r="CU231" s="16">
        <f>Demand_SW!J$10/31</f>
        <v>0</v>
      </c>
      <c r="CV231" s="16">
        <f>Demand_SW!K$10/31</f>
        <v>0</v>
      </c>
      <c r="CW231" s="16">
        <f t="shared" si="113"/>
        <v>70244.49131513646</v>
      </c>
      <c r="CX231" s="16">
        <f t="shared" si="114"/>
        <v>20683.923076923078</v>
      </c>
      <c r="CY231" s="16">
        <f t="shared" si="115"/>
        <v>0</v>
      </c>
      <c r="CZ231" s="16">
        <f t="shared" si="116"/>
        <v>0</v>
      </c>
      <c r="DA231" s="16">
        <f t="shared" si="117"/>
        <v>0</v>
      </c>
      <c r="DB231" s="16">
        <f t="shared" si="118"/>
        <v>-29284.739454094295</v>
      </c>
      <c r="DC231" s="16">
        <f t="shared" si="119"/>
        <v>-423.07692307692292</v>
      </c>
      <c r="DD231" s="16">
        <f t="shared" si="120"/>
        <v>0</v>
      </c>
      <c r="DE231" s="16">
        <f t="shared" si="121"/>
        <v>0</v>
      </c>
      <c r="DF231" s="16">
        <f t="shared" si="122"/>
        <v>0</v>
      </c>
      <c r="DG231" s="14">
        <f>IF([1]Sheet2!DR230=999999,"NA",[1]Sheet2!DR230)</f>
        <v>73103</v>
      </c>
      <c r="DH231" s="14">
        <f>IF([1]Sheet2!DS230=999999,"NA",[1]Sheet2!DS230)</f>
        <v>137</v>
      </c>
      <c r="DI231" s="14">
        <f>IF([1]Sheet2!DT230=999999,"NA",[1]Sheet2!DT230)</f>
        <v>137</v>
      </c>
      <c r="DJ231" s="14" t="str">
        <f>IF([1]Sheet2!DU230=999999,"NA",[1]Sheet2!DU230)</f>
        <v>NA</v>
      </c>
      <c r="DK231" s="14" t="str">
        <f>IF([1]Sheet2!DV230=999999,"NA",[1]Sheet2!DV230)</f>
        <v>NA</v>
      </c>
      <c r="DL231" s="14" t="str">
        <f>IF([1]Sheet2!DW230=999999,"NA",[1]Sheet2!DW230)</f>
        <v>NA</v>
      </c>
      <c r="DM231" s="14">
        <f>IF([1]Sheet2!DX230=999999,"NA",[1]Sheet2!DX230)</f>
        <v>137</v>
      </c>
      <c r="DN231" s="14">
        <f>IF([1]Sheet2!DY230=999999,"NA",[1]Sheet2!DY230)</f>
        <v>137</v>
      </c>
      <c r="DO231" s="14" t="str">
        <f>IF([1]Sheet2!DZ230=999999,"NA",[1]Sheet2!DZ230)</f>
        <v>NA</v>
      </c>
      <c r="DP231" s="14" t="str">
        <f>IF([1]Sheet2!EA230=999999,"NA",[1]Sheet2!EA230)</f>
        <v>NA</v>
      </c>
      <c r="DQ231" s="14">
        <f>[1]Sheet2!CX230</f>
        <v>0</v>
      </c>
      <c r="DR231" s="14">
        <f>[1]Sheet2!CY230</f>
        <v>0</v>
      </c>
      <c r="DS231" s="14">
        <f>[1]Sheet2!CZ230</f>
        <v>0</v>
      </c>
      <c r="DT231" s="14">
        <f>[1]Sheet2!DA230</f>
        <v>0</v>
      </c>
      <c r="DU231" s="14">
        <f>[1]Sheet2!DB230</f>
        <v>0</v>
      </c>
      <c r="DV231" s="14">
        <f>[1]Sheet2!DC230</f>
        <v>0</v>
      </c>
      <c r="DW231" s="14">
        <f>[1]Sheet2!DD230</f>
        <v>0</v>
      </c>
      <c r="DX231" s="14">
        <f>[1]Sheet2!DE230</f>
        <v>0</v>
      </c>
      <c r="DY231" s="14">
        <f>[1]Sheet2!DF230</f>
        <v>0</v>
      </c>
      <c r="DZ231" s="14">
        <f>[1]Sheet2!DG230</f>
        <v>0</v>
      </c>
    </row>
    <row r="232" spans="1:130" x14ac:dyDescent="0.25">
      <c r="A232" s="15">
        <v>43694</v>
      </c>
      <c r="B232" s="1"/>
      <c r="C232" s="1"/>
      <c r="D232" s="1"/>
      <c r="E232" s="14">
        <f>[1]Sheet2!N231</f>
        <v>0</v>
      </c>
      <c r="F232" s="14">
        <f>[1]Sheet2!BE231</f>
        <v>0</v>
      </c>
      <c r="G232" s="14">
        <f>[1]Sheet2!CV231</f>
        <v>262.03473945409428</v>
      </c>
      <c r="H232" s="1"/>
      <c r="I232" s="1"/>
      <c r="J232" s="1"/>
      <c r="K232" s="16">
        <f>Demand_CWRS!B$10/31</f>
        <v>120.8438508064516</v>
      </c>
      <c r="L232" s="16">
        <f>Demand_CWRS!C$10/31</f>
        <v>552.80165425971859</v>
      </c>
      <c r="M232" s="16">
        <f>Demand_CWRS!D$10/31</f>
        <v>0</v>
      </c>
      <c r="N232" s="16">
        <f>Demand_CWRS!E$10/31</f>
        <v>141.75971877584777</v>
      </c>
      <c r="O232" s="16">
        <f>Demand_CWRS!F$10/31</f>
        <v>252.70758116211746</v>
      </c>
      <c r="P232" s="16">
        <f>Demand_CWRS!G$10/31</f>
        <v>116.12903225806451</v>
      </c>
      <c r="Q232" s="16">
        <f>Demand_CWRS!H$10/31</f>
        <v>552.80165425971859</v>
      </c>
      <c r="R232" s="16">
        <f>Demand_CWRS!I$10/31</f>
        <v>252.70758116211746</v>
      </c>
      <c r="S232" s="16">
        <f>Demand_CWRS!J$10/31</f>
        <v>252.70758116211746</v>
      </c>
      <c r="T232" s="16">
        <f>Demand_CWRS!K$10/31</f>
        <v>252.70758116211746</v>
      </c>
      <c r="U232" s="16">
        <f t="shared" si="93"/>
        <v>-30742.818299183054</v>
      </c>
      <c r="V232" s="16">
        <f t="shared" si="94"/>
        <v>-106522.61017369691</v>
      </c>
      <c r="W232" s="16">
        <f t="shared" si="95"/>
        <v>0</v>
      </c>
      <c r="X232" s="16">
        <f t="shared" si="96"/>
        <v>-25035.358435677474</v>
      </c>
      <c r="Y232" s="16">
        <f t="shared" si="97"/>
        <v>-49129.618115190904</v>
      </c>
      <c r="Z232" s="16">
        <f t="shared" si="98"/>
        <v>-32269.893234822048</v>
      </c>
      <c r="AA232" s="16">
        <f t="shared" si="99"/>
        <v>-114866.61017369691</v>
      </c>
      <c r="AB232" s="16">
        <f t="shared" si="100"/>
        <v>-50688.772634421621</v>
      </c>
      <c r="AC232" s="16">
        <f t="shared" si="101"/>
        <v>-50688.772634421613</v>
      </c>
      <c r="AD232" s="16">
        <f t="shared" si="102"/>
        <v>-51388.772634421606</v>
      </c>
      <c r="AE232" s="14">
        <f>IF([1]Sheet2!AJ231=999999,"NA",[1]Sheet2!AJ231)</f>
        <v>0</v>
      </c>
      <c r="AF232" s="14">
        <f>IF([1]Sheet2!AK231=999999,"NA",[1]Sheet2!AK231)</f>
        <v>0</v>
      </c>
      <c r="AG232" s="14" t="str">
        <f>IF([1]Sheet2!AL231=999999,"NA",[1]Sheet2!AL231)</f>
        <v>NA</v>
      </c>
      <c r="AH232" s="14">
        <f>IF([1]Sheet2!AM231=999999,"NA",[1]Sheet2!AM231)</f>
        <v>136</v>
      </c>
      <c r="AI232" s="14">
        <f>IF([1]Sheet2!AN231=999999,"NA",[1]Sheet2!AN231)</f>
        <v>136</v>
      </c>
      <c r="AJ232" s="14">
        <f>IF([1]Sheet2!AO231=999999,"NA",[1]Sheet2!AO231)</f>
        <v>136</v>
      </c>
      <c r="AK232" s="14">
        <f>IF([1]Sheet2!AP231=999999,"NA",[1]Sheet2!AP231)</f>
        <v>0</v>
      </c>
      <c r="AL232" s="14">
        <f>IF([1]Sheet2!AQ231=999999,"NA",[1]Sheet2!AQ231)</f>
        <v>12</v>
      </c>
      <c r="AM232" s="14">
        <f>IF([1]Sheet2!AR231=999999,"NA",[1]Sheet2!AR231)</f>
        <v>136</v>
      </c>
      <c r="AN232" s="14">
        <f>IF([1]Sheet2!AS231=999999,"NA",[1]Sheet2!AS231)</f>
        <v>68</v>
      </c>
      <c r="AO232" s="14">
        <f>[1]Sheet2!P231</f>
        <v>0</v>
      </c>
      <c r="AP232" s="14">
        <f>[1]Sheet2!Q231</f>
        <v>0</v>
      </c>
      <c r="AQ232" s="14">
        <f>[1]Sheet2!R231</f>
        <v>0</v>
      </c>
      <c r="AR232" s="14">
        <f>[1]Sheet2!S231</f>
        <v>0</v>
      </c>
      <c r="AS232" s="14">
        <f>[1]Sheet2!T231</f>
        <v>0</v>
      </c>
      <c r="AT232" s="14">
        <f>[1]Sheet2!U231</f>
        <v>0</v>
      </c>
      <c r="AU232" s="14">
        <f>[1]Sheet2!V231</f>
        <v>0</v>
      </c>
      <c r="AV232" s="14">
        <f>[1]Sheet2!W231</f>
        <v>0</v>
      </c>
      <c r="AW232" s="14">
        <f>[1]Sheet2!X231</f>
        <v>0</v>
      </c>
      <c r="AX232" s="14">
        <f>[1]Sheet2!Y231</f>
        <v>0</v>
      </c>
      <c r="AY232" s="16">
        <f>Demand_LP!B$10/31</f>
        <v>857.18246226220015</v>
      </c>
      <c r="AZ232" s="16">
        <f>Demand_LP!C$10/31</f>
        <v>528.30835401157981</v>
      </c>
      <c r="BA232" s="16">
        <f>Demand_LP!D$10/31</f>
        <v>338.76323407775027</v>
      </c>
      <c r="BB232" s="16">
        <f>Demand_LP!E$10/31</f>
        <v>735.04776674937955</v>
      </c>
      <c r="BC232" s="16">
        <f>Demand_LP!F$10/31</f>
        <v>479.51259046732832</v>
      </c>
      <c r="BD232" s="16">
        <f>Demand_LP!G$10/31</f>
        <v>857.18246226220015</v>
      </c>
      <c r="BE232" s="16">
        <f>Demand_LP!H$10/31</f>
        <v>528.30835401157981</v>
      </c>
      <c r="BF232" s="16">
        <f>Demand_LP!I$10/31</f>
        <v>479.51259046732832</v>
      </c>
      <c r="BG232" s="16">
        <f>Demand_LP!J$10/31</f>
        <v>479.51259046732832</v>
      </c>
      <c r="BH232" s="16">
        <f>Demand_LP!K$10/31</f>
        <v>479.51259046732832</v>
      </c>
      <c r="BI232" s="16" t="e">
        <f t="shared" si="103"/>
        <v>#VALUE!</v>
      </c>
      <c r="BJ232" s="16">
        <f t="shared" si="104"/>
        <v>-129889.82406947862</v>
      </c>
      <c r="BK232" s="16">
        <f t="shared" si="105"/>
        <v>-66621.914722911431</v>
      </c>
      <c r="BL232" s="16">
        <f t="shared" si="106"/>
        <v>-170830.01330056178</v>
      </c>
      <c r="BM232" s="16">
        <f t="shared" si="107"/>
        <v>-99208.993837522779</v>
      </c>
      <c r="BN232" s="16">
        <f t="shared" si="108"/>
        <v>-172845.20570998674</v>
      </c>
      <c r="BO232" s="16">
        <f t="shared" si="109"/>
        <v>-139104.40355665836</v>
      </c>
      <c r="BP232" s="16">
        <f t="shared" si="110"/>
        <v>-104546.67775589338</v>
      </c>
      <c r="BQ232" s="16">
        <f t="shared" si="111"/>
        <v>-101146.67775589343</v>
      </c>
      <c r="BR232" s="16">
        <f t="shared" si="112"/>
        <v>-102346.67775589338</v>
      </c>
      <c r="BS232" s="14">
        <f>IF([1]Sheet2!CA231=999999,"NA",[1]Sheet2!CA231)</f>
        <v>114132.32224410678</v>
      </c>
      <c r="BT232" s="14">
        <f>IF([1]Sheet2!CB231=999999,"NA",[1]Sheet2!CB231)</f>
        <v>66</v>
      </c>
      <c r="BU232" s="14">
        <f>IF([1]Sheet2!CC231=999999,"NA",[1]Sheet2!CC231)</f>
        <v>136</v>
      </c>
      <c r="BV232" s="14">
        <f>IF([1]Sheet2!CD231=999999,"NA",[1]Sheet2!CD231)</f>
        <v>136</v>
      </c>
      <c r="BW232" s="14">
        <f>IF([1]Sheet2!CE231=999999,"NA",[1]Sheet2!CE231)</f>
        <v>105</v>
      </c>
      <c r="BX232" s="14">
        <f>IF([1]Sheet2!CF231=999999,"NA",[1]Sheet2!CF231)</f>
        <v>136</v>
      </c>
      <c r="BY232" s="14">
        <f>IF([1]Sheet2!CG231=999999,"NA",[1]Sheet2!CG231)</f>
        <v>30</v>
      </c>
      <c r="BZ232" s="14">
        <f>IF([1]Sheet2!CH231=999999,"NA",[1]Sheet2!CH231)</f>
        <v>136</v>
      </c>
      <c r="CA232" s="14">
        <f>IF([1]Sheet2!CI231=999999,"NA",[1]Sheet2!CI231)</f>
        <v>136</v>
      </c>
      <c r="CB232" s="14">
        <f>IF([1]Sheet2!CJ231=999999,"NA",[1]Sheet2!CJ231)</f>
        <v>136</v>
      </c>
      <c r="CC232" s="14">
        <f>[1]Sheet2!BG231</f>
        <v>0</v>
      </c>
      <c r="CD232" s="14">
        <f>[1]Sheet2!BH231</f>
        <v>0</v>
      </c>
      <c r="CE232" s="14">
        <f>[1]Sheet2!BI231</f>
        <v>0</v>
      </c>
      <c r="CF232" s="14">
        <f>[1]Sheet2!BJ231</f>
        <v>0</v>
      </c>
      <c r="CG232" s="14">
        <f>[1]Sheet2!BK231</f>
        <v>0</v>
      </c>
      <c r="CH232" s="14">
        <f>[1]Sheet2!BL231</f>
        <v>0</v>
      </c>
      <c r="CI232" s="14">
        <f>[1]Sheet2!BM231</f>
        <v>0</v>
      </c>
      <c r="CJ232" s="14">
        <f>[1]Sheet2!BN231</f>
        <v>0</v>
      </c>
      <c r="CK232" s="14">
        <f>[1]Sheet2!BO231</f>
        <v>0</v>
      </c>
      <c r="CL232" s="14">
        <f>[1]Sheet2!BP231</f>
        <v>0</v>
      </c>
      <c r="CM232" s="16">
        <f>Demand_SW!B$10/31</f>
        <v>131.01736972704714</v>
      </c>
      <c r="CN232" s="16">
        <f>Demand_SW!C$10/31</f>
        <v>0</v>
      </c>
      <c r="CO232" s="16">
        <f>Demand_SW!D$10/31</f>
        <v>0</v>
      </c>
      <c r="CP232" s="16">
        <f>Demand_SW!E$10/31</f>
        <v>0</v>
      </c>
      <c r="CQ232" s="16">
        <f>Demand_SW!F$10/31</f>
        <v>0</v>
      </c>
      <c r="CR232" s="16">
        <f>Demand_SW!G$10/31</f>
        <v>131.01736972704714</v>
      </c>
      <c r="CS232" s="16">
        <f>Demand_SW!H$10/31</f>
        <v>0</v>
      </c>
      <c r="CT232" s="16">
        <f>Demand_SW!I$10/31</f>
        <v>0</v>
      </c>
      <c r="CU232" s="16">
        <f>Demand_SW!J$10/31</f>
        <v>0</v>
      </c>
      <c r="CV232" s="16">
        <f>Demand_SW!K$10/31</f>
        <v>0</v>
      </c>
      <c r="CW232" s="16">
        <f t="shared" si="113"/>
        <v>70113.473945409409</v>
      </c>
      <c r="CX232" s="16">
        <f t="shared" si="114"/>
        <v>20683.923076923078</v>
      </c>
      <c r="CY232" s="16">
        <f t="shared" si="115"/>
        <v>0</v>
      </c>
      <c r="CZ232" s="16">
        <f t="shared" si="116"/>
        <v>0</v>
      </c>
      <c r="DA232" s="16">
        <f t="shared" si="117"/>
        <v>0</v>
      </c>
      <c r="DB232" s="16">
        <f t="shared" si="118"/>
        <v>-29415.756823821343</v>
      </c>
      <c r="DC232" s="16">
        <f t="shared" si="119"/>
        <v>-423.07692307692292</v>
      </c>
      <c r="DD232" s="16">
        <f t="shared" si="120"/>
        <v>0</v>
      </c>
      <c r="DE232" s="16">
        <f t="shared" si="121"/>
        <v>0</v>
      </c>
      <c r="DF232" s="16">
        <f t="shared" si="122"/>
        <v>0</v>
      </c>
      <c r="DG232" s="14">
        <f>IF([1]Sheet2!DR231=999999,"NA",[1]Sheet2!DR231)</f>
        <v>73103</v>
      </c>
      <c r="DH232" s="14">
        <f>IF([1]Sheet2!DS231=999999,"NA",[1]Sheet2!DS231)</f>
        <v>136</v>
      </c>
      <c r="DI232" s="14">
        <f>IF([1]Sheet2!DT231=999999,"NA",[1]Sheet2!DT231)</f>
        <v>136</v>
      </c>
      <c r="DJ232" s="14" t="str">
        <f>IF([1]Sheet2!DU231=999999,"NA",[1]Sheet2!DU231)</f>
        <v>NA</v>
      </c>
      <c r="DK232" s="14" t="str">
        <f>IF([1]Sheet2!DV231=999999,"NA",[1]Sheet2!DV231)</f>
        <v>NA</v>
      </c>
      <c r="DL232" s="14" t="str">
        <f>IF([1]Sheet2!DW231=999999,"NA",[1]Sheet2!DW231)</f>
        <v>NA</v>
      </c>
      <c r="DM232" s="14">
        <f>IF([1]Sheet2!DX231=999999,"NA",[1]Sheet2!DX231)</f>
        <v>136</v>
      </c>
      <c r="DN232" s="14">
        <f>IF([1]Sheet2!DY231=999999,"NA",[1]Sheet2!DY231)</f>
        <v>136</v>
      </c>
      <c r="DO232" s="14" t="str">
        <f>IF([1]Sheet2!DZ231=999999,"NA",[1]Sheet2!DZ231)</f>
        <v>NA</v>
      </c>
      <c r="DP232" s="14" t="str">
        <f>IF([1]Sheet2!EA231=999999,"NA",[1]Sheet2!EA231)</f>
        <v>NA</v>
      </c>
      <c r="DQ232" s="14">
        <f>[1]Sheet2!CX231</f>
        <v>0</v>
      </c>
      <c r="DR232" s="14">
        <f>[1]Sheet2!CY231</f>
        <v>0</v>
      </c>
      <c r="DS232" s="14">
        <f>[1]Sheet2!CZ231</f>
        <v>0</v>
      </c>
      <c r="DT232" s="14">
        <f>[1]Sheet2!DA231</f>
        <v>0</v>
      </c>
      <c r="DU232" s="14">
        <f>[1]Sheet2!DB231</f>
        <v>0</v>
      </c>
      <c r="DV232" s="14">
        <f>[1]Sheet2!DC231</f>
        <v>0</v>
      </c>
      <c r="DW232" s="14">
        <f>[1]Sheet2!DD231</f>
        <v>0</v>
      </c>
      <c r="DX232" s="14">
        <f>[1]Sheet2!DE231</f>
        <v>0</v>
      </c>
      <c r="DY232" s="14">
        <f>[1]Sheet2!DF231</f>
        <v>0</v>
      </c>
      <c r="DZ232" s="14">
        <f>[1]Sheet2!DG231</f>
        <v>0</v>
      </c>
    </row>
    <row r="233" spans="1:130" x14ac:dyDescent="0.25">
      <c r="A233" s="15">
        <v>43695</v>
      </c>
      <c r="B233" s="1"/>
      <c r="C233" s="1"/>
      <c r="D233" s="1"/>
      <c r="E233" s="14">
        <f>[1]Sheet2!N232</f>
        <v>0</v>
      </c>
      <c r="F233" s="14">
        <f>[1]Sheet2!BE232</f>
        <v>0</v>
      </c>
      <c r="G233" s="14">
        <f>[1]Sheet2!CV232</f>
        <v>262.03473945409428</v>
      </c>
      <c r="H233" s="1"/>
      <c r="I233" s="1"/>
      <c r="J233" s="1"/>
      <c r="K233" s="16">
        <f>Demand_CWRS!B$10/31</f>
        <v>120.8438508064516</v>
      </c>
      <c r="L233" s="16">
        <f>Demand_CWRS!C$10/31</f>
        <v>552.80165425971859</v>
      </c>
      <c r="M233" s="16">
        <f>Demand_CWRS!D$10/31</f>
        <v>0</v>
      </c>
      <c r="N233" s="16">
        <f>Demand_CWRS!E$10/31</f>
        <v>141.75971877584777</v>
      </c>
      <c r="O233" s="16">
        <f>Demand_CWRS!F$10/31</f>
        <v>252.70758116211746</v>
      </c>
      <c r="P233" s="16">
        <f>Demand_CWRS!G$10/31</f>
        <v>116.12903225806451</v>
      </c>
      <c r="Q233" s="16">
        <f>Demand_CWRS!H$10/31</f>
        <v>552.80165425971859</v>
      </c>
      <c r="R233" s="16">
        <f>Demand_CWRS!I$10/31</f>
        <v>252.70758116211746</v>
      </c>
      <c r="S233" s="16">
        <f>Demand_CWRS!J$10/31</f>
        <v>252.70758116211746</v>
      </c>
      <c r="T233" s="16">
        <f>Demand_CWRS!K$10/31</f>
        <v>252.70758116211746</v>
      </c>
      <c r="U233" s="16">
        <f t="shared" si="93"/>
        <v>-30863.662149989505</v>
      </c>
      <c r="V233" s="16">
        <f t="shared" si="94"/>
        <v>-107075.41182795663</v>
      </c>
      <c r="W233" s="16">
        <f t="shared" si="95"/>
        <v>0</v>
      </c>
      <c r="X233" s="16">
        <f t="shared" si="96"/>
        <v>-25177.118154453321</v>
      </c>
      <c r="Y233" s="16">
        <f t="shared" si="97"/>
        <v>-49382.325696353022</v>
      </c>
      <c r="Z233" s="16">
        <f t="shared" si="98"/>
        <v>-30528.022267080112</v>
      </c>
      <c r="AA233" s="16">
        <f t="shared" si="99"/>
        <v>-106575.41182795663</v>
      </c>
      <c r="AB233" s="16">
        <f t="shared" si="100"/>
        <v>-46898.480215583739</v>
      </c>
      <c r="AC233" s="16">
        <f t="shared" si="101"/>
        <v>-50941.480215583731</v>
      </c>
      <c r="AD233" s="16">
        <f t="shared" si="102"/>
        <v>-51641.480215583724</v>
      </c>
      <c r="AE233" s="14">
        <f>IF([1]Sheet2!AJ232=999999,"NA",[1]Sheet2!AJ232)</f>
        <v>0</v>
      </c>
      <c r="AF233" s="14">
        <f>IF([1]Sheet2!AK232=999999,"NA",[1]Sheet2!AK232)</f>
        <v>0</v>
      </c>
      <c r="AG233" s="14" t="str">
        <f>IF([1]Sheet2!AL232=999999,"NA",[1]Sheet2!AL232)</f>
        <v>NA</v>
      </c>
      <c r="AH233" s="14">
        <f>IF([1]Sheet2!AM232=999999,"NA",[1]Sheet2!AM232)</f>
        <v>135</v>
      </c>
      <c r="AI233" s="14">
        <f>IF([1]Sheet2!AN232=999999,"NA",[1]Sheet2!AN232)</f>
        <v>135</v>
      </c>
      <c r="AJ233" s="14">
        <f>IF([1]Sheet2!AO232=999999,"NA",[1]Sheet2!AO232)</f>
        <v>135</v>
      </c>
      <c r="AK233" s="14">
        <f>IF([1]Sheet2!AP232=999999,"NA",[1]Sheet2!AP232)</f>
        <v>0</v>
      </c>
      <c r="AL233" s="14">
        <f>IF([1]Sheet2!AQ232=999999,"NA",[1]Sheet2!AQ232)</f>
        <v>30</v>
      </c>
      <c r="AM233" s="14">
        <f>IF([1]Sheet2!AR232=999999,"NA",[1]Sheet2!AR232)</f>
        <v>135</v>
      </c>
      <c r="AN233" s="14">
        <f>IF([1]Sheet2!AS232=999999,"NA",[1]Sheet2!AS232)</f>
        <v>67</v>
      </c>
      <c r="AO233" s="14">
        <f>[1]Sheet2!P232</f>
        <v>0</v>
      </c>
      <c r="AP233" s="14">
        <f>[1]Sheet2!Q232</f>
        <v>0</v>
      </c>
      <c r="AQ233" s="14">
        <f>[1]Sheet2!R232</f>
        <v>0</v>
      </c>
      <c r="AR233" s="14">
        <f>[1]Sheet2!S232</f>
        <v>0</v>
      </c>
      <c r="AS233" s="14">
        <f>[1]Sheet2!T232</f>
        <v>0</v>
      </c>
      <c r="AT233" s="14">
        <f>[1]Sheet2!U232</f>
        <v>1858</v>
      </c>
      <c r="AU233" s="14">
        <f>[1]Sheet2!V232</f>
        <v>8844</v>
      </c>
      <c r="AV233" s="14">
        <f>[1]Sheet2!W232</f>
        <v>4043</v>
      </c>
      <c r="AW233" s="14">
        <f>[1]Sheet2!X232</f>
        <v>0</v>
      </c>
      <c r="AX233" s="14">
        <f>[1]Sheet2!Y232</f>
        <v>0</v>
      </c>
      <c r="AY233" s="16">
        <f>Demand_LP!B$10/31</f>
        <v>857.18246226220015</v>
      </c>
      <c r="AZ233" s="16">
        <f>Demand_LP!C$10/31</f>
        <v>528.30835401157981</v>
      </c>
      <c r="BA233" s="16">
        <f>Demand_LP!D$10/31</f>
        <v>338.76323407775027</v>
      </c>
      <c r="BB233" s="16">
        <f>Demand_LP!E$10/31</f>
        <v>735.04776674937955</v>
      </c>
      <c r="BC233" s="16">
        <f>Demand_LP!F$10/31</f>
        <v>479.51259046732832</v>
      </c>
      <c r="BD233" s="16">
        <f>Demand_LP!G$10/31</f>
        <v>857.18246226220015</v>
      </c>
      <c r="BE233" s="16">
        <f>Demand_LP!H$10/31</f>
        <v>528.30835401157981</v>
      </c>
      <c r="BF233" s="16">
        <f>Demand_LP!I$10/31</f>
        <v>479.51259046732832</v>
      </c>
      <c r="BG233" s="16">
        <f>Demand_LP!J$10/31</f>
        <v>479.51259046732832</v>
      </c>
      <c r="BH233" s="16">
        <f>Demand_LP!K$10/31</f>
        <v>479.51259046732832</v>
      </c>
      <c r="BI233" s="16" t="e">
        <f t="shared" si="103"/>
        <v>#VALUE!</v>
      </c>
      <c r="BJ233" s="16">
        <f t="shared" si="104"/>
        <v>-130418.1324234902</v>
      </c>
      <c r="BK233" s="16">
        <f t="shared" si="105"/>
        <v>-66960.677956989181</v>
      </c>
      <c r="BL233" s="16">
        <f t="shared" si="106"/>
        <v>-171565.06106731115</v>
      </c>
      <c r="BM233" s="16">
        <f t="shared" si="107"/>
        <v>-99688.506427990113</v>
      </c>
      <c r="BN233" s="16">
        <f t="shared" si="108"/>
        <v>-173702.38817224893</v>
      </c>
      <c r="BO233" s="16">
        <f t="shared" si="109"/>
        <v>-132775.71191066995</v>
      </c>
      <c r="BP233" s="16">
        <f t="shared" si="110"/>
        <v>-100800.19034636072</v>
      </c>
      <c r="BQ233" s="16">
        <f t="shared" si="111"/>
        <v>-97790.19034636076</v>
      </c>
      <c r="BR233" s="16">
        <f t="shared" si="112"/>
        <v>-102826.19034636072</v>
      </c>
      <c r="BS233" s="14">
        <f>IF([1]Sheet2!CA232=999999,"NA",[1]Sheet2!CA232)</f>
        <v>113652.80965363944</v>
      </c>
      <c r="BT233" s="14">
        <f>IF([1]Sheet2!CB232=999999,"NA",[1]Sheet2!CB232)</f>
        <v>65</v>
      </c>
      <c r="BU233" s="14">
        <f>IF([1]Sheet2!CC232=999999,"NA",[1]Sheet2!CC232)</f>
        <v>135</v>
      </c>
      <c r="BV233" s="14">
        <f>IF([1]Sheet2!CD232=999999,"NA",[1]Sheet2!CD232)</f>
        <v>135</v>
      </c>
      <c r="BW233" s="14">
        <f>IF([1]Sheet2!CE232=999999,"NA",[1]Sheet2!CE232)</f>
        <v>104</v>
      </c>
      <c r="BX233" s="14">
        <f>IF([1]Sheet2!CF232=999999,"NA",[1]Sheet2!CF232)</f>
        <v>135</v>
      </c>
      <c r="BY233" s="14">
        <f>IF([1]Sheet2!CG232=999999,"NA",[1]Sheet2!CG232)</f>
        <v>36</v>
      </c>
      <c r="BZ233" s="14">
        <f>IF([1]Sheet2!CH232=999999,"NA",[1]Sheet2!CH232)</f>
        <v>135</v>
      </c>
      <c r="CA233" s="14">
        <f>IF([1]Sheet2!CI232=999999,"NA",[1]Sheet2!CI232)</f>
        <v>135</v>
      </c>
      <c r="CB233" s="14">
        <f>IF([1]Sheet2!CJ232=999999,"NA",[1]Sheet2!CJ232)</f>
        <v>135</v>
      </c>
      <c r="CC233" s="14">
        <f>[1]Sheet2!BG232</f>
        <v>0</v>
      </c>
      <c r="CD233" s="14">
        <f>[1]Sheet2!BH232</f>
        <v>0</v>
      </c>
      <c r="CE233" s="14">
        <f>[1]Sheet2!BI232</f>
        <v>0</v>
      </c>
      <c r="CF233" s="14">
        <f>[1]Sheet2!BJ232</f>
        <v>0</v>
      </c>
      <c r="CG233" s="14">
        <f>[1]Sheet2!BK232</f>
        <v>0</v>
      </c>
      <c r="CH233" s="14">
        <f>[1]Sheet2!BL232</f>
        <v>0</v>
      </c>
      <c r="CI233" s="14">
        <f>[1]Sheet2!BM232</f>
        <v>6857</v>
      </c>
      <c r="CJ233" s="14">
        <f>[1]Sheet2!BN232</f>
        <v>4226</v>
      </c>
      <c r="CK233" s="14">
        <f>[1]Sheet2!BO232</f>
        <v>3836</v>
      </c>
      <c r="CL233" s="14">
        <f>[1]Sheet2!BP232</f>
        <v>0</v>
      </c>
      <c r="CM233" s="16">
        <f>Demand_SW!B$10/31</f>
        <v>131.01736972704714</v>
      </c>
      <c r="CN233" s="16">
        <f>Demand_SW!C$10/31</f>
        <v>0</v>
      </c>
      <c r="CO233" s="16">
        <f>Demand_SW!D$10/31</f>
        <v>0</v>
      </c>
      <c r="CP233" s="16">
        <f>Demand_SW!E$10/31</f>
        <v>0</v>
      </c>
      <c r="CQ233" s="16">
        <f>Demand_SW!F$10/31</f>
        <v>0</v>
      </c>
      <c r="CR233" s="16">
        <f>Demand_SW!G$10/31</f>
        <v>131.01736972704714</v>
      </c>
      <c r="CS233" s="16">
        <f>Demand_SW!H$10/31</f>
        <v>0</v>
      </c>
      <c r="CT233" s="16">
        <f>Demand_SW!I$10/31</f>
        <v>0</v>
      </c>
      <c r="CU233" s="16">
        <f>Demand_SW!J$10/31</f>
        <v>0</v>
      </c>
      <c r="CV233" s="16">
        <f>Demand_SW!K$10/31</f>
        <v>0</v>
      </c>
      <c r="CW233" s="16">
        <f t="shared" si="113"/>
        <v>69982.456575682358</v>
      </c>
      <c r="CX233" s="16">
        <f t="shared" si="114"/>
        <v>20683.923076923078</v>
      </c>
      <c r="CY233" s="16">
        <f t="shared" si="115"/>
        <v>0</v>
      </c>
      <c r="CZ233" s="16">
        <f t="shared" si="116"/>
        <v>0</v>
      </c>
      <c r="DA233" s="16">
        <f t="shared" si="117"/>
        <v>0</v>
      </c>
      <c r="DB233" s="16">
        <f t="shared" si="118"/>
        <v>-29546.77419354839</v>
      </c>
      <c r="DC233" s="16">
        <f t="shared" si="119"/>
        <v>20683.923076923078</v>
      </c>
      <c r="DD233" s="16">
        <f t="shared" si="120"/>
        <v>0</v>
      </c>
      <c r="DE233" s="16">
        <f t="shared" si="121"/>
        <v>0</v>
      </c>
      <c r="DF233" s="16">
        <f t="shared" si="122"/>
        <v>0</v>
      </c>
      <c r="DG233" s="14">
        <f>IF([1]Sheet2!DR232=999999,"NA",[1]Sheet2!DR232)</f>
        <v>73103</v>
      </c>
      <c r="DH233" s="14">
        <f>IF([1]Sheet2!DS232=999999,"NA",[1]Sheet2!DS232)</f>
        <v>135</v>
      </c>
      <c r="DI233" s="14">
        <f>IF([1]Sheet2!DT232=999999,"NA",[1]Sheet2!DT232)</f>
        <v>135</v>
      </c>
      <c r="DJ233" s="14" t="str">
        <f>IF([1]Sheet2!DU232=999999,"NA",[1]Sheet2!DU232)</f>
        <v>NA</v>
      </c>
      <c r="DK233" s="14" t="str">
        <f>IF([1]Sheet2!DV232=999999,"NA",[1]Sheet2!DV232)</f>
        <v>NA</v>
      </c>
      <c r="DL233" s="14" t="str">
        <f>IF([1]Sheet2!DW232=999999,"NA",[1]Sheet2!DW232)</f>
        <v>NA</v>
      </c>
      <c r="DM233" s="14">
        <f>IF([1]Sheet2!DX232=999999,"NA",[1]Sheet2!DX232)</f>
        <v>135</v>
      </c>
      <c r="DN233" s="14">
        <f>IF([1]Sheet2!DY232=999999,"NA",[1]Sheet2!DY232)</f>
        <v>135</v>
      </c>
      <c r="DO233" s="14" t="str">
        <f>IF([1]Sheet2!DZ232=999999,"NA",[1]Sheet2!DZ232)</f>
        <v>NA</v>
      </c>
      <c r="DP233" s="14" t="str">
        <f>IF([1]Sheet2!EA232=999999,"NA",[1]Sheet2!EA232)</f>
        <v>NA</v>
      </c>
      <c r="DQ233" s="14">
        <f>[1]Sheet2!CX232</f>
        <v>0</v>
      </c>
      <c r="DR233" s="14">
        <f>[1]Sheet2!CY232</f>
        <v>0</v>
      </c>
      <c r="DS233" s="14">
        <f>[1]Sheet2!CZ232</f>
        <v>0</v>
      </c>
      <c r="DT233" s="14">
        <f>[1]Sheet2!DA232</f>
        <v>0</v>
      </c>
      <c r="DU233" s="14">
        <f>[1]Sheet2!DB232</f>
        <v>0</v>
      </c>
      <c r="DV233" s="14">
        <f>[1]Sheet2!DC232</f>
        <v>0</v>
      </c>
      <c r="DW233" s="14">
        <f>[1]Sheet2!DD232</f>
        <v>21107</v>
      </c>
      <c r="DX233" s="14">
        <f>[1]Sheet2!DE232</f>
        <v>0</v>
      </c>
      <c r="DY233" s="14">
        <f>[1]Sheet2!DF232</f>
        <v>0</v>
      </c>
      <c r="DZ233" s="14">
        <f>[1]Sheet2!DG232</f>
        <v>0</v>
      </c>
    </row>
    <row r="234" spans="1:130" x14ac:dyDescent="0.25">
      <c r="A234" s="15">
        <v>43696</v>
      </c>
      <c r="B234" s="1"/>
      <c r="C234" s="1"/>
      <c r="D234" s="1"/>
      <c r="E234" s="14">
        <f>[1]Sheet2!N233</f>
        <v>48000</v>
      </c>
      <c r="F234" s="14">
        <f>[1]Sheet2!BE233</f>
        <v>48000</v>
      </c>
      <c r="G234" s="14">
        <f>[1]Sheet2!CV233</f>
        <v>262.03473945409428</v>
      </c>
      <c r="H234" s="1"/>
      <c r="I234" s="1"/>
      <c r="J234" s="1"/>
      <c r="K234" s="16">
        <f>Demand_CWRS!B$10/31</f>
        <v>120.8438508064516</v>
      </c>
      <c r="L234" s="16">
        <f>Demand_CWRS!C$10/31</f>
        <v>552.80165425971859</v>
      </c>
      <c r="M234" s="16">
        <f>Demand_CWRS!D$10/31</f>
        <v>0</v>
      </c>
      <c r="N234" s="16">
        <f>Demand_CWRS!E$10/31</f>
        <v>141.75971877584777</v>
      </c>
      <c r="O234" s="16">
        <f>Demand_CWRS!F$10/31</f>
        <v>252.70758116211746</v>
      </c>
      <c r="P234" s="16">
        <f>Demand_CWRS!G$10/31</f>
        <v>116.12903225806451</v>
      </c>
      <c r="Q234" s="16">
        <f>Demand_CWRS!H$10/31</f>
        <v>552.80165425971859</v>
      </c>
      <c r="R234" s="16">
        <f>Demand_CWRS!I$10/31</f>
        <v>252.70758116211746</v>
      </c>
      <c r="S234" s="16">
        <f>Demand_CWRS!J$10/31</f>
        <v>252.70758116211746</v>
      </c>
      <c r="T234" s="16">
        <f>Demand_CWRS!K$10/31</f>
        <v>252.70758116211746</v>
      </c>
      <c r="U234" s="16">
        <f t="shared" si="93"/>
        <v>-30984.506000795955</v>
      </c>
      <c r="V234" s="16">
        <f t="shared" si="94"/>
        <v>-107628.21348221635</v>
      </c>
      <c r="W234" s="16">
        <f t="shared" si="95"/>
        <v>0</v>
      </c>
      <c r="X234" s="16">
        <f t="shared" si="96"/>
        <v>-25318.877873229168</v>
      </c>
      <c r="Y234" s="16">
        <f t="shared" si="97"/>
        <v>-49635.03327751514</v>
      </c>
      <c r="Z234" s="16">
        <f t="shared" si="98"/>
        <v>-30644.151299338177</v>
      </c>
      <c r="AA234" s="16">
        <f t="shared" si="99"/>
        <v>-107128.21348221635</v>
      </c>
      <c r="AB234" s="16">
        <f t="shared" si="100"/>
        <v>-47151.187796745857</v>
      </c>
      <c r="AC234" s="16">
        <f t="shared" si="101"/>
        <v>-51194.187796745849</v>
      </c>
      <c r="AD234" s="16">
        <f t="shared" si="102"/>
        <v>-51894.187796745842</v>
      </c>
      <c r="AE234" s="14">
        <f>IF([1]Sheet2!AJ233=999999,"NA",[1]Sheet2!AJ233)</f>
        <v>0</v>
      </c>
      <c r="AF234" s="14">
        <f>IF([1]Sheet2!AK233=999999,"NA",[1]Sheet2!AK233)</f>
        <v>0</v>
      </c>
      <c r="AG234" s="14" t="str">
        <f>IF([1]Sheet2!AL233=999999,"NA",[1]Sheet2!AL233)</f>
        <v>NA</v>
      </c>
      <c r="AH234" s="14">
        <f>IF([1]Sheet2!AM233=999999,"NA",[1]Sheet2!AM233)</f>
        <v>134</v>
      </c>
      <c r="AI234" s="14">
        <f>IF([1]Sheet2!AN233=999999,"NA",[1]Sheet2!AN233)</f>
        <v>134</v>
      </c>
      <c r="AJ234" s="14">
        <f>IF([1]Sheet2!AO233=999999,"NA",[1]Sheet2!AO233)</f>
        <v>134</v>
      </c>
      <c r="AK234" s="14">
        <f>IF([1]Sheet2!AP233=999999,"NA",[1]Sheet2!AP233)</f>
        <v>0</v>
      </c>
      <c r="AL234" s="14">
        <f>IF([1]Sheet2!AQ233=999999,"NA",[1]Sheet2!AQ233)</f>
        <v>29</v>
      </c>
      <c r="AM234" s="14">
        <f>IF([1]Sheet2!AR233=999999,"NA",[1]Sheet2!AR233)</f>
        <v>134</v>
      </c>
      <c r="AN234" s="14">
        <f>IF([1]Sheet2!AS233=999999,"NA",[1]Sheet2!AS233)</f>
        <v>66</v>
      </c>
      <c r="AO234" s="14">
        <f>[1]Sheet2!P233</f>
        <v>0</v>
      </c>
      <c r="AP234" s="14">
        <f>[1]Sheet2!Q233</f>
        <v>0</v>
      </c>
      <c r="AQ234" s="14">
        <f>[1]Sheet2!R233</f>
        <v>0</v>
      </c>
      <c r="AR234" s="14">
        <f>[1]Sheet2!S233</f>
        <v>0</v>
      </c>
      <c r="AS234" s="14">
        <f>[1]Sheet2!T233</f>
        <v>0</v>
      </c>
      <c r="AT234" s="14">
        <f>[1]Sheet2!U233</f>
        <v>0</v>
      </c>
      <c r="AU234" s="14">
        <f>[1]Sheet2!V233</f>
        <v>0</v>
      </c>
      <c r="AV234" s="14">
        <f>[1]Sheet2!W233</f>
        <v>0</v>
      </c>
      <c r="AW234" s="14">
        <f>[1]Sheet2!X233</f>
        <v>0</v>
      </c>
      <c r="AX234" s="14">
        <f>[1]Sheet2!Y233</f>
        <v>0</v>
      </c>
      <c r="AY234" s="16">
        <f>Demand_LP!B$10/31</f>
        <v>857.18246226220015</v>
      </c>
      <c r="AZ234" s="16">
        <f>Demand_LP!C$10/31</f>
        <v>528.30835401157981</v>
      </c>
      <c r="BA234" s="16">
        <f>Demand_LP!D$10/31</f>
        <v>338.76323407775027</v>
      </c>
      <c r="BB234" s="16">
        <f>Demand_LP!E$10/31</f>
        <v>735.04776674937955</v>
      </c>
      <c r="BC234" s="16">
        <f>Demand_LP!F$10/31</f>
        <v>479.51259046732832</v>
      </c>
      <c r="BD234" s="16">
        <f>Demand_LP!G$10/31</f>
        <v>857.18246226220015</v>
      </c>
      <c r="BE234" s="16">
        <f>Demand_LP!H$10/31</f>
        <v>528.30835401157981</v>
      </c>
      <c r="BF234" s="16">
        <f>Demand_LP!I$10/31</f>
        <v>479.51259046732832</v>
      </c>
      <c r="BG234" s="16">
        <f>Demand_LP!J$10/31</f>
        <v>479.51259046732832</v>
      </c>
      <c r="BH234" s="16">
        <f>Demand_LP!K$10/31</f>
        <v>479.51259046732832</v>
      </c>
      <c r="BI234" s="16" t="e">
        <f t="shared" si="103"/>
        <v>#VALUE!</v>
      </c>
      <c r="BJ234" s="16">
        <f t="shared" si="104"/>
        <v>-130946.44077750178</v>
      </c>
      <c r="BK234" s="16">
        <f t="shared" si="105"/>
        <v>-67299.44119106693</v>
      </c>
      <c r="BL234" s="16">
        <f t="shared" si="106"/>
        <v>-172300.10883406052</v>
      </c>
      <c r="BM234" s="16">
        <f t="shared" si="107"/>
        <v>-100168.01901845745</v>
      </c>
      <c r="BN234" s="16">
        <f t="shared" si="108"/>
        <v>-174559.57063451112</v>
      </c>
      <c r="BO234" s="16">
        <f t="shared" si="109"/>
        <v>-133304.02026468155</v>
      </c>
      <c r="BP234" s="16">
        <f t="shared" si="110"/>
        <v>-101279.70293682805</v>
      </c>
      <c r="BQ234" s="16">
        <f t="shared" si="111"/>
        <v>-98269.702936828093</v>
      </c>
      <c r="BR234" s="16">
        <f t="shared" si="112"/>
        <v>-103305.70293682805</v>
      </c>
      <c r="BS234" s="14">
        <f>IF([1]Sheet2!CA233=999999,"NA",[1]Sheet2!CA233)</f>
        <v>113173.29706317211</v>
      </c>
      <c r="BT234" s="14">
        <f>IF([1]Sheet2!CB233=999999,"NA",[1]Sheet2!CB233)</f>
        <v>64</v>
      </c>
      <c r="BU234" s="14">
        <f>IF([1]Sheet2!CC233=999999,"NA",[1]Sheet2!CC233)</f>
        <v>134</v>
      </c>
      <c r="BV234" s="14">
        <f>IF([1]Sheet2!CD233=999999,"NA",[1]Sheet2!CD233)</f>
        <v>134</v>
      </c>
      <c r="BW234" s="14">
        <f>IF([1]Sheet2!CE233=999999,"NA",[1]Sheet2!CE233)</f>
        <v>103</v>
      </c>
      <c r="BX234" s="14">
        <f>IF([1]Sheet2!CF233=999999,"NA",[1]Sheet2!CF233)</f>
        <v>134</v>
      </c>
      <c r="BY234" s="14">
        <f>IF([1]Sheet2!CG233=999999,"NA",[1]Sheet2!CG233)</f>
        <v>35</v>
      </c>
      <c r="BZ234" s="14">
        <f>IF([1]Sheet2!CH233=999999,"NA",[1]Sheet2!CH233)</f>
        <v>134</v>
      </c>
      <c r="CA234" s="14">
        <f>IF([1]Sheet2!CI233=999999,"NA",[1]Sheet2!CI233)</f>
        <v>134</v>
      </c>
      <c r="CB234" s="14">
        <f>IF([1]Sheet2!CJ233=999999,"NA",[1]Sheet2!CJ233)</f>
        <v>134</v>
      </c>
      <c r="CC234" s="14">
        <f>[1]Sheet2!BG233</f>
        <v>0</v>
      </c>
      <c r="CD234" s="14">
        <f>[1]Sheet2!BH233</f>
        <v>0</v>
      </c>
      <c r="CE234" s="14">
        <f>[1]Sheet2!BI233</f>
        <v>0</v>
      </c>
      <c r="CF234" s="14">
        <f>[1]Sheet2!BJ233</f>
        <v>0</v>
      </c>
      <c r="CG234" s="14">
        <f>[1]Sheet2!BK233</f>
        <v>0</v>
      </c>
      <c r="CH234" s="14">
        <f>[1]Sheet2!BL233</f>
        <v>0</v>
      </c>
      <c r="CI234" s="14">
        <f>[1]Sheet2!BM233</f>
        <v>0</v>
      </c>
      <c r="CJ234" s="14">
        <f>[1]Sheet2!BN233</f>
        <v>0</v>
      </c>
      <c r="CK234" s="14">
        <f>[1]Sheet2!BO233</f>
        <v>0</v>
      </c>
      <c r="CL234" s="14">
        <f>[1]Sheet2!BP233</f>
        <v>0</v>
      </c>
      <c r="CM234" s="16">
        <f>Demand_SW!B$10/31</f>
        <v>131.01736972704714</v>
      </c>
      <c r="CN234" s="16">
        <f>Demand_SW!C$10/31</f>
        <v>0</v>
      </c>
      <c r="CO234" s="16">
        <f>Demand_SW!D$10/31</f>
        <v>0</v>
      </c>
      <c r="CP234" s="16">
        <f>Demand_SW!E$10/31</f>
        <v>0</v>
      </c>
      <c r="CQ234" s="16">
        <f>Demand_SW!F$10/31</f>
        <v>0</v>
      </c>
      <c r="CR234" s="16">
        <f>Demand_SW!G$10/31</f>
        <v>131.01736972704714</v>
      </c>
      <c r="CS234" s="16">
        <f>Demand_SW!H$10/31</f>
        <v>0</v>
      </c>
      <c r="CT234" s="16">
        <f>Demand_SW!I$10/31</f>
        <v>0</v>
      </c>
      <c r="CU234" s="16">
        <f>Demand_SW!J$10/31</f>
        <v>0</v>
      </c>
      <c r="CV234" s="16">
        <f>Demand_SW!K$10/31</f>
        <v>0</v>
      </c>
      <c r="CW234" s="16">
        <f t="shared" si="113"/>
        <v>69851.439205955307</v>
      </c>
      <c r="CX234" s="16">
        <f t="shared" si="114"/>
        <v>20683.923076923078</v>
      </c>
      <c r="CY234" s="16">
        <f t="shared" si="115"/>
        <v>0</v>
      </c>
      <c r="CZ234" s="16">
        <f t="shared" si="116"/>
        <v>0</v>
      </c>
      <c r="DA234" s="16">
        <f t="shared" si="117"/>
        <v>0</v>
      </c>
      <c r="DB234" s="16">
        <f t="shared" si="118"/>
        <v>-29677.791563275438</v>
      </c>
      <c r="DC234" s="16">
        <f t="shared" si="119"/>
        <v>20683.923076923078</v>
      </c>
      <c r="DD234" s="16">
        <f t="shared" si="120"/>
        <v>0</v>
      </c>
      <c r="DE234" s="16">
        <f t="shared" si="121"/>
        <v>0</v>
      </c>
      <c r="DF234" s="16">
        <f t="shared" si="122"/>
        <v>0</v>
      </c>
      <c r="DG234" s="14">
        <f>IF([1]Sheet2!DR233=999999,"NA",[1]Sheet2!DR233)</f>
        <v>73103</v>
      </c>
      <c r="DH234" s="14">
        <f>IF([1]Sheet2!DS233=999999,"NA",[1]Sheet2!DS233)</f>
        <v>134</v>
      </c>
      <c r="DI234" s="14">
        <f>IF([1]Sheet2!DT233=999999,"NA",[1]Sheet2!DT233)</f>
        <v>134</v>
      </c>
      <c r="DJ234" s="14" t="str">
        <f>IF([1]Sheet2!DU233=999999,"NA",[1]Sheet2!DU233)</f>
        <v>NA</v>
      </c>
      <c r="DK234" s="14" t="str">
        <f>IF([1]Sheet2!DV233=999999,"NA",[1]Sheet2!DV233)</f>
        <v>NA</v>
      </c>
      <c r="DL234" s="14" t="str">
        <f>IF([1]Sheet2!DW233=999999,"NA",[1]Sheet2!DW233)</f>
        <v>NA</v>
      </c>
      <c r="DM234" s="14">
        <f>IF([1]Sheet2!DX233=999999,"NA",[1]Sheet2!DX233)</f>
        <v>134</v>
      </c>
      <c r="DN234" s="14">
        <f>IF([1]Sheet2!DY233=999999,"NA",[1]Sheet2!DY233)</f>
        <v>134</v>
      </c>
      <c r="DO234" s="14" t="str">
        <f>IF([1]Sheet2!DZ233=999999,"NA",[1]Sheet2!DZ233)</f>
        <v>NA</v>
      </c>
      <c r="DP234" s="14" t="str">
        <f>IF([1]Sheet2!EA233=999999,"NA",[1]Sheet2!EA233)</f>
        <v>NA</v>
      </c>
      <c r="DQ234" s="14">
        <f>[1]Sheet2!CX233</f>
        <v>0</v>
      </c>
      <c r="DR234" s="14">
        <f>[1]Sheet2!CY233</f>
        <v>0</v>
      </c>
      <c r="DS234" s="14">
        <f>[1]Sheet2!CZ233</f>
        <v>0</v>
      </c>
      <c r="DT234" s="14">
        <f>[1]Sheet2!DA233</f>
        <v>0</v>
      </c>
      <c r="DU234" s="14">
        <f>[1]Sheet2!DB233</f>
        <v>0</v>
      </c>
      <c r="DV234" s="14">
        <f>[1]Sheet2!DC233</f>
        <v>0</v>
      </c>
      <c r="DW234" s="14">
        <f>[1]Sheet2!DD233</f>
        <v>0</v>
      </c>
      <c r="DX234" s="14">
        <f>[1]Sheet2!DE233</f>
        <v>0</v>
      </c>
      <c r="DY234" s="14">
        <f>[1]Sheet2!DF233</f>
        <v>0</v>
      </c>
      <c r="DZ234" s="14">
        <f>[1]Sheet2!DG233</f>
        <v>0</v>
      </c>
    </row>
    <row r="235" spans="1:130" x14ac:dyDescent="0.25">
      <c r="A235" s="15">
        <v>43697</v>
      </c>
      <c r="B235" s="1"/>
      <c r="C235" s="1"/>
      <c r="D235" s="1"/>
      <c r="E235" s="14">
        <f>[1]Sheet2!N234</f>
        <v>0</v>
      </c>
      <c r="F235" s="14">
        <f>[1]Sheet2!BE234</f>
        <v>0</v>
      </c>
      <c r="G235" s="14">
        <f>[1]Sheet2!CV234</f>
        <v>262.03473945409428</v>
      </c>
      <c r="H235" s="1"/>
      <c r="I235" s="1"/>
      <c r="J235" s="1"/>
      <c r="K235" s="16">
        <f>Demand_CWRS!B$10/31</f>
        <v>120.8438508064516</v>
      </c>
      <c r="L235" s="16">
        <f>Demand_CWRS!C$10/31</f>
        <v>552.80165425971859</v>
      </c>
      <c r="M235" s="16">
        <f>Demand_CWRS!D$10/31</f>
        <v>0</v>
      </c>
      <c r="N235" s="16">
        <f>Demand_CWRS!E$10/31</f>
        <v>141.75971877584777</v>
      </c>
      <c r="O235" s="16">
        <f>Demand_CWRS!F$10/31</f>
        <v>252.70758116211746</v>
      </c>
      <c r="P235" s="16">
        <f>Demand_CWRS!G$10/31</f>
        <v>116.12903225806451</v>
      </c>
      <c r="Q235" s="16">
        <f>Demand_CWRS!H$10/31</f>
        <v>552.80165425971859</v>
      </c>
      <c r="R235" s="16">
        <f>Demand_CWRS!I$10/31</f>
        <v>252.70758116211746</v>
      </c>
      <c r="S235" s="16">
        <f>Demand_CWRS!J$10/31</f>
        <v>252.70758116211746</v>
      </c>
      <c r="T235" s="16">
        <f>Demand_CWRS!K$10/31</f>
        <v>252.70758116211746</v>
      </c>
      <c r="U235" s="16">
        <f t="shared" si="93"/>
        <v>-31105.349851602405</v>
      </c>
      <c r="V235" s="16">
        <f t="shared" si="94"/>
        <v>-108181.01513647607</v>
      </c>
      <c r="W235" s="16">
        <f t="shared" si="95"/>
        <v>0</v>
      </c>
      <c r="X235" s="16">
        <f t="shared" si="96"/>
        <v>-25460.637592005016</v>
      </c>
      <c r="Y235" s="16">
        <f t="shared" si="97"/>
        <v>-49887.740858677258</v>
      </c>
      <c r="Z235" s="16">
        <f t="shared" si="98"/>
        <v>-30760.280331596241</v>
      </c>
      <c r="AA235" s="16">
        <f t="shared" si="99"/>
        <v>-107681.01513647607</v>
      </c>
      <c r="AB235" s="16">
        <f t="shared" si="100"/>
        <v>-47403.895377907975</v>
      </c>
      <c r="AC235" s="16">
        <f t="shared" si="101"/>
        <v>-51446.895377907967</v>
      </c>
      <c r="AD235" s="16">
        <f t="shared" si="102"/>
        <v>-52146.89537790796</v>
      </c>
      <c r="AE235" s="14">
        <f>IF([1]Sheet2!AJ234=999999,"NA",[1]Sheet2!AJ234)</f>
        <v>0</v>
      </c>
      <c r="AF235" s="14">
        <f>IF([1]Sheet2!AK234=999999,"NA",[1]Sheet2!AK234)</f>
        <v>0</v>
      </c>
      <c r="AG235" s="14" t="str">
        <f>IF([1]Sheet2!AL234=999999,"NA",[1]Sheet2!AL234)</f>
        <v>NA</v>
      </c>
      <c r="AH235" s="14">
        <f>IF([1]Sheet2!AM234=999999,"NA",[1]Sheet2!AM234)</f>
        <v>133</v>
      </c>
      <c r="AI235" s="14">
        <f>IF([1]Sheet2!AN234=999999,"NA",[1]Sheet2!AN234)</f>
        <v>133</v>
      </c>
      <c r="AJ235" s="14">
        <f>IF([1]Sheet2!AO234=999999,"NA",[1]Sheet2!AO234)</f>
        <v>133</v>
      </c>
      <c r="AK235" s="14">
        <f>IF([1]Sheet2!AP234=999999,"NA",[1]Sheet2!AP234)</f>
        <v>0</v>
      </c>
      <c r="AL235" s="14">
        <f>IF([1]Sheet2!AQ234=999999,"NA",[1]Sheet2!AQ234)</f>
        <v>28</v>
      </c>
      <c r="AM235" s="14">
        <f>IF([1]Sheet2!AR234=999999,"NA",[1]Sheet2!AR234)</f>
        <v>133</v>
      </c>
      <c r="AN235" s="14">
        <f>IF([1]Sheet2!AS234=999999,"NA",[1]Sheet2!AS234)</f>
        <v>65</v>
      </c>
      <c r="AO235" s="14">
        <f>[1]Sheet2!P234</f>
        <v>0</v>
      </c>
      <c r="AP235" s="14">
        <f>[1]Sheet2!Q234</f>
        <v>0</v>
      </c>
      <c r="AQ235" s="14">
        <f>[1]Sheet2!R234</f>
        <v>0</v>
      </c>
      <c r="AR235" s="14">
        <f>[1]Sheet2!S234</f>
        <v>0</v>
      </c>
      <c r="AS235" s="14">
        <f>[1]Sheet2!T234</f>
        <v>0</v>
      </c>
      <c r="AT235" s="14">
        <f>[1]Sheet2!U234</f>
        <v>0</v>
      </c>
      <c r="AU235" s="14">
        <f>[1]Sheet2!V234</f>
        <v>0</v>
      </c>
      <c r="AV235" s="14">
        <f>[1]Sheet2!W234</f>
        <v>0</v>
      </c>
      <c r="AW235" s="14">
        <f>[1]Sheet2!X234</f>
        <v>0</v>
      </c>
      <c r="AX235" s="14">
        <f>[1]Sheet2!Y234</f>
        <v>0</v>
      </c>
      <c r="AY235" s="16">
        <f>Demand_LP!B$10/31</f>
        <v>857.18246226220015</v>
      </c>
      <c r="AZ235" s="16">
        <f>Demand_LP!C$10/31</f>
        <v>528.30835401157981</v>
      </c>
      <c r="BA235" s="16">
        <f>Demand_LP!D$10/31</f>
        <v>338.76323407775027</v>
      </c>
      <c r="BB235" s="16">
        <f>Demand_LP!E$10/31</f>
        <v>735.04776674937955</v>
      </c>
      <c r="BC235" s="16">
        <f>Demand_LP!F$10/31</f>
        <v>479.51259046732832</v>
      </c>
      <c r="BD235" s="16">
        <f>Demand_LP!G$10/31</f>
        <v>857.18246226220015</v>
      </c>
      <c r="BE235" s="16">
        <f>Demand_LP!H$10/31</f>
        <v>528.30835401157981</v>
      </c>
      <c r="BF235" s="16">
        <f>Demand_LP!I$10/31</f>
        <v>479.51259046732832</v>
      </c>
      <c r="BG235" s="16">
        <f>Demand_LP!J$10/31</f>
        <v>479.51259046732832</v>
      </c>
      <c r="BH235" s="16">
        <f>Demand_LP!K$10/31</f>
        <v>479.51259046732832</v>
      </c>
      <c r="BI235" s="16" t="e">
        <f t="shared" si="103"/>
        <v>#VALUE!</v>
      </c>
      <c r="BJ235" s="16">
        <f t="shared" si="104"/>
        <v>-131474.74913151335</v>
      </c>
      <c r="BK235" s="16">
        <f t="shared" si="105"/>
        <v>-67638.204425144679</v>
      </c>
      <c r="BL235" s="16">
        <f t="shared" si="106"/>
        <v>-173035.15660080989</v>
      </c>
      <c r="BM235" s="16">
        <f t="shared" si="107"/>
        <v>-100647.53160892478</v>
      </c>
      <c r="BN235" s="16">
        <f t="shared" si="108"/>
        <v>-175416.75309677332</v>
      </c>
      <c r="BO235" s="16">
        <f t="shared" si="109"/>
        <v>-133832.32861869314</v>
      </c>
      <c r="BP235" s="16">
        <f t="shared" si="110"/>
        <v>-101759.21552729538</v>
      </c>
      <c r="BQ235" s="16">
        <f t="shared" si="111"/>
        <v>-98749.215527295426</v>
      </c>
      <c r="BR235" s="16">
        <f t="shared" si="112"/>
        <v>-103785.21552729538</v>
      </c>
      <c r="BS235" s="14">
        <f>IF([1]Sheet2!CA234=999999,"NA",[1]Sheet2!CA234)</f>
        <v>112693.78447270478</v>
      </c>
      <c r="BT235" s="14">
        <f>IF([1]Sheet2!CB234=999999,"NA",[1]Sheet2!CB234)</f>
        <v>63</v>
      </c>
      <c r="BU235" s="14">
        <f>IF([1]Sheet2!CC234=999999,"NA",[1]Sheet2!CC234)</f>
        <v>133</v>
      </c>
      <c r="BV235" s="14">
        <f>IF([1]Sheet2!CD234=999999,"NA",[1]Sheet2!CD234)</f>
        <v>133</v>
      </c>
      <c r="BW235" s="14">
        <f>IF([1]Sheet2!CE234=999999,"NA",[1]Sheet2!CE234)</f>
        <v>102</v>
      </c>
      <c r="BX235" s="14">
        <f>IF([1]Sheet2!CF234=999999,"NA",[1]Sheet2!CF234)</f>
        <v>133</v>
      </c>
      <c r="BY235" s="14">
        <f>IF([1]Sheet2!CG234=999999,"NA",[1]Sheet2!CG234)</f>
        <v>34</v>
      </c>
      <c r="BZ235" s="14">
        <f>IF([1]Sheet2!CH234=999999,"NA",[1]Sheet2!CH234)</f>
        <v>133</v>
      </c>
      <c r="CA235" s="14">
        <f>IF([1]Sheet2!CI234=999999,"NA",[1]Sheet2!CI234)</f>
        <v>133</v>
      </c>
      <c r="CB235" s="14">
        <f>IF([1]Sheet2!CJ234=999999,"NA",[1]Sheet2!CJ234)</f>
        <v>133</v>
      </c>
      <c r="CC235" s="14">
        <f>[1]Sheet2!BG234</f>
        <v>0</v>
      </c>
      <c r="CD235" s="14">
        <f>[1]Sheet2!BH234</f>
        <v>0</v>
      </c>
      <c r="CE235" s="14">
        <f>[1]Sheet2!BI234</f>
        <v>0</v>
      </c>
      <c r="CF235" s="14">
        <f>[1]Sheet2!BJ234</f>
        <v>0</v>
      </c>
      <c r="CG235" s="14">
        <f>[1]Sheet2!BK234</f>
        <v>0</v>
      </c>
      <c r="CH235" s="14">
        <f>[1]Sheet2!BL234</f>
        <v>0</v>
      </c>
      <c r="CI235" s="14">
        <f>[1]Sheet2!BM234</f>
        <v>0</v>
      </c>
      <c r="CJ235" s="14">
        <f>[1]Sheet2!BN234</f>
        <v>0</v>
      </c>
      <c r="CK235" s="14">
        <f>[1]Sheet2!BO234</f>
        <v>0</v>
      </c>
      <c r="CL235" s="14">
        <f>[1]Sheet2!BP234</f>
        <v>0</v>
      </c>
      <c r="CM235" s="16">
        <f>Demand_SW!B$10/31</f>
        <v>131.01736972704714</v>
      </c>
      <c r="CN235" s="16">
        <f>Demand_SW!C$10/31</f>
        <v>0</v>
      </c>
      <c r="CO235" s="16">
        <f>Demand_SW!D$10/31</f>
        <v>0</v>
      </c>
      <c r="CP235" s="16">
        <f>Demand_SW!E$10/31</f>
        <v>0</v>
      </c>
      <c r="CQ235" s="16">
        <f>Demand_SW!F$10/31</f>
        <v>0</v>
      </c>
      <c r="CR235" s="16">
        <f>Demand_SW!G$10/31</f>
        <v>131.01736972704714</v>
      </c>
      <c r="CS235" s="16">
        <f>Demand_SW!H$10/31</f>
        <v>0</v>
      </c>
      <c r="CT235" s="16">
        <f>Demand_SW!I$10/31</f>
        <v>0</v>
      </c>
      <c r="CU235" s="16">
        <f>Demand_SW!J$10/31</f>
        <v>0</v>
      </c>
      <c r="CV235" s="16">
        <f>Demand_SW!K$10/31</f>
        <v>0</v>
      </c>
      <c r="CW235" s="16">
        <f t="shared" si="113"/>
        <v>69720.421836228255</v>
      </c>
      <c r="CX235" s="16">
        <f t="shared" si="114"/>
        <v>20683.923076923078</v>
      </c>
      <c r="CY235" s="16">
        <f t="shared" si="115"/>
        <v>0</v>
      </c>
      <c r="CZ235" s="16">
        <f t="shared" si="116"/>
        <v>0</v>
      </c>
      <c r="DA235" s="16">
        <f t="shared" si="117"/>
        <v>0</v>
      </c>
      <c r="DB235" s="16">
        <f t="shared" si="118"/>
        <v>-29808.808933002485</v>
      </c>
      <c r="DC235" s="16">
        <f t="shared" si="119"/>
        <v>20683.923076923078</v>
      </c>
      <c r="DD235" s="16">
        <f t="shared" si="120"/>
        <v>0</v>
      </c>
      <c r="DE235" s="16">
        <f t="shared" si="121"/>
        <v>0</v>
      </c>
      <c r="DF235" s="16">
        <f t="shared" si="122"/>
        <v>0</v>
      </c>
      <c r="DG235" s="14">
        <f>IF([1]Sheet2!DR234=999999,"NA",[1]Sheet2!DR234)</f>
        <v>73103</v>
      </c>
      <c r="DH235" s="14">
        <f>IF([1]Sheet2!DS234=999999,"NA",[1]Sheet2!DS234)</f>
        <v>133</v>
      </c>
      <c r="DI235" s="14">
        <f>IF([1]Sheet2!DT234=999999,"NA",[1]Sheet2!DT234)</f>
        <v>133</v>
      </c>
      <c r="DJ235" s="14" t="str">
        <f>IF([1]Sheet2!DU234=999999,"NA",[1]Sheet2!DU234)</f>
        <v>NA</v>
      </c>
      <c r="DK235" s="14" t="str">
        <f>IF([1]Sheet2!DV234=999999,"NA",[1]Sheet2!DV234)</f>
        <v>NA</v>
      </c>
      <c r="DL235" s="14" t="str">
        <f>IF([1]Sheet2!DW234=999999,"NA",[1]Sheet2!DW234)</f>
        <v>NA</v>
      </c>
      <c r="DM235" s="14">
        <f>IF([1]Sheet2!DX234=999999,"NA",[1]Sheet2!DX234)</f>
        <v>133</v>
      </c>
      <c r="DN235" s="14">
        <f>IF([1]Sheet2!DY234=999999,"NA",[1]Sheet2!DY234)</f>
        <v>133</v>
      </c>
      <c r="DO235" s="14" t="str">
        <f>IF([1]Sheet2!DZ234=999999,"NA",[1]Sheet2!DZ234)</f>
        <v>NA</v>
      </c>
      <c r="DP235" s="14" t="str">
        <f>IF([1]Sheet2!EA234=999999,"NA",[1]Sheet2!EA234)</f>
        <v>NA</v>
      </c>
      <c r="DQ235" s="14">
        <f>[1]Sheet2!CX234</f>
        <v>0</v>
      </c>
      <c r="DR235" s="14">
        <f>[1]Sheet2!CY234</f>
        <v>0</v>
      </c>
      <c r="DS235" s="14">
        <f>[1]Sheet2!CZ234</f>
        <v>0</v>
      </c>
      <c r="DT235" s="14">
        <f>[1]Sheet2!DA234</f>
        <v>0</v>
      </c>
      <c r="DU235" s="14">
        <f>[1]Sheet2!DB234</f>
        <v>0</v>
      </c>
      <c r="DV235" s="14">
        <f>[1]Sheet2!DC234</f>
        <v>0</v>
      </c>
      <c r="DW235" s="14">
        <f>[1]Sheet2!DD234</f>
        <v>0</v>
      </c>
      <c r="DX235" s="14">
        <f>[1]Sheet2!DE234</f>
        <v>0</v>
      </c>
      <c r="DY235" s="14">
        <f>[1]Sheet2!DF234</f>
        <v>0</v>
      </c>
      <c r="DZ235" s="14">
        <f>[1]Sheet2!DG234</f>
        <v>0</v>
      </c>
    </row>
    <row r="236" spans="1:130" x14ac:dyDescent="0.25">
      <c r="A236" s="15">
        <v>43698</v>
      </c>
      <c r="B236" s="1"/>
      <c r="C236" s="1"/>
      <c r="D236" s="1"/>
      <c r="E236" s="14">
        <f>[1]Sheet2!N235</f>
        <v>0</v>
      </c>
      <c r="F236" s="14">
        <f>[1]Sheet2!BE235</f>
        <v>0</v>
      </c>
      <c r="G236" s="14">
        <f>[1]Sheet2!CV235</f>
        <v>262.03473945409428</v>
      </c>
      <c r="H236" s="1"/>
      <c r="I236" s="1"/>
      <c r="J236" s="1"/>
      <c r="K236" s="16">
        <f>Demand_CWRS!B$10/31</f>
        <v>120.8438508064516</v>
      </c>
      <c r="L236" s="16">
        <f>Demand_CWRS!C$10/31</f>
        <v>552.80165425971859</v>
      </c>
      <c r="M236" s="16">
        <f>Demand_CWRS!D$10/31</f>
        <v>0</v>
      </c>
      <c r="N236" s="16">
        <f>Demand_CWRS!E$10/31</f>
        <v>141.75971877584777</v>
      </c>
      <c r="O236" s="16">
        <f>Demand_CWRS!F$10/31</f>
        <v>252.70758116211746</v>
      </c>
      <c r="P236" s="16">
        <f>Demand_CWRS!G$10/31</f>
        <v>116.12903225806451</v>
      </c>
      <c r="Q236" s="16">
        <f>Demand_CWRS!H$10/31</f>
        <v>552.80165425971859</v>
      </c>
      <c r="R236" s="16">
        <f>Demand_CWRS!I$10/31</f>
        <v>252.70758116211746</v>
      </c>
      <c r="S236" s="16">
        <f>Demand_CWRS!J$10/31</f>
        <v>252.70758116211746</v>
      </c>
      <c r="T236" s="16">
        <f>Demand_CWRS!K$10/31</f>
        <v>252.70758116211746</v>
      </c>
      <c r="U236" s="16">
        <f t="shared" si="93"/>
        <v>-31226.193702408855</v>
      </c>
      <c r="V236" s="16">
        <f t="shared" si="94"/>
        <v>-108733.81679073579</v>
      </c>
      <c r="W236" s="16">
        <f t="shared" si="95"/>
        <v>0</v>
      </c>
      <c r="X236" s="16">
        <f t="shared" si="96"/>
        <v>-25602.397310780863</v>
      </c>
      <c r="Y236" s="16">
        <f t="shared" si="97"/>
        <v>-50140.448439839376</v>
      </c>
      <c r="Z236" s="16">
        <f t="shared" si="98"/>
        <v>-30876.409363854305</v>
      </c>
      <c r="AA236" s="16">
        <f t="shared" si="99"/>
        <v>-108233.81679073579</v>
      </c>
      <c r="AB236" s="16">
        <f t="shared" si="100"/>
        <v>-47656.602959070093</v>
      </c>
      <c r="AC236" s="16">
        <f t="shared" si="101"/>
        <v>-51699.602959070085</v>
      </c>
      <c r="AD236" s="16">
        <f t="shared" si="102"/>
        <v>-52399.602959070078</v>
      </c>
      <c r="AE236" s="14">
        <f>IF([1]Sheet2!AJ235=999999,"NA",[1]Sheet2!AJ235)</f>
        <v>0</v>
      </c>
      <c r="AF236" s="14">
        <f>IF([1]Sheet2!AK235=999999,"NA",[1]Sheet2!AK235)</f>
        <v>0</v>
      </c>
      <c r="AG236" s="14" t="str">
        <f>IF([1]Sheet2!AL235=999999,"NA",[1]Sheet2!AL235)</f>
        <v>NA</v>
      </c>
      <c r="AH236" s="14">
        <f>IF([1]Sheet2!AM235=999999,"NA",[1]Sheet2!AM235)</f>
        <v>132</v>
      </c>
      <c r="AI236" s="14">
        <f>IF([1]Sheet2!AN235=999999,"NA",[1]Sheet2!AN235)</f>
        <v>132</v>
      </c>
      <c r="AJ236" s="14">
        <f>IF([1]Sheet2!AO235=999999,"NA",[1]Sheet2!AO235)</f>
        <v>132</v>
      </c>
      <c r="AK236" s="14">
        <f>IF([1]Sheet2!AP235=999999,"NA",[1]Sheet2!AP235)</f>
        <v>0</v>
      </c>
      <c r="AL236" s="14">
        <f>IF([1]Sheet2!AQ235=999999,"NA",[1]Sheet2!AQ235)</f>
        <v>27</v>
      </c>
      <c r="AM236" s="14">
        <f>IF([1]Sheet2!AR235=999999,"NA",[1]Sheet2!AR235)</f>
        <v>132</v>
      </c>
      <c r="AN236" s="14">
        <f>IF([1]Sheet2!AS235=999999,"NA",[1]Sheet2!AS235)</f>
        <v>64</v>
      </c>
      <c r="AO236" s="14">
        <f>[1]Sheet2!P235</f>
        <v>0</v>
      </c>
      <c r="AP236" s="14">
        <f>[1]Sheet2!Q235</f>
        <v>0</v>
      </c>
      <c r="AQ236" s="14">
        <f>[1]Sheet2!R235</f>
        <v>0</v>
      </c>
      <c r="AR236" s="14">
        <f>[1]Sheet2!S235</f>
        <v>0</v>
      </c>
      <c r="AS236" s="14">
        <f>[1]Sheet2!T235</f>
        <v>0</v>
      </c>
      <c r="AT236" s="14">
        <f>[1]Sheet2!U235</f>
        <v>0</v>
      </c>
      <c r="AU236" s="14">
        <f>[1]Sheet2!V235</f>
        <v>0</v>
      </c>
      <c r="AV236" s="14">
        <f>[1]Sheet2!W235</f>
        <v>0</v>
      </c>
      <c r="AW236" s="14">
        <f>[1]Sheet2!X235</f>
        <v>0</v>
      </c>
      <c r="AX236" s="14">
        <f>[1]Sheet2!Y235</f>
        <v>0</v>
      </c>
      <c r="AY236" s="16">
        <f>Demand_LP!B$10/31</f>
        <v>857.18246226220015</v>
      </c>
      <c r="AZ236" s="16">
        <f>Demand_LP!C$10/31</f>
        <v>528.30835401157981</v>
      </c>
      <c r="BA236" s="16">
        <f>Demand_LP!D$10/31</f>
        <v>338.76323407775027</v>
      </c>
      <c r="BB236" s="16">
        <f>Demand_LP!E$10/31</f>
        <v>735.04776674937955</v>
      </c>
      <c r="BC236" s="16">
        <f>Demand_LP!F$10/31</f>
        <v>479.51259046732832</v>
      </c>
      <c r="BD236" s="16">
        <f>Demand_LP!G$10/31</f>
        <v>857.18246226220015</v>
      </c>
      <c r="BE236" s="16">
        <f>Demand_LP!H$10/31</f>
        <v>528.30835401157981</v>
      </c>
      <c r="BF236" s="16">
        <f>Demand_LP!I$10/31</f>
        <v>479.51259046732832</v>
      </c>
      <c r="BG236" s="16">
        <f>Demand_LP!J$10/31</f>
        <v>479.51259046732832</v>
      </c>
      <c r="BH236" s="16">
        <f>Demand_LP!K$10/31</f>
        <v>479.51259046732832</v>
      </c>
      <c r="BI236" s="16" t="e">
        <f t="shared" si="103"/>
        <v>#VALUE!</v>
      </c>
      <c r="BJ236" s="16">
        <f t="shared" si="104"/>
        <v>-132003.05748552494</v>
      </c>
      <c r="BK236" s="16">
        <f t="shared" si="105"/>
        <v>-67976.967659222428</v>
      </c>
      <c r="BL236" s="16">
        <f t="shared" si="106"/>
        <v>-173770.20436755926</v>
      </c>
      <c r="BM236" s="16">
        <f t="shared" si="107"/>
        <v>-101127.04419939211</v>
      </c>
      <c r="BN236" s="16">
        <f t="shared" si="108"/>
        <v>-176273.93555903551</v>
      </c>
      <c r="BO236" s="16">
        <f t="shared" si="109"/>
        <v>-134360.63697270473</v>
      </c>
      <c r="BP236" s="16">
        <f t="shared" si="110"/>
        <v>-102238.72811776272</v>
      </c>
      <c r="BQ236" s="16">
        <f t="shared" si="111"/>
        <v>-99228.728117762759</v>
      </c>
      <c r="BR236" s="16">
        <f t="shared" si="112"/>
        <v>-104264.72811776272</v>
      </c>
      <c r="BS236" s="14">
        <f>IF([1]Sheet2!CA235=999999,"NA",[1]Sheet2!CA235)</f>
        <v>112214.27188223744</v>
      </c>
      <c r="BT236" s="14">
        <f>IF([1]Sheet2!CB235=999999,"NA",[1]Sheet2!CB235)</f>
        <v>62</v>
      </c>
      <c r="BU236" s="14">
        <f>IF([1]Sheet2!CC235=999999,"NA",[1]Sheet2!CC235)</f>
        <v>132</v>
      </c>
      <c r="BV236" s="14">
        <f>IF([1]Sheet2!CD235=999999,"NA",[1]Sheet2!CD235)</f>
        <v>132</v>
      </c>
      <c r="BW236" s="14">
        <f>IF([1]Sheet2!CE235=999999,"NA",[1]Sheet2!CE235)</f>
        <v>101</v>
      </c>
      <c r="BX236" s="14">
        <f>IF([1]Sheet2!CF235=999999,"NA",[1]Sheet2!CF235)</f>
        <v>132</v>
      </c>
      <c r="BY236" s="14">
        <f>IF([1]Sheet2!CG235=999999,"NA",[1]Sheet2!CG235)</f>
        <v>33</v>
      </c>
      <c r="BZ236" s="14">
        <f>IF([1]Sheet2!CH235=999999,"NA",[1]Sheet2!CH235)</f>
        <v>132</v>
      </c>
      <c r="CA236" s="14">
        <f>IF([1]Sheet2!CI235=999999,"NA",[1]Sheet2!CI235)</f>
        <v>132</v>
      </c>
      <c r="CB236" s="14">
        <f>IF([1]Sheet2!CJ235=999999,"NA",[1]Sheet2!CJ235)</f>
        <v>132</v>
      </c>
      <c r="CC236" s="14">
        <f>[1]Sheet2!BG235</f>
        <v>0</v>
      </c>
      <c r="CD236" s="14">
        <f>[1]Sheet2!BH235</f>
        <v>0</v>
      </c>
      <c r="CE236" s="14">
        <f>[1]Sheet2!BI235</f>
        <v>0</v>
      </c>
      <c r="CF236" s="14">
        <f>[1]Sheet2!BJ235</f>
        <v>0</v>
      </c>
      <c r="CG236" s="14">
        <f>[1]Sheet2!BK235</f>
        <v>0</v>
      </c>
      <c r="CH236" s="14">
        <f>[1]Sheet2!BL235</f>
        <v>0</v>
      </c>
      <c r="CI236" s="14">
        <f>[1]Sheet2!BM235</f>
        <v>0</v>
      </c>
      <c r="CJ236" s="14">
        <f>[1]Sheet2!BN235</f>
        <v>0</v>
      </c>
      <c r="CK236" s="14">
        <f>[1]Sheet2!BO235</f>
        <v>0</v>
      </c>
      <c r="CL236" s="14">
        <f>[1]Sheet2!BP235</f>
        <v>0</v>
      </c>
      <c r="CM236" s="16">
        <f>Demand_SW!B$10/31</f>
        <v>131.01736972704714</v>
      </c>
      <c r="CN236" s="16">
        <f>Demand_SW!C$10/31</f>
        <v>0</v>
      </c>
      <c r="CO236" s="16">
        <f>Demand_SW!D$10/31</f>
        <v>0</v>
      </c>
      <c r="CP236" s="16">
        <f>Demand_SW!E$10/31</f>
        <v>0</v>
      </c>
      <c r="CQ236" s="16">
        <f>Demand_SW!F$10/31</f>
        <v>0</v>
      </c>
      <c r="CR236" s="16">
        <f>Demand_SW!G$10/31</f>
        <v>131.01736972704714</v>
      </c>
      <c r="CS236" s="16">
        <f>Demand_SW!H$10/31</f>
        <v>0</v>
      </c>
      <c r="CT236" s="16">
        <f>Demand_SW!I$10/31</f>
        <v>0</v>
      </c>
      <c r="CU236" s="16">
        <f>Demand_SW!J$10/31</f>
        <v>0</v>
      </c>
      <c r="CV236" s="16">
        <f>Demand_SW!K$10/31</f>
        <v>0</v>
      </c>
      <c r="CW236" s="16">
        <f t="shared" si="113"/>
        <v>69589.404466501204</v>
      </c>
      <c r="CX236" s="16">
        <f t="shared" si="114"/>
        <v>20683.923076923078</v>
      </c>
      <c r="CY236" s="16">
        <f t="shared" si="115"/>
        <v>0</v>
      </c>
      <c r="CZ236" s="16">
        <f t="shared" si="116"/>
        <v>0</v>
      </c>
      <c r="DA236" s="16">
        <f t="shared" si="117"/>
        <v>0</v>
      </c>
      <c r="DB236" s="16">
        <f t="shared" si="118"/>
        <v>-29939.826302729532</v>
      </c>
      <c r="DC236" s="16">
        <f t="shared" si="119"/>
        <v>20683.923076923078</v>
      </c>
      <c r="DD236" s="16">
        <f t="shared" si="120"/>
        <v>0</v>
      </c>
      <c r="DE236" s="16">
        <f t="shared" si="121"/>
        <v>0</v>
      </c>
      <c r="DF236" s="16">
        <f t="shared" si="122"/>
        <v>0</v>
      </c>
      <c r="DG236" s="14">
        <f>IF([1]Sheet2!DR235=999999,"NA",[1]Sheet2!DR235)</f>
        <v>73103</v>
      </c>
      <c r="DH236" s="14">
        <f>IF([1]Sheet2!DS235=999999,"NA",[1]Sheet2!DS235)</f>
        <v>132</v>
      </c>
      <c r="DI236" s="14">
        <f>IF([1]Sheet2!DT235=999999,"NA",[1]Sheet2!DT235)</f>
        <v>132</v>
      </c>
      <c r="DJ236" s="14" t="str">
        <f>IF([1]Sheet2!DU235=999999,"NA",[1]Sheet2!DU235)</f>
        <v>NA</v>
      </c>
      <c r="DK236" s="14" t="str">
        <f>IF([1]Sheet2!DV235=999999,"NA",[1]Sheet2!DV235)</f>
        <v>NA</v>
      </c>
      <c r="DL236" s="14" t="str">
        <f>IF([1]Sheet2!DW235=999999,"NA",[1]Sheet2!DW235)</f>
        <v>NA</v>
      </c>
      <c r="DM236" s="14">
        <f>IF([1]Sheet2!DX235=999999,"NA",[1]Sheet2!DX235)</f>
        <v>132</v>
      </c>
      <c r="DN236" s="14">
        <f>IF([1]Sheet2!DY235=999999,"NA",[1]Sheet2!DY235)</f>
        <v>132</v>
      </c>
      <c r="DO236" s="14" t="str">
        <f>IF([1]Sheet2!DZ235=999999,"NA",[1]Sheet2!DZ235)</f>
        <v>NA</v>
      </c>
      <c r="DP236" s="14" t="str">
        <f>IF([1]Sheet2!EA235=999999,"NA",[1]Sheet2!EA235)</f>
        <v>NA</v>
      </c>
      <c r="DQ236" s="14">
        <f>[1]Sheet2!CX235</f>
        <v>0</v>
      </c>
      <c r="DR236" s="14">
        <f>[1]Sheet2!CY235</f>
        <v>0</v>
      </c>
      <c r="DS236" s="14">
        <f>[1]Sheet2!CZ235</f>
        <v>0</v>
      </c>
      <c r="DT236" s="14">
        <f>[1]Sheet2!DA235</f>
        <v>0</v>
      </c>
      <c r="DU236" s="14">
        <f>[1]Sheet2!DB235</f>
        <v>0</v>
      </c>
      <c r="DV236" s="14">
        <f>[1]Sheet2!DC235</f>
        <v>0</v>
      </c>
      <c r="DW236" s="14">
        <f>[1]Sheet2!DD235</f>
        <v>0</v>
      </c>
      <c r="DX236" s="14">
        <f>[1]Sheet2!DE235</f>
        <v>0</v>
      </c>
      <c r="DY236" s="14">
        <f>[1]Sheet2!DF235</f>
        <v>0</v>
      </c>
      <c r="DZ236" s="14">
        <f>[1]Sheet2!DG235</f>
        <v>0</v>
      </c>
    </row>
    <row r="237" spans="1:130" x14ac:dyDescent="0.25">
      <c r="A237" s="15">
        <v>43699</v>
      </c>
      <c r="B237" s="1"/>
      <c r="C237" s="1"/>
      <c r="D237" s="1"/>
      <c r="E237" s="14">
        <f>[1]Sheet2!N236</f>
        <v>0</v>
      </c>
      <c r="F237" s="14">
        <f>[1]Sheet2!BE236</f>
        <v>0</v>
      </c>
      <c r="G237" s="14">
        <f>[1]Sheet2!CV236</f>
        <v>262.03473945409428</v>
      </c>
      <c r="H237" s="1"/>
      <c r="I237" s="1"/>
      <c r="J237" s="1"/>
      <c r="K237" s="16">
        <f>Demand_CWRS!B$10/31</f>
        <v>120.8438508064516</v>
      </c>
      <c r="L237" s="16">
        <f>Demand_CWRS!C$10/31</f>
        <v>552.80165425971859</v>
      </c>
      <c r="M237" s="16">
        <f>Demand_CWRS!D$10/31</f>
        <v>0</v>
      </c>
      <c r="N237" s="16">
        <f>Demand_CWRS!E$10/31</f>
        <v>141.75971877584777</v>
      </c>
      <c r="O237" s="16">
        <f>Demand_CWRS!F$10/31</f>
        <v>252.70758116211746</v>
      </c>
      <c r="P237" s="16">
        <f>Demand_CWRS!G$10/31</f>
        <v>116.12903225806451</v>
      </c>
      <c r="Q237" s="16">
        <f>Demand_CWRS!H$10/31</f>
        <v>552.80165425971859</v>
      </c>
      <c r="R237" s="16">
        <f>Demand_CWRS!I$10/31</f>
        <v>252.70758116211746</v>
      </c>
      <c r="S237" s="16">
        <f>Demand_CWRS!J$10/31</f>
        <v>252.70758116211746</v>
      </c>
      <c r="T237" s="16">
        <f>Demand_CWRS!K$10/31</f>
        <v>252.70758116211746</v>
      </c>
      <c r="U237" s="16">
        <f t="shared" si="93"/>
        <v>-31347.037553215305</v>
      </c>
      <c r="V237" s="16">
        <f t="shared" si="94"/>
        <v>-109286.6184449955</v>
      </c>
      <c r="W237" s="16">
        <f t="shared" si="95"/>
        <v>0</v>
      </c>
      <c r="X237" s="16">
        <f t="shared" si="96"/>
        <v>-25744.157029556711</v>
      </c>
      <c r="Y237" s="16">
        <f t="shared" si="97"/>
        <v>-50393.156021001494</v>
      </c>
      <c r="Z237" s="16">
        <f t="shared" si="98"/>
        <v>-30992.53839611237</v>
      </c>
      <c r="AA237" s="16">
        <f t="shared" si="99"/>
        <v>-108786.6184449955</v>
      </c>
      <c r="AB237" s="16">
        <f t="shared" si="100"/>
        <v>-47909.310540232211</v>
      </c>
      <c r="AC237" s="16">
        <f t="shared" si="101"/>
        <v>-47909.310540232203</v>
      </c>
      <c r="AD237" s="16">
        <f t="shared" si="102"/>
        <v>-48609.310540232196</v>
      </c>
      <c r="AE237" s="14">
        <f>IF([1]Sheet2!AJ236=999999,"NA",[1]Sheet2!AJ236)</f>
        <v>0</v>
      </c>
      <c r="AF237" s="14">
        <f>IF([1]Sheet2!AK236=999999,"NA",[1]Sheet2!AK236)</f>
        <v>0</v>
      </c>
      <c r="AG237" s="14" t="str">
        <f>IF([1]Sheet2!AL236=999999,"NA",[1]Sheet2!AL236)</f>
        <v>NA</v>
      </c>
      <c r="AH237" s="14">
        <f>IF([1]Sheet2!AM236=999999,"NA",[1]Sheet2!AM236)</f>
        <v>131</v>
      </c>
      <c r="AI237" s="14">
        <f>IF([1]Sheet2!AN236=999999,"NA",[1]Sheet2!AN236)</f>
        <v>131</v>
      </c>
      <c r="AJ237" s="14">
        <f>IF([1]Sheet2!AO236=999999,"NA",[1]Sheet2!AO236)</f>
        <v>131</v>
      </c>
      <c r="AK237" s="14">
        <f>IF([1]Sheet2!AP236=999999,"NA",[1]Sheet2!AP236)</f>
        <v>0</v>
      </c>
      <c r="AL237" s="14">
        <f>IF([1]Sheet2!AQ236=999999,"NA",[1]Sheet2!AQ236)</f>
        <v>26</v>
      </c>
      <c r="AM237" s="14">
        <f>IF([1]Sheet2!AR236=999999,"NA",[1]Sheet2!AR236)</f>
        <v>131</v>
      </c>
      <c r="AN237" s="14">
        <f>IF([1]Sheet2!AS236=999999,"NA",[1]Sheet2!AS236)</f>
        <v>82</v>
      </c>
      <c r="AO237" s="14">
        <f>[1]Sheet2!P236</f>
        <v>0</v>
      </c>
      <c r="AP237" s="14">
        <f>[1]Sheet2!Q236</f>
        <v>0</v>
      </c>
      <c r="AQ237" s="14">
        <f>[1]Sheet2!R236</f>
        <v>0</v>
      </c>
      <c r="AR237" s="14">
        <f>[1]Sheet2!S236</f>
        <v>0</v>
      </c>
      <c r="AS237" s="14">
        <f>[1]Sheet2!T236</f>
        <v>0</v>
      </c>
      <c r="AT237" s="14">
        <f>[1]Sheet2!U236</f>
        <v>0</v>
      </c>
      <c r="AU237" s="14">
        <f>[1]Sheet2!V236</f>
        <v>0</v>
      </c>
      <c r="AV237" s="14">
        <f>[1]Sheet2!W236</f>
        <v>0</v>
      </c>
      <c r="AW237" s="14">
        <f>[1]Sheet2!X236</f>
        <v>4043</v>
      </c>
      <c r="AX237" s="14">
        <f>[1]Sheet2!Y236</f>
        <v>4043</v>
      </c>
      <c r="AY237" s="16">
        <f>Demand_LP!B$10/31</f>
        <v>857.18246226220015</v>
      </c>
      <c r="AZ237" s="16">
        <f>Demand_LP!C$10/31</f>
        <v>528.30835401157981</v>
      </c>
      <c r="BA237" s="16">
        <f>Demand_LP!D$10/31</f>
        <v>338.76323407775027</v>
      </c>
      <c r="BB237" s="16">
        <f>Demand_LP!E$10/31</f>
        <v>735.04776674937955</v>
      </c>
      <c r="BC237" s="16">
        <f>Demand_LP!F$10/31</f>
        <v>479.51259046732832</v>
      </c>
      <c r="BD237" s="16">
        <f>Demand_LP!G$10/31</f>
        <v>857.18246226220015</v>
      </c>
      <c r="BE237" s="16">
        <f>Demand_LP!H$10/31</f>
        <v>528.30835401157981</v>
      </c>
      <c r="BF237" s="16">
        <f>Demand_LP!I$10/31</f>
        <v>479.51259046732832</v>
      </c>
      <c r="BG237" s="16">
        <f>Demand_LP!J$10/31</f>
        <v>479.51259046732832</v>
      </c>
      <c r="BH237" s="16">
        <f>Demand_LP!K$10/31</f>
        <v>479.51259046732832</v>
      </c>
      <c r="BI237" s="16" t="e">
        <f t="shared" si="103"/>
        <v>#VALUE!</v>
      </c>
      <c r="BJ237" s="16">
        <f t="shared" si="104"/>
        <v>-132531.36583953653</v>
      </c>
      <c r="BK237" s="16">
        <f t="shared" si="105"/>
        <v>-68315.730893300177</v>
      </c>
      <c r="BL237" s="16">
        <f t="shared" si="106"/>
        <v>-174505.25213430863</v>
      </c>
      <c r="BM237" s="16">
        <f t="shared" si="107"/>
        <v>-101606.55678985945</v>
      </c>
      <c r="BN237" s="16">
        <f t="shared" si="108"/>
        <v>-177131.11802129771</v>
      </c>
      <c r="BO237" s="16">
        <f t="shared" si="109"/>
        <v>-134888.94532671632</v>
      </c>
      <c r="BP237" s="16">
        <f t="shared" si="110"/>
        <v>-102718.24070823005</v>
      </c>
      <c r="BQ237" s="16">
        <f t="shared" si="111"/>
        <v>-99708.240708230092</v>
      </c>
      <c r="BR237" s="16">
        <f t="shared" si="112"/>
        <v>-100908.24070823005</v>
      </c>
      <c r="BS237" s="14">
        <f>IF([1]Sheet2!CA236=999999,"NA",[1]Sheet2!CA236)</f>
        <v>115570.75929177011</v>
      </c>
      <c r="BT237" s="14">
        <f>IF([1]Sheet2!CB236=999999,"NA",[1]Sheet2!CB236)</f>
        <v>61</v>
      </c>
      <c r="BU237" s="14">
        <f>IF([1]Sheet2!CC236=999999,"NA",[1]Sheet2!CC236)</f>
        <v>131</v>
      </c>
      <c r="BV237" s="14">
        <f>IF([1]Sheet2!CD236=999999,"NA",[1]Sheet2!CD236)</f>
        <v>131</v>
      </c>
      <c r="BW237" s="14">
        <f>IF([1]Sheet2!CE236=999999,"NA",[1]Sheet2!CE236)</f>
        <v>100</v>
      </c>
      <c r="BX237" s="14">
        <f>IF([1]Sheet2!CF236=999999,"NA",[1]Sheet2!CF236)</f>
        <v>131</v>
      </c>
      <c r="BY237" s="14">
        <f>IF([1]Sheet2!CG236=999999,"NA",[1]Sheet2!CG236)</f>
        <v>32</v>
      </c>
      <c r="BZ237" s="14">
        <f>IF([1]Sheet2!CH236=999999,"NA",[1]Sheet2!CH236)</f>
        <v>131</v>
      </c>
      <c r="CA237" s="14">
        <f>IF([1]Sheet2!CI236=999999,"NA",[1]Sheet2!CI236)</f>
        <v>131</v>
      </c>
      <c r="CB237" s="14">
        <f>IF([1]Sheet2!CJ236=999999,"NA",[1]Sheet2!CJ236)</f>
        <v>131</v>
      </c>
      <c r="CC237" s="14">
        <f>[1]Sheet2!BG236</f>
        <v>0</v>
      </c>
      <c r="CD237" s="14">
        <f>[1]Sheet2!BH236</f>
        <v>0</v>
      </c>
      <c r="CE237" s="14">
        <f>[1]Sheet2!BI236</f>
        <v>0</v>
      </c>
      <c r="CF237" s="14">
        <f>[1]Sheet2!BJ236</f>
        <v>0</v>
      </c>
      <c r="CG237" s="14">
        <f>[1]Sheet2!BK236</f>
        <v>0</v>
      </c>
      <c r="CH237" s="14">
        <f>[1]Sheet2!BL236</f>
        <v>0</v>
      </c>
      <c r="CI237" s="14">
        <f>[1]Sheet2!BM236</f>
        <v>0</v>
      </c>
      <c r="CJ237" s="14">
        <f>[1]Sheet2!BN236</f>
        <v>0</v>
      </c>
      <c r="CK237" s="14">
        <f>[1]Sheet2!BO236</f>
        <v>0</v>
      </c>
      <c r="CL237" s="14">
        <f>[1]Sheet2!BP236</f>
        <v>3836</v>
      </c>
      <c r="CM237" s="16">
        <f>Demand_SW!B$10/31</f>
        <v>131.01736972704714</v>
      </c>
      <c r="CN237" s="16">
        <f>Demand_SW!C$10/31</f>
        <v>0</v>
      </c>
      <c r="CO237" s="16">
        <f>Demand_SW!D$10/31</f>
        <v>0</v>
      </c>
      <c r="CP237" s="16">
        <f>Demand_SW!E$10/31</f>
        <v>0</v>
      </c>
      <c r="CQ237" s="16">
        <f>Demand_SW!F$10/31</f>
        <v>0</v>
      </c>
      <c r="CR237" s="16">
        <f>Demand_SW!G$10/31</f>
        <v>131.01736972704714</v>
      </c>
      <c r="CS237" s="16">
        <f>Demand_SW!H$10/31</f>
        <v>0</v>
      </c>
      <c r="CT237" s="16">
        <f>Demand_SW!I$10/31</f>
        <v>0</v>
      </c>
      <c r="CU237" s="16">
        <f>Demand_SW!J$10/31</f>
        <v>0</v>
      </c>
      <c r="CV237" s="16">
        <f>Demand_SW!K$10/31</f>
        <v>0</v>
      </c>
      <c r="CW237" s="16">
        <f t="shared" si="113"/>
        <v>69458.387096774153</v>
      </c>
      <c r="CX237" s="16">
        <f t="shared" si="114"/>
        <v>20683.923076923078</v>
      </c>
      <c r="CY237" s="16">
        <f t="shared" si="115"/>
        <v>0</v>
      </c>
      <c r="CZ237" s="16">
        <f t="shared" si="116"/>
        <v>0</v>
      </c>
      <c r="DA237" s="16">
        <f t="shared" si="117"/>
        <v>0</v>
      </c>
      <c r="DB237" s="16">
        <f t="shared" si="118"/>
        <v>-30070.84367245658</v>
      </c>
      <c r="DC237" s="16">
        <f t="shared" si="119"/>
        <v>20683.923076923078</v>
      </c>
      <c r="DD237" s="16">
        <f t="shared" si="120"/>
        <v>0</v>
      </c>
      <c r="DE237" s="16">
        <f t="shared" si="121"/>
        <v>0</v>
      </c>
      <c r="DF237" s="16">
        <f t="shared" si="122"/>
        <v>0</v>
      </c>
      <c r="DG237" s="14">
        <f>IF([1]Sheet2!DR236=999999,"NA",[1]Sheet2!DR236)</f>
        <v>73103</v>
      </c>
      <c r="DH237" s="14">
        <f>IF([1]Sheet2!DS236=999999,"NA",[1]Sheet2!DS236)</f>
        <v>131</v>
      </c>
      <c r="DI237" s="14">
        <f>IF([1]Sheet2!DT236=999999,"NA",[1]Sheet2!DT236)</f>
        <v>131</v>
      </c>
      <c r="DJ237" s="14" t="str">
        <f>IF([1]Sheet2!DU236=999999,"NA",[1]Sheet2!DU236)</f>
        <v>NA</v>
      </c>
      <c r="DK237" s="14" t="str">
        <f>IF([1]Sheet2!DV236=999999,"NA",[1]Sheet2!DV236)</f>
        <v>NA</v>
      </c>
      <c r="DL237" s="14" t="str">
        <f>IF([1]Sheet2!DW236=999999,"NA",[1]Sheet2!DW236)</f>
        <v>NA</v>
      </c>
      <c r="DM237" s="14">
        <f>IF([1]Sheet2!DX236=999999,"NA",[1]Sheet2!DX236)</f>
        <v>131</v>
      </c>
      <c r="DN237" s="14">
        <f>IF([1]Sheet2!DY236=999999,"NA",[1]Sheet2!DY236)</f>
        <v>131</v>
      </c>
      <c r="DO237" s="14" t="str">
        <f>IF([1]Sheet2!DZ236=999999,"NA",[1]Sheet2!DZ236)</f>
        <v>NA</v>
      </c>
      <c r="DP237" s="14" t="str">
        <f>IF([1]Sheet2!EA236=999999,"NA",[1]Sheet2!EA236)</f>
        <v>NA</v>
      </c>
      <c r="DQ237" s="14">
        <f>[1]Sheet2!CX236</f>
        <v>0</v>
      </c>
      <c r="DR237" s="14">
        <f>[1]Sheet2!CY236</f>
        <v>0</v>
      </c>
      <c r="DS237" s="14">
        <f>[1]Sheet2!CZ236</f>
        <v>0</v>
      </c>
      <c r="DT237" s="14">
        <f>[1]Sheet2!DA236</f>
        <v>0</v>
      </c>
      <c r="DU237" s="14">
        <f>[1]Sheet2!DB236</f>
        <v>0</v>
      </c>
      <c r="DV237" s="14">
        <f>[1]Sheet2!DC236</f>
        <v>0</v>
      </c>
      <c r="DW237" s="14">
        <f>[1]Sheet2!DD236</f>
        <v>0</v>
      </c>
      <c r="DX237" s="14">
        <f>[1]Sheet2!DE236</f>
        <v>0</v>
      </c>
      <c r="DY237" s="14">
        <f>[1]Sheet2!DF236</f>
        <v>0</v>
      </c>
      <c r="DZ237" s="14">
        <f>[1]Sheet2!DG236</f>
        <v>0</v>
      </c>
    </row>
    <row r="238" spans="1:130" x14ac:dyDescent="0.25">
      <c r="A238" s="15">
        <v>43700</v>
      </c>
      <c r="B238" s="1"/>
      <c r="C238" s="1"/>
      <c r="D238" s="1"/>
      <c r="E238" s="14">
        <f>[1]Sheet2!N237</f>
        <v>0</v>
      </c>
      <c r="F238" s="14">
        <f>[1]Sheet2!BE237</f>
        <v>0</v>
      </c>
      <c r="G238" s="14">
        <f>[1]Sheet2!CV237</f>
        <v>262.03473945409428</v>
      </c>
      <c r="H238" s="1"/>
      <c r="I238" s="1"/>
      <c r="J238" s="1"/>
      <c r="K238" s="16">
        <f>Demand_CWRS!B$10/31</f>
        <v>120.8438508064516</v>
      </c>
      <c r="L238" s="16">
        <f>Demand_CWRS!C$10/31</f>
        <v>552.80165425971859</v>
      </c>
      <c r="M238" s="16">
        <f>Demand_CWRS!D$10/31</f>
        <v>0</v>
      </c>
      <c r="N238" s="16">
        <f>Demand_CWRS!E$10/31</f>
        <v>141.75971877584777</v>
      </c>
      <c r="O238" s="16">
        <f>Demand_CWRS!F$10/31</f>
        <v>252.70758116211746</v>
      </c>
      <c r="P238" s="16">
        <f>Demand_CWRS!G$10/31</f>
        <v>116.12903225806451</v>
      </c>
      <c r="Q238" s="16">
        <f>Demand_CWRS!H$10/31</f>
        <v>552.80165425971859</v>
      </c>
      <c r="R238" s="16">
        <f>Demand_CWRS!I$10/31</f>
        <v>252.70758116211746</v>
      </c>
      <c r="S238" s="16">
        <f>Demand_CWRS!J$10/31</f>
        <v>252.70758116211746</v>
      </c>
      <c r="T238" s="16">
        <f>Demand_CWRS!K$10/31</f>
        <v>252.70758116211746</v>
      </c>
      <c r="U238" s="16">
        <f t="shared" si="93"/>
        <v>-31467.881404021755</v>
      </c>
      <c r="V238" s="16">
        <f t="shared" si="94"/>
        <v>-109839.42009925522</v>
      </c>
      <c r="W238" s="16">
        <f t="shared" si="95"/>
        <v>0</v>
      </c>
      <c r="X238" s="16">
        <f t="shared" si="96"/>
        <v>-25885.916748332558</v>
      </c>
      <c r="Y238" s="16">
        <f t="shared" si="97"/>
        <v>-50645.863602163612</v>
      </c>
      <c r="Z238" s="16">
        <f t="shared" si="98"/>
        <v>-31108.667428370434</v>
      </c>
      <c r="AA238" s="16">
        <f t="shared" si="99"/>
        <v>-109339.42009925522</v>
      </c>
      <c r="AB238" s="16">
        <f t="shared" si="100"/>
        <v>-48162.018121394329</v>
      </c>
      <c r="AC238" s="16">
        <f t="shared" si="101"/>
        <v>-48162.018121394321</v>
      </c>
      <c r="AD238" s="16">
        <f t="shared" si="102"/>
        <v>-48862.018121394314</v>
      </c>
      <c r="AE238" s="14">
        <f>IF([1]Sheet2!AJ237=999999,"NA",[1]Sheet2!AJ237)</f>
        <v>0</v>
      </c>
      <c r="AF238" s="14">
        <f>IF([1]Sheet2!AK237=999999,"NA",[1]Sheet2!AK237)</f>
        <v>0</v>
      </c>
      <c r="AG238" s="14" t="str">
        <f>IF([1]Sheet2!AL237=999999,"NA",[1]Sheet2!AL237)</f>
        <v>NA</v>
      </c>
      <c r="AH238" s="14">
        <f>IF([1]Sheet2!AM237=999999,"NA",[1]Sheet2!AM237)</f>
        <v>130</v>
      </c>
      <c r="AI238" s="14">
        <f>IF([1]Sheet2!AN237=999999,"NA",[1]Sheet2!AN237)</f>
        <v>130</v>
      </c>
      <c r="AJ238" s="14">
        <f>IF([1]Sheet2!AO237=999999,"NA",[1]Sheet2!AO237)</f>
        <v>130</v>
      </c>
      <c r="AK238" s="14">
        <f>IF([1]Sheet2!AP237=999999,"NA",[1]Sheet2!AP237)</f>
        <v>0</v>
      </c>
      <c r="AL238" s="14">
        <f>IF([1]Sheet2!AQ237=999999,"NA",[1]Sheet2!AQ237)</f>
        <v>25</v>
      </c>
      <c r="AM238" s="14">
        <f>IF([1]Sheet2!AR237=999999,"NA",[1]Sheet2!AR237)</f>
        <v>130</v>
      </c>
      <c r="AN238" s="14">
        <f>IF([1]Sheet2!AS237=999999,"NA",[1]Sheet2!AS237)</f>
        <v>81</v>
      </c>
      <c r="AO238" s="14">
        <f>[1]Sheet2!P237</f>
        <v>0</v>
      </c>
      <c r="AP238" s="14">
        <f>[1]Sheet2!Q237</f>
        <v>0</v>
      </c>
      <c r="AQ238" s="14">
        <f>[1]Sheet2!R237</f>
        <v>0</v>
      </c>
      <c r="AR238" s="14">
        <f>[1]Sheet2!S237</f>
        <v>0</v>
      </c>
      <c r="AS238" s="14">
        <f>[1]Sheet2!T237</f>
        <v>0</v>
      </c>
      <c r="AT238" s="14">
        <f>[1]Sheet2!U237</f>
        <v>0</v>
      </c>
      <c r="AU238" s="14">
        <f>[1]Sheet2!V237</f>
        <v>0</v>
      </c>
      <c r="AV238" s="14">
        <f>[1]Sheet2!W237</f>
        <v>0</v>
      </c>
      <c r="AW238" s="14">
        <f>[1]Sheet2!X237</f>
        <v>0</v>
      </c>
      <c r="AX238" s="14">
        <f>[1]Sheet2!Y237</f>
        <v>0</v>
      </c>
      <c r="AY238" s="16">
        <f>Demand_LP!B$10/31</f>
        <v>857.18246226220015</v>
      </c>
      <c r="AZ238" s="16">
        <f>Demand_LP!C$10/31</f>
        <v>528.30835401157981</v>
      </c>
      <c r="BA238" s="16">
        <f>Demand_LP!D$10/31</f>
        <v>338.76323407775027</v>
      </c>
      <c r="BB238" s="16">
        <f>Demand_LP!E$10/31</f>
        <v>735.04776674937955</v>
      </c>
      <c r="BC238" s="16">
        <f>Demand_LP!F$10/31</f>
        <v>479.51259046732832</v>
      </c>
      <c r="BD238" s="16">
        <f>Demand_LP!G$10/31</f>
        <v>857.18246226220015</v>
      </c>
      <c r="BE238" s="16">
        <f>Demand_LP!H$10/31</f>
        <v>528.30835401157981</v>
      </c>
      <c r="BF238" s="16">
        <f>Demand_LP!I$10/31</f>
        <v>479.51259046732832</v>
      </c>
      <c r="BG238" s="16">
        <f>Demand_LP!J$10/31</f>
        <v>479.51259046732832</v>
      </c>
      <c r="BH238" s="16">
        <f>Demand_LP!K$10/31</f>
        <v>479.51259046732832</v>
      </c>
      <c r="BI238" s="16" t="e">
        <f t="shared" si="103"/>
        <v>#VALUE!</v>
      </c>
      <c r="BJ238" s="16">
        <f t="shared" si="104"/>
        <v>-133059.67419354813</v>
      </c>
      <c r="BK238" s="16">
        <f t="shared" si="105"/>
        <v>-68654.494127377926</v>
      </c>
      <c r="BL238" s="16">
        <f t="shared" si="106"/>
        <v>-175240.299901058</v>
      </c>
      <c r="BM238" s="16">
        <f t="shared" si="107"/>
        <v>-102086.06938032678</v>
      </c>
      <c r="BN238" s="16">
        <f t="shared" si="108"/>
        <v>-177988.3004835599</v>
      </c>
      <c r="BO238" s="16">
        <f t="shared" si="109"/>
        <v>-135417.25368072791</v>
      </c>
      <c r="BP238" s="16">
        <f t="shared" si="110"/>
        <v>-103197.75329869738</v>
      </c>
      <c r="BQ238" s="16">
        <f t="shared" si="111"/>
        <v>-100187.75329869743</v>
      </c>
      <c r="BR238" s="16">
        <f t="shared" si="112"/>
        <v>-101387.75329869738</v>
      </c>
      <c r="BS238" s="14">
        <f>IF([1]Sheet2!CA237=999999,"NA",[1]Sheet2!CA237)</f>
        <v>115091.24670130278</v>
      </c>
      <c r="BT238" s="14">
        <f>IF([1]Sheet2!CB237=999999,"NA",[1]Sheet2!CB237)</f>
        <v>60</v>
      </c>
      <c r="BU238" s="14">
        <f>IF([1]Sheet2!CC237=999999,"NA",[1]Sheet2!CC237)</f>
        <v>130</v>
      </c>
      <c r="BV238" s="14">
        <f>IF([1]Sheet2!CD237=999999,"NA",[1]Sheet2!CD237)</f>
        <v>130</v>
      </c>
      <c r="BW238" s="14">
        <f>IF([1]Sheet2!CE237=999999,"NA",[1]Sheet2!CE237)</f>
        <v>99</v>
      </c>
      <c r="BX238" s="14">
        <f>IF([1]Sheet2!CF237=999999,"NA",[1]Sheet2!CF237)</f>
        <v>130</v>
      </c>
      <c r="BY238" s="14">
        <f>IF([1]Sheet2!CG237=999999,"NA",[1]Sheet2!CG237)</f>
        <v>31</v>
      </c>
      <c r="BZ238" s="14">
        <f>IF([1]Sheet2!CH237=999999,"NA",[1]Sheet2!CH237)</f>
        <v>130</v>
      </c>
      <c r="CA238" s="14">
        <f>IF([1]Sheet2!CI237=999999,"NA",[1]Sheet2!CI237)</f>
        <v>130</v>
      </c>
      <c r="CB238" s="14">
        <f>IF([1]Sheet2!CJ237=999999,"NA",[1]Sheet2!CJ237)</f>
        <v>130</v>
      </c>
      <c r="CC238" s="14">
        <f>[1]Sheet2!BG237</f>
        <v>0</v>
      </c>
      <c r="CD238" s="14">
        <f>[1]Sheet2!BH237</f>
        <v>0</v>
      </c>
      <c r="CE238" s="14">
        <f>[1]Sheet2!BI237</f>
        <v>0</v>
      </c>
      <c r="CF238" s="14">
        <f>[1]Sheet2!BJ237</f>
        <v>0</v>
      </c>
      <c r="CG238" s="14">
        <f>[1]Sheet2!BK237</f>
        <v>0</v>
      </c>
      <c r="CH238" s="14">
        <f>[1]Sheet2!BL237</f>
        <v>0</v>
      </c>
      <c r="CI238" s="14">
        <f>[1]Sheet2!BM237</f>
        <v>0</v>
      </c>
      <c r="CJ238" s="14">
        <f>[1]Sheet2!BN237</f>
        <v>0</v>
      </c>
      <c r="CK238" s="14">
        <f>[1]Sheet2!BO237</f>
        <v>0</v>
      </c>
      <c r="CL238" s="14">
        <f>[1]Sheet2!BP237</f>
        <v>0</v>
      </c>
      <c r="CM238" s="16">
        <f>Demand_SW!B$10/31</f>
        <v>131.01736972704714</v>
      </c>
      <c r="CN238" s="16">
        <f>Demand_SW!C$10/31</f>
        <v>0</v>
      </c>
      <c r="CO238" s="16">
        <f>Demand_SW!D$10/31</f>
        <v>0</v>
      </c>
      <c r="CP238" s="16">
        <f>Demand_SW!E$10/31</f>
        <v>0</v>
      </c>
      <c r="CQ238" s="16">
        <f>Demand_SW!F$10/31</f>
        <v>0</v>
      </c>
      <c r="CR238" s="16">
        <f>Demand_SW!G$10/31</f>
        <v>131.01736972704714</v>
      </c>
      <c r="CS238" s="16">
        <f>Demand_SW!H$10/31</f>
        <v>0</v>
      </c>
      <c r="CT238" s="16">
        <f>Demand_SW!I$10/31</f>
        <v>0</v>
      </c>
      <c r="CU238" s="16">
        <f>Demand_SW!J$10/31</f>
        <v>0</v>
      </c>
      <c r="CV238" s="16">
        <f>Demand_SW!K$10/31</f>
        <v>0</v>
      </c>
      <c r="CW238" s="16">
        <f t="shared" si="113"/>
        <v>69327.369727047102</v>
      </c>
      <c r="CX238" s="16">
        <f t="shared" si="114"/>
        <v>20683.923076923078</v>
      </c>
      <c r="CY238" s="16">
        <f t="shared" si="115"/>
        <v>0</v>
      </c>
      <c r="CZ238" s="16">
        <f t="shared" si="116"/>
        <v>0</v>
      </c>
      <c r="DA238" s="16">
        <f t="shared" si="117"/>
        <v>0</v>
      </c>
      <c r="DB238" s="16">
        <f t="shared" si="118"/>
        <v>-30201.861042183627</v>
      </c>
      <c r="DC238" s="16">
        <f t="shared" si="119"/>
        <v>20683.923076923078</v>
      </c>
      <c r="DD238" s="16">
        <f t="shared" si="120"/>
        <v>0</v>
      </c>
      <c r="DE238" s="16">
        <f t="shared" si="121"/>
        <v>0</v>
      </c>
      <c r="DF238" s="16">
        <f t="shared" si="122"/>
        <v>0</v>
      </c>
      <c r="DG238" s="14">
        <f>IF([1]Sheet2!DR237=999999,"NA",[1]Sheet2!DR237)</f>
        <v>73103</v>
      </c>
      <c r="DH238" s="14">
        <f>IF([1]Sheet2!DS237=999999,"NA",[1]Sheet2!DS237)</f>
        <v>130</v>
      </c>
      <c r="DI238" s="14">
        <f>IF([1]Sheet2!DT237=999999,"NA",[1]Sheet2!DT237)</f>
        <v>130</v>
      </c>
      <c r="DJ238" s="14" t="str">
        <f>IF([1]Sheet2!DU237=999999,"NA",[1]Sheet2!DU237)</f>
        <v>NA</v>
      </c>
      <c r="DK238" s="14" t="str">
        <f>IF([1]Sheet2!DV237=999999,"NA",[1]Sheet2!DV237)</f>
        <v>NA</v>
      </c>
      <c r="DL238" s="14" t="str">
        <f>IF([1]Sheet2!DW237=999999,"NA",[1]Sheet2!DW237)</f>
        <v>NA</v>
      </c>
      <c r="DM238" s="14">
        <f>IF([1]Sheet2!DX237=999999,"NA",[1]Sheet2!DX237)</f>
        <v>130</v>
      </c>
      <c r="DN238" s="14">
        <f>IF([1]Sheet2!DY237=999999,"NA",[1]Sheet2!DY237)</f>
        <v>130</v>
      </c>
      <c r="DO238" s="14" t="str">
        <f>IF([1]Sheet2!DZ237=999999,"NA",[1]Sheet2!DZ237)</f>
        <v>NA</v>
      </c>
      <c r="DP238" s="14" t="str">
        <f>IF([1]Sheet2!EA237=999999,"NA",[1]Sheet2!EA237)</f>
        <v>NA</v>
      </c>
      <c r="DQ238" s="14">
        <f>[1]Sheet2!CX237</f>
        <v>0</v>
      </c>
      <c r="DR238" s="14">
        <f>[1]Sheet2!CY237</f>
        <v>0</v>
      </c>
      <c r="DS238" s="14">
        <f>[1]Sheet2!CZ237</f>
        <v>0</v>
      </c>
      <c r="DT238" s="14">
        <f>[1]Sheet2!DA237</f>
        <v>0</v>
      </c>
      <c r="DU238" s="14">
        <f>[1]Sheet2!DB237</f>
        <v>0</v>
      </c>
      <c r="DV238" s="14">
        <f>[1]Sheet2!DC237</f>
        <v>0</v>
      </c>
      <c r="DW238" s="14">
        <f>[1]Sheet2!DD237</f>
        <v>0</v>
      </c>
      <c r="DX238" s="14">
        <f>[1]Sheet2!DE237</f>
        <v>0</v>
      </c>
      <c r="DY238" s="14">
        <f>[1]Sheet2!DF237</f>
        <v>0</v>
      </c>
      <c r="DZ238" s="14">
        <f>[1]Sheet2!DG237</f>
        <v>0</v>
      </c>
    </row>
    <row r="239" spans="1:130" x14ac:dyDescent="0.25">
      <c r="A239" s="15">
        <v>43701</v>
      </c>
      <c r="B239" s="1"/>
      <c r="C239" s="1"/>
      <c r="D239" s="1"/>
      <c r="E239" s="14">
        <f>[1]Sheet2!N238</f>
        <v>0</v>
      </c>
      <c r="F239" s="14">
        <f>[1]Sheet2!BE238</f>
        <v>0</v>
      </c>
      <c r="G239" s="14">
        <f>[1]Sheet2!CV238</f>
        <v>262.03473945409428</v>
      </c>
      <c r="H239" s="1"/>
      <c r="I239" s="1"/>
      <c r="J239" s="1"/>
      <c r="K239" s="16">
        <f>Demand_CWRS!B$10/31</f>
        <v>120.8438508064516</v>
      </c>
      <c r="L239" s="16">
        <f>Demand_CWRS!C$10/31</f>
        <v>552.80165425971859</v>
      </c>
      <c r="M239" s="16">
        <f>Demand_CWRS!D$10/31</f>
        <v>0</v>
      </c>
      <c r="N239" s="16">
        <f>Demand_CWRS!E$10/31</f>
        <v>141.75971877584777</v>
      </c>
      <c r="O239" s="16">
        <f>Demand_CWRS!F$10/31</f>
        <v>252.70758116211746</v>
      </c>
      <c r="P239" s="16">
        <f>Demand_CWRS!G$10/31</f>
        <v>116.12903225806451</v>
      </c>
      <c r="Q239" s="16">
        <f>Demand_CWRS!H$10/31</f>
        <v>552.80165425971859</v>
      </c>
      <c r="R239" s="16">
        <f>Demand_CWRS!I$10/31</f>
        <v>252.70758116211746</v>
      </c>
      <c r="S239" s="16">
        <f>Demand_CWRS!J$10/31</f>
        <v>252.70758116211746</v>
      </c>
      <c r="T239" s="16">
        <f>Demand_CWRS!K$10/31</f>
        <v>252.70758116211746</v>
      </c>
      <c r="U239" s="16">
        <f t="shared" si="93"/>
        <v>-31588.725254828205</v>
      </c>
      <c r="V239" s="16">
        <f t="shared" si="94"/>
        <v>-110392.22175351494</v>
      </c>
      <c r="W239" s="16">
        <f t="shared" si="95"/>
        <v>0</v>
      </c>
      <c r="X239" s="16">
        <f t="shared" si="96"/>
        <v>-26027.676467108406</v>
      </c>
      <c r="Y239" s="16">
        <f t="shared" si="97"/>
        <v>-50898.57118332573</v>
      </c>
      <c r="Z239" s="16">
        <f t="shared" si="98"/>
        <v>-31224.796460628499</v>
      </c>
      <c r="AA239" s="16">
        <f t="shared" si="99"/>
        <v>-109892.22175351494</v>
      </c>
      <c r="AB239" s="16">
        <f t="shared" si="100"/>
        <v>-48414.725702556447</v>
      </c>
      <c r="AC239" s="16">
        <f t="shared" si="101"/>
        <v>-48414.72570255644</v>
      </c>
      <c r="AD239" s="16">
        <f t="shared" si="102"/>
        <v>-49114.725702556432</v>
      </c>
      <c r="AE239" s="14">
        <f>IF([1]Sheet2!AJ238=999999,"NA",[1]Sheet2!AJ238)</f>
        <v>0</v>
      </c>
      <c r="AF239" s="14">
        <f>IF([1]Sheet2!AK238=999999,"NA",[1]Sheet2!AK238)</f>
        <v>0</v>
      </c>
      <c r="AG239" s="14" t="str">
        <f>IF([1]Sheet2!AL238=999999,"NA",[1]Sheet2!AL238)</f>
        <v>NA</v>
      </c>
      <c r="AH239" s="14">
        <f>IF([1]Sheet2!AM238=999999,"NA",[1]Sheet2!AM238)</f>
        <v>129</v>
      </c>
      <c r="AI239" s="14">
        <f>IF([1]Sheet2!AN238=999999,"NA",[1]Sheet2!AN238)</f>
        <v>129</v>
      </c>
      <c r="AJ239" s="14">
        <f>IF([1]Sheet2!AO238=999999,"NA",[1]Sheet2!AO238)</f>
        <v>129</v>
      </c>
      <c r="AK239" s="14">
        <f>IF([1]Sheet2!AP238=999999,"NA",[1]Sheet2!AP238)</f>
        <v>0</v>
      </c>
      <c r="AL239" s="14">
        <f>IF([1]Sheet2!AQ238=999999,"NA",[1]Sheet2!AQ238)</f>
        <v>24</v>
      </c>
      <c r="AM239" s="14">
        <f>IF([1]Sheet2!AR238=999999,"NA",[1]Sheet2!AR238)</f>
        <v>129</v>
      </c>
      <c r="AN239" s="14">
        <f>IF([1]Sheet2!AS238=999999,"NA",[1]Sheet2!AS238)</f>
        <v>80</v>
      </c>
      <c r="AO239" s="14">
        <f>[1]Sheet2!P238</f>
        <v>0</v>
      </c>
      <c r="AP239" s="14">
        <f>[1]Sheet2!Q238</f>
        <v>0</v>
      </c>
      <c r="AQ239" s="14">
        <f>[1]Sheet2!R238</f>
        <v>0</v>
      </c>
      <c r="AR239" s="14">
        <f>[1]Sheet2!S238</f>
        <v>0</v>
      </c>
      <c r="AS239" s="14">
        <f>[1]Sheet2!T238</f>
        <v>0</v>
      </c>
      <c r="AT239" s="14">
        <f>[1]Sheet2!U238</f>
        <v>0</v>
      </c>
      <c r="AU239" s="14">
        <f>[1]Sheet2!V238</f>
        <v>0</v>
      </c>
      <c r="AV239" s="14">
        <f>[1]Sheet2!W238</f>
        <v>0</v>
      </c>
      <c r="AW239" s="14">
        <f>[1]Sheet2!X238</f>
        <v>0</v>
      </c>
      <c r="AX239" s="14">
        <f>[1]Sheet2!Y238</f>
        <v>0</v>
      </c>
      <c r="AY239" s="16">
        <f>Demand_LP!B$10/31</f>
        <v>857.18246226220015</v>
      </c>
      <c r="AZ239" s="16">
        <f>Demand_LP!C$10/31</f>
        <v>528.30835401157981</v>
      </c>
      <c r="BA239" s="16">
        <f>Demand_LP!D$10/31</f>
        <v>338.76323407775027</v>
      </c>
      <c r="BB239" s="16">
        <f>Demand_LP!E$10/31</f>
        <v>735.04776674937955</v>
      </c>
      <c r="BC239" s="16">
        <f>Demand_LP!F$10/31</f>
        <v>479.51259046732832</v>
      </c>
      <c r="BD239" s="16">
        <f>Demand_LP!G$10/31</f>
        <v>857.18246226220015</v>
      </c>
      <c r="BE239" s="16">
        <f>Demand_LP!H$10/31</f>
        <v>528.30835401157981</v>
      </c>
      <c r="BF239" s="16">
        <f>Demand_LP!I$10/31</f>
        <v>479.51259046732832</v>
      </c>
      <c r="BG239" s="16">
        <f>Demand_LP!J$10/31</f>
        <v>479.51259046732832</v>
      </c>
      <c r="BH239" s="16">
        <f>Demand_LP!K$10/31</f>
        <v>479.51259046732832</v>
      </c>
      <c r="BI239" s="16" t="e">
        <f t="shared" si="103"/>
        <v>#VALUE!</v>
      </c>
      <c r="BJ239" s="16">
        <f t="shared" si="104"/>
        <v>-133587.98254755972</v>
      </c>
      <c r="BK239" s="16">
        <f t="shared" si="105"/>
        <v>-68993.257361455675</v>
      </c>
      <c r="BL239" s="16">
        <f t="shared" si="106"/>
        <v>-175975.34766780736</v>
      </c>
      <c r="BM239" s="16">
        <f t="shared" si="107"/>
        <v>-102565.58197079411</v>
      </c>
      <c r="BN239" s="16">
        <f t="shared" si="108"/>
        <v>-178845.48294582209</v>
      </c>
      <c r="BO239" s="16">
        <f t="shared" si="109"/>
        <v>-135945.5620347395</v>
      </c>
      <c r="BP239" s="16">
        <f t="shared" si="110"/>
        <v>-103677.26588916472</v>
      </c>
      <c r="BQ239" s="16">
        <f t="shared" si="111"/>
        <v>-100667.26588916476</v>
      </c>
      <c r="BR239" s="16">
        <f t="shared" si="112"/>
        <v>-101867.26588916472</v>
      </c>
      <c r="BS239" s="14">
        <f>IF([1]Sheet2!CA238=999999,"NA",[1]Sheet2!CA238)</f>
        <v>114611.73411083544</v>
      </c>
      <c r="BT239" s="14">
        <f>IF([1]Sheet2!CB238=999999,"NA",[1]Sheet2!CB238)</f>
        <v>59</v>
      </c>
      <c r="BU239" s="14">
        <f>IF([1]Sheet2!CC238=999999,"NA",[1]Sheet2!CC238)</f>
        <v>129</v>
      </c>
      <c r="BV239" s="14">
        <f>IF([1]Sheet2!CD238=999999,"NA",[1]Sheet2!CD238)</f>
        <v>129</v>
      </c>
      <c r="BW239" s="14">
        <f>IF([1]Sheet2!CE238=999999,"NA",[1]Sheet2!CE238)</f>
        <v>98</v>
      </c>
      <c r="BX239" s="14">
        <f>IF([1]Sheet2!CF238=999999,"NA",[1]Sheet2!CF238)</f>
        <v>129</v>
      </c>
      <c r="BY239" s="14">
        <f>IF([1]Sheet2!CG238=999999,"NA",[1]Sheet2!CG238)</f>
        <v>30</v>
      </c>
      <c r="BZ239" s="14">
        <f>IF([1]Sheet2!CH238=999999,"NA",[1]Sheet2!CH238)</f>
        <v>129</v>
      </c>
      <c r="CA239" s="14">
        <f>IF([1]Sheet2!CI238=999999,"NA",[1]Sheet2!CI238)</f>
        <v>129</v>
      </c>
      <c r="CB239" s="14">
        <f>IF([1]Sheet2!CJ238=999999,"NA",[1]Sheet2!CJ238)</f>
        <v>129</v>
      </c>
      <c r="CC239" s="14">
        <f>[1]Sheet2!BG238</f>
        <v>0</v>
      </c>
      <c r="CD239" s="14">
        <f>[1]Sheet2!BH238</f>
        <v>0</v>
      </c>
      <c r="CE239" s="14">
        <f>[1]Sheet2!BI238</f>
        <v>0</v>
      </c>
      <c r="CF239" s="14">
        <f>[1]Sheet2!BJ238</f>
        <v>0</v>
      </c>
      <c r="CG239" s="14">
        <f>[1]Sheet2!BK238</f>
        <v>0</v>
      </c>
      <c r="CH239" s="14">
        <f>[1]Sheet2!BL238</f>
        <v>0</v>
      </c>
      <c r="CI239" s="14">
        <f>[1]Sheet2!BM238</f>
        <v>0</v>
      </c>
      <c r="CJ239" s="14">
        <f>[1]Sheet2!BN238</f>
        <v>0</v>
      </c>
      <c r="CK239" s="14">
        <f>[1]Sheet2!BO238</f>
        <v>0</v>
      </c>
      <c r="CL239" s="14">
        <f>[1]Sheet2!BP238</f>
        <v>0</v>
      </c>
      <c r="CM239" s="16">
        <f>Demand_SW!B$10/31</f>
        <v>131.01736972704714</v>
      </c>
      <c r="CN239" s="16">
        <f>Demand_SW!C$10/31</f>
        <v>0</v>
      </c>
      <c r="CO239" s="16">
        <f>Demand_SW!D$10/31</f>
        <v>0</v>
      </c>
      <c r="CP239" s="16">
        <f>Demand_SW!E$10/31</f>
        <v>0</v>
      </c>
      <c r="CQ239" s="16">
        <f>Demand_SW!F$10/31</f>
        <v>0</v>
      </c>
      <c r="CR239" s="16">
        <f>Demand_SW!G$10/31</f>
        <v>131.01736972704714</v>
      </c>
      <c r="CS239" s="16">
        <f>Demand_SW!H$10/31</f>
        <v>0</v>
      </c>
      <c r="CT239" s="16">
        <f>Demand_SW!I$10/31</f>
        <v>0</v>
      </c>
      <c r="CU239" s="16">
        <f>Demand_SW!J$10/31</f>
        <v>0</v>
      </c>
      <c r="CV239" s="16">
        <f>Demand_SW!K$10/31</f>
        <v>0</v>
      </c>
      <c r="CW239" s="16">
        <f t="shared" si="113"/>
        <v>69196.352357320051</v>
      </c>
      <c r="CX239" s="16">
        <f t="shared" si="114"/>
        <v>20683.923076923078</v>
      </c>
      <c r="CY239" s="16">
        <f t="shared" si="115"/>
        <v>0</v>
      </c>
      <c r="CZ239" s="16">
        <f t="shared" si="116"/>
        <v>0</v>
      </c>
      <c r="DA239" s="16">
        <f t="shared" si="117"/>
        <v>0</v>
      </c>
      <c r="DB239" s="16">
        <f t="shared" si="118"/>
        <v>-30332.878411910675</v>
      </c>
      <c r="DC239" s="16">
        <f t="shared" si="119"/>
        <v>20683.923076923078</v>
      </c>
      <c r="DD239" s="16">
        <f t="shared" si="120"/>
        <v>0</v>
      </c>
      <c r="DE239" s="16">
        <f t="shared" si="121"/>
        <v>0</v>
      </c>
      <c r="DF239" s="16">
        <f t="shared" si="122"/>
        <v>0</v>
      </c>
      <c r="DG239" s="14">
        <f>IF([1]Sheet2!DR238=999999,"NA",[1]Sheet2!DR238)</f>
        <v>73103</v>
      </c>
      <c r="DH239" s="14">
        <f>IF([1]Sheet2!DS238=999999,"NA",[1]Sheet2!DS238)</f>
        <v>129</v>
      </c>
      <c r="DI239" s="14">
        <f>IF([1]Sheet2!DT238=999999,"NA",[1]Sheet2!DT238)</f>
        <v>129</v>
      </c>
      <c r="DJ239" s="14" t="str">
        <f>IF([1]Sheet2!DU238=999999,"NA",[1]Sheet2!DU238)</f>
        <v>NA</v>
      </c>
      <c r="DK239" s="14" t="str">
        <f>IF([1]Sheet2!DV238=999999,"NA",[1]Sheet2!DV238)</f>
        <v>NA</v>
      </c>
      <c r="DL239" s="14" t="str">
        <f>IF([1]Sheet2!DW238=999999,"NA",[1]Sheet2!DW238)</f>
        <v>NA</v>
      </c>
      <c r="DM239" s="14">
        <f>IF([1]Sheet2!DX238=999999,"NA",[1]Sheet2!DX238)</f>
        <v>129</v>
      </c>
      <c r="DN239" s="14">
        <f>IF([1]Sheet2!DY238=999999,"NA",[1]Sheet2!DY238)</f>
        <v>129</v>
      </c>
      <c r="DO239" s="14" t="str">
        <f>IF([1]Sheet2!DZ238=999999,"NA",[1]Sheet2!DZ238)</f>
        <v>NA</v>
      </c>
      <c r="DP239" s="14" t="str">
        <f>IF([1]Sheet2!EA238=999999,"NA",[1]Sheet2!EA238)</f>
        <v>NA</v>
      </c>
      <c r="DQ239" s="14">
        <f>[1]Sheet2!CX238</f>
        <v>0</v>
      </c>
      <c r="DR239" s="14">
        <f>[1]Sheet2!CY238</f>
        <v>0</v>
      </c>
      <c r="DS239" s="14">
        <f>[1]Sheet2!CZ238</f>
        <v>0</v>
      </c>
      <c r="DT239" s="14">
        <f>[1]Sheet2!DA238</f>
        <v>0</v>
      </c>
      <c r="DU239" s="14">
        <f>[1]Sheet2!DB238</f>
        <v>0</v>
      </c>
      <c r="DV239" s="14">
        <f>[1]Sheet2!DC238</f>
        <v>0</v>
      </c>
      <c r="DW239" s="14">
        <f>[1]Sheet2!DD238</f>
        <v>0</v>
      </c>
      <c r="DX239" s="14">
        <f>[1]Sheet2!DE238</f>
        <v>0</v>
      </c>
      <c r="DY239" s="14">
        <f>[1]Sheet2!DF238</f>
        <v>0</v>
      </c>
      <c r="DZ239" s="14">
        <f>[1]Sheet2!DG238</f>
        <v>0</v>
      </c>
    </row>
    <row r="240" spans="1:130" x14ac:dyDescent="0.25">
      <c r="A240" s="15">
        <v>43702</v>
      </c>
      <c r="B240" s="1"/>
      <c r="C240" s="1"/>
      <c r="D240" s="1"/>
      <c r="E240" s="14">
        <f>[1]Sheet2!N239</f>
        <v>0</v>
      </c>
      <c r="F240" s="14">
        <f>[1]Sheet2!BE239</f>
        <v>0</v>
      </c>
      <c r="G240" s="14">
        <f>[1]Sheet2!CV239</f>
        <v>262.03473945409428</v>
      </c>
      <c r="H240" s="1"/>
      <c r="I240" s="1"/>
      <c r="J240" s="1"/>
      <c r="K240" s="16">
        <f>Demand_CWRS!B$10/31</f>
        <v>120.8438508064516</v>
      </c>
      <c r="L240" s="16">
        <f>Demand_CWRS!C$10/31</f>
        <v>552.80165425971859</v>
      </c>
      <c r="M240" s="16">
        <f>Demand_CWRS!D$10/31</f>
        <v>0</v>
      </c>
      <c r="N240" s="16">
        <f>Demand_CWRS!E$10/31</f>
        <v>141.75971877584777</v>
      </c>
      <c r="O240" s="16">
        <f>Demand_CWRS!F$10/31</f>
        <v>252.70758116211746</v>
      </c>
      <c r="P240" s="16">
        <f>Demand_CWRS!G$10/31</f>
        <v>116.12903225806451</v>
      </c>
      <c r="Q240" s="16">
        <f>Demand_CWRS!H$10/31</f>
        <v>552.80165425971859</v>
      </c>
      <c r="R240" s="16">
        <f>Demand_CWRS!I$10/31</f>
        <v>252.70758116211746</v>
      </c>
      <c r="S240" s="16">
        <f>Demand_CWRS!J$10/31</f>
        <v>252.70758116211746</v>
      </c>
      <c r="T240" s="16">
        <f>Demand_CWRS!K$10/31</f>
        <v>252.70758116211746</v>
      </c>
      <c r="U240" s="16">
        <f t="shared" si="93"/>
        <v>-31709.569105634655</v>
      </c>
      <c r="V240" s="16">
        <f t="shared" si="94"/>
        <v>-110945.02340777466</v>
      </c>
      <c r="W240" s="16">
        <f t="shared" si="95"/>
        <v>0</v>
      </c>
      <c r="X240" s="16">
        <f t="shared" si="96"/>
        <v>-26169.436185884253</v>
      </c>
      <c r="Y240" s="16">
        <f t="shared" si="97"/>
        <v>-51151.278764487848</v>
      </c>
      <c r="Z240" s="16">
        <f t="shared" si="98"/>
        <v>-31340.925492886563</v>
      </c>
      <c r="AA240" s="16">
        <f t="shared" si="99"/>
        <v>-110445.02340777466</v>
      </c>
      <c r="AB240" s="16">
        <f t="shared" si="100"/>
        <v>-48667.433283718565</v>
      </c>
      <c r="AC240" s="16">
        <f t="shared" si="101"/>
        <v>-48667.433283718558</v>
      </c>
      <c r="AD240" s="16">
        <f t="shared" si="102"/>
        <v>-49367.43328371855</v>
      </c>
      <c r="AE240" s="14">
        <f>IF([1]Sheet2!AJ239=999999,"NA",[1]Sheet2!AJ239)</f>
        <v>0</v>
      </c>
      <c r="AF240" s="14">
        <f>IF([1]Sheet2!AK239=999999,"NA",[1]Sheet2!AK239)</f>
        <v>0</v>
      </c>
      <c r="AG240" s="14" t="str">
        <f>IF([1]Sheet2!AL239=999999,"NA",[1]Sheet2!AL239)</f>
        <v>NA</v>
      </c>
      <c r="AH240" s="14">
        <f>IF([1]Sheet2!AM239=999999,"NA",[1]Sheet2!AM239)</f>
        <v>128</v>
      </c>
      <c r="AI240" s="14">
        <f>IF([1]Sheet2!AN239=999999,"NA",[1]Sheet2!AN239)</f>
        <v>128</v>
      </c>
      <c r="AJ240" s="14">
        <f>IF([1]Sheet2!AO239=999999,"NA",[1]Sheet2!AO239)</f>
        <v>128</v>
      </c>
      <c r="AK240" s="14">
        <f>IF([1]Sheet2!AP239=999999,"NA",[1]Sheet2!AP239)</f>
        <v>0</v>
      </c>
      <c r="AL240" s="14">
        <f>IF([1]Sheet2!AQ239=999999,"NA",[1]Sheet2!AQ239)</f>
        <v>23</v>
      </c>
      <c r="AM240" s="14">
        <f>IF([1]Sheet2!AR239=999999,"NA",[1]Sheet2!AR239)</f>
        <v>128</v>
      </c>
      <c r="AN240" s="14">
        <f>IF([1]Sheet2!AS239=999999,"NA",[1]Sheet2!AS239)</f>
        <v>79</v>
      </c>
      <c r="AO240" s="14">
        <f>[1]Sheet2!P239</f>
        <v>0</v>
      </c>
      <c r="AP240" s="14">
        <f>[1]Sheet2!Q239</f>
        <v>0</v>
      </c>
      <c r="AQ240" s="14">
        <f>[1]Sheet2!R239</f>
        <v>0</v>
      </c>
      <c r="AR240" s="14">
        <f>[1]Sheet2!S239</f>
        <v>0</v>
      </c>
      <c r="AS240" s="14">
        <f>[1]Sheet2!T239</f>
        <v>0</v>
      </c>
      <c r="AT240" s="14">
        <f>[1]Sheet2!U239</f>
        <v>0</v>
      </c>
      <c r="AU240" s="14">
        <f>[1]Sheet2!V239</f>
        <v>0</v>
      </c>
      <c r="AV240" s="14">
        <f>[1]Sheet2!W239</f>
        <v>0</v>
      </c>
      <c r="AW240" s="14">
        <f>[1]Sheet2!X239</f>
        <v>0</v>
      </c>
      <c r="AX240" s="14">
        <f>[1]Sheet2!Y239</f>
        <v>0</v>
      </c>
      <c r="AY240" s="16">
        <f>Demand_LP!B$10/31</f>
        <v>857.18246226220015</v>
      </c>
      <c r="AZ240" s="16">
        <f>Demand_LP!C$10/31</f>
        <v>528.30835401157981</v>
      </c>
      <c r="BA240" s="16">
        <f>Demand_LP!D$10/31</f>
        <v>338.76323407775027</v>
      </c>
      <c r="BB240" s="16">
        <f>Demand_LP!E$10/31</f>
        <v>735.04776674937955</v>
      </c>
      <c r="BC240" s="16">
        <f>Demand_LP!F$10/31</f>
        <v>479.51259046732832</v>
      </c>
      <c r="BD240" s="16">
        <f>Demand_LP!G$10/31</f>
        <v>857.18246226220015</v>
      </c>
      <c r="BE240" s="16">
        <f>Demand_LP!H$10/31</f>
        <v>528.30835401157981</v>
      </c>
      <c r="BF240" s="16">
        <f>Demand_LP!I$10/31</f>
        <v>479.51259046732832</v>
      </c>
      <c r="BG240" s="16">
        <f>Demand_LP!J$10/31</f>
        <v>479.51259046732832</v>
      </c>
      <c r="BH240" s="16">
        <f>Demand_LP!K$10/31</f>
        <v>479.51259046732832</v>
      </c>
      <c r="BI240" s="16" t="e">
        <f t="shared" si="103"/>
        <v>#VALUE!</v>
      </c>
      <c r="BJ240" s="16">
        <f t="shared" si="104"/>
        <v>-134116.29090157131</v>
      </c>
      <c r="BK240" s="16">
        <f t="shared" si="105"/>
        <v>-69332.020595533424</v>
      </c>
      <c r="BL240" s="16">
        <f t="shared" si="106"/>
        <v>-176710.39543455673</v>
      </c>
      <c r="BM240" s="16">
        <f t="shared" si="107"/>
        <v>-103045.09456126145</v>
      </c>
      <c r="BN240" s="16">
        <f t="shared" si="108"/>
        <v>-179702.66540808429</v>
      </c>
      <c r="BO240" s="16">
        <f t="shared" si="109"/>
        <v>-136473.87038875109</v>
      </c>
      <c r="BP240" s="16">
        <f t="shared" si="110"/>
        <v>-104156.77847963205</v>
      </c>
      <c r="BQ240" s="16">
        <f t="shared" si="111"/>
        <v>-101146.77847963209</v>
      </c>
      <c r="BR240" s="16">
        <f t="shared" si="112"/>
        <v>-102346.77847963205</v>
      </c>
      <c r="BS240" s="14">
        <f>IF([1]Sheet2!CA239=999999,"NA",[1]Sheet2!CA239)</f>
        <v>114132.22152036811</v>
      </c>
      <c r="BT240" s="14">
        <f>IF([1]Sheet2!CB239=999999,"NA",[1]Sheet2!CB239)</f>
        <v>58</v>
      </c>
      <c r="BU240" s="14">
        <f>IF([1]Sheet2!CC239=999999,"NA",[1]Sheet2!CC239)</f>
        <v>128</v>
      </c>
      <c r="BV240" s="14">
        <f>IF([1]Sheet2!CD239=999999,"NA",[1]Sheet2!CD239)</f>
        <v>128</v>
      </c>
      <c r="BW240" s="14">
        <f>IF([1]Sheet2!CE239=999999,"NA",[1]Sheet2!CE239)</f>
        <v>97</v>
      </c>
      <c r="BX240" s="14">
        <f>IF([1]Sheet2!CF239=999999,"NA",[1]Sheet2!CF239)</f>
        <v>128</v>
      </c>
      <c r="BY240" s="14">
        <f>IF([1]Sheet2!CG239=999999,"NA",[1]Sheet2!CG239)</f>
        <v>29</v>
      </c>
      <c r="BZ240" s="14">
        <f>IF([1]Sheet2!CH239=999999,"NA",[1]Sheet2!CH239)</f>
        <v>128</v>
      </c>
      <c r="CA240" s="14">
        <f>IF([1]Sheet2!CI239=999999,"NA",[1]Sheet2!CI239)</f>
        <v>128</v>
      </c>
      <c r="CB240" s="14">
        <f>IF([1]Sheet2!CJ239=999999,"NA",[1]Sheet2!CJ239)</f>
        <v>128</v>
      </c>
      <c r="CC240" s="14">
        <f>[1]Sheet2!BG239</f>
        <v>0</v>
      </c>
      <c r="CD240" s="14">
        <f>[1]Sheet2!BH239</f>
        <v>0</v>
      </c>
      <c r="CE240" s="14">
        <f>[1]Sheet2!BI239</f>
        <v>0</v>
      </c>
      <c r="CF240" s="14">
        <f>[1]Sheet2!BJ239</f>
        <v>0</v>
      </c>
      <c r="CG240" s="14">
        <f>[1]Sheet2!BK239</f>
        <v>0</v>
      </c>
      <c r="CH240" s="14">
        <f>[1]Sheet2!BL239</f>
        <v>0</v>
      </c>
      <c r="CI240" s="14">
        <f>[1]Sheet2!BM239</f>
        <v>0</v>
      </c>
      <c r="CJ240" s="14">
        <f>[1]Sheet2!BN239</f>
        <v>0</v>
      </c>
      <c r="CK240" s="14">
        <f>[1]Sheet2!BO239</f>
        <v>0</v>
      </c>
      <c r="CL240" s="14">
        <f>[1]Sheet2!BP239</f>
        <v>0</v>
      </c>
      <c r="CM240" s="16">
        <f>Demand_SW!B$10/31</f>
        <v>131.01736972704714</v>
      </c>
      <c r="CN240" s="16">
        <f>Demand_SW!C$10/31</f>
        <v>0</v>
      </c>
      <c r="CO240" s="16">
        <f>Demand_SW!D$10/31</f>
        <v>0</v>
      </c>
      <c r="CP240" s="16">
        <f>Demand_SW!E$10/31</f>
        <v>0</v>
      </c>
      <c r="CQ240" s="16">
        <f>Demand_SW!F$10/31</f>
        <v>0</v>
      </c>
      <c r="CR240" s="16">
        <f>Demand_SW!G$10/31</f>
        <v>131.01736972704714</v>
      </c>
      <c r="CS240" s="16">
        <f>Demand_SW!H$10/31</f>
        <v>0</v>
      </c>
      <c r="CT240" s="16">
        <f>Demand_SW!I$10/31</f>
        <v>0</v>
      </c>
      <c r="CU240" s="16">
        <f>Demand_SW!J$10/31</f>
        <v>0</v>
      </c>
      <c r="CV240" s="16">
        <f>Demand_SW!K$10/31</f>
        <v>0</v>
      </c>
      <c r="CW240" s="16">
        <f t="shared" si="113"/>
        <v>69065.334987593</v>
      </c>
      <c r="CX240" s="16">
        <f t="shared" si="114"/>
        <v>20683.923076923078</v>
      </c>
      <c r="CY240" s="16">
        <f t="shared" si="115"/>
        <v>0</v>
      </c>
      <c r="CZ240" s="16">
        <f t="shared" si="116"/>
        <v>0</v>
      </c>
      <c r="DA240" s="16">
        <f t="shared" si="117"/>
        <v>0</v>
      </c>
      <c r="DB240" s="16">
        <f t="shared" si="118"/>
        <v>-30463.895781637722</v>
      </c>
      <c r="DC240" s="16">
        <f t="shared" si="119"/>
        <v>20683.923076923078</v>
      </c>
      <c r="DD240" s="16">
        <f t="shared" si="120"/>
        <v>0</v>
      </c>
      <c r="DE240" s="16">
        <f t="shared" si="121"/>
        <v>0</v>
      </c>
      <c r="DF240" s="16">
        <f t="shared" si="122"/>
        <v>0</v>
      </c>
      <c r="DG240" s="14">
        <f>IF([1]Sheet2!DR239=999999,"NA",[1]Sheet2!DR239)</f>
        <v>73103</v>
      </c>
      <c r="DH240" s="14">
        <f>IF([1]Sheet2!DS239=999999,"NA",[1]Sheet2!DS239)</f>
        <v>128</v>
      </c>
      <c r="DI240" s="14">
        <f>IF([1]Sheet2!DT239=999999,"NA",[1]Sheet2!DT239)</f>
        <v>128</v>
      </c>
      <c r="DJ240" s="14" t="str">
        <f>IF([1]Sheet2!DU239=999999,"NA",[1]Sheet2!DU239)</f>
        <v>NA</v>
      </c>
      <c r="DK240" s="14" t="str">
        <f>IF([1]Sheet2!DV239=999999,"NA",[1]Sheet2!DV239)</f>
        <v>NA</v>
      </c>
      <c r="DL240" s="14" t="str">
        <f>IF([1]Sheet2!DW239=999999,"NA",[1]Sheet2!DW239)</f>
        <v>NA</v>
      </c>
      <c r="DM240" s="14">
        <f>IF([1]Sheet2!DX239=999999,"NA",[1]Sheet2!DX239)</f>
        <v>128</v>
      </c>
      <c r="DN240" s="14">
        <f>IF([1]Sheet2!DY239=999999,"NA",[1]Sheet2!DY239)</f>
        <v>128</v>
      </c>
      <c r="DO240" s="14" t="str">
        <f>IF([1]Sheet2!DZ239=999999,"NA",[1]Sheet2!DZ239)</f>
        <v>NA</v>
      </c>
      <c r="DP240" s="14" t="str">
        <f>IF([1]Sheet2!EA239=999999,"NA",[1]Sheet2!EA239)</f>
        <v>NA</v>
      </c>
      <c r="DQ240" s="14">
        <f>[1]Sheet2!CX239</f>
        <v>0</v>
      </c>
      <c r="DR240" s="14">
        <f>[1]Sheet2!CY239</f>
        <v>0</v>
      </c>
      <c r="DS240" s="14">
        <f>[1]Sheet2!CZ239</f>
        <v>0</v>
      </c>
      <c r="DT240" s="14">
        <f>[1]Sheet2!DA239</f>
        <v>0</v>
      </c>
      <c r="DU240" s="14">
        <f>[1]Sheet2!DB239</f>
        <v>0</v>
      </c>
      <c r="DV240" s="14">
        <f>[1]Sheet2!DC239</f>
        <v>0</v>
      </c>
      <c r="DW240" s="14">
        <f>[1]Sheet2!DD239</f>
        <v>0</v>
      </c>
      <c r="DX240" s="14">
        <f>[1]Sheet2!DE239</f>
        <v>0</v>
      </c>
      <c r="DY240" s="14">
        <f>[1]Sheet2!DF239</f>
        <v>0</v>
      </c>
      <c r="DZ240" s="14">
        <f>[1]Sheet2!DG239</f>
        <v>0</v>
      </c>
    </row>
    <row r="241" spans="1:130" x14ac:dyDescent="0.25">
      <c r="A241" s="15">
        <v>43703</v>
      </c>
      <c r="B241" s="1"/>
      <c r="C241" s="1"/>
      <c r="D241" s="1"/>
      <c r="E241" s="14">
        <f>[1]Sheet2!N240</f>
        <v>0</v>
      </c>
      <c r="F241" s="14">
        <f>[1]Sheet2!BE240</f>
        <v>0</v>
      </c>
      <c r="G241" s="14">
        <f>[1]Sheet2!CV240</f>
        <v>262.03473945409428</v>
      </c>
      <c r="H241" s="1"/>
      <c r="I241" s="1"/>
      <c r="J241" s="1"/>
      <c r="K241" s="16">
        <f>Demand_CWRS!B$10/31</f>
        <v>120.8438508064516</v>
      </c>
      <c r="L241" s="16">
        <f>Demand_CWRS!C$10/31</f>
        <v>552.80165425971859</v>
      </c>
      <c r="M241" s="16">
        <f>Demand_CWRS!D$10/31</f>
        <v>0</v>
      </c>
      <c r="N241" s="16">
        <f>Demand_CWRS!E$10/31</f>
        <v>141.75971877584777</v>
      </c>
      <c r="O241" s="16">
        <f>Demand_CWRS!F$10/31</f>
        <v>252.70758116211746</v>
      </c>
      <c r="P241" s="16">
        <f>Demand_CWRS!G$10/31</f>
        <v>116.12903225806451</v>
      </c>
      <c r="Q241" s="16">
        <f>Demand_CWRS!H$10/31</f>
        <v>552.80165425971859</v>
      </c>
      <c r="R241" s="16">
        <f>Demand_CWRS!I$10/31</f>
        <v>252.70758116211746</v>
      </c>
      <c r="S241" s="16">
        <f>Demand_CWRS!J$10/31</f>
        <v>252.70758116211746</v>
      </c>
      <c r="T241" s="16">
        <f>Demand_CWRS!K$10/31</f>
        <v>252.70758116211746</v>
      </c>
      <c r="U241" s="16">
        <f t="shared" si="93"/>
        <v>-31830.412956441105</v>
      </c>
      <c r="V241" s="16">
        <f t="shared" si="94"/>
        <v>-111497.82506203438</v>
      </c>
      <c r="W241" s="16">
        <f t="shared" si="95"/>
        <v>0</v>
      </c>
      <c r="X241" s="16">
        <f t="shared" si="96"/>
        <v>-26311.1959046601</v>
      </c>
      <c r="Y241" s="16">
        <f t="shared" si="97"/>
        <v>-51403.986345649966</v>
      </c>
      <c r="Z241" s="16">
        <f t="shared" si="98"/>
        <v>-31457.054525144627</v>
      </c>
      <c r="AA241" s="16">
        <f t="shared" si="99"/>
        <v>-110997.82506203438</v>
      </c>
      <c r="AB241" s="16">
        <f t="shared" si="100"/>
        <v>-48920.140864880683</v>
      </c>
      <c r="AC241" s="16">
        <f t="shared" si="101"/>
        <v>-48920.140864880676</v>
      </c>
      <c r="AD241" s="16">
        <f t="shared" si="102"/>
        <v>-49620.140864880668</v>
      </c>
      <c r="AE241" s="14">
        <f>IF([1]Sheet2!AJ240=999999,"NA",[1]Sheet2!AJ240)</f>
        <v>0</v>
      </c>
      <c r="AF241" s="14">
        <f>IF([1]Sheet2!AK240=999999,"NA",[1]Sheet2!AK240)</f>
        <v>0</v>
      </c>
      <c r="AG241" s="14" t="str">
        <f>IF([1]Sheet2!AL240=999999,"NA",[1]Sheet2!AL240)</f>
        <v>NA</v>
      </c>
      <c r="AH241" s="14">
        <f>IF([1]Sheet2!AM240=999999,"NA",[1]Sheet2!AM240)</f>
        <v>127</v>
      </c>
      <c r="AI241" s="14">
        <f>IF([1]Sheet2!AN240=999999,"NA",[1]Sheet2!AN240)</f>
        <v>127</v>
      </c>
      <c r="AJ241" s="14">
        <f>IF([1]Sheet2!AO240=999999,"NA",[1]Sheet2!AO240)</f>
        <v>127</v>
      </c>
      <c r="AK241" s="14">
        <f>IF([1]Sheet2!AP240=999999,"NA",[1]Sheet2!AP240)</f>
        <v>0</v>
      </c>
      <c r="AL241" s="14">
        <f>IF([1]Sheet2!AQ240=999999,"NA",[1]Sheet2!AQ240)</f>
        <v>22</v>
      </c>
      <c r="AM241" s="14">
        <f>IF([1]Sheet2!AR240=999999,"NA",[1]Sheet2!AR240)</f>
        <v>127</v>
      </c>
      <c r="AN241" s="14">
        <f>IF([1]Sheet2!AS240=999999,"NA",[1]Sheet2!AS240)</f>
        <v>78</v>
      </c>
      <c r="AO241" s="14">
        <f>[1]Sheet2!P240</f>
        <v>0</v>
      </c>
      <c r="AP241" s="14">
        <f>[1]Sheet2!Q240</f>
        <v>0</v>
      </c>
      <c r="AQ241" s="14">
        <f>[1]Sheet2!R240</f>
        <v>0</v>
      </c>
      <c r="AR241" s="14">
        <f>[1]Sheet2!S240</f>
        <v>0</v>
      </c>
      <c r="AS241" s="14">
        <f>[1]Sheet2!T240</f>
        <v>0</v>
      </c>
      <c r="AT241" s="14">
        <f>[1]Sheet2!U240</f>
        <v>0</v>
      </c>
      <c r="AU241" s="14">
        <f>[1]Sheet2!V240</f>
        <v>0</v>
      </c>
      <c r="AV241" s="14">
        <f>[1]Sheet2!W240</f>
        <v>0</v>
      </c>
      <c r="AW241" s="14">
        <f>[1]Sheet2!X240</f>
        <v>0</v>
      </c>
      <c r="AX241" s="14">
        <f>[1]Sheet2!Y240</f>
        <v>0</v>
      </c>
      <c r="AY241" s="16">
        <f>Demand_LP!B$10/31</f>
        <v>857.18246226220015</v>
      </c>
      <c r="AZ241" s="16">
        <f>Demand_LP!C$10/31</f>
        <v>528.30835401157981</v>
      </c>
      <c r="BA241" s="16">
        <f>Demand_LP!D$10/31</f>
        <v>338.76323407775027</v>
      </c>
      <c r="BB241" s="16">
        <f>Demand_LP!E$10/31</f>
        <v>735.04776674937955</v>
      </c>
      <c r="BC241" s="16">
        <f>Demand_LP!F$10/31</f>
        <v>479.51259046732832</v>
      </c>
      <c r="BD241" s="16">
        <f>Demand_LP!G$10/31</f>
        <v>857.18246226220015</v>
      </c>
      <c r="BE241" s="16">
        <f>Demand_LP!H$10/31</f>
        <v>528.30835401157981</v>
      </c>
      <c r="BF241" s="16">
        <f>Demand_LP!I$10/31</f>
        <v>479.51259046732832</v>
      </c>
      <c r="BG241" s="16">
        <f>Demand_LP!J$10/31</f>
        <v>479.51259046732832</v>
      </c>
      <c r="BH241" s="16">
        <f>Demand_LP!K$10/31</f>
        <v>479.51259046732832</v>
      </c>
      <c r="BI241" s="16" t="e">
        <f t="shared" si="103"/>
        <v>#VALUE!</v>
      </c>
      <c r="BJ241" s="16">
        <f t="shared" si="104"/>
        <v>-134644.5992555829</v>
      </c>
      <c r="BK241" s="16">
        <f t="shared" si="105"/>
        <v>-69670.783829611173</v>
      </c>
      <c r="BL241" s="16">
        <f t="shared" si="106"/>
        <v>-177445.4432013061</v>
      </c>
      <c r="BM241" s="16">
        <f t="shared" si="107"/>
        <v>-103524.60715172878</v>
      </c>
      <c r="BN241" s="16">
        <f t="shared" si="108"/>
        <v>-180559.84787034648</v>
      </c>
      <c r="BO241" s="16">
        <f t="shared" si="109"/>
        <v>-137002.17874276268</v>
      </c>
      <c r="BP241" s="16">
        <f t="shared" si="110"/>
        <v>-104636.29107009938</v>
      </c>
      <c r="BQ241" s="16">
        <f t="shared" si="111"/>
        <v>-101626.29107009943</v>
      </c>
      <c r="BR241" s="16">
        <f t="shared" si="112"/>
        <v>-102826.29107009938</v>
      </c>
      <c r="BS241" s="14">
        <f>IF([1]Sheet2!CA240=999999,"NA",[1]Sheet2!CA240)</f>
        <v>113652.70892990078</v>
      </c>
      <c r="BT241" s="14">
        <f>IF([1]Sheet2!CB240=999999,"NA",[1]Sheet2!CB240)</f>
        <v>57</v>
      </c>
      <c r="BU241" s="14">
        <f>IF([1]Sheet2!CC240=999999,"NA",[1]Sheet2!CC240)</f>
        <v>127</v>
      </c>
      <c r="BV241" s="14">
        <f>IF([1]Sheet2!CD240=999999,"NA",[1]Sheet2!CD240)</f>
        <v>127</v>
      </c>
      <c r="BW241" s="14">
        <f>IF([1]Sheet2!CE240=999999,"NA",[1]Sheet2!CE240)</f>
        <v>96</v>
      </c>
      <c r="BX241" s="14">
        <f>IF([1]Sheet2!CF240=999999,"NA",[1]Sheet2!CF240)</f>
        <v>127</v>
      </c>
      <c r="BY241" s="14">
        <f>IF([1]Sheet2!CG240=999999,"NA",[1]Sheet2!CG240)</f>
        <v>28</v>
      </c>
      <c r="BZ241" s="14">
        <f>IF([1]Sheet2!CH240=999999,"NA",[1]Sheet2!CH240)</f>
        <v>127</v>
      </c>
      <c r="CA241" s="14">
        <f>IF([1]Sheet2!CI240=999999,"NA",[1]Sheet2!CI240)</f>
        <v>127</v>
      </c>
      <c r="CB241" s="14">
        <f>IF([1]Sheet2!CJ240=999999,"NA",[1]Sheet2!CJ240)</f>
        <v>127</v>
      </c>
      <c r="CC241" s="14">
        <f>[1]Sheet2!BG240</f>
        <v>0</v>
      </c>
      <c r="CD241" s="14">
        <f>[1]Sheet2!BH240</f>
        <v>0</v>
      </c>
      <c r="CE241" s="14">
        <f>[1]Sheet2!BI240</f>
        <v>0</v>
      </c>
      <c r="CF241" s="14">
        <f>[1]Sheet2!BJ240</f>
        <v>0</v>
      </c>
      <c r="CG241" s="14">
        <f>[1]Sheet2!BK240</f>
        <v>0</v>
      </c>
      <c r="CH241" s="14">
        <f>[1]Sheet2!BL240</f>
        <v>0</v>
      </c>
      <c r="CI241" s="14">
        <f>[1]Sheet2!BM240</f>
        <v>0</v>
      </c>
      <c r="CJ241" s="14">
        <f>[1]Sheet2!BN240</f>
        <v>0</v>
      </c>
      <c r="CK241" s="14">
        <f>[1]Sheet2!BO240</f>
        <v>0</v>
      </c>
      <c r="CL241" s="14">
        <f>[1]Sheet2!BP240</f>
        <v>0</v>
      </c>
      <c r="CM241" s="16">
        <f>Demand_SW!B$10/31</f>
        <v>131.01736972704714</v>
      </c>
      <c r="CN241" s="16">
        <f>Demand_SW!C$10/31</f>
        <v>0</v>
      </c>
      <c r="CO241" s="16">
        <f>Demand_SW!D$10/31</f>
        <v>0</v>
      </c>
      <c r="CP241" s="16">
        <f>Demand_SW!E$10/31</f>
        <v>0</v>
      </c>
      <c r="CQ241" s="16">
        <f>Demand_SW!F$10/31</f>
        <v>0</v>
      </c>
      <c r="CR241" s="16">
        <f>Demand_SW!G$10/31</f>
        <v>131.01736972704714</v>
      </c>
      <c r="CS241" s="16">
        <f>Demand_SW!H$10/31</f>
        <v>0</v>
      </c>
      <c r="CT241" s="16">
        <f>Demand_SW!I$10/31</f>
        <v>0</v>
      </c>
      <c r="CU241" s="16">
        <f>Demand_SW!J$10/31</f>
        <v>0</v>
      </c>
      <c r="CV241" s="16">
        <f>Demand_SW!K$10/31</f>
        <v>0</v>
      </c>
      <c r="CW241" s="16">
        <f t="shared" si="113"/>
        <v>68934.317617865949</v>
      </c>
      <c r="CX241" s="16">
        <f t="shared" si="114"/>
        <v>20683.923076923078</v>
      </c>
      <c r="CY241" s="16">
        <f t="shared" si="115"/>
        <v>0</v>
      </c>
      <c r="CZ241" s="16">
        <f t="shared" si="116"/>
        <v>0</v>
      </c>
      <c r="DA241" s="16">
        <f t="shared" si="117"/>
        <v>0</v>
      </c>
      <c r="DB241" s="16">
        <f t="shared" si="118"/>
        <v>-30594.91315136477</v>
      </c>
      <c r="DC241" s="16">
        <f t="shared" si="119"/>
        <v>20683.923076923078</v>
      </c>
      <c r="DD241" s="16">
        <f t="shared" si="120"/>
        <v>0</v>
      </c>
      <c r="DE241" s="16">
        <f t="shared" si="121"/>
        <v>0</v>
      </c>
      <c r="DF241" s="16">
        <f t="shared" si="122"/>
        <v>0</v>
      </c>
      <c r="DG241" s="14">
        <f>IF([1]Sheet2!DR240=999999,"NA",[1]Sheet2!DR240)</f>
        <v>73103</v>
      </c>
      <c r="DH241" s="14">
        <f>IF([1]Sheet2!DS240=999999,"NA",[1]Sheet2!DS240)</f>
        <v>127</v>
      </c>
      <c r="DI241" s="14">
        <f>IF([1]Sheet2!DT240=999999,"NA",[1]Sheet2!DT240)</f>
        <v>127</v>
      </c>
      <c r="DJ241" s="14" t="str">
        <f>IF([1]Sheet2!DU240=999999,"NA",[1]Sheet2!DU240)</f>
        <v>NA</v>
      </c>
      <c r="DK241" s="14" t="str">
        <f>IF([1]Sheet2!DV240=999999,"NA",[1]Sheet2!DV240)</f>
        <v>NA</v>
      </c>
      <c r="DL241" s="14" t="str">
        <f>IF([1]Sheet2!DW240=999999,"NA",[1]Sheet2!DW240)</f>
        <v>NA</v>
      </c>
      <c r="DM241" s="14">
        <f>IF([1]Sheet2!DX240=999999,"NA",[1]Sheet2!DX240)</f>
        <v>127</v>
      </c>
      <c r="DN241" s="14">
        <f>IF([1]Sheet2!DY240=999999,"NA",[1]Sheet2!DY240)</f>
        <v>127</v>
      </c>
      <c r="DO241" s="14" t="str">
        <f>IF([1]Sheet2!DZ240=999999,"NA",[1]Sheet2!DZ240)</f>
        <v>NA</v>
      </c>
      <c r="DP241" s="14" t="str">
        <f>IF([1]Sheet2!EA240=999999,"NA",[1]Sheet2!EA240)</f>
        <v>NA</v>
      </c>
      <c r="DQ241" s="14">
        <f>[1]Sheet2!CX240</f>
        <v>0</v>
      </c>
      <c r="DR241" s="14">
        <f>[1]Sheet2!CY240</f>
        <v>0</v>
      </c>
      <c r="DS241" s="14">
        <f>[1]Sheet2!CZ240</f>
        <v>0</v>
      </c>
      <c r="DT241" s="14">
        <f>[1]Sheet2!DA240</f>
        <v>0</v>
      </c>
      <c r="DU241" s="14">
        <f>[1]Sheet2!DB240</f>
        <v>0</v>
      </c>
      <c r="DV241" s="14">
        <f>[1]Sheet2!DC240</f>
        <v>0</v>
      </c>
      <c r="DW241" s="14">
        <f>[1]Sheet2!DD240</f>
        <v>0</v>
      </c>
      <c r="DX241" s="14">
        <f>[1]Sheet2!DE240</f>
        <v>0</v>
      </c>
      <c r="DY241" s="14">
        <f>[1]Sheet2!DF240</f>
        <v>0</v>
      </c>
      <c r="DZ241" s="14">
        <f>[1]Sheet2!DG240</f>
        <v>0</v>
      </c>
    </row>
    <row r="242" spans="1:130" x14ac:dyDescent="0.25">
      <c r="A242" s="15">
        <v>43704</v>
      </c>
      <c r="B242" s="1"/>
      <c r="C242" s="1"/>
      <c r="D242" s="1"/>
      <c r="E242" s="14">
        <f>[1]Sheet2!N241</f>
        <v>0</v>
      </c>
      <c r="F242" s="14">
        <f>[1]Sheet2!BE241</f>
        <v>48000</v>
      </c>
      <c r="G242" s="14">
        <f>[1]Sheet2!CV241</f>
        <v>262.03473945409428</v>
      </c>
      <c r="H242" s="1"/>
      <c r="I242" s="1"/>
      <c r="J242" s="1"/>
      <c r="K242" s="16">
        <f>Demand_CWRS!B$10/31</f>
        <v>120.8438508064516</v>
      </c>
      <c r="L242" s="16">
        <f>Demand_CWRS!C$10/31</f>
        <v>552.80165425971859</v>
      </c>
      <c r="M242" s="16">
        <f>Demand_CWRS!D$10/31</f>
        <v>0</v>
      </c>
      <c r="N242" s="16">
        <f>Demand_CWRS!E$10/31</f>
        <v>141.75971877584777</v>
      </c>
      <c r="O242" s="16">
        <f>Demand_CWRS!F$10/31</f>
        <v>252.70758116211746</v>
      </c>
      <c r="P242" s="16">
        <f>Demand_CWRS!G$10/31</f>
        <v>116.12903225806451</v>
      </c>
      <c r="Q242" s="16">
        <f>Demand_CWRS!H$10/31</f>
        <v>552.80165425971859</v>
      </c>
      <c r="R242" s="16">
        <f>Demand_CWRS!I$10/31</f>
        <v>252.70758116211746</v>
      </c>
      <c r="S242" s="16">
        <f>Demand_CWRS!J$10/31</f>
        <v>252.70758116211746</v>
      </c>
      <c r="T242" s="16">
        <f>Demand_CWRS!K$10/31</f>
        <v>252.70758116211746</v>
      </c>
      <c r="U242" s="16">
        <f t="shared" si="93"/>
        <v>-31951.256807247555</v>
      </c>
      <c r="V242" s="16">
        <f t="shared" si="94"/>
        <v>-112050.62671629409</v>
      </c>
      <c r="W242" s="16">
        <f t="shared" si="95"/>
        <v>0</v>
      </c>
      <c r="X242" s="16">
        <f t="shared" si="96"/>
        <v>-26452.955623435948</v>
      </c>
      <c r="Y242" s="16">
        <f t="shared" si="97"/>
        <v>-51656.693926812084</v>
      </c>
      <c r="Z242" s="16">
        <f t="shared" si="98"/>
        <v>-31573.183557402692</v>
      </c>
      <c r="AA242" s="16">
        <f t="shared" si="99"/>
        <v>-111550.62671629409</v>
      </c>
      <c r="AB242" s="16">
        <f t="shared" si="100"/>
        <v>-49172.848446042801</v>
      </c>
      <c r="AC242" s="16">
        <f t="shared" si="101"/>
        <v>-49172.848446042794</v>
      </c>
      <c r="AD242" s="16">
        <f t="shared" si="102"/>
        <v>-49872.848446042786</v>
      </c>
      <c r="AE242" s="14">
        <f>IF([1]Sheet2!AJ241=999999,"NA",[1]Sheet2!AJ241)</f>
        <v>0</v>
      </c>
      <c r="AF242" s="14">
        <f>IF([1]Sheet2!AK241=999999,"NA",[1]Sheet2!AK241)</f>
        <v>0</v>
      </c>
      <c r="AG242" s="14" t="str">
        <f>IF([1]Sheet2!AL241=999999,"NA",[1]Sheet2!AL241)</f>
        <v>NA</v>
      </c>
      <c r="AH242" s="14">
        <f>IF([1]Sheet2!AM241=999999,"NA",[1]Sheet2!AM241)</f>
        <v>126</v>
      </c>
      <c r="AI242" s="14">
        <f>IF([1]Sheet2!AN241=999999,"NA",[1]Sheet2!AN241)</f>
        <v>126</v>
      </c>
      <c r="AJ242" s="14">
        <f>IF([1]Sheet2!AO241=999999,"NA",[1]Sheet2!AO241)</f>
        <v>126</v>
      </c>
      <c r="AK242" s="14">
        <f>IF([1]Sheet2!AP241=999999,"NA",[1]Sheet2!AP241)</f>
        <v>0</v>
      </c>
      <c r="AL242" s="14">
        <f>IF([1]Sheet2!AQ241=999999,"NA",[1]Sheet2!AQ241)</f>
        <v>21</v>
      </c>
      <c r="AM242" s="14">
        <f>IF([1]Sheet2!AR241=999999,"NA",[1]Sheet2!AR241)</f>
        <v>126</v>
      </c>
      <c r="AN242" s="14">
        <f>IF([1]Sheet2!AS241=999999,"NA",[1]Sheet2!AS241)</f>
        <v>77</v>
      </c>
      <c r="AO242" s="14">
        <f>[1]Sheet2!P241</f>
        <v>0</v>
      </c>
      <c r="AP242" s="14">
        <f>[1]Sheet2!Q241</f>
        <v>0</v>
      </c>
      <c r="AQ242" s="14">
        <f>[1]Sheet2!R241</f>
        <v>0</v>
      </c>
      <c r="AR242" s="14">
        <f>[1]Sheet2!S241</f>
        <v>0</v>
      </c>
      <c r="AS242" s="14">
        <f>[1]Sheet2!T241</f>
        <v>0</v>
      </c>
      <c r="AT242" s="14">
        <f>[1]Sheet2!U241</f>
        <v>0</v>
      </c>
      <c r="AU242" s="14">
        <f>[1]Sheet2!V241</f>
        <v>0</v>
      </c>
      <c r="AV242" s="14">
        <f>[1]Sheet2!W241</f>
        <v>0</v>
      </c>
      <c r="AW242" s="14">
        <f>[1]Sheet2!X241</f>
        <v>0</v>
      </c>
      <c r="AX242" s="14">
        <f>[1]Sheet2!Y241</f>
        <v>0</v>
      </c>
      <c r="AY242" s="16">
        <f>Demand_LP!B$10/31</f>
        <v>857.18246226220015</v>
      </c>
      <c r="AZ242" s="16">
        <f>Demand_LP!C$10/31</f>
        <v>528.30835401157981</v>
      </c>
      <c r="BA242" s="16">
        <f>Demand_LP!D$10/31</f>
        <v>338.76323407775027</v>
      </c>
      <c r="BB242" s="16">
        <f>Demand_LP!E$10/31</f>
        <v>735.04776674937955</v>
      </c>
      <c r="BC242" s="16">
        <f>Demand_LP!F$10/31</f>
        <v>479.51259046732832</v>
      </c>
      <c r="BD242" s="16">
        <f>Demand_LP!G$10/31</f>
        <v>857.18246226220015</v>
      </c>
      <c r="BE242" s="16">
        <f>Demand_LP!H$10/31</f>
        <v>528.30835401157981</v>
      </c>
      <c r="BF242" s="16">
        <f>Demand_LP!I$10/31</f>
        <v>479.51259046732832</v>
      </c>
      <c r="BG242" s="16">
        <f>Demand_LP!J$10/31</f>
        <v>479.51259046732832</v>
      </c>
      <c r="BH242" s="16">
        <f>Demand_LP!K$10/31</f>
        <v>479.51259046732832</v>
      </c>
      <c r="BI242" s="16" t="e">
        <f t="shared" si="103"/>
        <v>#VALUE!</v>
      </c>
      <c r="BJ242" s="16">
        <f t="shared" si="104"/>
        <v>-135172.90760959449</v>
      </c>
      <c r="BK242" s="16">
        <f t="shared" si="105"/>
        <v>-70009.547063688922</v>
      </c>
      <c r="BL242" s="16">
        <f t="shared" si="106"/>
        <v>-178180.49096805547</v>
      </c>
      <c r="BM242" s="16">
        <f t="shared" si="107"/>
        <v>-104004.11974219611</v>
      </c>
      <c r="BN242" s="16">
        <f t="shared" si="108"/>
        <v>-181417.03033260867</v>
      </c>
      <c r="BO242" s="16">
        <f t="shared" si="109"/>
        <v>-137530.48709677428</v>
      </c>
      <c r="BP242" s="16">
        <f t="shared" si="110"/>
        <v>-105115.80366056671</v>
      </c>
      <c r="BQ242" s="16">
        <f t="shared" si="111"/>
        <v>-102105.80366056676</v>
      </c>
      <c r="BR242" s="16">
        <f t="shared" si="112"/>
        <v>-103305.80366056671</v>
      </c>
      <c r="BS242" s="14">
        <f>IF([1]Sheet2!CA241=999999,"NA",[1]Sheet2!CA241)</f>
        <v>113173.19633943345</v>
      </c>
      <c r="BT242" s="14">
        <f>IF([1]Sheet2!CB241=999999,"NA",[1]Sheet2!CB241)</f>
        <v>56</v>
      </c>
      <c r="BU242" s="14">
        <f>IF([1]Sheet2!CC241=999999,"NA",[1]Sheet2!CC241)</f>
        <v>126</v>
      </c>
      <c r="BV242" s="14">
        <f>IF([1]Sheet2!CD241=999999,"NA",[1]Sheet2!CD241)</f>
        <v>126</v>
      </c>
      <c r="BW242" s="14">
        <f>IF([1]Sheet2!CE241=999999,"NA",[1]Sheet2!CE241)</f>
        <v>95</v>
      </c>
      <c r="BX242" s="14">
        <f>IF([1]Sheet2!CF241=999999,"NA",[1]Sheet2!CF241)</f>
        <v>126</v>
      </c>
      <c r="BY242" s="14">
        <f>IF([1]Sheet2!CG241=999999,"NA",[1]Sheet2!CG241)</f>
        <v>27</v>
      </c>
      <c r="BZ242" s="14">
        <f>IF([1]Sheet2!CH241=999999,"NA",[1]Sheet2!CH241)</f>
        <v>126</v>
      </c>
      <c r="CA242" s="14">
        <f>IF([1]Sheet2!CI241=999999,"NA",[1]Sheet2!CI241)</f>
        <v>126</v>
      </c>
      <c r="CB242" s="14">
        <f>IF([1]Sheet2!CJ241=999999,"NA",[1]Sheet2!CJ241)</f>
        <v>126</v>
      </c>
      <c r="CC242" s="14">
        <f>[1]Sheet2!BG241</f>
        <v>0</v>
      </c>
      <c r="CD242" s="14">
        <f>[1]Sheet2!BH241</f>
        <v>0</v>
      </c>
      <c r="CE242" s="14">
        <f>[1]Sheet2!BI241</f>
        <v>0</v>
      </c>
      <c r="CF242" s="14">
        <f>[1]Sheet2!BJ241</f>
        <v>0</v>
      </c>
      <c r="CG242" s="14">
        <f>[1]Sheet2!BK241</f>
        <v>0</v>
      </c>
      <c r="CH242" s="14">
        <f>[1]Sheet2!BL241</f>
        <v>0</v>
      </c>
      <c r="CI242" s="14">
        <f>[1]Sheet2!BM241</f>
        <v>0</v>
      </c>
      <c r="CJ242" s="14">
        <f>[1]Sheet2!BN241</f>
        <v>0</v>
      </c>
      <c r="CK242" s="14">
        <f>[1]Sheet2!BO241</f>
        <v>0</v>
      </c>
      <c r="CL242" s="14">
        <f>[1]Sheet2!BP241</f>
        <v>0</v>
      </c>
      <c r="CM242" s="16">
        <f>Demand_SW!B$10/31</f>
        <v>131.01736972704714</v>
      </c>
      <c r="CN242" s="16">
        <f>Demand_SW!C$10/31</f>
        <v>0</v>
      </c>
      <c r="CO242" s="16">
        <f>Demand_SW!D$10/31</f>
        <v>0</v>
      </c>
      <c r="CP242" s="16">
        <f>Demand_SW!E$10/31</f>
        <v>0</v>
      </c>
      <c r="CQ242" s="16">
        <f>Demand_SW!F$10/31</f>
        <v>0</v>
      </c>
      <c r="CR242" s="16">
        <f>Demand_SW!G$10/31</f>
        <v>131.01736972704714</v>
      </c>
      <c r="CS242" s="16">
        <f>Demand_SW!H$10/31</f>
        <v>0</v>
      </c>
      <c r="CT242" s="16">
        <f>Demand_SW!I$10/31</f>
        <v>0</v>
      </c>
      <c r="CU242" s="16">
        <f>Demand_SW!J$10/31</f>
        <v>0</v>
      </c>
      <c r="CV242" s="16">
        <f>Demand_SW!K$10/31</f>
        <v>0</v>
      </c>
      <c r="CW242" s="16">
        <f t="shared" si="113"/>
        <v>68803.300248138898</v>
      </c>
      <c r="CX242" s="16">
        <f t="shared" si="114"/>
        <v>20683.923076923078</v>
      </c>
      <c r="CY242" s="16">
        <f t="shared" si="115"/>
        <v>0</v>
      </c>
      <c r="CZ242" s="16">
        <f t="shared" si="116"/>
        <v>0</v>
      </c>
      <c r="DA242" s="16">
        <f t="shared" si="117"/>
        <v>0</v>
      </c>
      <c r="DB242" s="16">
        <f t="shared" si="118"/>
        <v>-30725.930521091817</v>
      </c>
      <c r="DC242" s="16">
        <f t="shared" si="119"/>
        <v>20683.923076923078</v>
      </c>
      <c r="DD242" s="16">
        <f t="shared" si="120"/>
        <v>0</v>
      </c>
      <c r="DE242" s="16">
        <f t="shared" si="121"/>
        <v>0</v>
      </c>
      <c r="DF242" s="16">
        <f t="shared" si="122"/>
        <v>0</v>
      </c>
      <c r="DG242" s="14">
        <f>IF([1]Sheet2!DR241=999999,"NA",[1]Sheet2!DR241)</f>
        <v>73103</v>
      </c>
      <c r="DH242" s="14">
        <f>IF([1]Sheet2!DS241=999999,"NA",[1]Sheet2!DS241)</f>
        <v>126</v>
      </c>
      <c r="DI242" s="14">
        <f>IF([1]Sheet2!DT241=999999,"NA",[1]Sheet2!DT241)</f>
        <v>126</v>
      </c>
      <c r="DJ242" s="14" t="str">
        <f>IF([1]Sheet2!DU241=999999,"NA",[1]Sheet2!DU241)</f>
        <v>NA</v>
      </c>
      <c r="DK242" s="14" t="str">
        <f>IF([1]Sheet2!DV241=999999,"NA",[1]Sheet2!DV241)</f>
        <v>NA</v>
      </c>
      <c r="DL242" s="14" t="str">
        <f>IF([1]Sheet2!DW241=999999,"NA",[1]Sheet2!DW241)</f>
        <v>NA</v>
      </c>
      <c r="DM242" s="14">
        <f>IF([1]Sheet2!DX241=999999,"NA",[1]Sheet2!DX241)</f>
        <v>126</v>
      </c>
      <c r="DN242" s="14">
        <f>IF([1]Sheet2!DY241=999999,"NA",[1]Sheet2!DY241)</f>
        <v>126</v>
      </c>
      <c r="DO242" s="14" t="str">
        <f>IF([1]Sheet2!DZ241=999999,"NA",[1]Sheet2!DZ241)</f>
        <v>NA</v>
      </c>
      <c r="DP242" s="14" t="str">
        <f>IF([1]Sheet2!EA241=999999,"NA",[1]Sheet2!EA241)</f>
        <v>NA</v>
      </c>
      <c r="DQ242" s="14">
        <f>[1]Sheet2!CX241</f>
        <v>0</v>
      </c>
      <c r="DR242" s="14">
        <f>[1]Sheet2!CY241</f>
        <v>0</v>
      </c>
      <c r="DS242" s="14">
        <f>[1]Sheet2!CZ241</f>
        <v>0</v>
      </c>
      <c r="DT242" s="14">
        <f>[1]Sheet2!DA241</f>
        <v>0</v>
      </c>
      <c r="DU242" s="14">
        <f>[1]Sheet2!DB241</f>
        <v>0</v>
      </c>
      <c r="DV242" s="14">
        <f>[1]Sheet2!DC241</f>
        <v>0</v>
      </c>
      <c r="DW242" s="14">
        <f>[1]Sheet2!DD241</f>
        <v>0</v>
      </c>
      <c r="DX242" s="14">
        <f>[1]Sheet2!DE241</f>
        <v>0</v>
      </c>
      <c r="DY242" s="14">
        <f>[1]Sheet2!DF241</f>
        <v>0</v>
      </c>
      <c r="DZ242" s="14">
        <f>[1]Sheet2!DG241</f>
        <v>0</v>
      </c>
    </row>
    <row r="243" spans="1:130" x14ac:dyDescent="0.25">
      <c r="A243" s="15">
        <v>43705</v>
      </c>
      <c r="B243" s="1"/>
      <c r="C243" s="1"/>
      <c r="D243" s="1"/>
      <c r="E243" s="14">
        <f>[1]Sheet2!N242</f>
        <v>0</v>
      </c>
      <c r="F243" s="14">
        <f>[1]Sheet2!BE242</f>
        <v>0</v>
      </c>
      <c r="G243" s="14">
        <f>[1]Sheet2!CV242</f>
        <v>262.03473945409428</v>
      </c>
      <c r="H243" s="1"/>
      <c r="I243" s="1"/>
      <c r="J243" s="1"/>
      <c r="K243" s="16">
        <f>Demand_CWRS!B$10/31</f>
        <v>120.8438508064516</v>
      </c>
      <c r="L243" s="16">
        <f>Demand_CWRS!C$10/31</f>
        <v>552.80165425971859</v>
      </c>
      <c r="M243" s="16">
        <f>Demand_CWRS!D$10/31</f>
        <v>0</v>
      </c>
      <c r="N243" s="16">
        <f>Demand_CWRS!E$10/31</f>
        <v>141.75971877584777</v>
      </c>
      <c r="O243" s="16">
        <f>Demand_CWRS!F$10/31</f>
        <v>252.70758116211746</v>
      </c>
      <c r="P243" s="16">
        <f>Demand_CWRS!G$10/31</f>
        <v>116.12903225806451</v>
      </c>
      <c r="Q243" s="16">
        <f>Demand_CWRS!H$10/31</f>
        <v>552.80165425971859</v>
      </c>
      <c r="R243" s="16">
        <f>Demand_CWRS!I$10/31</f>
        <v>252.70758116211746</v>
      </c>
      <c r="S243" s="16">
        <f>Demand_CWRS!J$10/31</f>
        <v>252.70758116211746</v>
      </c>
      <c r="T243" s="16">
        <f>Demand_CWRS!K$10/31</f>
        <v>252.70758116211746</v>
      </c>
      <c r="U243" s="16">
        <f t="shared" si="93"/>
        <v>-32072.100658054005</v>
      </c>
      <c r="V243" s="16">
        <f t="shared" si="94"/>
        <v>-112603.42837055381</v>
      </c>
      <c r="W243" s="16">
        <f t="shared" si="95"/>
        <v>0</v>
      </c>
      <c r="X243" s="16">
        <f t="shared" si="96"/>
        <v>-26594.715342211795</v>
      </c>
      <c r="Y243" s="16">
        <f t="shared" si="97"/>
        <v>-51909.401507974202</v>
      </c>
      <c r="Z243" s="16">
        <f t="shared" si="98"/>
        <v>-31689.312589660756</v>
      </c>
      <c r="AA243" s="16">
        <f t="shared" si="99"/>
        <v>-112103.42837055381</v>
      </c>
      <c r="AB243" s="16">
        <f t="shared" si="100"/>
        <v>-49425.556027204919</v>
      </c>
      <c r="AC243" s="16">
        <f t="shared" si="101"/>
        <v>-49425.556027204912</v>
      </c>
      <c r="AD243" s="16">
        <f t="shared" si="102"/>
        <v>-50125.556027204904</v>
      </c>
      <c r="AE243" s="14">
        <f>IF([1]Sheet2!AJ242=999999,"NA",[1]Sheet2!AJ242)</f>
        <v>0</v>
      </c>
      <c r="AF243" s="14">
        <f>IF([1]Sheet2!AK242=999999,"NA",[1]Sheet2!AK242)</f>
        <v>0</v>
      </c>
      <c r="AG243" s="14" t="str">
        <f>IF([1]Sheet2!AL242=999999,"NA",[1]Sheet2!AL242)</f>
        <v>NA</v>
      </c>
      <c r="AH243" s="14">
        <f>IF([1]Sheet2!AM242=999999,"NA",[1]Sheet2!AM242)</f>
        <v>125</v>
      </c>
      <c r="AI243" s="14">
        <f>IF([1]Sheet2!AN242=999999,"NA",[1]Sheet2!AN242)</f>
        <v>125</v>
      </c>
      <c r="AJ243" s="14">
        <f>IF([1]Sheet2!AO242=999999,"NA",[1]Sheet2!AO242)</f>
        <v>125</v>
      </c>
      <c r="AK243" s="14">
        <f>IF([1]Sheet2!AP242=999999,"NA",[1]Sheet2!AP242)</f>
        <v>0</v>
      </c>
      <c r="AL243" s="14">
        <f>IF([1]Sheet2!AQ242=999999,"NA",[1]Sheet2!AQ242)</f>
        <v>20</v>
      </c>
      <c r="AM243" s="14">
        <f>IF([1]Sheet2!AR242=999999,"NA",[1]Sheet2!AR242)</f>
        <v>125</v>
      </c>
      <c r="AN243" s="14">
        <f>IF([1]Sheet2!AS242=999999,"NA",[1]Sheet2!AS242)</f>
        <v>76</v>
      </c>
      <c r="AO243" s="14">
        <f>[1]Sheet2!P242</f>
        <v>0</v>
      </c>
      <c r="AP243" s="14">
        <f>[1]Sheet2!Q242</f>
        <v>0</v>
      </c>
      <c r="AQ243" s="14">
        <f>[1]Sheet2!R242</f>
        <v>0</v>
      </c>
      <c r="AR243" s="14">
        <f>[1]Sheet2!S242</f>
        <v>0</v>
      </c>
      <c r="AS243" s="14">
        <f>[1]Sheet2!T242</f>
        <v>0</v>
      </c>
      <c r="AT243" s="14">
        <f>[1]Sheet2!U242</f>
        <v>0</v>
      </c>
      <c r="AU243" s="14">
        <f>[1]Sheet2!V242</f>
        <v>0</v>
      </c>
      <c r="AV243" s="14">
        <f>[1]Sheet2!W242</f>
        <v>0</v>
      </c>
      <c r="AW243" s="14">
        <f>[1]Sheet2!X242</f>
        <v>0</v>
      </c>
      <c r="AX243" s="14">
        <f>[1]Sheet2!Y242</f>
        <v>0</v>
      </c>
      <c r="AY243" s="16">
        <f>Demand_LP!B$10/31</f>
        <v>857.18246226220015</v>
      </c>
      <c r="AZ243" s="16">
        <f>Demand_LP!C$10/31</f>
        <v>528.30835401157981</v>
      </c>
      <c r="BA243" s="16">
        <f>Demand_LP!D$10/31</f>
        <v>338.76323407775027</v>
      </c>
      <c r="BB243" s="16">
        <f>Demand_LP!E$10/31</f>
        <v>735.04776674937955</v>
      </c>
      <c r="BC243" s="16">
        <f>Demand_LP!F$10/31</f>
        <v>479.51259046732832</v>
      </c>
      <c r="BD243" s="16">
        <f>Demand_LP!G$10/31</f>
        <v>857.18246226220015</v>
      </c>
      <c r="BE243" s="16">
        <f>Demand_LP!H$10/31</f>
        <v>528.30835401157981</v>
      </c>
      <c r="BF243" s="16">
        <f>Demand_LP!I$10/31</f>
        <v>479.51259046732832</v>
      </c>
      <c r="BG243" s="16">
        <f>Demand_LP!J$10/31</f>
        <v>479.51259046732832</v>
      </c>
      <c r="BH243" s="16">
        <f>Demand_LP!K$10/31</f>
        <v>479.51259046732832</v>
      </c>
      <c r="BI243" s="16" t="e">
        <f t="shared" si="103"/>
        <v>#VALUE!</v>
      </c>
      <c r="BJ243" s="16">
        <f t="shared" si="104"/>
        <v>-135701.21596360608</v>
      </c>
      <c r="BK243" s="16">
        <f t="shared" si="105"/>
        <v>-70348.310297766671</v>
      </c>
      <c r="BL243" s="16">
        <f t="shared" si="106"/>
        <v>-178915.53873480484</v>
      </c>
      <c r="BM243" s="16">
        <f t="shared" si="107"/>
        <v>-104483.63233266344</v>
      </c>
      <c r="BN243" s="16">
        <f t="shared" si="108"/>
        <v>-182274.21279487087</v>
      </c>
      <c r="BO243" s="16">
        <f t="shared" si="109"/>
        <v>-138058.79545078587</v>
      </c>
      <c r="BP243" s="16">
        <f t="shared" si="110"/>
        <v>-105595.31625103405</v>
      </c>
      <c r="BQ243" s="16">
        <f t="shared" si="111"/>
        <v>-102585.31625103409</v>
      </c>
      <c r="BR243" s="16">
        <f t="shared" si="112"/>
        <v>-103785.31625103405</v>
      </c>
      <c r="BS243" s="14">
        <f>IF([1]Sheet2!CA242=999999,"NA",[1]Sheet2!CA242)</f>
        <v>112693.68374896611</v>
      </c>
      <c r="BT243" s="14">
        <f>IF([1]Sheet2!CB242=999999,"NA",[1]Sheet2!CB242)</f>
        <v>55</v>
      </c>
      <c r="BU243" s="14">
        <f>IF([1]Sheet2!CC242=999999,"NA",[1]Sheet2!CC242)</f>
        <v>125</v>
      </c>
      <c r="BV243" s="14">
        <f>IF([1]Sheet2!CD242=999999,"NA",[1]Sheet2!CD242)</f>
        <v>125</v>
      </c>
      <c r="BW243" s="14">
        <f>IF([1]Sheet2!CE242=999999,"NA",[1]Sheet2!CE242)</f>
        <v>94</v>
      </c>
      <c r="BX243" s="14">
        <f>IF([1]Sheet2!CF242=999999,"NA",[1]Sheet2!CF242)</f>
        <v>125</v>
      </c>
      <c r="BY243" s="14">
        <f>IF([1]Sheet2!CG242=999999,"NA",[1]Sheet2!CG242)</f>
        <v>26</v>
      </c>
      <c r="BZ243" s="14">
        <f>IF([1]Sheet2!CH242=999999,"NA",[1]Sheet2!CH242)</f>
        <v>125</v>
      </c>
      <c r="CA243" s="14">
        <f>IF([1]Sheet2!CI242=999999,"NA",[1]Sheet2!CI242)</f>
        <v>125</v>
      </c>
      <c r="CB243" s="14">
        <f>IF([1]Sheet2!CJ242=999999,"NA",[1]Sheet2!CJ242)</f>
        <v>125</v>
      </c>
      <c r="CC243" s="14">
        <f>[1]Sheet2!BG242</f>
        <v>0</v>
      </c>
      <c r="CD243" s="14">
        <f>[1]Sheet2!BH242</f>
        <v>0</v>
      </c>
      <c r="CE243" s="14">
        <f>[1]Sheet2!BI242</f>
        <v>0</v>
      </c>
      <c r="CF243" s="14">
        <f>[1]Sheet2!BJ242</f>
        <v>0</v>
      </c>
      <c r="CG243" s="14">
        <f>[1]Sheet2!BK242</f>
        <v>0</v>
      </c>
      <c r="CH243" s="14">
        <f>[1]Sheet2!BL242</f>
        <v>0</v>
      </c>
      <c r="CI243" s="14">
        <f>[1]Sheet2!BM242</f>
        <v>0</v>
      </c>
      <c r="CJ243" s="14">
        <f>[1]Sheet2!BN242</f>
        <v>0</v>
      </c>
      <c r="CK243" s="14">
        <f>[1]Sheet2!BO242</f>
        <v>0</v>
      </c>
      <c r="CL243" s="14">
        <f>[1]Sheet2!BP242</f>
        <v>0</v>
      </c>
      <c r="CM243" s="16">
        <f>Demand_SW!B$10/31</f>
        <v>131.01736972704714</v>
      </c>
      <c r="CN243" s="16">
        <f>Demand_SW!C$10/31</f>
        <v>0</v>
      </c>
      <c r="CO243" s="16">
        <f>Demand_SW!D$10/31</f>
        <v>0</v>
      </c>
      <c r="CP243" s="16">
        <f>Demand_SW!E$10/31</f>
        <v>0</v>
      </c>
      <c r="CQ243" s="16">
        <f>Demand_SW!F$10/31</f>
        <v>0</v>
      </c>
      <c r="CR243" s="16">
        <f>Demand_SW!G$10/31</f>
        <v>131.01736972704714</v>
      </c>
      <c r="CS243" s="16">
        <f>Demand_SW!H$10/31</f>
        <v>0</v>
      </c>
      <c r="CT243" s="16">
        <f>Demand_SW!I$10/31</f>
        <v>0</v>
      </c>
      <c r="CU243" s="16">
        <f>Demand_SW!J$10/31</f>
        <v>0</v>
      </c>
      <c r="CV243" s="16">
        <f>Demand_SW!K$10/31</f>
        <v>0</v>
      </c>
      <c r="CW243" s="16">
        <f t="shared" si="113"/>
        <v>68672.282878411846</v>
      </c>
      <c r="CX243" s="16">
        <f t="shared" si="114"/>
        <v>20683.923076923078</v>
      </c>
      <c r="CY243" s="16">
        <f t="shared" si="115"/>
        <v>0</v>
      </c>
      <c r="CZ243" s="16">
        <f t="shared" si="116"/>
        <v>0</v>
      </c>
      <c r="DA243" s="16">
        <f t="shared" si="117"/>
        <v>0</v>
      </c>
      <c r="DB243" s="16">
        <f t="shared" si="118"/>
        <v>-30856.947890818865</v>
      </c>
      <c r="DC243" s="16">
        <f t="shared" si="119"/>
        <v>20683.923076923078</v>
      </c>
      <c r="DD243" s="16">
        <f t="shared" si="120"/>
        <v>0</v>
      </c>
      <c r="DE243" s="16">
        <f t="shared" si="121"/>
        <v>0</v>
      </c>
      <c r="DF243" s="16">
        <f t="shared" si="122"/>
        <v>0</v>
      </c>
      <c r="DG243" s="14">
        <f>IF([1]Sheet2!DR242=999999,"NA",[1]Sheet2!DR242)</f>
        <v>73103</v>
      </c>
      <c r="DH243" s="14">
        <f>IF([1]Sheet2!DS242=999999,"NA",[1]Sheet2!DS242)</f>
        <v>125</v>
      </c>
      <c r="DI243" s="14">
        <f>IF([1]Sheet2!DT242=999999,"NA",[1]Sheet2!DT242)</f>
        <v>125</v>
      </c>
      <c r="DJ243" s="14" t="str">
        <f>IF([1]Sheet2!DU242=999999,"NA",[1]Sheet2!DU242)</f>
        <v>NA</v>
      </c>
      <c r="DK243" s="14" t="str">
        <f>IF([1]Sheet2!DV242=999999,"NA",[1]Sheet2!DV242)</f>
        <v>NA</v>
      </c>
      <c r="DL243" s="14" t="str">
        <f>IF([1]Sheet2!DW242=999999,"NA",[1]Sheet2!DW242)</f>
        <v>NA</v>
      </c>
      <c r="DM243" s="14">
        <f>IF([1]Sheet2!DX242=999999,"NA",[1]Sheet2!DX242)</f>
        <v>125</v>
      </c>
      <c r="DN243" s="14">
        <f>IF([1]Sheet2!DY242=999999,"NA",[1]Sheet2!DY242)</f>
        <v>125</v>
      </c>
      <c r="DO243" s="14" t="str">
        <f>IF([1]Sheet2!DZ242=999999,"NA",[1]Sheet2!DZ242)</f>
        <v>NA</v>
      </c>
      <c r="DP243" s="14" t="str">
        <f>IF([1]Sheet2!EA242=999999,"NA",[1]Sheet2!EA242)</f>
        <v>NA</v>
      </c>
      <c r="DQ243" s="14">
        <f>[1]Sheet2!CX242</f>
        <v>0</v>
      </c>
      <c r="DR243" s="14">
        <f>[1]Sheet2!CY242</f>
        <v>0</v>
      </c>
      <c r="DS243" s="14">
        <f>[1]Sheet2!CZ242</f>
        <v>0</v>
      </c>
      <c r="DT243" s="14">
        <f>[1]Sheet2!DA242</f>
        <v>0</v>
      </c>
      <c r="DU243" s="14">
        <f>[1]Sheet2!DB242</f>
        <v>0</v>
      </c>
      <c r="DV243" s="14">
        <f>[1]Sheet2!DC242</f>
        <v>0</v>
      </c>
      <c r="DW243" s="14">
        <f>[1]Sheet2!DD242</f>
        <v>0</v>
      </c>
      <c r="DX243" s="14">
        <f>[1]Sheet2!DE242</f>
        <v>0</v>
      </c>
      <c r="DY243" s="14">
        <f>[1]Sheet2!DF242</f>
        <v>0</v>
      </c>
      <c r="DZ243" s="14">
        <f>[1]Sheet2!DG242</f>
        <v>0</v>
      </c>
    </row>
    <row r="244" spans="1:130" x14ac:dyDescent="0.25">
      <c r="A244" s="15">
        <v>43706</v>
      </c>
      <c r="B244" s="1"/>
      <c r="C244" s="1"/>
      <c r="D244" s="1"/>
      <c r="E244" s="14">
        <f>[1]Sheet2!N243</f>
        <v>0</v>
      </c>
      <c r="F244" s="14">
        <f>[1]Sheet2!BE243</f>
        <v>0</v>
      </c>
      <c r="G244" s="14">
        <f>[1]Sheet2!CV243</f>
        <v>262.03473945409428</v>
      </c>
      <c r="H244" s="1"/>
      <c r="I244" s="1"/>
      <c r="J244" s="1"/>
      <c r="K244" s="16">
        <f>Demand_CWRS!B$10/31</f>
        <v>120.8438508064516</v>
      </c>
      <c r="L244" s="16">
        <f>Demand_CWRS!C$10/31</f>
        <v>552.80165425971859</v>
      </c>
      <c r="M244" s="16">
        <f>Demand_CWRS!D$10/31</f>
        <v>0</v>
      </c>
      <c r="N244" s="16">
        <f>Demand_CWRS!E$10/31</f>
        <v>141.75971877584777</v>
      </c>
      <c r="O244" s="16">
        <f>Demand_CWRS!F$10/31</f>
        <v>252.70758116211746</v>
      </c>
      <c r="P244" s="16">
        <f>Demand_CWRS!G$10/31</f>
        <v>116.12903225806451</v>
      </c>
      <c r="Q244" s="16">
        <f>Demand_CWRS!H$10/31</f>
        <v>552.80165425971859</v>
      </c>
      <c r="R244" s="16">
        <f>Demand_CWRS!I$10/31</f>
        <v>252.70758116211746</v>
      </c>
      <c r="S244" s="16">
        <f>Demand_CWRS!J$10/31</f>
        <v>252.70758116211746</v>
      </c>
      <c r="T244" s="16">
        <f>Demand_CWRS!K$10/31</f>
        <v>252.70758116211746</v>
      </c>
      <c r="U244" s="16">
        <f t="shared" si="93"/>
        <v>-32192.944508860455</v>
      </c>
      <c r="V244" s="16">
        <f t="shared" si="94"/>
        <v>-113156.23002481353</v>
      </c>
      <c r="W244" s="16">
        <f t="shared" si="95"/>
        <v>0</v>
      </c>
      <c r="X244" s="16">
        <f t="shared" si="96"/>
        <v>-26736.475060987643</v>
      </c>
      <c r="Y244" s="16">
        <f t="shared" si="97"/>
        <v>-52162.10908913632</v>
      </c>
      <c r="Z244" s="16">
        <f t="shared" si="98"/>
        <v>-31805.441621918821</v>
      </c>
      <c r="AA244" s="16">
        <f t="shared" si="99"/>
        <v>-112656.23002481353</v>
      </c>
      <c r="AB244" s="16">
        <f t="shared" si="100"/>
        <v>-49678.263608367037</v>
      </c>
      <c r="AC244" s="16">
        <f t="shared" si="101"/>
        <v>-49678.26360836703</v>
      </c>
      <c r="AD244" s="16">
        <f t="shared" si="102"/>
        <v>-50378.263608367022</v>
      </c>
      <c r="AE244" s="14">
        <f>IF([1]Sheet2!AJ243=999999,"NA",[1]Sheet2!AJ243)</f>
        <v>0</v>
      </c>
      <c r="AF244" s="14">
        <f>IF([1]Sheet2!AK243=999999,"NA",[1]Sheet2!AK243)</f>
        <v>0</v>
      </c>
      <c r="AG244" s="14" t="str">
        <f>IF([1]Sheet2!AL243=999999,"NA",[1]Sheet2!AL243)</f>
        <v>NA</v>
      </c>
      <c r="AH244" s="14">
        <f>IF([1]Sheet2!AM243=999999,"NA",[1]Sheet2!AM243)</f>
        <v>124</v>
      </c>
      <c r="AI244" s="14">
        <f>IF([1]Sheet2!AN243=999999,"NA",[1]Sheet2!AN243)</f>
        <v>124</v>
      </c>
      <c r="AJ244" s="14">
        <f>IF([1]Sheet2!AO243=999999,"NA",[1]Sheet2!AO243)</f>
        <v>124</v>
      </c>
      <c r="AK244" s="14">
        <f>IF([1]Sheet2!AP243=999999,"NA",[1]Sheet2!AP243)</f>
        <v>0</v>
      </c>
      <c r="AL244" s="14">
        <f>IF([1]Sheet2!AQ243=999999,"NA",[1]Sheet2!AQ243)</f>
        <v>19</v>
      </c>
      <c r="AM244" s="14">
        <f>IF([1]Sheet2!AR243=999999,"NA",[1]Sheet2!AR243)</f>
        <v>124</v>
      </c>
      <c r="AN244" s="14">
        <f>IF([1]Sheet2!AS243=999999,"NA",[1]Sheet2!AS243)</f>
        <v>75</v>
      </c>
      <c r="AO244" s="14">
        <f>[1]Sheet2!P243</f>
        <v>0</v>
      </c>
      <c r="AP244" s="14">
        <f>[1]Sheet2!Q243</f>
        <v>0</v>
      </c>
      <c r="AQ244" s="14">
        <f>[1]Sheet2!R243</f>
        <v>0</v>
      </c>
      <c r="AR244" s="14">
        <f>[1]Sheet2!S243</f>
        <v>0</v>
      </c>
      <c r="AS244" s="14">
        <f>[1]Sheet2!T243</f>
        <v>0</v>
      </c>
      <c r="AT244" s="14">
        <f>[1]Sheet2!U243</f>
        <v>0</v>
      </c>
      <c r="AU244" s="14">
        <f>[1]Sheet2!V243</f>
        <v>0</v>
      </c>
      <c r="AV244" s="14">
        <f>[1]Sheet2!W243</f>
        <v>0</v>
      </c>
      <c r="AW244" s="14">
        <f>[1]Sheet2!X243</f>
        <v>0</v>
      </c>
      <c r="AX244" s="14">
        <f>[1]Sheet2!Y243</f>
        <v>0</v>
      </c>
      <c r="AY244" s="16">
        <f>Demand_LP!B$10/31</f>
        <v>857.18246226220015</v>
      </c>
      <c r="AZ244" s="16">
        <f>Demand_LP!C$10/31</f>
        <v>528.30835401157981</v>
      </c>
      <c r="BA244" s="16">
        <f>Demand_LP!D$10/31</f>
        <v>338.76323407775027</v>
      </c>
      <c r="BB244" s="16">
        <f>Demand_LP!E$10/31</f>
        <v>735.04776674937955</v>
      </c>
      <c r="BC244" s="16">
        <f>Demand_LP!F$10/31</f>
        <v>479.51259046732832</v>
      </c>
      <c r="BD244" s="16">
        <f>Demand_LP!G$10/31</f>
        <v>857.18246226220015</v>
      </c>
      <c r="BE244" s="16">
        <f>Demand_LP!H$10/31</f>
        <v>528.30835401157981</v>
      </c>
      <c r="BF244" s="16">
        <f>Demand_LP!I$10/31</f>
        <v>479.51259046732832</v>
      </c>
      <c r="BG244" s="16">
        <f>Demand_LP!J$10/31</f>
        <v>479.51259046732832</v>
      </c>
      <c r="BH244" s="16">
        <f>Demand_LP!K$10/31</f>
        <v>479.51259046732832</v>
      </c>
      <c r="BI244" s="16" t="e">
        <f t="shared" si="103"/>
        <v>#VALUE!</v>
      </c>
      <c r="BJ244" s="16">
        <f t="shared" si="104"/>
        <v>-136229.52431761767</v>
      </c>
      <c r="BK244" s="16">
        <f t="shared" si="105"/>
        <v>-70687.07353184442</v>
      </c>
      <c r="BL244" s="16">
        <f t="shared" si="106"/>
        <v>-179650.58650155421</v>
      </c>
      <c r="BM244" s="16">
        <f t="shared" si="107"/>
        <v>-104963.14492313078</v>
      </c>
      <c r="BN244" s="16">
        <f t="shared" si="108"/>
        <v>-183131.39525713306</v>
      </c>
      <c r="BO244" s="16">
        <f t="shared" si="109"/>
        <v>-138587.10380479746</v>
      </c>
      <c r="BP244" s="16">
        <f t="shared" si="110"/>
        <v>-106074.82884150138</v>
      </c>
      <c r="BQ244" s="16">
        <f t="shared" si="111"/>
        <v>-103064.82884150142</v>
      </c>
      <c r="BR244" s="16">
        <f t="shared" si="112"/>
        <v>-104264.82884150138</v>
      </c>
      <c r="BS244" s="14">
        <f>IF([1]Sheet2!CA243=999999,"NA",[1]Sheet2!CA243)</f>
        <v>112214.17115849878</v>
      </c>
      <c r="BT244" s="14">
        <f>IF([1]Sheet2!CB243=999999,"NA",[1]Sheet2!CB243)</f>
        <v>54</v>
      </c>
      <c r="BU244" s="14">
        <f>IF([1]Sheet2!CC243=999999,"NA",[1]Sheet2!CC243)</f>
        <v>124</v>
      </c>
      <c r="BV244" s="14">
        <f>IF([1]Sheet2!CD243=999999,"NA",[1]Sheet2!CD243)</f>
        <v>124</v>
      </c>
      <c r="BW244" s="14">
        <f>IF([1]Sheet2!CE243=999999,"NA",[1]Sheet2!CE243)</f>
        <v>93</v>
      </c>
      <c r="BX244" s="14">
        <f>IF([1]Sheet2!CF243=999999,"NA",[1]Sheet2!CF243)</f>
        <v>124</v>
      </c>
      <c r="BY244" s="14">
        <f>IF([1]Sheet2!CG243=999999,"NA",[1]Sheet2!CG243)</f>
        <v>25</v>
      </c>
      <c r="BZ244" s="14">
        <f>IF([1]Sheet2!CH243=999999,"NA",[1]Sheet2!CH243)</f>
        <v>124</v>
      </c>
      <c r="CA244" s="14">
        <f>IF([1]Sheet2!CI243=999999,"NA",[1]Sheet2!CI243)</f>
        <v>124</v>
      </c>
      <c r="CB244" s="14">
        <f>IF([1]Sheet2!CJ243=999999,"NA",[1]Sheet2!CJ243)</f>
        <v>124</v>
      </c>
      <c r="CC244" s="14">
        <f>[1]Sheet2!BG243</f>
        <v>0</v>
      </c>
      <c r="CD244" s="14">
        <f>[1]Sheet2!BH243</f>
        <v>0</v>
      </c>
      <c r="CE244" s="14">
        <f>[1]Sheet2!BI243</f>
        <v>0</v>
      </c>
      <c r="CF244" s="14">
        <f>[1]Sheet2!BJ243</f>
        <v>0</v>
      </c>
      <c r="CG244" s="14">
        <f>[1]Sheet2!BK243</f>
        <v>0</v>
      </c>
      <c r="CH244" s="14">
        <f>[1]Sheet2!BL243</f>
        <v>0</v>
      </c>
      <c r="CI244" s="14">
        <f>[1]Sheet2!BM243</f>
        <v>0</v>
      </c>
      <c r="CJ244" s="14">
        <f>[1]Sheet2!BN243</f>
        <v>0</v>
      </c>
      <c r="CK244" s="14">
        <f>[1]Sheet2!BO243</f>
        <v>0</v>
      </c>
      <c r="CL244" s="14">
        <f>[1]Sheet2!BP243</f>
        <v>0</v>
      </c>
      <c r="CM244" s="16">
        <f>Demand_SW!B$10/31</f>
        <v>131.01736972704714</v>
      </c>
      <c r="CN244" s="16">
        <f>Demand_SW!C$10/31</f>
        <v>0</v>
      </c>
      <c r="CO244" s="16">
        <f>Demand_SW!D$10/31</f>
        <v>0</v>
      </c>
      <c r="CP244" s="16">
        <f>Demand_SW!E$10/31</f>
        <v>0</v>
      </c>
      <c r="CQ244" s="16">
        <f>Demand_SW!F$10/31</f>
        <v>0</v>
      </c>
      <c r="CR244" s="16">
        <f>Demand_SW!G$10/31</f>
        <v>131.01736972704714</v>
      </c>
      <c r="CS244" s="16">
        <f>Demand_SW!H$10/31</f>
        <v>0</v>
      </c>
      <c r="CT244" s="16">
        <f>Demand_SW!I$10/31</f>
        <v>0</v>
      </c>
      <c r="CU244" s="16">
        <f>Demand_SW!J$10/31</f>
        <v>0</v>
      </c>
      <c r="CV244" s="16">
        <f>Demand_SW!K$10/31</f>
        <v>0</v>
      </c>
      <c r="CW244" s="16">
        <f t="shared" si="113"/>
        <v>68541.265508684795</v>
      </c>
      <c r="CX244" s="16">
        <f t="shared" si="114"/>
        <v>20683.923076923078</v>
      </c>
      <c r="CY244" s="16">
        <f t="shared" si="115"/>
        <v>0</v>
      </c>
      <c r="CZ244" s="16">
        <f t="shared" si="116"/>
        <v>0</v>
      </c>
      <c r="DA244" s="16">
        <f t="shared" si="117"/>
        <v>0</v>
      </c>
      <c r="DB244" s="16">
        <f t="shared" si="118"/>
        <v>-30987.965260545912</v>
      </c>
      <c r="DC244" s="16">
        <f t="shared" si="119"/>
        <v>20683.923076923078</v>
      </c>
      <c r="DD244" s="16">
        <f t="shared" si="120"/>
        <v>0</v>
      </c>
      <c r="DE244" s="16">
        <f t="shared" si="121"/>
        <v>0</v>
      </c>
      <c r="DF244" s="16">
        <f t="shared" si="122"/>
        <v>0</v>
      </c>
      <c r="DG244" s="14">
        <f>IF([1]Sheet2!DR243=999999,"NA",[1]Sheet2!DR243)</f>
        <v>73103</v>
      </c>
      <c r="DH244" s="14">
        <f>IF([1]Sheet2!DS243=999999,"NA",[1]Sheet2!DS243)</f>
        <v>124</v>
      </c>
      <c r="DI244" s="14">
        <f>IF([1]Sheet2!DT243=999999,"NA",[1]Sheet2!DT243)</f>
        <v>124</v>
      </c>
      <c r="DJ244" s="14" t="str">
        <f>IF([1]Sheet2!DU243=999999,"NA",[1]Sheet2!DU243)</f>
        <v>NA</v>
      </c>
      <c r="DK244" s="14" t="str">
        <f>IF([1]Sheet2!DV243=999999,"NA",[1]Sheet2!DV243)</f>
        <v>NA</v>
      </c>
      <c r="DL244" s="14" t="str">
        <f>IF([1]Sheet2!DW243=999999,"NA",[1]Sheet2!DW243)</f>
        <v>NA</v>
      </c>
      <c r="DM244" s="14">
        <f>IF([1]Sheet2!DX243=999999,"NA",[1]Sheet2!DX243)</f>
        <v>124</v>
      </c>
      <c r="DN244" s="14">
        <f>IF([1]Sheet2!DY243=999999,"NA",[1]Sheet2!DY243)</f>
        <v>124</v>
      </c>
      <c r="DO244" s="14" t="str">
        <f>IF([1]Sheet2!DZ243=999999,"NA",[1]Sheet2!DZ243)</f>
        <v>NA</v>
      </c>
      <c r="DP244" s="14" t="str">
        <f>IF([1]Sheet2!EA243=999999,"NA",[1]Sheet2!EA243)</f>
        <v>NA</v>
      </c>
      <c r="DQ244" s="14">
        <f>[1]Sheet2!CX243</f>
        <v>0</v>
      </c>
      <c r="DR244" s="14">
        <f>[1]Sheet2!CY243</f>
        <v>0</v>
      </c>
      <c r="DS244" s="14">
        <f>[1]Sheet2!CZ243</f>
        <v>0</v>
      </c>
      <c r="DT244" s="14">
        <f>[1]Sheet2!DA243</f>
        <v>0</v>
      </c>
      <c r="DU244" s="14">
        <f>[1]Sheet2!DB243</f>
        <v>0</v>
      </c>
      <c r="DV244" s="14">
        <f>[1]Sheet2!DC243</f>
        <v>0</v>
      </c>
      <c r="DW244" s="14">
        <f>[1]Sheet2!DD243</f>
        <v>0</v>
      </c>
      <c r="DX244" s="14">
        <f>[1]Sheet2!DE243</f>
        <v>0</v>
      </c>
      <c r="DY244" s="14">
        <f>[1]Sheet2!DF243</f>
        <v>0</v>
      </c>
      <c r="DZ244" s="14">
        <f>[1]Sheet2!DG243</f>
        <v>0</v>
      </c>
    </row>
    <row r="245" spans="1:130" x14ac:dyDescent="0.25">
      <c r="A245" s="15">
        <v>43707</v>
      </c>
      <c r="B245" s="1"/>
      <c r="C245" s="1"/>
      <c r="D245" s="1"/>
      <c r="E245" s="14">
        <f>[1]Sheet2!N244</f>
        <v>0</v>
      </c>
      <c r="F245" s="14">
        <f>[1]Sheet2!BE244</f>
        <v>0</v>
      </c>
      <c r="G245" s="14">
        <f>[1]Sheet2!CV244</f>
        <v>262.03473945409428</v>
      </c>
      <c r="H245" s="1"/>
      <c r="I245" s="1"/>
      <c r="J245" s="1"/>
      <c r="K245" s="16">
        <f>Demand_CWRS!B$10/31</f>
        <v>120.8438508064516</v>
      </c>
      <c r="L245" s="16">
        <f>Demand_CWRS!C$10/31</f>
        <v>552.80165425971859</v>
      </c>
      <c r="M245" s="16">
        <f>Demand_CWRS!D$10/31</f>
        <v>0</v>
      </c>
      <c r="N245" s="16">
        <f>Demand_CWRS!E$10/31</f>
        <v>141.75971877584777</v>
      </c>
      <c r="O245" s="16">
        <f>Demand_CWRS!F$10/31</f>
        <v>252.70758116211746</v>
      </c>
      <c r="P245" s="16">
        <f>Demand_CWRS!G$10/31</f>
        <v>116.12903225806451</v>
      </c>
      <c r="Q245" s="16">
        <f>Demand_CWRS!H$10/31</f>
        <v>552.80165425971859</v>
      </c>
      <c r="R245" s="16">
        <f>Demand_CWRS!I$10/31</f>
        <v>252.70758116211746</v>
      </c>
      <c r="S245" s="16">
        <f>Demand_CWRS!J$10/31</f>
        <v>252.70758116211746</v>
      </c>
      <c r="T245" s="16">
        <f>Demand_CWRS!K$10/31</f>
        <v>252.70758116211746</v>
      </c>
      <c r="U245" s="16">
        <f t="shared" si="93"/>
        <v>-32313.788359666905</v>
      </c>
      <c r="V245" s="16">
        <f t="shared" si="94"/>
        <v>-113709.03167907325</v>
      </c>
      <c r="W245" s="16">
        <f t="shared" si="95"/>
        <v>0</v>
      </c>
      <c r="X245" s="16">
        <f t="shared" si="96"/>
        <v>-26878.23477976349</v>
      </c>
      <c r="Y245" s="16">
        <f t="shared" si="97"/>
        <v>-52414.816670298438</v>
      </c>
      <c r="Z245" s="16">
        <f t="shared" si="98"/>
        <v>-31921.570654176885</v>
      </c>
      <c r="AA245" s="16">
        <f t="shared" si="99"/>
        <v>-113209.03167907325</v>
      </c>
      <c r="AB245" s="16">
        <f t="shared" si="100"/>
        <v>-49930.971189529155</v>
      </c>
      <c r="AC245" s="16">
        <f t="shared" si="101"/>
        <v>-49930.971189529148</v>
      </c>
      <c r="AD245" s="16">
        <f t="shared" si="102"/>
        <v>-50630.97118952914</v>
      </c>
      <c r="AE245" s="14">
        <f>IF([1]Sheet2!AJ244=999999,"NA",[1]Sheet2!AJ244)</f>
        <v>0</v>
      </c>
      <c r="AF245" s="14">
        <f>IF([1]Sheet2!AK244=999999,"NA",[1]Sheet2!AK244)</f>
        <v>0</v>
      </c>
      <c r="AG245" s="14" t="str">
        <f>IF([1]Sheet2!AL244=999999,"NA",[1]Sheet2!AL244)</f>
        <v>NA</v>
      </c>
      <c r="AH245" s="14">
        <f>IF([1]Sheet2!AM244=999999,"NA",[1]Sheet2!AM244)</f>
        <v>123</v>
      </c>
      <c r="AI245" s="14">
        <f>IF([1]Sheet2!AN244=999999,"NA",[1]Sheet2!AN244)</f>
        <v>123</v>
      </c>
      <c r="AJ245" s="14">
        <f>IF([1]Sheet2!AO244=999999,"NA",[1]Sheet2!AO244)</f>
        <v>123</v>
      </c>
      <c r="AK245" s="14">
        <f>IF([1]Sheet2!AP244=999999,"NA",[1]Sheet2!AP244)</f>
        <v>0</v>
      </c>
      <c r="AL245" s="14">
        <f>IF([1]Sheet2!AQ244=999999,"NA",[1]Sheet2!AQ244)</f>
        <v>18</v>
      </c>
      <c r="AM245" s="14">
        <f>IF([1]Sheet2!AR244=999999,"NA",[1]Sheet2!AR244)</f>
        <v>123</v>
      </c>
      <c r="AN245" s="14">
        <f>IF([1]Sheet2!AS244=999999,"NA",[1]Sheet2!AS244)</f>
        <v>74</v>
      </c>
      <c r="AO245" s="14">
        <f>[1]Sheet2!P244</f>
        <v>0</v>
      </c>
      <c r="AP245" s="14">
        <f>[1]Sheet2!Q244</f>
        <v>0</v>
      </c>
      <c r="AQ245" s="14">
        <f>[1]Sheet2!R244</f>
        <v>0</v>
      </c>
      <c r="AR245" s="14">
        <f>[1]Sheet2!S244</f>
        <v>0</v>
      </c>
      <c r="AS245" s="14">
        <f>[1]Sheet2!T244</f>
        <v>0</v>
      </c>
      <c r="AT245" s="14">
        <f>[1]Sheet2!U244</f>
        <v>0</v>
      </c>
      <c r="AU245" s="14">
        <f>[1]Sheet2!V244</f>
        <v>0</v>
      </c>
      <c r="AV245" s="14">
        <f>[1]Sheet2!W244</f>
        <v>0</v>
      </c>
      <c r="AW245" s="14">
        <f>[1]Sheet2!X244</f>
        <v>0</v>
      </c>
      <c r="AX245" s="14">
        <f>[1]Sheet2!Y244</f>
        <v>0</v>
      </c>
      <c r="AY245" s="16">
        <f>Demand_LP!B$10/31</f>
        <v>857.18246226220015</v>
      </c>
      <c r="AZ245" s="16">
        <f>Demand_LP!C$10/31</f>
        <v>528.30835401157981</v>
      </c>
      <c r="BA245" s="16">
        <f>Demand_LP!D$10/31</f>
        <v>338.76323407775027</v>
      </c>
      <c r="BB245" s="16">
        <f>Demand_LP!E$10/31</f>
        <v>735.04776674937955</v>
      </c>
      <c r="BC245" s="16">
        <f>Demand_LP!F$10/31</f>
        <v>479.51259046732832</v>
      </c>
      <c r="BD245" s="16">
        <f>Demand_LP!G$10/31</f>
        <v>857.18246226220015</v>
      </c>
      <c r="BE245" s="16">
        <f>Demand_LP!H$10/31</f>
        <v>528.30835401157981</v>
      </c>
      <c r="BF245" s="16">
        <f>Demand_LP!I$10/31</f>
        <v>479.51259046732832</v>
      </c>
      <c r="BG245" s="16">
        <f>Demand_LP!J$10/31</f>
        <v>479.51259046732832</v>
      </c>
      <c r="BH245" s="16">
        <f>Demand_LP!K$10/31</f>
        <v>479.51259046732832</v>
      </c>
      <c r="BI245" s="16" t="e">
        <f t="shared" si="103"/>
        <v>#VALUE!</v>
      </c>
      <c r="BJ245" s="16">
        <f t="shared" si="104"/>
        <v>-136757.83267162926</v>
      </c>
      <c r="BK245" s="16">
        <f t="shared" si="105"/>
        <v>-71025.836765922169</v>
      </c>
      <c r="BL245" s="16">
        <f t="shared" si="106"/>
        <v>-180385.63426830358</v>
      </c>
      <c r="BM245" s="16">
        <f t="shared" si="107"/>
        <v>-105442.65751359811</v>
      </c>
      <c r="BN245" s="16">
        <f t="shared" si="108"/>
        <v>-183988.57771939525</v>
      </c>
      <c r="BO245" s="16">
        <f t="shared" si="109"/>
        <v>-139115.41215880905</v>
      </c>
      <c r="BP245" s="16">
        <f t="shared" si="110"/>
        <v>-106554.34143196871</v>
      </c>
      <c r="BQ245" s="16">
        <f t="shared" si="111"/>
        <v>-103544.34143196876</v>
      </c>
      <c r="BR245" s="16">
        <f t="shared" si="112"/>
        <v>-104744.34143196871</v>
      </c>
      <c r="BS245" s="14">
        <f>IF([1]Sheet2!CA244=999999,"NA",[1]Sheet2!CA244)</f>
        <v>111734.65856803145</v>
      </c>
      <c r="BT245" s="14">
        <f>IF([1]Sheet2!CB244=999999,"NA",[1]Sheet2!CB244)</f>
        <v>53</v>
      </c>
      <c r="BU245" s="14">
        <f>IF([1]Sheet2!CC244=999999,"NA",[1]Sheet2!CC244)</f>
        <v>123</v>
      </c>
      <c r="BV245" s="14">
        <f>IF([1]Sheet2!CD244=999999,"NA",[1]Sheet2!CD244)</f>
        <v>123</v>
      </c>
      <c r="BW245" s="14">
        <f>IF([1]Sheet2!CE244=999999,"NA",[1]Sheet2!CE244)</f>
        <v>92</v>
      </c>
      <c r="BX245" s="14">
        <f>IF([1]Sheet2!CF244=999999,"NA",[1]Sheet2!CF244)</f>
        <v>123</v>
      </c>
      <c r="BY245" s="14">
        <f>IF([1]Sheet2!CG244=999999,"NA",[1]Sheet2!CG244)</f>
        <v>24</v>
      </c>
      <c r="BZ245" s="14">
        <f>IF([1]Sheet2!CH244=999999,"NA",[1]Sheet2!CH244)</f>
        <v>123</v>
      </c>
      <c r="CA245" s="14">
        <f>IF([1]Sheet2!CI244=999999,"NA",[1]Sheet2!CI244)</f>
        <v>123</v>
      </c>
      <c r="CB245" s="14">
        <f>IF([1]Sheet2!CJ244=999999,"NA",[1]Sheet2!CJ244)</f>
        <v>123</v>
      </c>
      <c r="CC245" s="14">
        <f>[1]Sheet2!BG244</f>
        <v>0</v>
      </c>
      <c r="CD245" s="14">
        <f>[1]Sheet2!BH244</f>
        <v>0</v>
      </c>
      <c r="CE245" s="14">
        <f>[1]Sheet2!BI244</f>
        <v>0</v>
      </c>
      <c r="CF245" s="14">
        <f>[1]Sheet2!BJ244</f>
        <v>0</v>
      </c>
      <c r="CG245" s="14">
        <f>[1]Sheet2!BK244</f>
        <v>0</v>
      </c>
      <c r="CH245" s="14">
        <f>[1]Sheet2!BL244</f>
        <v>0</v>
      </c>
      <c r="CI245" s="14">
        <f>[1]Sheet2!BM244</f>
        <v>0</v>
      </c>
      <c r="CJ245" s="14">
        <f>[1]Sheet2!BN244</f>
        <v>0</v>
      </c>
      <c r="CK245" s="14">
        <f>[1]Sheet2!BO244</f>
        <v>0</v>
      </c>
      <c r="CL245" s="14">
        <f>[1]Sheet2!BP244</f>
        <v>0</v>
      </c>
      <c r="CM245" s="16">
        <f>Demand_SW!B$10/31</f>
        <v>131.01736972704714</v>
      </c>
      <c r="CN245" s="16">
        <f>Demand_SW!C$10/31</f>
        <v>0</v>
      </c>
      <c r="CO245" s="16">
        <f>Demand_SW!D$10/31</f>
        <v>0</v>
      </c>
      <c r="CP245" s="16">
        <f>Demand_SW!E$10/31</f>
        <v>0</v>
      </c>
      <c r="CQ245" s="16">
        <f>Demand_SW!F$10/31</f>
        <v>0</v>
      </c>
      <c r="CR245" s="16">
        <f>Demand_SW!G$10/31</f>
        <v>131.01736972704714</v>
      </c>
      <c r="CS245" s="16">
        <f>Demand_SW!H$10/31</f>
        <v>0</v>
      </c>
      <c r="CT245" s="16">
        <f>Demand_SW!I$10/31</f>
        <v>0</v>
      </c>
      <c r="CU245" s="16">
        <f>Demand_SW!J$10/31</f>
        <v>0</v>
      </c>
      <c r="CV245" s="16">
        <f>Demand_SW!K$10/31</f>
        <v>0</v>
      </c>
      <c r="CW245" s="16">
        <f t="shared" si="113"/>
        <v>68410.248138957744</v>
      </c>
      <c r="CX245" s="16">
        <f t="shared" si="114"/>
        <v>20683.923076923078</v>
      </c>
      <c r="CY245" s="16">
        <f t="shared" si="115"/>
        <v>0</v>
      </c>
      <c r="CZ245" s="16">
        <f t="shared" si="116"/>
        <v>0</v>
      </c>
      <c r="DA245" s="16">
        <f t="shared" si="117"/>
        <v>0</v>
      </c>
      <c r="DB245" s="16">
        <f t="shared" si="118"/>
        <v>-31118.98263027296</v>
      </c>
      <c r="DC245" s="16">
        <f t="shared" si="119"/>
        <v>20683.923076923078</v>
      </c>
      <c r="DD245" s="16">
        <f t="shared" si="120"/>
        <v>0</v>
      </c>
      <c r="DE245" s="16">
        <f t="shared" si="121"/>
        <v>0</v>
      </c>
      <c r="DF245" s="16">
        <f t="shared" si="122"/>
        <v>0</v>
      </c>
      <c r="DG245" s="14">
        <f>IF([1]Sheet2!DR244=999999,"NA",[1]Sheet2!DR244)</f>
        <v>73103</v>
      </c>
      <c r="DH245" s="14">
        <f>IF([1]Sheet2!DS244=999999,"NA",[1]Sheet2!DS244)</f>
        <v>123</v>
      </c>
      <c r="DI245" s="14">
        <f>IF([1]Sheet2!DT244=999999,"NA",[1]Sheet2!DT244)</f>
        <v>123</v>
      </c>
      <c r="DJ245" s="14" t="str">
        <f>IF([1]Sheet2!DU244=999999,"NA",[1]Sheet2!DU244)</f>
        <v>NA</v>
      </c>
      <c r="DK245" s="14" t="str">
        <f>IF([1]Sheet2!DV244=999999,"NA",[1]Sheet2!DV244)</f>
        <v>NA</v>
      </c>
      <c r="DL245" s="14" t="str">
        <f>IF([1]Sheet2!DW244=999999,"NA",[1]Sheet2!DW244)</f>
        <v>NA</v>
      </c>
      <c r="DM245" s="14">
        <f>IF([1]Sheet2!DX244=999999,"NA",[1]Sheet2!DX244)</f>
        <v>123</v>
      </c>
      <c r="DN245" s="14">
        <f>IF([1]Sheet2!DY244=999999,"NA",[1]Sheet2!DY244)</f>
        <v>123</v>
      </c>
      <c r="DO245" s="14" t="str">
        <f>IF([1]Sheet2!DZ244=999999,"NA",[1]Sheet2!DZ244)</f>
        <v>NA</v>
      </c>
      <c r="DP245" s="14" t="str">
        <f>IF([1]Sheet2!EA244=999999,"NA",[1]Sheet2!EA244)</f>
        <v>NA</v>
      </c>
      <c r="DQ245" s="14">
        <f>[1]Sheet2!CX244</f>
        <v>0</v>
      </c>
      <c r="DR245" s="14">
        <f>[1]Sheet2!CY244</f>
        <v>0</v>
      </c>
      <c r="DS245" s="14">
        <f>[1]Sheet2!CZ244</f>
        <v>0</v>
      </c>
      <c r="DT245" s="14">
        <f>[1]Sheet2!DA244</f>
        <v>0</v>
      </c>
      <c r="DU245" s="14">
        <f>[1]Sheet2!DB244</f>
        <v>0</v>
      </c>
      <c r="DV245" s="14">
        <f>[1]Sheet2!DC244</f>
        <v>0</v>
      </c>
      <c r="DW245" s="14">
        <f>[1]Sheet2!DD244</f>
        <v>0</v>
      </c>
      <c r="DX245" s="14">
        <f>[1]Sheet2!DE244</f>
        <v>0</v>
      </c>
      <c r="DY245" s="14">
        <f>[1]Sheet2!DF244</f>
        <v>0</v>
      </c>
      <c r="DZ245" s="14">
        <f>[1]Sheet2!DG244</f>
        <v>0</v>
      </c>
    </row>
    <row r="246" spans="1:130" x14ac:dyDescent="0.25">
      <c r="A246" s="15">
        <v>43708</v>
      </c>
      <c r="B246" s="1"/>
      <c r="C246" s="1"/>
      <c r="D246" s="1"/>
      <c r="E246" s="14">
        <f>[1]Sheet2!N245</f>
        <v>0</v>
      </c>
      <c r="F246" s="14">
        <f>[1]Sheet2!BE245</f>
        <v>0</v>
      </c>
      <c r="G246" s="14">
        <f>[1]Sheet2!CV245</f>
        <v>262.03473945409428</v>
      </c>
      <c r="H246" s="1"/>
      <c r="I246" s="1"/>
      <c r="J246" s="1"/>
      <c r="K246" s="16">
        <f>Demand_CWRS!B$10/31</f>
        <v>120.8438508064516</v>
      </c>
      <c r="L246" s="16">
        <f>Demand_CWRS!C$10/31</f>
        <v>552.80165425971859</v>
      </c>
      <c r="M246" s="16">
        <f>Demand_CWRS!D$10/31</f>
        <v>0</v>
      </c>
      <c r="N246" s="16">
        <f>Demand_CWRS!E$10/31</f>
        <v>141.75971877584777</v>
      </c>
      <c r="O246" s="16">
        <f>Demand_CWRS!F$10/31</f>
        <v>252.70758116211746</v>
      </c>
      <c r="P246" s="16">
        <f>Demand_CWRS!G$10/31</f>
        <v>116.12903225806451</v>
      </c>
      <c r="Q246" s="16">
        <f>Demand_CWRS!H$10/31</f>
        <v>552.80165425971859</v>
      </c>
      <c r="R246" s="16">
        <f>Demand_CWRS!I$10/31</f>
        <v>252.70758116211746</v>
      </c>
      <c r="S246" s="16">
        <f>Demand_CWRS!J$10/31</f>
        <v>252.70758116211746</v>
      </c>
      <c r="T246" s="16">
        <f>Demand_CWRS!K$10/31</f>
        <v>252.70758116211746</v>
      </c>
      <c r="U246" s="16">
        <f t="shared" si="93"/>
        <v>-32434.632210473355</v>
      </c>
      <c r="V246" s="16">
        <f t="shared" si="94"/>
        <v>-114261.83333333296</v>
      </c>
      <c r="W246" s="16">
        <f t="shared" si="95"/>
        <v>0</v>
      </c>
      <c r="X246" s="16">
        <f t="shared" si="96"/>
        <v>-27019.994498539338</v>
      </c>
      <c r="Y246" s="16">
        <f t="shared" si="97"/>
        <v>-52667.524251460556</v>
      </c>
      <c r="Z246" s="16">
        <f t="shared" si="98"/>
        <v>-32037.699686434949</v>
      </c>
      <c r="AA246" s="16">
        <f t="shared" si="99"/>
        <v>-113761.83333333296</v>
      </c>
      <c r="AB246" s="16">
        <f t="shared" si="100"/>
        <v>-50183.678770691273</v>
      </c>
      <c r="AC246" s="16">
        <f t="shared" si="101"/>
        <v>-50183.678770691266</v>
      </c>
      <c r="AD246" s="16">
        <f t="shared" si="102"/>
        <v>-50883.678770691258</v>
      </c>
      <c r="AE246" s="14">
        <f>IF([1]Sheet2!AJ245=999999,"NA",[1]Sheet2!AJ245)</f>
        <v>0</v>
      </c>
      <c r="AF246" s="14">
        <f>IF([1]Sheet2!AK245=999999,"NA",[1]Sheet2!AK245)</f>
        <v>0</v>
      </c>
      <c r="AG246" s="14" t="str">
        <f>IF([1]Sheet2!AL245=999999,"NA",[1]Sheet2!AL245)</f>
        <v>NA</v>
      </c>
      <c r="AH246" s="14">
        <f>IF([1]Sheet2!AM245=999999,"NA",[1]Sheet2!AM245)</f>
        <v>122</v>
      </c>
      <c r="AI246" s="14">
        <f>IF([1]Sheet2!AN245=999999,"NA",[1]Sheet2!AN245)</f>
        <v>122</v>
      </c>
      <c r="AJ246" s="14">
        <f>IF([1]Sheet2!AO245=999999,"NA",[1]Sheet2!AO245)</f>
        <v>122</v>
      </c>
      <c r="AK246" s="14">
        <f>IF([1]Sheet2!AP245=999999,"NA",[1]Sheet2!AP245)</f>
        <v>0</v>
      </c>
      <c r="AL246" s="14">
        <f>IF([1]Sheet2!AQ245=999999,"NA",[1]Sheet2!AQ245)</f>
        <v>17</v>
      </c>
      <c r="AM246" s="14">
        <f>IF([1]Sheet2!AR245=999999,"NA",[1]Sheet2!AR245)</f>
        <v>122</v>
      </c>
      <c r="AN246" s="14">
        <f>IF([1]Sheet2!AS245=999999,"NA",[1]Sheet2!AS245)</f>
        <v>73</v>
      </c>
      <c r="AO246" s="14">
        <f>[1]Sheet2!P245</f>
        <v>0</v>
      </c>
      <c r="AP246" s="14">
        <f>[1]Sheet2!Q245</f>
        <v>0</v>
      </c>
      <c r="AQ246" s="14">
        <f>[1]Sheet2!R245</f>
        <v>0</v>
      </c>
      <c r="AR246" s="14">
        <f>[1]Sheet2!S245</f>
        <v>0</v>
      </c>
      <c r="AS246" s="14">
        <f>[1]Sheet2!T245</f>
        <v>0</v>
      </c>
      <c r="AT246" s="14">
        <f>[1]Sheet2!U245</f>
        <v>0</v>
      </c>
      <c r="AU246" s="14">
        <f>[1]Sheet2!V245</f>
        <v>0</v>
      </c>
      <c r="AV246" s="14">
        <f>[1]Sheet2!W245</f>
        <v>0</v>
      </c>
      <c r="AW246" s="14">
        <f>[1]Sheet2!X245</f>
        <v>0</v>
      </c>
      <c r="AX246" s="14">
        <f>[1]Sheet2!Y245</f>
        <v>0</v>
      </c>
      <c r="AY246" s="16">
        <f>Demand_LP!B$10/31</f>
        <v>857.18246226220015</v>
      </c>
      <c r="AZ246" s="16">
        <f>Demand_LP!C$10/31</f>
        <v>528.30835401157981</v>
      </c>
      <c r="BA246" s="16">
        <f>Demand_LP!D$10/31</f>
        <v>338.76323407775027</v>
      </c>
      <c r="BB246" s="16">
        <f>Demand_LP!E$10/31</f>
        <v>735.04776674937955</v>
      </c>
      <c r="BC246" s="16">
        <f>Demand_LP!F$10/31</f>
        <v>479.51259046732832</v>
      </c>
      <c r="BD246" s="16">
        <f>Demand_LP!G$10/31</f>
        <v>857.18246226220015</v>
      </c>
      <c r="BE246" s="16">
        <f>Demand_LP!H$10/31</f>
        <v>528.30835401157981</v>
      </c>
      <c r="BF246" s="16">
        <f>Demand_LP!I$10/31</f>
        <v>479.51259046732832</v>
      </c>
      <c r="BG246" s="16">
        <f>Demand_LP!J$10/31</f>
        <v>479.51259046732832</v>
      </c>
      <c r="BH246" s="16">
        <f>Demand_LP!K$10/31</f>
        <v>479.51259046732832</v>
      </c>
      <c r="BI246" s="16" t="e">
        <f t="shared" si="103"/>
        <v>#VALUE!</v>
      </c>
      <c r="BJ246" s="16">
        <f t="shared" si="104"/>
        <v>-137286.14102564086</v>
      </c>
      <c r="BK246" s="16">
        <f t="shared" si="105"/>
        <v>-71364.599999999919</v>
      </c>
      <c r="BL246" s="16">
        <f t="shared" si="106"/>
        <v>-181120.68203505295</v>
      </c>
      <c r="BM246" s="16">
        <f t="shared" si="107"/>
        <v>-105922.17010406544</v>
      </c>
      <c r="BN246" s="16">
        <f t="shared" si="108"/>
        <v>-184845.76018165745</v>
      </c>
      <c r="BO246" s="16">
        <f t="shared" si="109"/>
        <v>-139643.72051282064</v>
      </c>
      <c r="BP246" s="16">
        <f t="shared" si="110"/>
        <v>-107033.85402243605</v>
      </c>
      <c r="BQ246" s="16">
        <f t="shared" si="111"/>
        <v>-104023.85402243609</v>
      </c>
      <c r="BR246" s="16">
        <f t="shared" si="112"/>
        <v>-105223.85402243605</v>
      </c>
      <c r="BS246" s="14">
        <f>IF([1]Sheet2!CA245=999999,"NA",[1]Sheet2!CA245)</f>
        <v>111255.14597756411</v>
      </c>
      <c r="BT246" s="14">
        <f>IF([1]Sheet2!CB245=999999,"NA",[1]Sheet2!CB245)</f>
        <v>52</v>
      </c>
      <c r="BU246" s="14">
        <f>IF([1]Sheet2!CC245=999999,"NA",[1]Sheet2!CC245)</f>
        <v>122</v>
      </c>
      <c r="BV246" s="14">
        <f>IF([1]Sheet2!CD245=999999,"NA",[1]Sheet2!CD245)</f>
        <v>122</v>
      </c>
      <c r="BW246" s="14">
        <f>IF([1]Sheet2!CE245=999999,"NA",[1]Sheet2!CE245)</f>
        <v>91</v>
      </c>
      <c r="BX246" s="14">
        <f>IF([1]Sheet2!CF245=999999,"NA",[1]Sheet2!CF245)</f>
        <v>122</v>
      </c>
      <c r="BY246" s="14">
        <f>IF([1]Sheet2!CG245=999999,"NA",[1]Sheet2!CG245)</f>
        <v>23</v>
      </c>
      <c r="BZ246" s="14">
        <f>IF([1]Sheet2!CH245=999999,"NA",[1]Sheet2!CH245)</f>
        <v>122</v>
      </c>
      <c r="CA246" s="14">
        <f>IF([1]Sheet2!CI245=999999,"NA",[1]Sheet2!CI245)</f>
        <v>122</v>
      </c>
      <c r="CB246" s="14">
        <f>IF([1]Sheet2!CJ245=999999,"NA",[1]Sheet2!CJ245)</f>
        <v>122</v>
      </c>
      <c r="CC246" s="14">
        <f>[1]Sheet2!BG245</f>
        <v>0</v>
      </c>
      <c r="CD246" s="14">
        <f>[1]Sheet2!BH245</f>
        <v>0</v>
      </c>
      <c r="CE246" s="14">
        <f>[1]Sheet2!BI245</f>
        <v>0</v>
      </c>
      <c r="CF246" s="14">
        <f>[1]Sheet2!BJ245</f>
        <v>0</v>
      </c>
      <c r="CG246" s="14">
        <f>[1]Sheet2!BK245</f>
        <v>0</v>
      </c>
      <c r="CH246" s="14">
        <f>[1]Sheet2!BL245</f>
        <v>0</v>
      </c>
      <c r="CI246" s="14">
        <f>[1]Sheet2!BM245</f>
        <v>0</v>
      </c>
      <c r="CJ246" s="14">
        <f>[1]Sheet2!BN245</f>
        <v>0</v>
      </c>
      <c r="CK246" s="14">
        <f>[1]Sheet2!BO245</f>
        <v>0</v>
      </c>
      <c r="CL246" s="14">
        <f>[1]Sheet2!BP245</f>
        <v>0</v>
      </c>
      <c r="CM246" s="16">
        <f>Demand_SW!B$10/31</f>
        <v>131.01736972704714</v>
      </c>
      <c r="CN246" s="16">
        <f>Demand_SW!C$10/31</f>
        <v>0</v>
      </c>
      <c r="CO246" s="16">
        <f>Demand_SW!D$10/31</f>
        <v>0</v>
      </c>
      <c r="CP246" s="16">
        <f>Demand_SW!E$10/31</f>
        <v>0</v>
      </c>
      <c r="CQ246" s="16">
        <f>Demand_SW!F$10/31</f>
        <v>0</v>
      </c>
      <c r="CR246" s="16">
        <f>Demand_SW!G$10/31</f>
        <v>131.01736972704714</v>
      </c>
      <c r="CS246" s="16">
        <f>Demand_SW!H$10/31</f>
        <v>0</v>
      </c>
      <c r="CT246" s="16">
        <f>Demand_SW!I$10/31</f>
        <v>0</v>
      </c>
      <c r="CU246" s="16">
        <f>Demand_SW!J$10/31</f>
        <v>0</v>
      </c>
      <c r="CV246" s="16">
        <f>Demand_SW!K$10/31</f>
        <v>0</v>
      </c>
      <c r="CW246" s="16">
        <f t="shared" si="113"/>
        <v>68279.230769230693</v>
      </c>
      <c r="CX246" s="16">
        <f t="shared" si="114"/>
        <v>20683.923076923078</v>
      </c>
      <c r="CY246" s="16">
        <f t="shared" si="115"/>
        <v>0</v>
      </c>
      <c r="CZ246" s="16">
        <f t="shared" si="116"/>
        <v>0</v>
      </c>
      <c r="DA246" s="16">
        <f t="shared" si="117"/>
        <v>0</v>
      </c>
      <c r="DB246" s="16">
        <f t="shared" si="118"/>
        <v>-31250.000000000007</v>
      </c>
      <c r="DC246" s="16">
        <f t="shared" si="119"/>
        <v>20683.923076923078</v>
      </c>
      <c r="DD246" s="16">
        <f t="shared" si="120"/>
        <v>0</v>
      </c>
      <c r="DE246" s="16">
        <f t="shared" si="121"/>
        <v>0</v>
      </c>
      <c r="DF246" s="16">
        <f t="shared" si="122"/>
        <v>0</v>
      </c>
      <c r="DG246" s="14">
        <f>IF([1]Sheet2!DR245=999999,"NA",[1]Sheet2!DR245)</f>
        <v>73103</v>
      </c>
      <c r="DH246" s="14">
        <f>IF([1]Sheet2!DS245=999999,"NA",[1]Sheet2!DS245)</f>
        <v>122</v>
      </c>
      <c r="DI246" s="14">
        <f>IF([1]Sheet2!DT245=999999,"NA",[1]Sheet2!DT245)</f>
        <v>122</v>
      </c>
      <c r="DJ246" s="14" t="str">
        <f>IF([1]Sheet2!DU245=999999,"NA",[1]Sheet2!DU245)</f>
        <v>NA</v>
      </c>
      <c r="DK246" s="14" t="str">
        <f>IF([1]Sheet2!DV245=999999,"NA",[1]Sheet2!DV245)</f>
        <v>NA</v>
      </c>
      <c r="DL246" s="14" t="str">
        <f>IF([1]Sheet2!DW245=999999,"NA",[1]Sheet2!DW245)</f>
        <v>NA</v>
      </c>
      <c r="DM246" s="14">
        <f>IF([1]Sheet2!DX245=999999,"NA",[1]Sheet2!DX245)</f>
        <v>122</v>
      </c>
      <c r="DN246" s="14">
        <f>IF([1]Sheet2!DY245=999999,"NA",[1]Sheet2!DY245)</f>
        <v>122</v>
      </c>
      <c r="DO246" s="14" t="str">
        <f>IF([1]Sheet2!DZ245=999999,"NA",[1]Sheet2!DZ245)</f>
        <v>NA</v>
      </c>
      <c r="DP246" s="14" t="str">
        <f>IF([1]Sheet2!EA245=999999,"NA",[1]Sheet2!EA245)</f>
        <v>NA</v>
      </c>
      <c r="DQ246" s="14">
        <f>[1]Sheet2!CX245</f>
        <v>0</v>
      </c>
      <c r="DR246" s="14">
        <f>[1]Sheet2!CY245</f>
        <v>0</v>
      </c>
      <c r="DS246" s="14">
        <f>[1]Sheet2!CZ245</f>
        <v>0</v>
      </c>
      <c r="DT246" s="14">
        <f>[1]Sheet2!DA245</f>
        <v>0</v>
      </c>
      <c r="DU246" s="14">
        <f>[1]Sheet2!DB245</f>
        <v>0</v>
      </c>
      <c r="DV246" s="14">
        <f>[1]Sheet2!DC245</f>
        <v>0</v>
      </c>
      <c r="DW246" s="14">
        <f>[1]Sheet2!DD245</f>
        <v>0</v>
      </c>
      <c r="DX246" s="14">
        <f>[1]Sheet2!DE245</f>
        <v>0</v>
      </c>
      <c r="DY246" s="14">
        <f>[1]Sheet2!DF245</f>
        <v>0</v>
      </c>
      <c r="DZ246" s="14">
        <f>[1]Sheet2!DG245</f>
        <v>0</v>
      </c>
    </row>
    <row r="247" spans="1:130" x14ac:dyDescent="0.25">
      <c r="A247" s="15">
        <v>43709</v>
      </c>
      <c r="B247" s="1"/>
      <c r="C247" s="1"/>
      <c r="D247" s="1"/>
      <c r="E247" s="14">
        <f>[1]Sheet2!N246</f>
        <v>0</v>
      </c>
      <c r="F247" s="14">
        <f>[1]Sheet2!BE246</f>
        <v>0</v>
      </c>
      <c r="G247" s="14">
        <f>[1]Sheet2!CV246</f>
        <v>288.46153846153851</v>
      </c>
      <c r="H247" s="1"/>
      <c r="I247" s="1"/>
      <c r="J247" s="1"/>
      <c r="K247" s="16">
        <f>Demand_CWRS!B$11/30</f>
        <v>118.04546474358973</v>
      </c>
      <c r="L247" s="16">
        <f>Demand_CWRS!C$11/30</f>
        <v>491.39401709401704</v>
      </c>
      <c r="M247" s="16">
        <f>Demand_CWRS!D$11/30</f>
        <v>0</v>
      </c>
      <c r="N247" s="16">
        <f>Demand_CWRS!E$11/30</f>
        <v>107.84935897435898</v>
      </c>
      <c r="O247" s="16">
        <f>Demand_CWRS!F$11/30</f>
        <v>218.22274305555553</v>
      </c>
      <c r="P247" s="16">
        <f>Demand_CWRS!G$11/30</f>
        <v>118.04546474358973</v>
      </c>
      <c r="Q247" s="16">
        <f>Demand_CWRS!H$11/30</f>
        <v>491.39401709401704</v>
      </c>
      <c r="R247" s="16">
        <f>Demand_CWRS!I$11/30</f>
        <v>218.22274305555553</v>
      </c>
      <c r="S247" s="16">
        <f>Demand_CWRS!J$11/30</f>
        <v>218.22274305555553</v>
      </c>
      <c r="T247" s="16">
        <f>Demand_CWRS!K$11/30</f>
        <v>218.22274305555553</v>
      </c>
      <c r="U247" s="16">
        <f t="shared" si="93"/>
        <v>-32552.677675216946</v>
      </c>
      <c r="V247" s="16">
        <f t="shared" si="94"/>
        <v>-114753.22735042698</v>
      </c>
      <c r="W247" s="16">
        <f t="shared" si="95"/>
        <v>0</v>
      </c>
      <c r="X247" s="16">
        <f t="shared" si="96"/>
        <v>-27127.843857513697</v>
      </c>
      <c r="Y247" s="16">
        <f t="shared" si="97"/>
        <v>-52885.746994516114</v>
      </c>
      <c r="Z247" s="16">
        <f t="shared" si="98"/>
        <v>-32155.74515117854</v>
      </c>
      <c r="AA247" s="16">
        <f t="shared" si="99"/>
        <v>-114253.22735042698</v>
      </c>
      <c r="AB247" s="16">
        <f t="shared" si="100"/>
        <v>-50401.90151374683</v>
      </c>
      <c r="AC247" s="16">
        <f t="shared" si="101"/>
        <v>-50401.901513746823</v>
      </c>
      <c r="AD247" s="16">
        <f t="shared" si="102"/>
        <v>-51101.901513746816</v>
      </c>
      <c r="AE247" s="14">
        <f>IF([1]Sheet2!AJ246=999999,"NA",[1]Sheet2!AJ246)</f>
        <v>0</v>
      </c>
      <c r="AF247" s="14">
        <f>IF([1]Sheet2!AK246=999999,"NA",[1]Sheet2!AK246)</f>
        <v>0</v>
      </c>
      <c r="AG247" s="14" t="str">
        <f>IF([1]Sheet2!AL246=999999,"NA",[1]Sheet2!AL246)</f>
        <v>NA</v>
      </c>
      <c r="AH247" s="14">
        <f>IF([1]Sheet2!AM246=999999,"NA",[1]Sheet2!AM246)</f>
        <v>121</v>
      </c>
      <c r="AI247" s="14">
        <f>IF([1]Sheet2!AN246=999999,"NA",[1]Sheet2!AN246)</f>
        <v>121</v>
      </c>
      <c r="AJ247" s="14">
        <f>IF([1]Sheet2!AO246=999999,"NA",[1]Sheet2!AO246)</f>
        <v>121</v>
      </c>
      <c r="AK247" s="14">
        <f>IF([1]Sheet2!AP246=999999,"NA",[1]Sheet2!AP246)</f>
        <v>0</v>
      </c>
      <c r="AL247" s="14">
        <f>IF([1]Sheet2!AQ246=999999,"NA",[1]Sheet2!AQ246)</f>
        <v>16</v>
      </c>
      <c r="AM247" s="14">
        <f>IF([1]Sheet2!AR246=999999,"NA",[1]Sheet2!AR246)</f>
        <v>121</v>
      </c>
      <c r="AN247" s="14">
        <f>IF([1]Sheet2!AS246=999999,"NA",[1]Sheet2!AS246)</f>
        <v>72</v>
      </c>
      <c r="AO247" s="14">
        <f>[1]Sheet2!P246</f>
        <v>0</v>
      </c>
      <c r="AP247" s="14">
        <f>[1]Sheet2!Q246</f>
        <v>0</v>
      </c>
      <c r="AQ247" s="14">
        <f>[1]Sheet2!R246</f>
        <v>0</v>
      </c>
      <c r="AR247" s="14">
        <f>[1]Sheet2!S246</f>
        <v>0</v>
      </c>
      <c r="AS247" s="14">
        <f>[1]Sheet2!T246</f>
        <v>0</v>
      </c>
      <c r="AT247" s="14">
        <f>[1]Sheet2!U246</f>
        <v>0</v>
      </c>
      <c r="AU247" s="14">
        <f>[1]Sheet2!V246</f>
        <v>0</v>
      </c>
      <c r="AV247" s="14">
        <f>[1]Sheet2!W246</f>
        <v>0</v>
      </c>
      <c r="AW247" s="14">
        <f>[1]Sheet2!X246</f>
        <v>0</v>
      </c>
      <c r="AX247" s="14">
        <f>[1]Sheet2!Y246</f>
        <v>0</v>
      </c>
      <c r="AY247" s="16">
        <f>Demand_LP!B$11/30</f>
        <v>902.60591613247857</v>
      </c>
      <c r="AZ247" s="16">
        <f>Demand_LP!C$11/30</f>
        <v>593.76410256410259</v>
      </c>
      <c r="BA247" s="16">
        <f>Demand_LP!D$11/30</f>
        <v>290.27136752136749</v>
      </c>
      <c r="BB247" s="16">
        <f>Demand_LP!E$11/30</f>
        <v>790.42628205128199</v>
      </c>
      <c r="BC247" s="16">
        <f>Demand_LP!F$11/30</f>
        <v>538.46224626068363</v>
      </c>
      <c r="BD247" s="16">
        <f>Demand_LP!G$11/30</f>
        <v>902.60591613247857</v>
      </c>
      <c r="BE247" s="16">
        <f>Demand_LP!H$11/30</f>
        <v>593.76410256410259</v>
      </c>
      <c r="BF247" s="16">
        <f>Demand_LP!I$11/30</f>
        <v>538.46224626068363</v>
      </c>
      <c r="BG247" s="16">
        <f>Demand_LP!J$11/30</f>
        <v>538.46224626068363</v>
      </c>
      <c r="BH247" s="16">
        <f>Demand_LP!K$11/30</f>
        <v>538.46224626068363</v>
      </c>
      <c r="BI247" s="16" t="e">
        <f t="shared" si="103"/>
        <v>#VALUE!</v>
      </c>
      <c r="BJ247" s="16">
        <f t="shared" si="104"/>
        <v>-137879.90512820496</v>
      </c>
      <c r="BK247" s="16">
        <f t="shared" si="105"/>
        <v>-71654.871367521293</v>
      </c>
      <c r="BL247" s="16">
        <f t="shared" si="106"/>
        <v>-181911.10831710423</v>
      </c>
      <c r="BM247" s="16">
        <f t="shared" si="107"/>
        <v>-106460.63235032612</v>
      </c>
      <c r="BN247" s="16">
        <f t="shared" si="108"/>
        <v>-185748.36609778993</v>
      </c>
      <c r="BO247" s="16">
        <f t="shared" si="109"/>
        <v>-140237.48461538475</v>
      </c>
      <c r="BP247" s="16">
        <f t="shared" si="110"/>
        <v>-107572.31626869673</v>
      </c>
      <c r="BQ247" s="16">
        <f t="shared" si="111"/>
        <v>-104562.31626869677</v>
      </c>
      <c r="BR247" s="16">
        <f t="shared" si="112"/>
        <v>-105762.31626869673</v>
      </c>
      <c r="BS247" s="14">
        <f>IF([1]Sheet2!CA246=999999,"NA",[1]Sheet2!CA246)</f>
        <v>110716.68373130343</v>
      </c>
      <c r="BT247" s="14">
        <f>IF([1]Sheet2!CB246=999999,"NA",[1]Sheet2!CB246)</f>
        <v>51</v>
      </c>
      <c r="BU247" s="14">
        <f>IF([1]Sheet2!CC246=999999,"NA",[1]Sheet2!CC246)</f>
        <v>121</v>
      </c>
      <c r="BV247" s="14">
        <f>IF([1]Sheet2!CD246=999999,"NA",[1]Sheet2!CD246)</f>
        <v>121</v>
      </c>
      <c r="BW247" s="14">
        <f>IF([1]Sheet2!CE246=999999,"NA",[1]Sheet2!CE246)</f>
        <v>90</v>
      </c>
      <c r="BX247" s="14">
        <f>IF([1]Sheet2!CF246=999999,"NA",[1]Sheet2!CF246)</f>
        <v>121</v>
      </c>
      <c r="BY247" s="14">
        <f>IF([1]Sheet2!CG246=999999,"NA",[1]Sheet2!CG246)</f>
        <v>22</v>
      </c>
      <c r="BZ247" s="14">
        <f>IF([1]Sheet2!CH246=999999,"NA",[1]Sheet2!CH246)</f>
        <v>121</v>
      </c>
      <c r="CA247" s="14">
        <f>IF([1]Sheet2!CI246=999999,"NA",[1]Sheet2!CI246)</f>
        <v>121</v>
      </c>
      <c r="CB247" s="14">
        <f>IF([1]Sheet2!CJ246=999999,"NA",[1]Sheet2!CJ246)</f>
        <v>121</v>
      </c>
      <c r="CC247" s="14">
        <f>[1]Sheet2!BG246</f>
        <v>0</v>
      </c>
      <c r="CD247" s="14">
        <f>[1]Sheet2!BH246</f>
        <v>0</v>
      </c>
      <c r="CE247" s="14">
        <f>[1]Sheet2!BI246</f>
        <v>0</v>
      </c>
      <c r="CF247" s="14">
        <f>[1]Sheet2!BJ246</f>
        <v>0</v>
      </c>
      <c r="CG247" s="14">
        <f>[1]Sheet2!BK246</f>
        <v>0</v>
      </c>
      <c r="CH247" s="14">
        <f>[1]Sheet2!BL246</f>
        <v>0</v>
      </c>
      <c r="CI247" s="14">
        <f>[1]Sheet2!BM246</f>
        <v>0</v>
      </c>
      <c r="CJ247" s="14">
        <f>[1]Sheet2!BN246</f>
        <v>0</v>
      </c>
      <c r="CK247" s="14">
        <f>[1]Sheet2!BO246</f>
        <v>0</v>
      </c>
      <c r="CL247" s="14">
        <f>[1]Sheet2!BP246</f>
        <v>0</v>
      </c>
      <c r="CM247" s="16">
        <f>Demand_SW!B$11/30</f>
        <v>144.23076923076923</v>
      </c>
      <c r="CN247" s="16">
        <f>Demand_SW!C$11/30</f>
        <v>0</v>
      </c>
      <c r="CO247" s="16">
        <f>Demand_SW!D$11/30</f>
        <v>0</v>
      </c>
      <c r="CP247" s="16">
        <f>Demand_SW!E$11/30</f>
        <v>0</v>
      </c>
      <c r="CQ247" s="16">
        <f>Demand_SW!F$11/30</f>
        <v>0</v>
      </c>
      <c r="CR247" s="16">
        <f>Demand_SW!G$11/30</f>
        <v>144.23076923076923</v>
      </c>
      <c r="CS247" s="16">
        <f>Demand_SW!H$11/30</f>
        <v>0</v>
      </c>
      <c r="CT247" s="16">
        <f>Demand_SW!I$11/30</f>
        <v>0</v>
      </c>
      <c r="CU247" s="16">
        <f>Demand_SW!J$11/30</f>
        <v>0</v>
      </c>
      <c r="CV247" s="16">
        <f>Demand_SW!K$11/30</f>
        <v>0</v>
      </c>
      <c r="CW247" s="16">
        <f t="shared" si="113"/>
        <v>68134.999999999927</v>
      </c>
      <c r="CX247" s="16">
        <f t="shared" si="114"/>
        <v>20683.923076923078</v>
      </c>
      <c r="CY247" s="16">
        <f t="shared" si="115"/>
        <v>0</v>
      </c>
      <c r="CZ247" s="16">
        <f t="shared" si="116"/>
        <v>0</v>
      </c>
      <c r="DA247" s="16">
        <f t="shared" si="117"/>
        <v>0</v>
      </c>
      <c r="DB247" s="16">
        <f t="shared" si="118"/>
        <v>-31394.230769230777</v>
      </c>
      <c r="DC247" s="16">
        <f t="shared" si="119"/>
        <v>20683.923076923078</v>
      </c>
      <c r="DD247" s="16">
        <f t="shared" si="120"/>
        <v>0</v>
      </c>
      <c r="DE247" s="16">
        <f t="shared" si="121"/>
        <v>0</v>
      </c>
      <c r="DF247" s="16">
        <f t="shared" si="122"/>
        <v>0</v>
      </c>
      <c r="DG247" s="14">
        <f>IF([1]Sheet2!DR246=999999,"NA",[1]Sheet2!DR246)</f>
        <v>73103</v>
      </c>
      <c r="DH247" s="14">
        <f>IF([1]Sheet2!DS246=999999,"NA",[1]Sheet2!DS246)</f>
        <v>121</v>
      </c>
      <c r="DI247" s="14">
        <f>IF([1]Sheet2!DT246=999999,"NA",[1]Sheet2!DT246)</f>
        <v>121</v>
      </c>
      <c r="DJ247" s="14" t="str">
        <f>IF([1]Sheet2!DU246=999999,"NA",[1]Sheet2!DU246)</f>
        <v>NA</v>
      </c>
      <c r="DK247" s="14" t="str">
        <f>IF([1]Sheet2!DV246=999999,"NA",[1]Sheet2!DV246)</f>
        <v>NA</v>
      </c>
      <c r="DL247" s="14" t="str">
        <f>IF([1]Sheet2!DW246=999999,"NA",[1]Sheet2!DW246)</f>
        <v>NA</v>
      </c>
      <c r="DM247" s="14">
        <f>IF([1]Sheet2!DX246=999999,"NA",[1]Sheet2!DX246)</f>
        <v>121</v>
      </c>
      <c r="DN247" s="14">
        <f>IF([1]Sheet2!DY246=999999,"NA",[1]Sheet2!DY246)</f>
        <v>121</v>
      </c>
      <c r="DO247" s="14" t="str">
        <f>IF([1]Sheet2!DZ246=999999,"NA",[1]Sheet2!DZ246)</f>
        <v>NA</v>
      </c>
      <c r="DP247" s="14" t="str">
        <f>IF([1]Sheet2!EA246=999999,"NA",[1]Sheet2!EA246)</f>
        <v>NA</v>
      </c>
      <c r="DQ247" s="14">
        <f>[1]Sheet2!CX246</f>
        <v>0</v>
      </c>
      <c r="DR247" s="14">
        <f>[1]Sheet2!CY246</f>
        <v>0</v>
      </c>
      <c r="DS247" s="14">
        <f>[1]Sheet2!CZ246</f>
        <v>0</v>
      </c>
      <c r="DT247" s="14">
        <f>[1]Sheet2!DA246</f>
        <v>0</v>
      </c>
      <c r="DU247" s="14">
        <f>[1]Sheet2!DB246</f>
        <v>0</v>
      </c>
      <c r="DV247" s="14">
        <f>[1]Sheet2!DC246</f>
        <v>0</v>
      </c>
      <c r="DW247" s="14">
        <f>[1]Sheet2!DD246</f>
        <v>0</v>
      </c>
      <c r="DX247" s="14">
        <f>[1]Sheet2!DE246</f>
        <v>0</v>
      </c>
      <c r="DY247" s="14">
        <f>[1]Sheet2!DF246</f>
        <v>0</v>
      </c>
      <c r="DZ247" s="14">
        <f>[1]Sheet2!DG246</f>
        <v>0</v>
      </c>
    </row>
    <row r="248" spans="1:130" x14ac:dyDescent="0.25">
      <c r="A248" s="15">
        <v>43710</v>
      </c>
      <c r="B248" s="1"/>
      <c r="C248" s="1"/>
      <c r="D248" s="1"/>
      <c r="E248" s="14">
        <f>[1]Sheet2!N247</f>
        <v>0</v>
      </c>
      <c r="F248" s="14">
        <f>[1]Sheet2!BE247</f>
        <v>0</v>
      </c>
      <c r="G248" s="14">
        <f>[1]Sheet2!CV247</f>
        <v>288.46153846153851</v>
      </c>
      <c r="H248" s="1"/>
      <c r="I248" s="1"/>
      <c r="J248" s="1"/>
      <c r="K248" s="16">
        <f>Demand_CWRS!B$11/30</f>
        <v>118.04546474358973</v>
      </c>
      <c r="L248" s="16">
        <f>Demand_CWRS!C$11/30</f>
        <v>491.39401709401704</v>
      </c>
      <c r="M248" s="16">
        <f>Demand_CWRS!D$11/30</f>
        <v>0</v>
      </c>
      <c r="N248" s="16">
        <f>Demand_CWRS!E$11/30</f>
        <v>107.84935897435898</v>
      </c>
      <c r="O248" s="16">
        <f>Demand_CWRS!F$11/30</f>
        <v>218.22274305555553</v>
      </c>
      <c r="P248" s="16">
        <f>Demand_CWRS!G$11/30</f>
        <v>118.04546474358973</v>
      </c>
      <c r="Q248" s="16">
        <f>Demand_CWRS!H$11/30</f>
        <v>491.39401709401704</v>
      </c>
      <c r="R248" s="16">
        <f>Demand_CWRS!I$11/30</f>
        <v>218.22274305555553</v>
      </c>
      <c r="S248" s="16">
        <f>Demand_CWRS!J$11/30</f>
        <v>218.22274305555553</v>
      </c>
      <c r="T248" s="16">
        <f>Demand_CWRS!K$11/30</f>
        <v>218.22274305555553</v>
      </c>
      <c r="U248" s="16">
        <f t="shared" si="93"/>
        <v>-32670.723139960537</v>
      </c>
      <c r="V248" s="16">
        <f t="shared" si="94"/>
        <v>-115244.621367521</v>
      </c>
      <c r="W248" s="16">
        <f t="shared" si="95"/>
        <v>0</v>
      </c>
      <c r="X248" s="16">
        <f t="shared" si="96"/>
        <v>-27235.693216488056</v>
      </c>
      <c r="Y248" s="16">
        <f t="shared" si="97"/>
        <v>-53103.969737571671</v>
      </c>
      <c r="Z248" s="16">
        <f t="shared" si="98"/>
        <v>-32273.790615922131</v>
      </c>
      <c r="AA248" s="16">
        <f t="shared" si="99"/>
        <v>-114744.621367521</v>
      </c>
      <c r="AB248" s="16">
        <f t="shared" si="100"/>
        <v>-50620.124256802388</v>
      </c>
      <c r="AC248" s="16">
        <f t="shared" si="101"/>
        <v>-50620.124256802381</v>
      </c>
      <c r="AD248" s="16">
        <f t="shared" si="102"/>
        <v>-51320.124256802374</v>
      </c>
      <c r="AE248" s="14">
        <f>IF([1]Sheet2!AJ247=999999,"NA",[1]Sheet2!AJ247)</f>
        <v>0</v>
      </c>
      <c r="AF248" s="14">
        <f>IF([1]Sheet2!AK247=999999,"NA",[1]Sheet2!AK247)</f>
        <v>0</v>
      </c>
      <c r="AG248" s="14" t="str">
        <f>IF([1]Sheet2!AL247=999999,"NA",[1]Sheet2!AL247)</f>
        <v>NA</v>
      </c>
      <c r="AH248" s="14">
        <f>IF([1]Sheet2!AM247=999999,"NA",[1]Sheet2!AM247)</f>
        <v>120</v>
      </c>
      <c r="AI248" s="14">
        <f>IF([1]Sheet2!AN247=999999,"NA",[1]Sheet2!AN247)</f>
        <v>120</v>
      </c>
      <c r="AJ248" s="14">
        <f>IF([1]Sheet2!AO247=999999,"NA",[1]Sheet2!AO247)</f>
        <v>120</v>
      </c>
      <c r="AK248" s="14">
        <f>IF([1]Sheet2!AP247=999999,"NA",[1]Sheet2!AP247)</f>
        <v>0</v>
      </c>
      <c r="AL248" s="14">
        <f>IF([1]Sheet2!AQ247=999999,"NA",[1]Sheet2!AQ247)</f>
        <v>15</v>
      </c>
      <c r="AM248" s="14">
        <f>IF([1]Sheet2!AR247=999999,"NA",[1]Sheet2!AR247)</f>
        <v>120</v>
      </c>
      <c r="AN248" s="14">
        <f>IF([1]Sheet2!AS247=999999,"NA",[1]Sheet2!AS247)</f>
        <v>71</v>
      </c>
      <c r="AO248" s="14">
        <f>[1]Sheet2!P247</f>
        <v>0</v>
      </c>
      <c r="AP248" s="14">
        <f>[1]Sheet2!Q247</f>
        <v>0</v>
      </c>
      <c r="AQ248" s="14">
        <f>[1]Sheet2!R247</f>
        <v>0</v>
      </c>
      <c r="AR248" s="14">
        <f>[1]Sheet2!S247</f>
        <v>0</v>
      </c>
      <c r="AS248" s="14">
        <f>[1]Sheet2!T247</f>
        <v>0</v>
      </c>
      <c r="AT248" s="14">
        <f>[1]Sheet2!U247</f>
        <v>0</v>
      </c>
      <c r="AU248" s="14">
        <f>[1]Sheet2!V247</f>
        <v>0</v>
      </c>
      <c r="AV248" s="14">
        <f>[1]Sheet2!W247</f>
        <v>0</v>
      </c>
      <c r="AW248" s="14">
        <f>[1]Sheet2!X247</f>
        <v>0</v>
      </c>
      <c r="AX248" s="14">
        <f>[1]Sheet2!Y247</f>
        <v>0</v>
      </c>
      <c r="AY248" s="16">
        <f>Demand_LP!B$11/30</f>
        <v>902.60591613247857</v>
      </c>
      <c r="AZ248" s="16">
        <f>Demand_LP!C$11/30</f>
        <v>593.76410256410259</v>
      </c>
      <c r="BA248" s="16">
        <f>Demand_LP!D$11/30</f>
        <v>290.27136752136749</v>
      </c>
      <c r="BB248" s="16">
        <f>Demand_LP!E$11/30</f>
        <v>790.42628205128199</v>
      </c>
      <c r="BC248" s="16">
        <f>Demand_LP!F$11/30</f>
        <v>538.46224626068363</v>
      </c>
      <c r="BD248" s="16">
        <f>Demand_LP!G$11/30</f>
        <v>902.60591613247857</v>
      </c>
      <c r="BE248" s="16">
        <f>Demand_LP!H$11/30</f>
        <v>593.76410256410259</v>
      </c>
      <c r="BF248" s="16">
        <f>Demand_LP!I$11/30</f>
        <v>538.46224626068363</v>
      </c>
      <c r="BG248" s="16">
        <f>Demand_LP!J$11/30</f>
        <v>538.46224626068363</v>
      </c>
      <c r="BH248" s="16">
        <f>Demand_LP!K$11/30</f>
        <v>538.46224626068363</v>
      </c>
      <c r="BI248" s="16" t="e">
        <f t="shared" si="103"/>
        <v>#VALUE!</v>
      </c>
      <c r="BJ248" s="16">
        <f t="shared" si="104"/>
        <v>-138473.66923076907</v>
      </c>
      <c r="BK248" s="16">
        <f t="shared" si="105"/>
        <v>-71945.142735042667</v>
      </c>
      <c r="BL248" s="16">
        <f t="shared" si="106"/>
        <v>-182701.53459915551</v>
      </c>
      <c r="BM248" s="16">
        <f t="shared" si="107"/>
        <v>-106999.0945965868</v>
      </c>
      <c r="BN248" s="16">
        <f t="shared" si="108"/>
        <v>-186650.97201392241</v>
      </c>
      <c r="BO248" s="16">
        <f t="shared" si="109"/>
        <v>-140831.24871794885</v>
      </c>
      <c r="BP248" s="16">
        <f t="shared" si="110"/>
        <v>-108110.7785149574</v>
      </c>
      <c r="BQ248" s="16">
        <f t="shared" si="111"/>
        <v>-105100.77851495745</v>
      </c>
      <c r="BR248" s="16">
        <f t="shared" si="112"/>
        <v>-106300.7785149574</v>
      </c>
      <c r="BS248" s="14">
        <f>IF([1]Sheet2!CA247=999999,"NA",[1]Sheet2!CA247)</f>
        <v>110178.22148504276</v>
      </c>
      <c r="BT248" s="14">
        <f>IF([1]Sheet2!CB247=999999,"NA",[1]Sheet2!CB247)</f>
        <v>50</v>
      </c>
      <c r="BU248" s="14">
        <f>IF([1]Sheet2!CC247=999999,"NA",[1]Sheet2!CC247)</f>
        <v>120</v>
      </c>
      <c r="BV248" s="14">
        <f>IF([1]Sheet2!CD247=999999,"NA",[1]Sheet2!CD247)</f>
        <v>120</v>
      </c>
      <c r="BW248" s="14">
        <f>IF([1]Sheet2!CE247=999999,"NA",[1]Sheet2!CE247)</f>
        <v>89</v>
      </c>
      <c r="BX248" s="14">
        <f>IF([1]Sheet2!CF247=999999,"NA",[1]Sheet2!CF247)</f>
        <v>120</v>
      </c>
      <c r="BY248" s="14">
        <f>IF([1]Sheet2!CG247=999999,"NA",[1]Sheet2!CG247)</f>
        <v>21</v>
      </c>
      <c r="BZ248" s="14">
        <f>IF([1]Sheet2!CH247=999999,"NA",[1]Sheet2!CH247)</f>
        <v>120</v>
      </c>
      <c r="CA248" s="14">
        <f>IF([1]Sheet2!CI247=999999,"NA",[1]Sheet2!CI247)</f>
        <v>120</v>
      </c>
      <c r="CB248" s="14">
        <f>IF([1]Sheet2!CJ247=999999,"NA",[1]Sheet2!CJ247)</f>
        <v>120</v>
      </c>
      <c r="CC248" s="14">
        <f>[1]Sheet2!BG247</f>
        <v>0</v>
      </c>
      <c r="CD248" s="14">
        <f>[1]Sheet2!BH247</f>
        <v>0</v>
      </c>
      <c r="CE248" s="14">
        <f>[1]Sheet2!BI247</f>
        <v>0</v>
      </c>
      <c r="CF248" s="14">
        <f>[1]Sheet2!BJ247</f>
        <v>0</v>
      </c>
      <c r="CG248" s="14">
        <f>[1]Sheet2!BK247</f>
        <v>0</v>
      </c>
      <c r="CH248" s="14">
        <f>[1]Sheet2!BL247</f>
        <v>0</v>
      </c>
      <c r="CI248" s="14">
        <f>[1]Sheet2!BM247</f>
        <v>0</v>
      </c>
      <c r="CJ248" s="14">
        <f>[1]Sheet2!BN247</f>
        <v>0</v>
      </c>
      <c r="CK248" s="14">
        <f>[1]Sheet2!BO247</f>
        <v>0</v>
      </c>
      <c r="CL248" s="14">
        <f>[1]Sheet2!BP247</f>
        <v>0</v>
      </c>
      <c r="CM248" s="16">
        <f>Demand_SW!B$11/30</f>
        <v>144.23076923076923</v>
      </c>
      <c r="CN248" s="16">
        <f>Demand_SW!C$11/30</f>
        <v>0</v>
      </c>
      <c r="CO248" s="16">
        <f>Demand_SW!D$11/30</f>
        <v>0</v>
      </c>
      <c r="CP248" s="16">
        <f>Demand_SW!E$11/30</f>
        <v>0</v>
      </c>
      <c r="CQ248" s="16">
        <f>Demand_SW!F$11/30</f>
        <v>0</v>
      </c>
      <c r="CR248" s="16">
        <f>Demand_SW!G$11/30</f>
        <v>144.23076923076923</v>
      </c>
      <c r="CS248" s="16">
        <f>Demand_SW!H$11/30</f>
        <v>0</v>
      </c>
      <c r="CT248" s="16">
        <f>Demand_SW!I$11/30</f>
        <v>0</v>
      </c>
      <c r="CU248" s="16">
        <f>Demand_SW!J$11/30</f>
        <v>0</v>
      </c>
      <c r="CV248" s="16">
        <f>Demand_SW!K$11/30</f>
        <v>0</v>
      </c>
      <c r="CW248" s="16">
        <f t="shared" si="113"/>
        <v>67990.769230769161</v>
      </c>
      <c r="CX248" s="16">
        <f t="shared" si="114"/>
        <v>20683.923076923078</v>
      </c>
      <c r="CY248" s="16">
        <f t="shared" si="115"/>
        <v>0</v>
      </c>
      <c r="CZ248" s="16">
        <f t="shared" si="116"/>
        <v>0</v>
      </c>
      <c r="DA248" s="16">
        <f t="shared" si="117"/>
        <v>0</v>
      </c>
      <c r="DB248" s="16">
        <f t="shared" si="118"/>
        <v>-31538.461538461546</v>
      </c>
      <c r="DC248" s="16">
        <f t="shared" si="119"/>
        <v>20683.923076923078</v>
      </c>
      <c r="DD248" s="16">
        <f t="shared" si="120"/>
        <v>0</v>
      </c>
      <c r="DE248" s="16">
        <f t="shared" si="121"/>
        <v>0</v>
      </c>
      <c r="DF248" s="16">
        <f t="shared" si="122"/>
        <v>0</v>
      </c>
      <c r="DG248" s="14">
        <f>IF([1]Sheet2!DR247=999999,"NA",[1]Sheet2!DR247)</f>
        <v>73103</v>
      </c>
      <c r="DH248" s="14">
        <f>IF([1]Sheet2!DS247=999999,"NA",[1]Sheet2!DS247)</f>
        <v>120</v>
      </c>
      <c r="DI248" s="14">
        <f>IF([1]Sheet2!DT247=999999,"NA",[1]Sheet2!DT247)</f>
        <v>120</v>
      </c>
      <c r="DJ248" s="14" t="str">
        <f>IF([1]Sheet2!DU247=999999,"NA",[1]Sheet2!DU247)</f>
        <v>NA</v>
      </c>
      <c r="DK248" s="14" t="str">
        <f>IF([1]Sheet2!DV247=999999,"NA",[1]Sheet2!DV247)</f>
        <v>NA</v>
      </c>
      <c r="DL248" s="14" t="str">
        <f>IF([1]Sheet2!DW247=999999,"NA",[1]Sheet2!DW247)</f>
        <v>NA</v>
      </c>
      <c r="DM248" s="14">
        <f>IF([1]Sheet2!DX247=999999,"NA",[1]Sheet2!DX247)</f>
        <v>120</v>
      </c>
      <c r="DN248" s="14">
        <f>IF([1]Sheet2!DY247=999999,"NA",[1]Sheet2!DY247)</f>
        <v>120</v>
      </c>
      <c r="DO248" s="14" t="str">
        <f>IF([1]Sheet2!DZ247=999999,"NA",[1]Sheet2!DZ247)</f>
        <v>NA</v>
      </c>
      <c r="DP248" s="14" t="str">
        <f>IF([1]Sheet2!EA247=999999,"NA",[1]Sheet2!EA247)</f>
        <v>NA</v>
      </c>
      <c r="DQ248" s="14">
        <f>[1]Sheet2!CX247</f>
        <v>0</v>
      </c>
      <c r="DR248" s="14">
        <f>[1]Sheet2!CY247</f>
        <v>0</v>
      </c>
      <c r="DS248" s="14">
        <f>[1]Sheet2!CZ247</f>
        <v>0</v>
      </c>
      <c r="DT248" s="14">
        <f>[1]Sheet2!DA247</f>
        <v>0</v>
      </c>
      <c r="DU248" s="14">
        <f>[1]Sheet2!DB247</f>
        <v>0</v>
      </c>
      <c r="DV248" s="14">
        <f>[1]Sheet2!DC247</f>
        <v>0</v>
      </c>
      <c r="DW248" s="14">
        <f>[1]Sheet2!DD247</f>
        <v>0</v>
      </c>
      <c r="DX248" s="14">
        <f>[1]Sheet2!DE247</f>
        <v>0</v>
      </c>
      <c r="DY248" s="14">
        <f>[1]Sheet2!DF247</f>
        <v>0</v>
      </c>
      <c r="DZ248" s="14">
        <f>[1]Sheet2!DG247</f>
        <v>0</v>
      </c>
    </row>
    <row r="249" spans="1:130" x14ac:dyDescent="0.25">
      <c r="A249" s="15">
        <v>43711</v>
      </c>
      <c r="B249" s="1"/>
      <c r="C249" s="1"/>
      <c r="D249" s="1"/>
      <c r="E249" s="14">
        <f>[1]Sheet2!N248</f>
        <v>0</v>
      </c>
      <c r="F249" s="14">
        <f>[1]Sheet2!BE248</f>
        <v>0</v>
      </c>
      <c r="G249" s="14">
        <f>[1]Sheet2!CV248</f>
        <v>288.46153846153851</v>
      </c>
      <c r="H249" s="1"/>
      <c r="I249" s="1"/>
      <c r="J249" s="1"/>
      <c r="K249" s="16">
        <f>Demand_CWRS!B$11/30</f>
        <v>118.04546474358973</v>
      </c>
      <c r="L249" s="16">
        <f>Demand_CWRS!C$11/30</f>
        <v>491.39401709401704</v>
      </c>
      <c r="M249" s="16">
        <f>Demand_CWRS!D$11/30</f>
        <v>0</v>
      </c>
      <c r="N249" s="16">
        <f>Demand_CWRS!E$11/30</f>
        <v>107.84935897435898</v>
      </c>
      <c r="O249" s="16">
        <f>Demand_CWRS!F$11/30</f>
        <v>218.22274305555553</v>
      </c>
      <c r="P249" s="16">
        <f>Demand_CWRS!G$11/30</f>
        <v>118.04546474358973</v>
      </c>
      <c r="Q249" s="16">
        <f>Demand_CWRS!H$11/30</f>
        <v>491.39401709401704</v>
      </c>
      <c r="R249" s="16">
        <f>Demand_CWRS!I$11/30</f>
        <v>218.22274305555553</v>
      </c>
      <c r="S249" s="16">
        <f>Demand_CWRS!J$11/30</f>
        <v>218.22274305555553</v>
      </c>
      <c r="T249" s="16">
        <f>Demand_CWRS!K$11/30</f>
        <v>218.22274305555553</v>
      </c>
      <c r="U249" s="16">
        <f t="shared" si="93"/>
        <v>-32788.768604704128</v>
      </c>
      <c r="V249" s="16">
        <f t="shared" si="94"/>
        <v>-115736.01538461502</v>
      </c>
      <c r="W249" s="16">
        <f t="shared" si="95"/>
        <v>0</v>
      </c>
      <c r="X249" s="16">
        <f t="shared" si="96"/>
        <v>-27343.542575462416</v>
      </c>
      <c r="Y249" s="16">
        <f t="shared" si="97"/>
        <v>-53322.192480627229</v>
      </c>
      <c r="Z249" s="16">
        <f t="shared" si="98"/>
        <v>-32391.836080665722</v>
      </c>
      <c r="AA249" s="16">
        <f t="shared" si="99"/>
        <v>-115236.01538461502</v>
      </c>
      <c r="AB249" s="16">
        <f t="shared" si="100"/>
        <v>-50838.346999857946</v>
      </c>
      <c r="AC249" s="16">
        <f t="shared" si="101"/>
        <v>-50838.346999857938</v>
      </c>
      <c r="AD249" s="16">
        <f t="shared" si="102"/>
        <v>-51538.346999857931</v>
      </c>
      <c r="AE249" s="14">
        <f>IF([1]Sheet2!AJ248=999999,"NA",[1]Sheet2!AJ248)</f>
        <v>0</v>
      </c>
      <c r="AF249" s="14">
        <f>IF([1]Sheet2!AK248=999999,"NA",[1]Sheet2!AK248)</f>
        <v>0</v>
      </c>
      <c r="AG249" s="14" t="str">
        <f>IF([1]Sheet2!AL248=999999,"NA",[1]Sheet2!AL248)</f>
        <v>NA</v>
      </c>
      <c r="AH249" s="14">
        <f>IF([1]Sheet2!AM248=999999,"NA",[1]Sheet2!AM248)</f>
        <v>119</v>
      </c>
      <c r="AI249" s="14">
        <f>IF([1]Sheet2!AN248=999999,"NA",[1]Sheet2!AN248)</f>
        <v>119</v>
      </c>
      <c r="AJ249" s="14">
        <f>IF([1]Sheet2!AO248=999999,"NA",[1]Sheet2!AO248)</f>
        <v>119</v>
      </c>
      <c r="AK249" s="14">
        <f>IF([1]Sheet2!AP248=999999,"NA",[1]Sheet2!AP248)</f>
        <v>0</v>
      </c>
      <c r="AL249" s="14">
        <f>IF([1]Sheet2!AQ248=999999,"NA",[1]Sheet2!AQ248)</f>
        <v>14</v>
      </c>
      <c r="AM249" s="14">
        <f>IF([1]Sheet2!AR248=999999,"NA",[1]Sheet2!AR248)</f>
        <v>119</v>
      </c>
      <c r="AN249" s="14">
        <f>IF([1]Sheet2!AS248=999999,"NA",[1]Sheet2!AS248)</f>
        <v>70</v>
      </c>
      <c r="AO249" s="14">
        <f>[1]Sheet2!P248</f>
        <v>0</v>
      </c>
      <c r="AP249" s="14">
        <f>[1]Sheet2!Q248</f>
        <v>0</v>
      </c>
      <c r="AQ249" s="14">
        <f>[1]Sheet2!R248</f>
        <v>0</v>
      </c>
      <c r="AR249" s="14">
        <f>[1]Sheet2!S248</f>
        <v>0</v>
      </c>
      <c r="AS249" s="14">
        <f>[1]Sheet2!T248</f>
        <v>0</v>
      </c>
      <c r="AT249" s="14">
        <f>[1]Sheet2!U248</f>
        <v>0</v>
      </c>
      <c r="AU249" s="14">
        <f>[1]Sheet2!V248</f>
        <v>0</v>
      </c>
      <c r="AV249" s="14">
        <f>[1]Sheet2!W248</f>
        <v>0</v>
      </c>
      <c r="AW249" s="14">
        <f>[1]Sheet2!X248</f>
        <v>0</v>
      </c>
      <c r="AX249" s="14">
        <f>[1]Sheet2!Y248</f>
        <v>0</v>
      </c>
      <c r="AY249" s="16">
        <f>Demand_LP!B$11/30</f>
        <v>902.60591613247857</v>
      </c>
      <c r="AZ249" s="16">
        <f>Demand_LP!C$11/30</f>
        <v>593.76410256410259</v>
      </c>
      <c r="BA249" s="16">
        <f>Demand_LP!D$11/30</f>
        <v>290.27136752136749</v>
      </c>
      <c r="BB249" s="16">
        <f>Demand_LP!E$11/30</f>
        <v>790.42628205128199</v>
      </c>
      <c r="BC249" s="16">
        <f>Demand_LP!F$11/30</f>
        <v>538.46224626068363</v>
      </c>
      <c r="BD249" s="16">
        <f>Demand_LP!G$11/30</f>
        <v>902.60591613247857</v>
      </c>
      <c r="BE249" s="16">
        <f>Demand_LP!H$11/30</f>
        <v>593.76410256410259</v>
      </c>
      <c r="BF249" s="16">
        <f>Demand_LP!I$11/30</f>
        <v>538.46224626068363</v>
      </c>
      <c r="BG249" s="16">
        <f>Demand_LP!J$11/30</f>
        <v>538.46224626068363</v>
      </c>
      <c r="BH249" s="16">
        <f>Demand_LP!K$11/30</f>
        <v>538.46224626068363</v>
      </c>
      <c r="BI249" s="16" t="e">
        <f t="shared" si="103"/>
        <v>#VALUE!</v>
      </c>
      <c r="BJ249" s="16">
        <f t="shared" si="104"/>
        <v>-139067.43333333317</v>
      </c>
      <c r="BK249" s="16">
        <f t="shared" si="105"/>
        <v>-72235.414102564042</v>
      </c>
      <c r="BL249" s="16">
        <f t="shared" si="106"/>
        <v>-183491.96088120679</v>
      </c>
      <c r="BM249" s="16">
        <f t="shared" si="107"/>
        <v>-107537.55684284748</v>
      </c>
      <c r="BN249" s="16">
        <f t="shared" si="108"/>
        <v>-187553.57793005489</v>
      </c>
      <c r="BO249" s="16">
        <f t="shared" si="109"/>
        <v>-141425.01282051296</v>
      </c>
      <c r="BP249" s="16">
        <f t="shared" si="110"/>
        <v>-108649.24076121808</v>
      </c>
      <c r="BQ249" s="16">
        <f t="shared" si="111"/>
        <v>-105639.24076121813</v>
      </c>
      <c r="BR249" s="16">
        <f t="shared" si="112"/>
        <v>-106839.24076121808</v>
      </c>
      <c r="BS249" s="14">
        <f>IF([1]Sheet2!CA248=999999,"NA",[1]Sheet2!CA248)</f>
        <v>109639.75923878208</v>
      </c>
      <c r="BT249" s="14">
        <f>IF([1]Sheet2!CB248=999999,"NA",[1]Sheet2!CB248)</f>
        <v>49</v>
      </c>
      <c r="BU249" s="14">
        <f>IF([1]Sheet2!CC248=999999,"NA",[1]Sheet2!CC248)</f>
        <v>119</v>
      </c>
      <c r="BV249" s="14">
        <f>IF([1]Sheet2!CD248=999999,"NA",[1]Sheet2!CD248)</f>
        <v>119</v>
      </c>
      <c r="BW249" s="14">
        <f>IF([1]Sheet2!CE248=999999,"NA",[1]Sheet2!CE248)</f>
        <v>88</v>
      </c>
      <c r="BX249" s="14">
        <f>IF([1]Sheet2!CF248=999999,"NA",[1]Sheet2!CF248)</f>
        <v>119</v>
      </c>
      <c r="BY249" s="14">
        <f>IF([1]Sheet2!CG248=999999,"NA",[1]Sheet2!CG248)</f>
        <v>20</v>
      </c>
      <c r="BZ249" s="14">
        <f>IF([1]Sheet2!CH248=999999,"NA",[1]Sheet2!CH248)</f>
        <v>119</v>
      </c>
      <c r="CA249" s="14">
        <f>IF([1]Sheet2!CI248=999999,"NA",[1]Sheet2!CI248)</f>
        <v>119</v>
      </c>
      <c r="CB249" s="14">
        <f>IF([1]Sheet2!CJ248=999999,"NA",[1]Sheet2!CJ248)</f>
        <v>119</v>
      </c>
      <c r="CC249" s="14">
        <f>[1]Sheet2!BG248</f>
        <v>0</v>
      </c>
      <c r="CD249" s="14">
        <f>[1]Sheet2!BH248</f>
        <v>0</v>
      </c>
      <c r="CE249" s="14">
        <f>[1]Sheet2!BI248</f>
        <v>0</v>
      </c>
      <c r="CF249" s="14">
        <f>[1]Sheet2!BJ248</f>
        <v>0</v>
      </c>
      <c r="CG249" s="14">
        <f>[1]Sheet2!BK248</f>
        <v>0</v>
      </c>
      <c r="CH249" s="14">
        <f>[1]Sheet2!BL248</f>
        <v>0</v>
      </c>
      <c r="CI249" s="14">
        <f>[1]Sheet2!BM248</f>
        <v>0</v>
      </c>
      <c r="CJ249" s="14">
        <f>[1]Sheet2!BN248</f>
        <v>0</v>
      </c>
      <c r="CK249" s="14">
        <f>[1]Sheet2!BO248</f>
        <v>0</v>
      </c>
      <c r="CL249" s="14">
        <f>[1]Sheet2!BP248</f>
        <v>0</v>
      </c>
      <c r="CM249" s="16">
        <f>Demand_SW!B$11/30</f>
        <v>144.23076923076923</v>
      </c>
      <c r="CN249" s="16">
        <f>Demand_SW!C$11/30</f>
        <v>0</v>
      </c>
      <c r="CO249" s="16">
        <f>Demand_SW!D$11/30</f>
        <v>0</v>
      </c>
      <c r="CP249" s="16">
        <f>Demand_SW!E$11/30</f>
        <v>0</v>
      </c>
      <c r="CQ249" s="16">
        <f>Demand_SW!F$11/30</f>
        <v>0</v>
      </c>
      <c r="CR249" s="16">
        <f>Demand_SW!G$11/30</f>
        <v>144.23076923076923</v>
      </c>
      <c r="CS249" s="16">
        <f>Demand_SW!H$11/30</f>
        <v>0</v>
      </c>
      <c r="CT249" s="16">
        <f>Demand_SW!I$11/30</f>
        <v>0</v>
      </c>
      <c r="CU249" s="16">
        <f>Demand_SW!J$11/30</f>
        <v>0</v>
      </c>
      <c r="CV249" s="16">
        <f>Demand_SW!K$11/30</f>
        <v>0</v>
      </c>
      <c r="CW249" s="16">
        <f t="shared" si="113"/>
        <v>67846.538461538395</v>
      </c>
      <c r="CX249" s="16">
        <f t="shared" si="114"/>
        <v>20683.923076923078</v>
      </c>
      <c r="CY249" s="16">
        <f t="shared" si="115"/>
        <v>0</v>
      </c>
      <c r="CZ249" s="16">
        <f t="shared" si="116"/>
        <v>0</v>
      </c>
      <c r="DA249" s="16">
        <f t="shared" si="117"/>
        <v>0</v>
      </c>
      <c r="DB249" s="16">
        <f t="shared" si="118"/>
        <v>-31682.692307692316</v>
      </c>
      <c r="DC249" s="16">
        <f t="shared" si="119"/>
        <v>20683.923076923078</v>
      </c>
      <c r="DD249" s="16">
        <f t="shared" si="120"/>
        <v>0</v>
      </c>
      <c r="DE249" s="16">
        <f t="shared" si="121"/>
        <v>0</v>
      </c>
      <c r="DF249" s="16">
        <f t="shared" si="122"/>
        <v>0</v>
      </c>
      <c r="DG249" s="14">
        <f>IF([1]Sheet2!DR248=999999,"NA",[1]Sheet2!DR248)</f>
        <v>73103</v>
      </c>
      <c r="DH249" s="14">
        <f>IF([1]Sheet2!DS248=999999,"NA",[1]Sheet2!DS248)</f>
        <v>119</v>
      </c>
      <c r="DI249" s="14">
        <f>IF([1]Sheet2!DT248=999999,"NA",[1]Sheet2!DT248)</f>
        <v>119</v>
      </c>
      <c r="DJ249" s="14" t="str">
        <f>IF([1]Sheet2!DU248=999999,"NA",[1]Sheet2!DU248)</f>
        <v>NA</v>
      </c>
      <c r="DK249" s="14" t="str">
        <f>IF([1]Sheet2!DV248=999999,"NA",[1]Sheet2!DV248)</f>
        <v>NA</v>
      </c>
      <c r="DL249" s="14" t="str">
        <f>IF([1]Sheet2!DW248=999999,"NA",[1]Sheet2!DW248)</f>
        <v>NA</v>
      </c>
      <c r="DM249" s="14">
        <f>IF([1]Sheet2!DX248=999999,"NA",[1]Sheet2!DX248)</f>
        <v>119</v>
      </c>
      <c r="DN249" s="14">
        <f>IF([1]Sheet2!DY248=999999,"NA",[1]Sheet2!DY248)</f>
        <v>119</v>
      </c>
      <c r="DO249" s="14" t="str">
        <f>IF([1]Sheet2!DZ248=999999,"NA",[1]Sheet2!DZ248)</f>
        <v>NA</v>
      </c>
      <c r="DP249" s="14" t="str">
        <f>IF([1]Sheet2!EA248=999999,"NA",[1]Sheet2!EA248)</f>
        <v>NA</v>
      </c>
      <c r="DQ249" s="14">
        <f>[1]Sheet2!CX248</f>
        <v>0</v>
      </c>
      <c r="DR249" s="14">
        <f>[1]Sheet2!CY248</f>
        <v>0</v>
      </c>
      <c r="DS249" s="14">
        <f>[1]Sheet2!CZ248</f>
        <v>0</v>
      </c>
      <c r="DT249" s="14">
        <f>[1]Sheet2!DA248</f>
        <v>0</v>
      </c>
      <c r="DU249" s="14">
        <f>[1]Sheet2!DB248</f>
        <v>0</v>
      </c>
      <c r="DV249" s="14">
        <f>[1]Sheet2!DC248</f>
        <v>0</v>
      </c>
      <c r="DW249" s="14">
        <f>[1]Sheet2!DD248</f>
        <v>0</v>
      </c>
      <c r="DX249" s="14">
        <f>[1]Sheet2!DE248</f>
        <v>0</v>
      </c>
      <c r="DY249" s="14">
        <f>[1]Sheet2!DF248</f>
        <v>0</v>
      </c>
      <c r="DZ249" s="14">
        <f>[1]Sheet2!DG248</f>
        <v>0</v>
      </c>
    </row>
    <row r="250" spans="1:130" x14ac:dyDescent="0.25">
      <c r="A250" s="15">
        <v>43712</v>
      </c>
      <c r="B250" s="1"/>
      <c r="C250" s="1"/>
      <c r="D250" s="1"/>
      <c r="E250" s="14">
        <f>[1]Sheet2!N249</f>
        <v>0</v>
      </c>
      <c r="F250" s="14">
        <f>[1]Sheet2!BE249</f>
        <v>48000</v>
      </c>
      <c r="G250" s="14">
        <f>[1]Sheet2!CV249</f>
        <v>288.46153846153851</v>
      </c>
      <c r="H250" s="1"/>
      <c r="I250" s="1"/>
      <c r="J250" s="1"/>
      <c r="K250" s="16">
        <f>Demand_CWRS!B$11/30</f>
        <v>118.04546474358973</v>
      </c>
      <c r="L250" s="16">
        <f>Demand_CWRS!C$11/30</f>
        <v>491.39401709401704</v>
      </c>
      <c r="M250" s="16">
        <f>Demand_CWRS!D$11/30</f>
        <v>0</v>
      </c>
      <c r="N250" s="16">
        <f>Demand_CWRS!E$11/30</f>
        <v>107.84935897435898</v>
      </c>
      <c r="O250" s="16">
        <f>Demand_CWRS!F$11/30</f>
        <v>218.22274305555553</v>
      </c>
      <c r="P250" s="16">
        <f>Demand_CWRS!G$11/30</f>
        <v>118.04546474358973</v>
      </c>
      <c r="Q250" s="16">
        <f>Demand_CWRS!H$11/30</f>
        <v>491.39401709401704</v>
      </c>
      <c r="R250" s="16">
        <f>Demand_CWRS!I$11/30</f>
        <v>218.22274305555553</v>
      </c>
      <c r="S250" s="16">
        <f>Demand_CWRS!J$11/30</f>
        <v>218.22274305555553</v>
      </c>
      <c r="T250" s="16">
        <f>Demand_CWRS!K$11/30</f>
        <v>218.22274305555553</v>
      </c>
      <c r="U250" s="16">
        <f t="shared" si="93"/>
        <v>-32906.814069447719</v>
      </c>
      <c r="V250" s="16">
        <f t="shared" si="94"/>
        <v>-116227.40940170904</v>
      </c>
      <c r="W250" s="16">
        <f t="shared" si="95"/>
        <v>0</v>
      </c>
      <c r="X250" s="16">
        <f t="shared" si="96"/>
        <v>-27451.391934436775</v>
      </c>
      <c r="Y250" s="16">
        <f t="shared" si="97"/>
        <v>-53540.415223682787</v>
      </c>
      <c r="Z250" s="16">
        <f t="shared" si="98"/>
        <v>-32509.881545409313</v>
      </c>
      <c r="AA250" s="16">
        <f t="shared" si="99"/>
        <v>-115727.40940170904</v>
      </c>
      <c r="AB250" s="16">
        <f t="shared" si="100"/>
        <v>-51056.569742913503</v>
      </c>
      <c r="AC250" s="16">
        <f t="shared" si="101"/>
        <v>-51056.569742913496</v>
      </c>
      <c r="AD250" s="16">
        <f t="shared" si="102"/>
        <v>-51756.569742913489</v>
      </c>
      <c r="AE250" s="14">
        <f>IF([1]Sheet2!AJ249=999999,"NA",[1]Sheet2!AJ249)</f>
        <v>0</v>
      </c>
      <c r="AF250" s="14">
        <f>IF([1]Sheet2!AK249=999999,"NA",[1]Sheet2!AK249)</f>
        <v>0</v>
      </c>
      <c r="AG250" s="14" t="str">
        <f>IF([1]Sheet2!AL249=999999,"NA",[1]Sheet2!AL249)</f>
        <v>NA</v>
      </c>
      <c r="AH250" s="14">
        <f>IF([1]Sheet2!AM249=999999,"NA",[1]Sheet2!AM249)</f>
        <v>118</v>
      </c>
      <c r="AI250" s="14">
        <f>IF([1]Sheet2!AN249=999999,"NA",[1]Sheet2!AN249)</f>
        <v>118</v>
      </c>
      <c r="AJ250" s="14">
        <f>IF([1]Sheet2!AO249=999999,"NA",[1]Sheet2!AO249)</f>
        <v>118</v>
      </c>
      <c r="AK250" s="14">
        <f>IF([1]Sheet2!AP249=999999,"NA",[1]Sheet2!AP249)</f>
        <v>0</v>
      </c>
      <c r="AL250" s="14">
        <f>IF([1]Sheet2!AQ249=999999,"NA",[1]Sheet2!AQ249)</f>
        <v>13</v>
      </c>
      <c r="AM250" s="14">
        <f>IF([1]Sheet2!AR249=999999,"NA",[1]Sheet2!AR249)</f>
        <v>118</v>
      </c>
      <c r="AN250" s="14">
        <f>IF([1]Sheet2!AS249=999999,"NA",[1]Sheet2!AS249)</f>
        <v>69</v>
      </c>
      <c r="AO250" s="14">
        <f>[1]Sheet2!P249</f>
        <v>0</v>
      </c>
      <c r="AP250" s="14">
        <f>[1]Sheet2!Q249</f>
        <v>0</v>
      </c>
      <c r="AQ250" s="14">
        <f>[1]Sheet2!R249</f>
        <v>0</v>
      </c>
      <c r="AR250" s="14">
        <f>[1]Sheet2!S249</f>
        <v>0</v>
      </c>
      <c r="AS250" s="14">
        <f>[1]Sheet2!T249</f>
        <v>0</v>
      </c>
      <c r="AT250" s="14">
        <f>[1]Sheet2!U249</f>
        <v>0</v>
      </c>
      <c r="AU250" s="14">
        <f>[1]Sheet2!V249</f>
        <v>0</v>
      </c>
      <c r="AV250" s="14">
        <f>[1]Sheet2!W249</f>
        <v>0</v>
      </c>
      <c r="AW250" s="14">
        <f>[1]Sheet2!X249</f>
        <v>0</v>
      </c>
      <c r="AX250" s="14">
        <f>[1]Sheet2!Y249</f>
        <v>0</v>
      </c>
      <c r="AY250" s="16">
        <f>Demand_LP!B$11/30</f>
        <v>902.60591613247857</v>
      </c>
      <c r="AZ250" s="16">
        <f>Demand_LP!C$11/30</f>
        <v>593.76410256410259</v>
      </c>
      <c r="BA250" s="16">
        <f>Demand_LP!D$11/30</f>
        <v>290.27136752136749</v>
      </c>
      <c r="BB250" s="16">
        <f>Demand_LP!E$11/30</f>
        <v>790.42628205128199</v>
      </c>
      <c r="BC250" s="16">
        <f>Demand_LP!F$11/30</f>
        <v>538.46224626068363</v>
      </c>
      <c r="BD250" s="16">
        <f>Demand_LP!G$11/30</f>
        <v>902.60591613247857</v>
      </c>
      <c r="BE250" s="16">
        <f>Demand_LP!H$11/30</f>
        <v>593.76410256410259</v>
      </c>
      <c r="BF250" s="16">
        <f>Demand_LP!I$11/30</f>
        <v>538.46224626068363</v>
      </c>
      <c r="BG250" s="16">
        <f>Demand_LP!J$11/30</f>
        <v>538.46224626068363</v>
      </c>
      <c r="BH250" s="16">
        <f>Demand_LP!K$11/30</f>
        <v>538.46224626068363</v>
      </c>
      <c r="BI250" s="16" t="e">
        <f t="shared" si="103"/>
        <v>#VALUE!</v>
      </c>
      <c r="BJ250" s="16">
        <f t="shared" si="104"/>
        <v>-139661.19743589728</v>
      </c>
      <c r="BK250" s="16">
        <f t="shared" si="105"/>
        <v>-72525.685470085416</v>
      </c>
      <c r="BL250" s="16">
        <f t="shared" si="106"/>
        <v>-184282.38716325807</v>
      </c>
      <c r="BM250" s="16">
        <f t="shared" si="107"/>
        <v>-108076.01908910816</v>
      </c>
      <c r="BN250" s="16">
        <f t="shared" si="108"/>
        <v>-188456.18384618737</v>
      </c>
      <c r="BO250" s="16">
        <f t="shared" si="109"/>
        <v>-142018.77692307706</v>
      </c>
      <c r="BP250" s="16">
        <f t="shared" si="110"/>
        <v>-109187.70300747876</v>
      </c>
      <c r="BQ250" s="16">
        <f t="shared" si="111"/>
        <v>-106177.70300747881</v>
      </c>
      <c r="BR250" s="16">
        <f t="shared" si="112"/>
        <v>-107377.70300747876</v>
      </c>
      <c r="BS250" s="14">
        <f>IF([1]Sheet2!CA249=999999,"NA",[1]Sheet2!CA249)</f>
        <v>109101.2969925214</v>
      </c>
      <c r="BT250" s="14">
        <f>IF([1]Sheet2!CB249=999999,"NA",[1]Sheet2!CB249)</f>
        <v>48</v>
      </c>
      <c r="BU250" s="14">
        <f>IF([1]Sheet2!CC249=999999,"NA",[1]Sheet2!CC249)</f>
        <v>118</v>
      </c>
      <c r="BV250" s="14">
        <f>IF([1]Sheet2!CD249=999999,"NA",[1]Sheet2!CD249)</f>
        <v>118</v>
      </c>
      <c r="BW250" s="14">
        <f>IF([1]Sheet2!CE249=999999,"NA",[1]Sheet2!CE249)</f>
        <v>87</v>
      </c>
      <c r="BX250" s="14">
        <f>IF([1]Sheet2!CF249=999999,"NA",[1]Sheet2!CF249)</f>
        <v>118</v>
      </c>
      <c r="BY250" s="14">
        <f>IF([1]Sheet2!CG249=999999,"NA",[1]Sheet2!CG249)</f>
        <v>19</v>
      </c>
      <c r="BZ250" s="14">
        <f>IF([1]Sheet2!CH249=999999,"NA",[1]Sheet2!CH249)</f>
        <v>118</v>
      </c>
      <c r="CA250" s="14">
        <f>IF([1]Sheet2!CI249=999999,"NA",[1]Sheet2!CI249)</f>
        <v>118</v>
      </c>
      <c r="CB250" s="14">
        <f>IF([1]Sheet2!CJ249=999999,"NA",[1]Sheet2!CJ249)</f>
        <v>118</v>
      </c>
      <c r="CC250" s="14">
        <f>[1]Sheet2!BG249</f>
        <v>0</v>
      </c>
      <c r="CD250" s="14">
        <f>[1]Sheet2!BH249</f>
        <v>0</v>
      </c>
      <c r="CE250" s="14">
        <f>[1]Sheet2!BI249</f>
        <v>0</v>
      </c>
      <c r="CF250" s="14">
        <f>[1]Sheet2!BJ249</f>
        <v>0</v>
      </c>
      <c r="CG250" s="14">
        <f>[1]Sheet2!BK249</f>
        <v>0</v>
      </c>
      <c r="CH250" s="14">
        <f>[1]Sheet2!BL249</f>
        <v>0</v>
      </c>
      <c r="CI250" s="14">
        <f>[1]Sheet2!BM249</f>
        <v>0</v>
      </c>
      <c r="CJ250" s="14">
        <f>[1]Sheet2!BN249</f>
        <v>0</v>
      </c>
      <c r="CK250" s="14">
        <f>[1]Sheet2!BO249</f>
        <v>0</v>
      </c>
      <c r="CL250" s="14">
        <f>[1]Sheet2!BP249</f>
        <v>0</v>
      </c>
      <c r="CM250" s="16">
        <f>Demand_SW!B$11/30</f>
        <v>144.23076923076923</v>
      </c>
      <c r="CN250" s="16">
        <f>Demand_SW!C$11/30</f>
        <v>0</v>
      </c>
      <c r="CO250" s="16">
        <f>Demand_SW!D$11/30</f>
        <v>0</v>
      </c>
      <c r="CP250" s="16">
        <f>Demand_SW!E$11/30</f>
        <v>0</v>
      </c>
      <c r="CQ250" s="16">
        <f>Demand_SW!F$11/30</f>
        <v>0</v>
      </c>
      <c r="CR250" s="16">
        <f>Demand_SW!G$11/30</f>
        <v>144.23076923076923</v>
      </c>
      <c r="CS250" s="16">
        <f>Demand_SW!H$11/30</f>
        <v>0</v>
      </c>
      <c r="CT250" s="16">
        <f>Demand_SW!I$11/30</f>
        <v>0</v>
      </c>
      <c r="CU250" s="16">
        <f>Demand_SW!J$11/30</f>
        <v>0</v>
      </c>
      <c r="CV250" s="16">
        <f>Demand_SW!K$11/30</f>
        <v>0</v>
      </c>
      <c r="CW250" s="16">
        <f t="shared" si="113"/>
        <v>67702.30769230763</v>
      </c>
      <c r="CX250" s="16">
        <f t="shared" si="114"/>
        <v>20683.923076923078</v>
      </c>
      <c r="CY250" s="16">
        <f t="shared" si="115"/>
        <v>0</v>
      </c>
      <c r="CZ250" s="16">
        <f t="shared" si="116"/>
        <v>0</v>
      </c>
      <c r="DA250" s="16">
        <f t="shared" si="117"/>
        <v>0</v>
      </c>
      <c r="DB250" s="16">
        <f t="shared" si="118"/>
        <v>-31826.923076923085</v>
      </c>
      <c r="DC250" s="16">
        <f t="shared" si="119"/>
        <v>20683.923076923078</v>
      </c>
      <c r="DD250" s="16">
        <f t="shared" si="120"/>
        <v>0</v>
      </c>
      <c r="DE250" s="16">
        <f t="shared" si="121"/>
        <v>0</v>
      </c>
      <c r="DF250" s="16">
        <f t="shared" si="122"/>
        <v>0</v>
      </c>
      <c r="DG250" s="14">
        <f>IF([1]Sheet2!DR249=999999,"NA",[1]Sheet2!DR249)</f>
        <v>73103</v>
      </c>
      <c r="DH250" s="14">
        <f>IF([1]Sheet2!DS249=999999,"NA",[1]Sheet2!DS249)</f>
        <v>118</v>
      </c>
      <c r="DI250" s="14">
        <f>IF([1]Sheet2!DT249=999999,"NA",[1]Sheet2!DT249)</f>
        <v>118</v>
      </c>
      <c r="DJ250" s="14" t="str">
        <f>IF([1]Sheet2!DU249=999999,"NA",[1]Sheet2!DU249)</f>
        <v>NA</v>
      </c>
      <c r="DK250" s="14" t="str">
        <f>IF([1]Sheet2!DV249=999999,"NA",[1]Sheet2!DV249)</f>
        <v>NA</v>
      </c>
      <c r="DL250" s="14" t="str">
        <f>IF([1]Sheet2!DW249=999999,"NA",[1]Sheet2!DW249)</f>
        <v>NA</v>
      </c>
      <c r="DM250" s="14">
        <f>IF([1]Sheet2!DX249=999999,"NA",[1]Sheet2!DX249)</f>
        <v>118</v>
      </c>
      <c r="DN250" s="14">
        <f>IF([1]Sheet2!DY249=999999,"NA",[1]Sheet2!DY249)</f>
        <v>118</v>
      </c>
      <c r="DO250" s="14" t="str">
        <f>IF([1]Sheet2!DZ249=999999,"NA",[1]Sheet2!DZ249)</f>
        <v>NA</v>
      </c>
      <c r="DP250" s="14" t="str">
        <f>IF([1]Sheet2!EA249=999999,"NA",[1]Sheet2!EA249)</f>
        <v>NA</v>
      </c>
      <c r="DQ250" s="14">
        <f>[1]Sheet2!CX249</f>
        <v>0</v>
      </c>
      <c r="DR250" s="14">
        <f>[1]Sheet2!CY249</f>
        <v>0</v>
      </c>
      <c r="DS250" s="14">
        <f>[1]Sheet2!CZ249</f>
        <v>0</v>
      </c>
      <c r="DT250" s="14">
        <f>[1]Sheet2!DA249</f>
        <v>0</v>
      </c>
      <c r="DU250" s="14">
        <f>[1]Sheet2!DB249</f>
        <v>0</v>
      </c>
      <c r="DV250" s="14">
        <f>[1]Sheet2!DC249</f>
        <v>0</v>
      </c>
      <c r="DW250" s="14">
        <f>[1]Sheet2!DD249</f>
        <v>0</v>
      </c>
      <c r="DX250" s="14">
        <f>[1]Sheet2!DE249</f>
        <v>0</v>
      </c>
      <c r="DY250" s="14">
        <f>[1]Sheet2!DF249</f>
        <v>0</v>
      </c>
      <c r="DZ250" s="14">
        <f>[1]Sheet2!DG249</f>
        <v>0</v>
      </c>
    </row>
    <row r="251" spans="1:130" x14ac:dyDescent="0.25">
      <c r="A251" s="15">
        <v>43713</v>
      </c>
      <c r="B251" s="1"/>
      <c r="C251" s="1"/>
      <c r="D251" s="1"/>
      <c r="E251" s="14">
        <f>[1]Sheet2!N250</f>
        <v>0</v>
      </c>
      <c r="F251" s="14">
        <f>[1]Sheet2!BE250</f>
        <v>0</v>
      </c>
      <c r="G251" s="14">
        <f>[1]Sheet2!CV250</f>
        <v>288.46153846153851</v>
      </c>
      <c r="H251" s="1"/>
      <c r="I251" s="1"/>
      <c r="J251" s="1"/>
      <c r="K251" s="16">
        <f>Demand_CWRS!B$11/30</f>
        <v>118.04546474358973</v>
      </c>
      <c r="L251" s="16">
        <f>Demand_CWRS!C$11/30</f>
        <v>491.39401709401704</v>
      </c>
      <c r="M251" s="16">
        <f>Demand_CWRS!D$11/30</f>
        <v>0</v>
      </c>
      <c r="N251" s="16">
        <f>Demand_CWRS!E$11/30</f>
        <v>107.84935897435898</v>
      </c>
      <c r="O251" s="16">
        <f>Demand_CWRS!F$11/30</f>
        <v>218.22274305555553</v>
      </c>
      <c r="P251" s="16">
        <f>Demand_CWRS!G$11/30</f>
        <v>118.04546474358973</v>
      </c>
      <c r="Q251" s="16">
        <f>Demand_CWRS!H$11/30</f>
        <v>491.39401709401704</v>
      </c>
      <c r="R251" s="16">
        <f>Demand_CWRS!I$11/30</f>
        <v>218.22274305555553</v>
      </c>
      <c r="S251" s="16">
        <f>Demand_CWRS!J$11/30</f>
        <v>218.22274305555553</v>
      </c>
      <c r="T251" s="16">
        <f>Demand_CWRS!K$11/30</f>
        <v>218.22274305555553</v>
      </c>
      <c r="U251" s="16">
        <f t="shared" si="93"/>
        <v>-33024.85953419131</v>
      </c>
      <c r="V251" s="16">
        <f t="shared" si="94"/>
        <v>-116718.80341880306</v>
      </c>
      <c r="W251" s="16">
        <f t="shared" si="95"/>
        <v>0</v>
      </c>
      <c r="X251" s="16">
        <f t="shared" si="96"/>
        <v>-27559.241293411134</v>
      </c>
      <c r="Y251" s="16">
        <f t="shared" si="97"/>
        <v>-53758.637966738344</v>
      </c>
      <c r="Z251" s="16">
        <f t="shared" si="98"/>
        <v>-32627.927010152904</v>
      </c>
      <c r="AA251" s="16">
        <f t="shared" si="99"/>
        <v>-116218.80341880306</v>
      </c>
      <c r="AB251" s="16">
        <f t="shared" si="100"/>
        <v>-51274.792485969061</v>
      </c>
      <c r="AC251" s="16">
        <f t="shared" si="101"/>
        <v>-51274.792485969054</v>
      </c>
      <c r="AD251" s="16">
        <f t="shared" si="102"/>
        <v>-51974.792485969047</v>
      </c>
      <c r="AE251" s="14">
        <f>IF([1]Sheet2!AJ250=999999,"NA",[1]Sheet2!AJ250)</f>
        <v>0</v>
      </c>
      <c r="AF251" s="14">
        <f>IF([1]Sheet2!AK250=999999,"NA",[1]Sheet2!AK250)</f>
        <v>0</v>
      </c>
      <c r="AG251" s="14" t="str">
        <f>IF([1]Sheet2!AL250=999999,"NA",[1]Sheet2!AL250)</f>
        <v>NA</v>
      </c>
      <c r="AH251" s="14">
        <f>IF([1]Sheet2!AM250=999999,"NA",[1]Sheet2!AM250)</f>
        <v>117</v>
      </c>
      <c r="AI251" s="14">
        <f>IF([1]Sheet2!AN250=999999,"NA",[1]Sheet2!AN250)</f>
        <v>117</v>
      </c>
      <c r="AJ251" s="14">
        <f>IF([1]Sheet2!AO250=999999,"NA",[1]Sheet2!AO250)</f>
        <v>117</v>
      </c>
      <c r="AK251" s="14">
        <f>IF([1]Sheet2!AP250=999999,"NA",[1]Sheet2!AP250)</f>
        <v>0</v>
      </c>
      <c r="AL251" s="14">
        <f>IF([1]Sheet2!AQ250=999999,"NA",[1]Sheet2!AQ250)</f>
        <v>12</v>
      </c>
      <c r="AM251" s="14">
        <f>IF([1]Sheet2!AR250=999999,"NA",[1]Sheet2!AR250)</f>
        <v>117</v>
      </c>
      <c r="AN251" s="14">
        <f>IF([1]Sheet2!AS250=999999,"NA",[1]Sheet2!AS250)</f>
        <v>68</v>
      </c>
      <c r="AO251" s="14">
        <f>[1]Sheet2!P250</f>
        <v>0</v>
      </c>
      <c r="AP251" s="14">
        <f>[1]Sheet2!Q250</f>
        <v>0</v>
      </c>
      <c r="AQ251" s="14">
        <f>[1]Sheet2!R250</f>
        <v>0</v>
      </c>
      <c r="AR251" s="14">
        <f>[1]Sheet2!S250</f>
        <v>0</v>
      </c>
      <c r="AS251" s="14">
        <f>[1]Sheet2!T250</f>
        <v>0</v>
      </c>
      <c r="AT251" s="14">
        <f>[1]Sheet2!U250</f>
        <v>0</v>
      </c>
      <c r="AU251" s="14">
        <f>[1]Sheet2!V250</f>
        <v>0</v>
      </c>
      <c r="AV251" s="14">
        <f>[1]Sheet2!W250</f>
        <v>0</v>
      </c>
      <c r="AW251" s="14">
        <f>[1]Sheet2!X250</f>
        <v>0</v>
      </c>
      <c r="AX251" s="14">
        <f>[1]Sheet2!Y250</f>
        <v>0</v>
      </c>
      <c r="AY251" s="16">
        <f>Demand_LP!B$11/30</f>
        <v>902.60591613247857</v>
      </c>
      <c r="AZ251" s="16">
        <f>Demand_LP!C$11/30</f>
        <v>593.76410256410259</v>
      </c>
      <c r="BA251" s="16">
        <f>Demand_LP!D$11/30</f>
        <v>290.27136752136749</v>
      </c>
      <c r="BB251" s="16">
        <f>Demand_LP!E$11/30</f>
        <v>790.42628205128199</v>
      </c>
      <c r="BC251" s="16">
        <f>Demand_LP!F$11/30</f>
        <v>538.46224626068363</v>
      </c>
      <c r="BD251" s="16">
        <f>Demand_LP!G$11/30</f>
        <v>902.60591613247857</v>
      </c>
      <c r="BE251" s="16">
        <f>Demand_LP!H$11/30</f>
        <v>593.76410256410259</v>
      </c>
      <c r="BF251" s="16">
        <f>Demand_LP!I$11/30</f>
        <v>538.46224626068363</v>
      </c>
      <c r="BG251" s="16">
        <f>Demand_LP!J$11/30</f>
        <v>538.46224626068363</v>
      </c>
      <c r="BH251" s="16">
        <f>Demand_LP!K$11/30</f>
        <v>538.46224626068363</v>
      </c>
      <c r="BI251" s="16" t="e">
        <f t="shared" si="103"/>
        <v>#VALUE!</v>
      </c>
      <c r="BJ251" s="16">
        <f t="shared" si="104"/>
        <v>-140254.96153846139</v>
      </c>
      <c r="BK251" s="16">
        <f t="shared" si="105"/>
        <v>-72815.956837606791</v>
      </c>
      <c r="BL251" s="16">
        <f t="shared" si="106"/>
        <v>-185072.81344530935</v>
      </c>
      <c r="BM251" s="16">
        <f t="shared" si="107"/>
        <v>-108614.48133536884</v>
      </c>
      <c r="BN251" s="16">
        <f t="shared" si="108"/>
        <v>-189358.78976231985</v>
      </c>
      <c r="BO251" s="16">
        <f t="shared" si="109"/>
        <v>-142612.54102564117</v>
      </c>
      <c r="BP251" s="16">
        <f t="shared" si="110"/>
        <v>-109726.16525373944</v>
      </c>
      <c r="BQ251" s="16">
        <f t="shared" si="111"/>
        <v>-106716.16525373948</v>
      </c>
      <c r="BR251" s="16">
        <f t="shared" si="112"/>
        <v>-107916.16525373944</v>
      </c>
      <c r="BS251" s="14">
        <f>IF([1]Sheet2!CA250=999999,"NA",[1]Sheet2!CA250)</f>
        <v>108562.83474626072</v>
      </c>
      <c r="BT251" s="14">
        <f>IF([1]Sheet2!CB250=999999,"NA",[1]Sheet2!CB250)</f>
        <v>47</v>
      </c>
      <c r="BU251" s="14">
        <f>IF([1]Sheet2!CC250=999999,"NA",[1]Sheet2!CC250)</f>
        <v>117</v>
      </c>
      <c r="BV251" s="14">
        <f>IF([1]Sheet2!CD250=999999,"NA",[1]Sheet2!CD250)</f>
        <v>117</v>
      </c>
      <c r="BW251" s="14">
        <f>IF([1]Sheet2!CE250=999999,"NA",[1]Sheet2!CE250)</f>
        <v>86</v>
      </c>
      <c r="BX251" s="14">
        <f>IF([1]Sheet2!CF250=999999,"NA",[1]Sheet2!CF250)</f>
        <v>117</v>
      </c>
      <c r="BY251" s="14">
        <f>IF([1]Sheet2!CG250=999999,"NA",[1]Sheet2!CG250)</f>
        <v>18</v>
      </c>
      <c r="BZ251" s="14">
        <f>IF([1]Sheet2!CH250=999999,"NA",[1]Sheet2!CH250)</f>
        <v>117</v>
      </c>
      <c r="CA251" s="14">
        <f>IF([1]Sheet2!CI250=999999,"NA",[1]Sheet2!CI250)</f>
        <v>117</v>
      </c>
      <c r="CB251" s="14">
        <f>IF([1]Sheet2!CJ250=999999,"NA",[1]Sheet2!CJ250)</f>
        <v>117</v>
      </c>
      <c r="CC251" s="14">
        <f>[1]Sheet2!BG250</f>
        <v>0</v>
      </c>
      <c r="CD251" s="14">
        <f>[1]Sheet2!BH250</f>
        <v>0</v>
      </c>
      <c r="CE251" s="14">
        <f>[1]Sheet2!BI250</f>
        <v>0</v>
      </c>
      <c r="CF251" s="14">
        <f>[1]Sheet2!BJ250</f>
        <v>0</v>
      </c>
      <c r="CG251" s="14">
        <f>[1]Sheet2!BK250</f>
        <v>0</v>
      </c>
      <c r="CH251" s="14">
        <f>[1]Sheet2!BL250</f>
        <v>0</v>
      </c>
      <c r="CI251" s="14">
        <f>[1]Sheet2!BM250</f>
        <v>0</v>
      </c>
      <c r="CJ251" s="14">
        <f>[1]Sheet2!BN250</f>
        <v>0</v>
      </c>
      <c r="CK251" s="14">
        <f>[1]Sheet2!BO250</f>
        <v>0</v>
      </c>
      <c r="CL251" s="14">
        <f>[1]Sheet2!BP250</f>
        <v>0</v>
      </c>
      <c r="CM251" s="16">
        <f>Demand_SW!B$11/30</f>
        <v>144.23076923076923</v>
      </c>
      <c r="CN251" s="16">
        <f>Demand_SW!C$11/30</f>
        <v>0</v>
      </c>
      <c r="CO251" s="16">
        <f>Demand_SW!D$11/30</f>
        <v>0</v>
      </c>
      <c r="CP251" s="16">
        <f>Demand_SW!E$11/30</f>
        <v>0</v>
      </c>
      <c r="CQ251" s="16">
        <f>Demand_SW!F$11/30</f>
        <v>0</v>
      </c>
      <c r="CR251" s="16">
        <f>Demand_SW!G$11/30</f>
        <v>144.23076923076923</v>
      </c>
      <c r="CS251" s="16">
        <f>Demand_SW!H$11/30</f>
        <v>0</v>
      </c>
      <c r="CT251" s="16">
        <f>Demand_SW!I$11/30</f>
        <v>0</v>
      </c>
      <c r="CU251" s="16">
        <f>Demand_SW!J$11/30</f>
        <v>0</v>
      </c>
      <c r="CV251" s="16">
        <f>Demand_SW!K$11/30</f>
        <v>0</v>
      </c>
      <c r="CW251" s="16">
        <f t="shared" si="113"/>
        <v>67558.076923076864</v>
      </c>
      <c r="CX251" s="16">
        <f t="shared" si="114"/>
        <v>20683.923076923078</v>
      </c>
      <c r="CY251" s="16">
        <f t="shared" si="115"/>
        <v>0</v>
      </c>
      <c r="CZ251" s="16">
        <f t="shared" si="116"/>
        <v>0</v>
      </c>
      <c r="DA251" s="16">
        <f t="shared" si="117"/>
        <v>0</v>
      </c>
      <c r="DB251" s="16">
        <f t="shared" si="118"/>
        <v>-31971.153846153855</v>
      </c>
      <c r="DC251" s="16">
        <f t="shared" si="119"/>
        <v>20683.923076923078</v>
      </c>
      <c r="DD251" s="16">
        <f t="shared" si="120"/>
        <v>0</v>
      </c>
      <c r="DE251" s="16">
        <f t="shared" si="121"/>
        <v>0</v>
      </c>
      <c r="DF251" s="16">
        <f t="shared" si="122"/>
        <v>0</v>
      </c>
      <c r="DG251" s="14">
        <f>IF([1]Sheet2!DR250=999999,"NA",[1]Sheet2!DR250)</f>
        <v>73103</v>
      </c>
      <c r="DH251" s="14">
        <f>IF([1]Sheet2!DS250=999999,"NA",[1]Sheet2!DS250)</f>
        <v>117</v>
      </c>
      <c r="DI251" s="14">
        <f>IF([1]Sheet2!DT250=999999,"NA",[1]Sheet2!DT250)</f>
        <v>117</v>
      </c>
      <c r="DJ251" s="14" t="str">
        <f>IF([1]Sheet2!DU250=999999,"NA",[1]Sheet2!DU250)</f>
        <v>NA</v>
      </c>
      <c r="DK251" s="14" t="str">
        <f>IF([1]Sheet2!DV250=999999,"NA",[1]Sheet2!DV250)</f>
        <v>NA</v>
      </c>
      <c r="DL251" s="14" t="str">
        <f>IF([1]Sheet2!DW250=999999,"NA",[1]Sheet2!DW250)</f>
        <v>NA</v>
      </c>
      <c r="DM251" s="14">
        <f>IF([1]Sheet2!DX250=999999,"NA",[1]Sheet2!DX250)</f>
        <v>117</v>
      </c>
      <c r="DN251" s="14">
        <f>IF([1]Sheet2!DY250=999999,"NA",[1]Sheet2!DY250)</f>
        <v>117</v>
      </c>
      <c r="DO251" s="14" t="str">
        <f>IF([1]Sheet2!DZ250=999999,"NA",[1]Sheet2!DZ250)</f>
        <v>NA</v>
      </c>
      <c r="DP251" s="14" t="str">
        <f>IF([1]Sheet2!EA250=999999,"NA",[1]Sheet2!EA250)</f>
        <v>NA</v>
      </c>
      <c r="DQ251" s="14">
        <f>[1]Sheet2!CX250</f>
        <v>0</v>
      </c>
      <c r="DR251" s="14">
        <f>[1]Sheet2!CY250</f>
        <v>0</v>
      </c>
      <c r="DS251" s="14">
        <f>[1]Sheet2!CZ250</f>
        <v>0</v>
      </c>
      <c r="DT251" s="14">
        <f>[1]Sheet2!DA250</f>
        <v>0</v>
      </c>
      <c r="DU251" s="14">
        <f>[1]Sheet2!DB250</f>
        <v>0</v>
      </c>
      <c r="DV251" s="14">
        <f>[1]Sheet2!DC250</f>
        <v>0</v>
      </c>
      <c r="DW251" s="14">
        <f>[1]Sheet2!DD250</f>
        <v>0</v>
      </c>
      <c r="DX251" s="14">
        <f>[1]Sheet2!DE250</f>
        <v>0</v>
      </c>
      <c r="DY251" s="14">
        <f>[1]Sheet2!DF250</f>
        <v>0</v>
      </c>
      <c r="DZ251" s="14">
        <f>[1]Sheet2!DG250</f>
        <v>0</v>
      </c>
    </row>
    <row r="252" spans="1:130" x14ac:dyDescent="0.25">
      <c r="A252" s="15">
        <v>43714</v>
      </c>
      <c r="B252" s="1"/>
      <c r="C252" s="1"/>
      <c r="D252" s="1"/>
      <c r="E252" s="14">
        <f>[1]Sheet2!N251</f>
        <v>0</v>
      </c>
      <c r="F252" s="14">
        <f>[1]Sheet2!BE251</f>
        <v>0</v>
      </c>
      <c r="G252" s="14">
        <f>[1]Sheet2!CV251</f>
        <v>288.46153846153851</v>
      </c>
      <c r="H252" s="1"/>
      <c r="I252" s="1"/>
      <c r="J252" s="1"/>
      <c r="K252" s="16">
        <f>Demand_CWRS!B$11/30</f>
        <v>118.04546474358973</v>
      </c>
      <c r="L252" s="16">
        <f>Demand_CWRS!C$11/30</f>
        <v>491.39401709401704</v>
      </c>
      <c r="M252" s="16">
        <f>Demand_CWRS!D$11/30</f>
        <v>0</v>
      </c>
      <c r="N252" s="16">
        <f>Demand_CWRS!E$11/30</f>
        <v>107.84935897435898</v>
      </c>
      <c r="O252" s="16">
        <f>Demand_CWRS!F$11/30</f>
        <v>218.22274305555553</v>
      </c>
      <c r="P252" s="16">
        <f>Demand_CWRS!G$11/30</f>
        <v>118.04546474358973</v>
      </c>
      <c r="Q252" s="16">
        <f>Demand_CWRS!H$11/30</f>
        <v>491.39401709401704</v>
      </c>
      <c r="R252" s="16">
        <f>Demand_CWRS!I$11/30</f>
        <v>218.22274305555553</v>
      </c>
      <c r="S252" s="16">
        <f>Demand_CWRS!J$11/30</f>
        <v>218.22274305555553</v>
      </c>
      <c r="T252" s="16">
        <f>Demand_CWRS!K$11/30</f>
        <v>218.22274305555553</v>
      </c>
      <c r="U252" s="16">
        <f t="shared" si="93"/>
        <v>-33142.904998934901</v>
      </c>
      <c r="V252" s="16">
        <f t="shared" si="94"/>
        <v>-117210.19743589708</v>
      </c>
      <c r="W252" s="16">
        <f t="shared" si="95"/>
        <v>0</v>
      </c>
      <c r="X252" s="16">
        <f t="shared" si="96"/>
        <v>-27667.090652385494</v>
      </c>
      <c r="Y252" s="16">
        <f t="shared" si="97"/>
        <v>-53976.860709793902</v>
      </c>
      <c r="Z252" s="16">
        <f t="shared" si="98"/>
        <v>-32745.972474896495</v>
      </c>
      <c r="AA252" s="16">
        <f t="shared" si="99"/>
        <v>-116710.19743589708</v>
      </c>
      <c r="AB252" s="16">
        <f t="shared" si="100"/>
        <v>-51493.015229024619</v>
      </c>
      <c r="AC252" s="16">
        <f t="shared" si="101"/>
        <v>-51493.015229024611</v>
      </c>
      <c r="AD252" s="16">
        <f t="shared" si="102"/>
        <v>-52193.015229024604</v>
      </c>
      <c r="AE252" s="14">
        <f>IF([1]Sheet2!AJ251=999999,"NA",[1]Sheet2!AJ251)</f>
        <v>0</v>
      </c>
      <c r="AF252" s="14">
        <f>IF([1]Sheet2!AK251=999999,"NA",[1]Sheet2!AK251)</f>
        <v>0</v>
      </c>
      <c r="AG252" s="14" t="str">
        <f>IF([1]Sheet2!AL251=999999,"NA",[1]Sheet2!AL251)</f>
        <v>NA</v>
      </c>
      <c r="AH252" s="14">
        <f>IF([1]Sheet2!AM251=999999,"NA",[1]Sheet2!AM251)</f>
        <v>116</v>
      </c>
      <c r="AI252" s="14">
        <f>IF([1]Sheet2!AN251=999999,"NA",[1]Sheet2!AN251)</f>
        <v>116</v>
      </c>
      <c r="AJ252" s="14">
        <f>IF([1]Sheet2!AO251=999999,"NA",[1]Sheet2!AO251)</f>
        <v>116</v>
      </c>
      <c r="AK252" s="14">
        <f>IF([1]Sheet2!AP251=999999,"NA",[1]Sheet2!AP251)</f>
        <v>0</v>
      </c>
      <c r="AL252" s="14">
        <f>IF([1]Sheet2!AQ251=999999,"NA",[1]Sheet2!AQ251)</f>
        <v>11</v>
      </c>
      <c r="AM252" s="14">
        <f>IF([1]Sheet2!AR251=999999,"NA",[1]Sheet2!AR251)</f>
        <v>116</v>
      </c>
      <c r="AN252" s="14">
        <f>IF([1]Sheet2!AS251=999999,"NA",[1]Sheet2!AS251)</f>
        <v>67</v>
      </c>
      <c r="AO252" s="14">
        <f>[1]Sheet2!P251</f>
        <v>0</v>
      </c>
      <c r="AP252" s="14">
        <f>[1]Sheet2!Q251</f>
        <v>0</v>
      </c>
      <c r="AQ252" s="14">
        <f>[1]Sheet2!R251</f>
        <v>0</v>
      </c>
      <c r="AR252" s="14">
        <f>[1]Sheet2!S251</f>
        <v>0</v>
      </c>
      <c r="AS252" s="14">
        <f>[1]Sheet2!T251</f>
        <v>0</v>
      </c>
      <c r="AT252" s="14">
        <f>[1]Sheet2!U251</f>
        <v>0</v>
      </c>
      <c r="AU252" s="14">
        <f>[1]Sheet2!V251</f>
        <v>0</v>
      </c>
      <c r="AV252" s="14">
        <f>[1]Sheet2!W251</f>
        <v>0</v>
      </c>
      <c r="AW252" s="14">
        <f>[1]Sheet2!X251</f>
        <v>0</v>
      </c>
      <c r="AX252" s="14">
        <f>[1]Sheet2!Y251</f>
        <v>0</v>
      </c>
      <c r="AY252" s="16">
        <f>Demand_LP!B$11/30</f>
        <v>902.60591613247857</v>
      </c>
      <c r="AZ252" s="16">
        <f>Demand_LP!C$11/30</f>
        <v>593.76410256410259</v>
      </c>
      <c r="BA252" s="16">
        <f>Demand_LP!D$11/30</f>
        <v>290.27136752136749</v>
      </c>
      <c r="BB252" s="16">
        <f>Demand_LP!E$11/30</f>
        <v>790.42628205128199</v>
      </c>
      <c r="BC252" s="16">
        <f>Demand_LP!F$11/30</f>
        <v>538.46224626068363</v>
      </c>
      <c r="BD252" s="16">
        <f>Demand_LP!G$11/30</f>
        <v>902.60591613247857</v>
      </c>
      <c r="BE252" s="16">
        <f>Demand_LP!H$11/30</f>
        <v>593.76410256410259</v>
      </c>
      <c r="BF252" s="16">
        <f>Demand_LP!I$11/30</f>
        <v>538.46224626068363</v>
      </c>
      <c r="BG252" s="16">
        <f>Demand_LP!J$11/30</f>
        <v>538.46224626068363</v>
      </c>
      <c r="BH252" s="16">
        <f>Demand_LP!K$11/30</f>
        <v>538.46224626068363</v>
      </c>
      <c r="BI252" s="16" t="e">
        <f t="shared" si="103"/>
        <v>#VALUE!</v>
      </c>
      <c r="BJ252" s="16">
        <f t="shared" si="104"/>
        <v>-140848.72564102549</v>
      </c>
      <c r="BK252" s="16">
        <f t="shared" si="105"/>
        <v>-73106.228205128165</v>
      </c>
      <c r="BL252" s="16">
        <f t="shared" si="106"/>
        <v>-185863.23972736063</v>
      </c>
      <c r="BM252" s="16">
        <f t="shared" si="107"/>
        <v>-109152.94358162952</v>
      </c>
      <c r="BN252" s="16">
        <f t="shared" si="108"/>
        <v>-190261.39567845233</v>
      </c>
      <c r="BO252" s="16">
        <f t="shared" si="109"/>
        <v>-143206.30512820528</v>
      </c>
      <c r="BP252" s="16">
        <f t="shared" si="110"/>
        <v>-110264.62750000012</v>
      </c>
      <c r="BQ252" s="16">
        <f t="shared" si="111"/>
        <v>-107254.62750000016</v>
      </c>
      <c r="BR252" s="16">
        <f t="shared" si="112"/>
        <v>-108454.62750000012</v>
      </c>
      <c r="BS252" s="14">
        <f>IF([1]Sheet2!CA251=999999,"NA",[1]Sheet2!CA251)</f>
        <v>108024.37250000004</v>
      </c>
      <c r="BT252" s="14">
        <f>IF([1]Sheet2!CB251=999999,"NA",[1]Sheet2!CB251)</f>
        <v>46</v>
      </c>
      <c r="BU252" s="14">
        <f>IF([1]Sheet2!CC251=999999,"NA",[1]Sheet2!CC251)</f>
        <v>116</v>
      </c>
      <c r="BV252" s="14">
        <f>IF([1]Sheet2!CD251=999999,"NA",[1]Sheet2!CD251)</f>
        <v>116</v>
      </c>
      <c r="BW252" s="14">
        <f>IF([1]Sheet2!CE251=999999,"NA",[1]Sheet2!CE251)</f>
        <v>85</v>
      </c>
      <c r="BX252" s="14">
        <f>IF([1]Sheet2!CF251=999999,"NA",[1]Sheet2!CF251)</f>
        <v>116</v>
      </c>
      <c r="BY252" s="14">
        <f>IF([1]Sheet2!CG251=999999,"NA",[1]Sheet2!CG251)</f>
        <v>17</v>
      </c>
      <c r="BZ252" s="14">
        <f>IF([1]Sheet2!CH251=999999,"NA",[1]Sheet2!CH251)</f>
        <v>116</v>
      </c>
      <c r="CA252" s="14">
        <f>IF([1]Sheet2!CI251=999999,"NA",[1]Sheet2!CI251)</f>
        <v>116</v>
      </c>
      <c r="CB252" s="14">
        <f>IF([1]Sheet2!CJ251=999999,"NA",[1]Sheet2!CJ251)</f>
        <v>116</v>
      </c>
      <c r="CC252" s="14">
        <f>[1]Sheet2!BG251</f>
        <v>0</v>
      </c>
      <c r="CD252" s="14">
        <f>[1]Sheet2!BH251</f>
        <v>0</v>
      </c>
      <c r="CE252" s="14">
        <f>[1]Sheet2!BI251</f>
        <v>0</v>
      </c>
      <c r="CF252" s="14">
        <f>[1]Sheet2!BJ251</f>
        <v>0</v>
      </c>
      <c r="CG252" s="14">
        <f>[1]Sheet2!BK251</f>
        <v>0</v>
      </c>
      <c r="CH252" s="14">
        <f>[1]Sheet2!BL251</f>
        <v>0</v>
      </c>
      <c r="CI252" s="14">
        <f>[1]Sheet2!BM251</f>
        <v>0</v>
      </c>
      <c r="CJ252" s="14">
        <f>[1]Sheet2!BN251</f>
        <v>0</v>
      </c>
      <c r="CK252" s="14">
        <f>[1]Sheet2!BO251</f>
        <v>0</v>
      </c>
      <c r="CL252" s="14">
        <f>[1]Sheet2!BP251</f>
        <v>0</v>
      </c>
      <c r="CM252" s="16">
        <f>Demand_SW!B$11/30</f>
        <v>144.23076923076923</v>
      </c>
      <c r="CN252" s="16">
        <f>Demand_SW!C$11/30</f>
        <v>0</v>
      </c>
      <c r="CO252" s="16">
        <f>Demand_SW!D$11/30</f>
        <v>0</v>
      </c>
      <c r="CP252" s="16">
        <f>Demand_SW!E$11/30</f>
        <v>0</v>
      </c>
      <c r="CQ252" s="16">
        <f>Demand_SW!F$11/30</f>
        <v>0</v>
      </c>
      <c r="CR252" s="16">
        <f>Demand_SW!G$11/30</f>
        <v>144.23076923076923</v>
      </c>
      <c r="CS252" s="16">
        <f>Demand_SW!H$11/30</f>
        <v>0</v>
      </c>
      <c r="CT252" s="16">
        <f>Demand_SW!I$11/30</f>
        <v>0</v>
      </c>
      <c r="CU252" s="16">
        <f>Demand_SW!J$11/30</f>
        <v>0</v>
      </c>
      <c r="CV252" s="16">
        <f>Demand_SW!K$11/30</f>
        <v>0</v>
      </c>
      <c r="CW252" s="16">
        <f t="shared" si="113"/>
        <v>67413.846153846098</v>
      </c>
      <c r="CX252" s="16">
        <f t="shared" si="114"/>
        <v>20683.923076923078</v>
      </c>
      <c r="CY252" s="16">
        <f t="shared" si="115"/>
        <v>0</v>
      </c>
      <c r="CZ252" s="16">
        <f t="shared" si="116"/>
        <v>0</v>
      </c>
      <c r="DA252" s="16">
        <f t="shared" si="117"/>
        <v>0</v>
      </c>
      <c r="DB252" s="16">
        <f t="shared" si="118"/>
        <v>-32115.384615384624</v>
      </c>
      <c r="DC252" s="16">
        <f t="shared" si="119"/>
        <v>20683.923076923078</v>
      </c>
      <c r="DD252" s="16">
        <f t="shared" si="120"/>
        <v>0</v>
      </c>
      <c r="DE252" s="16">
        <f t="shared" si="121"/>
        <v>0</v>
      </c>
      <c r="DF252" s="16">
        <f t="shared" si="122"/>
        <v>0</v>
      </c>
      <c r="DG252" s="14">
        <f>IF([1]Sheet2!DR251=999999,"NA",[1]Sheet2!DR251)</f>
        <v>73103</v>
      </c>
      <c r="DH252" s="14">
        <f>IF([1]Sheet2!DS251=999999,"NA",[1]Sheet2!DS251)</f>
        <v>116</v>
      </c>
      <c r="DI252" s="14">
        <f>IF([1]Sheet2!DT251=999999,"NA",[1]Sheet2!DT251)</f>
        <v>116</v>
      </c>
      <c r="DJ252" s="14" t="str">
        <f>IF([1]Sheet2!DU251=999999,"NA",[1]Sheet2!DU251)</f>
        <v>NA</v>
      </c>
      <c r="DK252" s="14" t="str">
        <f>IF([1]Sheet2!DV251=999999,"NA",[1]Sheet2!DV251)</f>
        <v>NA</v>
      </c>
      <c r="DL252" s="14" t="str">
        <f>IF([1]Sheet2!DW251=999999,"NA",[1]Sheet2!DW251)</f>
        <v>NA</v>
      </c>
      <c r="DM252" s="14">
        <f>IF([1]Sheet2!DX251=999999,"NA",[1]Sheet2!DX251)</f>
        <v>116</v>
      </c>
      <c r="DN252" s="14">
        <f>IF([1]Sheet2!DY251=999999,"NA",[1]Sheet2!DY251)</f>
        <v>116</v>
      </c>
      <c r="DO252" s="14" t="str">
        <f>IF([1]Sheet2!DZ251=999999,"NA",[1]Sheet2!DZ251)</f>
        <v>NA</v>
      </c>
      <c r="DP252" s="14" t="str">
        <f>IF([1]Sheet2!EA251=999999,"NA",[1]Sheet2!EA251)</f>
        <v>NA</v>
      </c>
      <c r="DQ252" s="14">
        <f>[1]Sheet2!CX251</f>
        <v>0</v>
      </c>
      <c r="DR252" s="14">
        <f>[1]Sheet2!CY251</f>
        <v>0</v>
      </c>
      <c r="DS252" s="14">
        <f>[1]Sheet2!CZ251</f>
        <v>0</v>
      </c>
      <c r="DT252" s="14">
        <f>[1]Sheet2!DA251</f>
        <v>0</v>
      </c>
      <c r="DU252" s="14">
        <f>[1]Sheet2!DB251</f>
        <v>0</v>
      </c>
      <c r="DV252" s="14">
        <f>[1]Sheet2!DC251</f>
        <v>0</v>
      </c>
      <c r="DW252" s="14">
        <f>[1]Sheet2!DD251</f>
        <v>0</v>
      </c>
      <c r="DX252" s="14">
        <f>[1]Sheet2!DE251</f>
        <v>0</v>
      </c>
      <c r="DY252" s="14">
        <f>[1]Sheet2!DF251</f>
        <v>0</v>
      </c>
      <c r="DZ252" s="14">
        <f>[1]Sheet2!DG251</f>
        <v>0</v>
      </c>
    </row>
    <row r="253" spans="1:130" x14ac:dyDescent="0.25">
      <c r="A253" s="15">
        <v>43715</v>
      </c>
      <c r="B253" s="1"/>
      <c r="C253" s="1"/>
      <c r="D253" s="1"/>
      <c r="E253" s="14">
        <f>[1]Sheet2!N252</f>
        <v>0</v>
      </c>
      <c r="F253" s="14">
        <f>[1]Sheet2!BE252</f>
        <v>0</v>
      </c>
      <c r="G253" s="14">
        <f>[1]Sheet2!CV252</f>
        <v>288.46153846153851</v>
      </c>
      <c r="H253" s="1"/>
      <c r="I253" s="1"/>
      <c r="J253" s="1"/>
      <c r="K253" s="16">
        <f>Demand_CWRS!B$11/30</f>
        <v>118.04546474358973</v>
      </c>
      <c r="L253" s="16">
        <f>Demand_CWRS!C$11/30</f>
        <v>491.39401709401704</v>
      </c>
      <c r="M253" s="16">
        <f>Demand_CWRS!D$11/30</f>
        <v>0</v>
      </c>
      <c r="N253" s="16">
        <f>Demand_CWRS!E$11/30</f>
        <v>107.84935897435898</v>
      </c>
      <c r="O253" s="16">
        <f>Demand_CWRS!F$11/30</f>
        <v>218.22274305555553</v>
      </c>
      <c r="P253" s="16">
        <f>Demand_CWRS!G$11/30</f>
        <v>118.04546474358973</v>
      </c>
      <c r="Q253" s="16">
        <f>Demand_CWRS!H$11/30</f>
        <v>491.39401709401704</v>
      </c>
      <c r="R253" s="16">
        <f>Demand_CWRS!I$11/30</f>
        <v>218.22274305555553</v>
      </c>
      <c r="S253" s="16">
        <f>Demand_CWRS!J$11/30</f>
        <v>218.22274305555553</v>
      </c>
      <c r="T253" s="16">
        <f>Demand_CWRS!K$11/30</f>
        <v>218.22274305555553</v>
      </c>
      <c r="U253" s="16">
        <f t="shared" si="93"/>
        <v>-33260.950463678491</v>
      </c>
      <c r="V253" s="16">
        <f t="shared" si="94"/>
        <v>-117701.5914529911</v>
      </c>
      <c r="W253" s="16">
        <f t="shared" si="95"/>
        <v>0</v>
      </c>
      <c r="X253" s="16">
        <f t="shared" si="96"/>
        <v>-27774.940011359853</v>
      </c>
      <c r="Y253" s="16">
        <f t="shared" si="97"/>
        <v>-54195.08345284946</v>
      </c>
      <c r="Z253" s="16">
        <f t="shared" si="98"/>
        <v>-32864.017939640085</v>
      </c>
      <c r="AA253" s="16">
        <f t="shared" si="99"/>
        <v>-117201.5914529911</v>
      </c>
      <c r="AB253" s="16">
        <f t="shared" si="100"/>
        <v>-51711.237972080176</v>
      </c>
      <c r="AC253" s="16">
        <f t="shared" si="101"/>
        <v>-51711.237972080169</v>
      </c>
      <c r="AD253" s="16">
        <f t="shared" si="102"/>
        <v>-52411.237972080162</v>
      </c>
      <c r="AE253" s="14">
        <f>IF([1]Sheet2!AJ252=999999,"NA",[1]Sheet2!AJ252)</f>
        <v>0</v>
      </c>
      <c r="AF253" s="14">
        <f>IF([1]Sheet2!AK252=999999,"NA",[1]Sheet2!AK252)</f>
        <v>0</v>
      </c>
      <c r="AG253" s="14" t="str">
        <f>IF([1]Sheet2!AL252=999999,"NA",[1]Sheet2!AL252)</f>
        <v>NA</v>
      </c>
      <c r="AH253" s="14">
        <f>IF([1]Sheet2!AM252=999999,"NA",[1]Sheet2!AM252)</f>
        <v>115</v>
      </c>
      <c r="AI253" s="14">
        <f>IF([1]Sheet2!AN252=999999,"NA",[1]Sheet2!AN252)</f>
        <v>115</v>
      </c>
      <c r="AJ253" s="14">
        <f>IF([1]Sheet2!AO252=999999,"NA",[1]Sheet2!AO252)</f>
        <v>115</v>
      </c>
      <c r="AK253" s="14">
        <f>IF([1]Sheet2!AP252=999999,"NA",[1]Sheet2!AP252)</f>
        <v>0</v>
      </c>
      <c r="AL253" s="14">
        <f>IF([1]Sheet2!AQ252=999999,"NA",[1]Sheet2!AQ252)</f>
        <v>10</v>
      </c>
      <c r="AM253" s="14">
        <f>IF([1]Sheet2!AR252=999999,"NA",[1]Sheet2!AR252)</f>
        <v>115</v>
      </c>
      <c r="AN253" s="14">
        <f>IF([1]Sheet2!AS252=999999,"NA",[1]Sheet2!AS252)</f>
        <v>66</v>
      </c>
      <c r="AO253" s="14">
        <f>[1]Sheet2!P252</f>
        <v>0</v>
      </c>
      <c r="AP253" s="14">
        <f>[1]Sheet2!Q252</f>
        <v>0</v>
      </c>
      <c r="AQ253" s="14">
        <f>[1]Sheet2!R252</f>
        <v>0</v>
      </c>
      <c r="AR253" s="14">
        <f>[1]Sheet2!S252</f>
        <v>0</v>
      </c>
      <c r="AS253" s="14">
        <f>[1]Sheet2!T252</f>
        <v>0</v>
      </c>
      <c r="AT253" s="14">
        <f>[1]Sheet2!U252</f>
        <v>0</v>
      </c>
      <c r="AU253" s="14">
        <f>[1]Sheet2!V252</f>
        <v>0</v>
      </c>
      <c r="AV253" s="14">
        <f>[1]Sheet2!W252</f>
        <v>0</v>
      </c>
      <c r="AW253" s="14">
        <f>[1]Sheet2!X252</f>
        <v>0</v>
      </c>
      <c r="AX253" s="14">
        <f>[1]Sheet2!Y252</f>
        <v>0</v>
      </c>
      <c r="AY253" s="16">
        <f>Demand_LP!B$11/30</f>
        <v>902.60591613247857</v>
      </c>
      <c r="AZ253" s="16">
        <f>Demand_LP!C$11/30</f>
        <v>593.76410256410259</v>
      </c>
      <c r="BA253" s="16">
        <f>Demand_LP!D$11/30</f>
        <v>290.27136752136749</v>
      </c>
      <c r="BB253" s="16">
        <f>Demand_LP!E$11/30</f>
        <v>790.42628205128199</v>
      </c>
      <c r="BC253" s="16">
        <f>Demand_LP!F$11/30</f>
        <v>538.46224626068363</v>
      </c>
      <c r="BD253" s="16">
        <f>Demand_LP!G$11/30</f>
        <v>902.60591613247857</v>
      </c>
      <c r="BE253" s="16">
        <f>Demand_LP!H$11/30</f>
        <v>593.76410256410259</v>
      </c>
      <c r="BF253" s="16">
        <f>Demand_LP!I$11/30</f>
        <v>538.46224626068363</v>
      </c>
      <c r="BG253" s="16">
        <f>Demand_LP!J$11/30</f>
        <v>538.46224626068363</v>
      </c>
      <c r="BH253" s="16">
        <f>Demand_LP!K$11/30</f>
        <v>538.46224626068363</v>
      </c>
      <c r="BI253" s="16" t="e">
        <f t="shared" si="103"/>
        <v>#VALUE!</v>
      </c>
      <c r="BJ253" s="16">
        <f t="shared" si="104"/>
        <v>-141442.4897435896</v>
      </c>
      <c r="BK253" s="16">
        <f t="shared" si="105"/>
        <v>-73396.49957264954</v>
      </c>
      <c r="BL253" s="16">
        <f t="shared" si="106"/>
        <v>-186653.66600941191</v>
      </c>
      <c r="BM253" s="16">
        <f t="shared" si="107"/>
        <v>-109691.40582789019</v>
      </c>
      <c r="BN253" s="16">
        <f t="shared" si="108"/>
        <v>-191164.00159458481</v>
      </c>
      <c r="BO253" s="16">
        <f t="shared" si="109"/>
        <v>-143800.06923076938</v>
      </c>
      <c r="BP253" s="16">
        <f t="shared" si="110"/>
        <v>-110803.0897462608</v>
      </c>
      <c r="BQ253" s="16">
        <f t="shared" si="111"/>
        <v>-107793.08974626084</v>
      </c>
      <c r="BR253" s="16">
        <f t="shared" si="112"/>
        <v>-108993.0897462608</v>
      </c>
      <c r="BS253" s="14">
        <f>IF([1]Sheet2!CA252=999999,"NA",[1]Sheet2!CA252)</f>
        <v>107485.91025373936</v>
      </c>
      <c r="BT253" s="14">
        <f>IF([1]Sheet2!CB252=999999,"NA",[1]Sheet2!CB252)</f>
        <v>45</v>
      </c>
      <c r="BU253" s="14">
        <f>IF([1]Sheet2!CC252=999999,"NA",[1]Sheet2!CC252)</f>
        <v>115</v>
      </c>
      <c r="BV253" s="14">
        <f>IF([1]Sheet2!CD252=999999,"NA",[1]Sheet2!CD252)</f>
        <v>115</v>
      </c>
      <c r="BW253" s="14">
        <f>IF([1]Sheet2!CE252=999999,"NA",[1]Sheet2!CE252)</f>
        <v>84</v>
      </c>
      <c r="BX253" s="14">
        <f>IF([1]Sheet2!CF252=999999,"NA",[1]Sheet2!CF252)</f>
        <v>115</v>
      </c>
      <c r="BY253" s="14">
        <f>IF([1]Sheet2!CG252=999999,"NA",[1]Sheet2!CG252)</f>
        <v>16</v>
      </c>
      <c r="BZ253" s="14">
        <f>IF([1]Sheet2!CH252=999999,"NA",[1]Sheet2!CH252)</f>
        <v>115</v>
      </c>
      <c r="CA253" s="14">
        <f>IF([1]Sheet2!CI252=999999,"NA",[1]Sheet2!CI252)</f>
        <v>115</v>
      </c>
      <c r="CB253" s="14">
        <f>IF([1]Sheet2!CJ252=999999,"NA",[1]Sheet2!CJ252)</f>
        <v>115</v>
      </c>
      <c r="CC253" s="14">
        <f>[1]Sheet2!BG252</f>
        <v>0</v>
      </c>
      <c r="CD253" s="14">
        <f>[1]Sheet2!BH252</f>
        <v>0</v>
      </c>
      <c r="CE253" s="14">
        <f>[1]Sheet2!BI252</f>
        <v>0</v>
      </c>
      <c r="CF253" s="14">
        <f>[1]Sheet2!BJ252</f>
        <v>0</v>
      </c>
      <c r="CG253" s="14">
        <f>[1]Sheet2!BK252</f>
        <v>0</v>
      </c>
      <c r="CH253" s="14">
        <f>[1]Sheet2!BL252</f>
        <v>0</v>
      </c>
      <c r="CI253" s="14">
        <f>[1]Sheet2!BM252</f>
        <v>0</v>
      </c>
      <c r="CJ253" s="14">
        <f>[1]Sheet2!BN252</f>
        <v>0</v>
      </c>
      <c r="CK253" s="14">
        <f>[1]Sheet2!BO252</f>
        <v>0</v>
      </c>
      <c r="CL253" s="14">
        <f>[1]Sheet2!BP252</f>
        <v>0</v>
      </c>
      <c r="CM253" s="16">
        <f>Demand_SW!B$11/30</f>
        <v>144.23076923076923</v>
      </c>
      <c r="CN253" s="16">
        <f>Demand_SW!C$11/30</f>
        <v>0</v>
      </c>
      <c r="CO253" s="16">
        <f>Demand_SW!D$11/30</f>
        <v>0</v>
      </c>
      <c r="CP253" s="16">
        <f>Demand_SW!E$11/30</f>
        <v>0</v>
      </c>
      <c r="CQ253" s="16">
        <f>Demand_SW!F$11/30</f>
        <v>0</v>
      </c>
      <c r="CR253" s="16">
        <f>Demand_SW!G$11/30</f>
        <v>144.23076923076923</v>
      </c>
      <c r="CS253" s="16">
        <f>Demand_SW!H$11/30</f>
        <v>0</v>
      </c>
      <c r="CT253" s="16">
        <f>Demand_SW!I$11/30</f>
        <v>0</v>
      </c>
      <c r="CU253" s="16">
        <f>Demand_SW!J$11/30</f>
        <v>0</v>
      </c>
      <c r="CV253" s="16">
        <f>Demand_SW!K$11/30</f>
        <v>0</v>
      </c>
      <c r="CW253" s="16">
        <f t="shared" si="113"/>
        <v>67269.615384615332</v>
      </c>
      <c r="CX253" s="16">
        <f t="shared" si="114"/>
        <v>20683.923076923078</v>
      </c>
      <c r="CY253" s="16">
        <f t="shared" si="115"/>
        <v>0</v>
      </c>
      <c r="CZ253" s="16">
        <f t="shared" si="116"/>
        <v>0</v>
      </c>
      <c r="DA253" s="16">
        <f t="shared" si="117"/>
        <v>0</v>
      </c>
      <c r="DB253" s="16">
        <f t="shared" si="118"/>
        <v>-32259.615384615394</v>
      </c>
      <c r="DC253" s="16">
        <f t="shared" si="119"/>
        <v>20683.923076923078</v>
      </c>
      <c r="DD253" s="16">
        <f t="shared" si="120"/>
        <v>0</v>
      </c>
      <c r="DE253" s="16">
        <f t="shared" si="121"/>
        <v>0</v>
      </c>
      <c r="DF253" s="16">
        <f t="shared" si="122"/>
        <v>0</v>
      </c>
      <c r="DG253" s="14">
        <f>IF([1]Sheet2!DR252=999999,"NA",[1]Sheet2!DR252)</f>
        <v>73103</v>
      </c>
      <c r="DH253" s="14">
        <f>IF([1]Sheet2!DS252=999999,"NA",[1]Sheet2!DS252)</f>
        <v>115</v>
      </c>
      <c r="DI253" s="14">
        <f>IF([1]Sheet2!DT252=999999,"NA",[1]Sheet2!DT252)</f>
        <v>115</v>
      </c>
      <c r="DJ253" s="14" t="str">
        <f>IF([1]Sheet2!DU252=999999,"NA",[1]Sheet2!DU252)</f>
        <v>NA</v>
      </c>
      <c r="DK253" s="14" t="str">
        <f>IF([1]Sheet2!DV252=999999,"NA",[1]Sheet2!DV252)</f>
        <v>NA</v>
      </c>
      <c r="DL253" s="14" t="str">
        <f>IF([1]Sheet2!DW252=999999,"NA",[1]Sheet2!DW252)</f>
        <v>NA</v>
      </c>
      <c r="DM253" s="14">
        <f>IF([1]Sheet2!DX252=999999,"NA",[1]Sheet2!DX252)</f>
        <v>115</v>
      </c>
      <c r="DN253" s="14">
        <f>IF([1]Sheet2!DY252=999999,"NA",[1]Sheet2!DY252)</f>
        <v>115</v>
      </c>
      <c r="DO253" s="14" t="str">
        <f>IF([1]Sheet2!DZ252=999999,"NA",[1]Sheet2!DZ252)</f>
        <v>NA</v>
      </c>
      <c r="DP253" s="14" t="str">
        <f>IF([1]Sheet2!EA252=999999,"NA",[1]Sheet2!EA252)</f>
        <v>NA</v>
      </c>
      <c r="DQ253" s="14">
        <f>[1]Sheet2!CX252</f>
        <v>0</v>
      </c>
      <c r="DR253" s="14">
        <f>[1]Sheet2!CY252</f>
        <v>0</v>
      </c>
      <c r="DS253" s="14">
        <f>[1]Sheet2!CZ252</f>
        <v>0</v>
      </c>
      <c r="DT253" s="14">
        <f>[1]Sheet2!DA252</f>
        <v>0</v>
      </c>
      <c r="DU253" s="14">
        <f>[1]Sheet2!DB252</f>
        <v>0</v>
      </c>
      <c r="DV253" s="14">
        <f>[1]Sheet2!DC252</f>
        <v>0</v>
      </c>
      <c r="DW253" s="14">
        <f>[1]Sheet2!DD252</f>
        <v>0</v>
      </c>
      <c r="DX253" s="14">
        <f>[1]Sheet2!DE252</f>
        <v>0</v>
      </c>
      <c r="DY253" s="14">
        <f>[1]Sheet2!DF252</f>
        <v>0</v>
      </c>
      <c r="DZ253" s="14">
        <f>[1]Sheet2!DG252</f>
        <v>0</v>
      </c>
    </row>
    <row r="254" spans="1:130" x14ac:dyDescent="0.25">
      <c r="A254" s="15">
        <v>43716</v>
      </c>
      <c r="B254" s="1"/>
      <c r="C254" s="1"/>
      <c r="D254" s="1"/>
      <c r="E254" s="14">
        <f>[1]Sheet2!N253</f>
        <v>48000</v>
      </c>
      <c r="F254" s="14">
        <f>[1]Sheet2!BE253</f>
        <v>0</v>
      </c>
      <c r="G254" s="14">
        <f>[1]Sheet2!CV253</f>
        <v>288.46153846153851</v>
      </c>
      <c r="H254" s="1"/>
      <c r="I254" s="1"/>
      <c r="J254" s="1"/>
      <c r="K254" s="16">
        <f>Demand_CWRS!B$11/30</f>
        <v>118.04546474358973</v>
      </c>
      <c r="L254" s="16">
        <f>Demand_CWRS!C$11/30</f>
        <v>491.39401709401704</v>
      </c>
      <c r="M254" s="16">
        <f>Demand_CWRS!D$11/30</f>
        <v>0</v>
      </c>
      <c r="N254" s="16">
        <f>Demand_CWRS!E$11/30</f>
        <v>107.84935897435898</v>
      </c>
      <c r="O254" s="16">
        <f>Demand_CWRS!F$11/30</f>
        <v>218.22274305555553</v>
      </c>
      <c r="P254" s="16">
        <f>Demand_CWRS!G$11/30</f>
        <v>118.04546474358973</v>
      </c>
      <c r="Q254" s="16">
        <f>Demand_CWRS!H$11/30</f>
        <v>491.39401709401704</v>
      </c>
      <c r="R254" s="16">
        <f>Demand_CWRS!I$11/30</f>
        <v>218.22274305555553</v>
      </c>
      <c r="S254" s="16">
        <f>Demand_CWRS!J$11/30</f>
        <v>218.22274305555553</v>
      </c>
      <c r="T254" s="16">
        <f>Demand_CWRS!K$11/30</f>
        <v>218.22274305555553</v>
      </c>
      <c r="U254" s="16">
        <f t="shared" si="93"/>
        <v>-33378.995928422082</v>
      </c>
      <c r="V254" s="16">
        <f t="shared" si="94"/>
        <v>-118192.98547008511</v>
      </c>
      <c r="W254" s="16">
        <f t="shared" si="95"/>
        <v>0</v>
      </c>
      <c r="X254" s="16">
        <f t="shared" si="96"/>
        <v>-27882.789370334212</v>
      </c>
      <c r="Y254" s="16">
        <f t="shared" si="97"/>
        <v>-54413.306195905017</v>
      </c>
      <c r="Z254" s="16">
        <f t="shared" si="98"/>
        <v>-32982.063404383676</v>
      </c>
      <c r="AA254" s="16">
        <f t="shared" si="99"/>
        <v>-117692.98547008511</v>
      </c>
      <c r="AB254" s="16">
        <f t="shared" si="100"/>
        <v>-51929.460715135734</v>
      </c>
      <c r="AC254" s="16">
        <f t="shared" si="101"/>
        <v>-51929.460715135727</v>
      </c>
      <c r="AD254" s="16">
        <f t="shared" si="102"/>
        <v>-52629.46071513572</v>
      </c>
      <c r="AE254" s="14">
        <f>IF([1]Sheet2!AJ253=999999,"NA",[1]Sheet2!AJ253)</f>
        <v>0</v>
      </c>
      <c r="AF254" s="14">
        <f>IF([1]Sheet2!AK253=999999,"NA",[1]Sheet2!AK253)</f>
        <v>0</v>
      </c>
      <c r="AG254" s="14" t="str">
        <f>IF([1]Sheet2!AL253=999999,"NA",[1]Sheet2!AL253)</f>
        <v>NA</v>
      </c>
      <c r="AH254" s="14">
        <f>IF([1]Sheet2!AM253=999999,"NA",[1]Sheet2!AM253)</f>
        <v>114</v>
      </c>
      <c r="AI254" s="14">
        <f>IF([1]Sheet2!AN253=999999,"NA",[1]Sheet2!AN253)</f>
        <v>114</v>
      </c>
      <c r="AJ254" s="14">
        <f>IF([1]Sheet2!AO253=999999,"NA",[1]Sheet2!AO253)</f>
        <v>114</v>
      </c>
      <c r="AK254" s="14">
        <f>IF([1]Sheet2!AP253=999999,"NA",[1]Sheet2!AP253)</f>
        <v>0</v>
      </c>
      <c r="AL254" s="14">
        <f>IF([1]Sheet2!AQ253=999999,"NA",[1]Sheet2!AQ253)</f>
        <v>9</v>
      </c>
      <c r="AM254" s="14">
        <f>IF([1]Sheet2!AR253=999999,"NA",[1]Sheet2!AR253)</f>
        <v>114</v>
      </c>
      <c r="AN254" s="14">
        <f>IF([1]Sheet2!AS253=999999,"NA",[1]Sheet2!AS253)</f>
        <v>65</v>
      </c>
      <c r="AO254" s="14">
        <f>[1]Sheet2!P253</f>
        <v>0</v>
      </c>
      <c r="AP254" s="14">
        <f>[1]Sheet2!Q253</f>
        <v>0</v>
      </c>
      <c r="AQ254" s="14">
        <f>[1]Sheet2!R253</f>
        <v>0</v>
      </c>
      <c r="AR254" s="14">
        <f>[1]Sheet2!S253</f>
        <v>0</v>
      </c>
      <c r="AS254" s="14">
        <f>[1]Sheet2!T253</f>
        <v>0</v>
      </c>
      <c r="AT254" s="14">
        <f>[1]Sheet2!U253</f>
        <v>0</v>
      </c>
      <c r="AU254" s="14">
        <f>[1]Sheet2!V253</f>
        <v>0</v>
      </c>
      <c r="AV254" s="14">
        <f>[1]Sheet2!W253</f>
        <v>0</v>
      </c>
      <c r="AW254" s="14">
        <f>[1]Sheet2!X253</f>
        <v>0</v>
      </c>
      <c r="AX254" s="14">
        <f>[1]Sheet2!Y253</f>
        <v>0</v>
      </c>
      <c r="AY254" s="16">
        <f>Demand_LP!B$11/30</f>
        <v>902.60591613247857</v>
      </c>
      <c r="AZ254" s="16">
        <f>Demand_LP!C$11/30</f>
        <v>593.76410256410259</v>
      </c>
      <c r="BA254" s="16">
        <f>Demand_LP!D$11/30</f>
        <v>290.27136752136749</v>
      </c>
      <c r="BB254" s="16">
        <f>Demand_LP!E$11/30</f>
        <v>790.42628205128199</v>
      </c>
      <c r="BC254" s="16">
        <f>Demand_LP!F$11/30</f>
        <v>538.46224626068363</v>
      </c>
      <c r="BD254" s="16">
        <f>Demand_LP!G$11/30</f>
        <v>902.60591613247857</v>
      </c>
      <c r="BE254" s="16">
        <f>Demand_LP!H$11/30</f>
        <v>593.76410256410259</v>
      </c>
      <c r="BF254" s="16">
        <f>Demand_LP!I$11/30</f>
        <v>538.46224626068363</v>
      </c>
      <c r="BG254" s="16">
        <f>Demand_LP!J$11/30</f>
        <v>538.46224626068363</v>
      </c>
      <c r="BH254" s="16">
        <f>Demand_LP!K$11/30</f>
        <v>538.46224626068363</v>
      </c>
      <c r="BI254" s="16" t="e">
        <f t="shared" si="103"/>
        <v>#VALUE!</v>
      </c>
      <c r="BJ254" s="16">
        <f t="shared" si="104"/>
        <v>-142036.2538461537</v>
      </c>
      <c r="BK254" s="16">
        <f t="shared" si="105"/>
        <v>-73686.770940170914</v>
      </c>
      <c r="BL254" s="16">
        <f t="shared" si="106"/>
        <v>-187444.0922914632</v>
      </c>
      <c r="BM254" s="16">
        <f t="shared" si="107"/>
        <v>-110229.86807415087</v>
      </c>
      <c r="BN254" s="16">
        <f t="shared" si="108"/>
        <v>-192066.60751071729</v>
      </c>
      <c r="BO254" s="16">
        <f t="shared" si="109"/>
        <v>-144393.83333333349</v>
      </c>
      <c r="BP254" s="16">
        <f t="shared" si="110"/>
        <v>-111341.55199252148</v>
      </c>
      <c r="BQ254" s="16">
        <f t="shared" si="111"/>
        <v>-108331.55199252152</v>
      </c>
      <c r="BR254" s="16">
        <f t="shared" si="112"/>
        <v>-109531.55199252148</v>
      </c>
      <c r="BS254" s="14">
        <f>IF([1]Sheet2!CA253=999999,"NA",[1]Sheet2!CA253)</f>
        <v>106947.44800747868</v>
      </c>
      <c r="BT254" s="14">
        <f>IF([1]Sheet2!CB253=999999,"NA",[1]Sheet2!CB253)</f>
        <v>44</v>
      </c>
      <c r="BU254" s="14">
        <f>IF([1]Sheet2!CC253=999999,"NA",[1]Sheet2!CC253)</f>
        <v>114</v>
      </c>
      <c r="BV254" s="14">
        <f>IF([1]Sheet2!CD253=999999,"NA",[1]Sheet2!CD253)</f>
        <v>114</v>
      </c>
      <c r="BW254" s="14">
        <f>IF([1]Sheet2!CE253=999999,"NA",[1]Sheet2!CE253)</f>
        <v>83</v>
      </c>
      <c r="BX254" s="14">
        <f>IF([1]Sheet2!CF253=999999,"NA",[1]Sheet2!CF253)</f>
        <v>114</v>
      </c>
      <c r="BY254" s="14">
        <f>IF([1]Sheet2!CG253=999999,"NA",[1]Sheet2!CG253)</f>
        <v>15</v>
      </c>
      <c r="BZ254" s="14">
        <f>IF([1]Sheet2!CH253=999999,"NA",[1]Sheet2!CH253)</f>
        <v>114</v>
      </c>
      <c r="CA254" s="14">
        <f>IF([1]Sheet2!CI253=999999,"NA",[1]Sheet2!CI253)</f>
        <v>114</v>
      </c>
      <c r="CB254" s="14">
        <f>IF([1]Sheet2!CJ253=999999,"NA",[1]Sheet2!CJ253)</f>
        <v>114</v>
      </c>
      <c r="CC254" s="14">
        <f>[1]Sheet2!BG253</f>
        <v>0</v>
      </c>
      <c r="CD254" s="14">
        <f>[1]Sheet2!BH253</f>
        <v>0</v>
      </c>
      <c r="CE254" s="14">
        <f>[1]Sheet2!BI253</f>
        <v>0</v>
      </c>
      <c r="CF254" s="14">
        <f>[1]Sheet2!BJ253</f>
        <v>0</v>
      </c>
      <c r="CG254" s="14">
        <f>[1]Sheet2!BK253</f>
        <v>0</v>
      </c>
      <c r="CH254" s="14">
        <f>[1]Sheet2!BL253</f>
        <v>0</v>
      </c>
      <c r="CI254" s="14">
        <f>[1]Sheet2!BM253</f>
        <v>0</v>
      </c>
      <c r="CJ254" s="14">
        <f>[1]Sheet2!BN253</f>
        <v>0</v>
      </c>
      <c r="CK254" s="14">
        <f>[1]Sheet2!BO253</f>
        <v>0</v>
      </c>
      <c r="CL254" s="14">
        <f>[1]Sheet2!BP253</f>
        <v>0</v>
      </c>
      <c r="CM254" s="16">
        <f>Demand_SW!B$11/30</f>
        <v>144.23076923076923</v>
      </c>
      <c r="CN254" s="16">
        <f>Demand_SW!C$11/30</f>
        <v>0</v>
      </c>
      <c r="CO254" s="16">
        <f>Demand_SW!D$11/30</f>
        <v>0</v>
      </c>
      <c r="CP254" s="16">
        <f>Demand_SW!E$11/30</f>
        <v>0</v>
      </c>
      <c r="CQ254" s="16">
        <f>Demand_SW!F$11/30</f>
        <v>0</v>
      </c>
      <c r="CR254" s="16">
        <f>Demand_SW!G$11/30</f>
        <v>144.23076923076923</v>
      </c>
      <c r="CS254" s="16">
        <f>Demand_SW!H$11/30</f>
        <v>0</v>
      </c>
      <c r="CT254" s="16">
        <f>Demand_SW!I$11/30</f>
        <v>0</v>
      </c>
      <c r="CU254" s="16">
        <f>Demand_SW!J$11/30</f>
        <v>0</v>
      </c>
      <c r="CV254" s="16">
        <f>Demand_SW!K$11/30</f>
        <v>0</v>
      </c>
      <c r="CW254" s="16">
        <f t="shared" si="113"/>
        <v>67125.384615384566</v>
      </c>
      <c r="CX254" s="16">
        <f t="shared" si="114"/>
        <v>20683.923076923078</v>
      </c>
      <c r="CY254" s="16">
        <f t="shared" si="115"/>
        <v>0</v>
      </c>
      <c r="CZ254" s="16">
        <f t="shared" si="116"/>
        <v>0</v>
      </c>
      <c r="DA254" s="16">
        <f t="shared" si="117"/>
        <v>0</v>
      </c>
      <c r="DB254" s="16">
        <f t="shared" si="118"/>
        <v>-32403.846153846163</v>
      </c>
      <c r="DC254" s="16">
        <f t="shared" si="119"/>
        <v>20683.923076923078</v>
      </c>
      <c r="DD254" s="16">
        <f t="shared" si="120"/>
        <v>0</v>
      </c>
      <c r="DE254" s="16">
        <f t="shared" si="121"/>
        <v>0</v>
      </c>
      <c r="DF254" s="16">
        <f t="shared" si="122"/>
        <v>0</v>
      </c>
      <c r="DG254" s="14">
        <f>IF([1]Sheet2!DR253=999999,"NA",[1]Sheet2!DR253)</f>
        <v>73103</v>
      </c>
      <c r="DH254" s="14">
        <f>IF([1]Sheet2!DS253=999999,"NA",[1]Sheet2!DS253)</f>
        <v>114</v>
      </c>
      <c r="DI254" s="14">
        <f>IF([1]Sheet2!DT253=999999,"NA",[1]Sheet2!DT253)</f>
        <v>114</v>
      </c>
      <c r="DJ254" s="14" t="str">
        <f>IF([1]Sheet2!DU253=999999,"NA",[1]Sheet2!DU253)</f>
        <v>NA</v>
      </c>
      <c r="DK254" s="14" t="str">
        <f>IF([1]Sheet2!DV253=999999,"NA",[1]Sheet2!DV253)</f>
        <v>NA</v>
      </c>
      <c r="DL254" s="14" t="str">
        <f>IF([1]Sheet2!DW253=999999,"NA",[1]Sheet2!DW253)</f>
        <v>NA</v>
      </c>
      <c r="DM254" s="14">
        <f>IF([1]Sheet2!DX253=999999,"NA",[1]Sheet2!DX253)</f>
        <v>114</v>
      </c>
      <c r="DN254" s="14">
        <f>IF([1]Sheet2!DY253=999999,"NA",[1]Sheet2!DY253)</f>
        <v>114</v>
      </c>
      <c r="DO254" s="14" t="str">
        <f>IF([1]Sheet2!DZ253=999999,"NA",[1]Sheet2!DZ253)</f>
        <v>NA</v>
      </c>
      <c r="DP254" s="14" t="str">
        <f>IF([1]Sheet2!EA253=999999,"NA",[1]Sheet2!EA253)</f>
        <v>NA</v>
      </c>
      <c r="DQ254" s="14">
        <f>[1]Sheet2!CX253</f>
        <v>0</v>
      </c>
      <c r="DR254" s="14">
        <f>[1]Sheet2!CY253</f>
        <v>0</v>
      </c>
      <c r="DS254" s="14">
        <f>[1]Sheet2!CZ253</f>
        <v>0</v>
      </c>
      <c r="DT254" s="14">
        <f>[1]Sheet2!DA253</f>
        <v>0</v>
      </c>
      <c r="DU254" s="14">
        <f>[1]Sheet2!DB253</f>
        <v>0</v>
      </c>
      <c r="DV254" s="14">
        <f>[1]Sheet2!DC253</f>
        <v>0</v>
      </c>
      <c r="DW254" s="14">
        <f>[1]Sheet2!DD253</f>
        <v>0</v>
      </c>
      <c r="DX254" s="14">
        <f>[1]Sheet2!DE253</f>
        <v>0</v>
      </c>
      <c r="DY254" s="14">
        <f>[1]Sheet2!DF253</f>
        <v>0</v>
      </c>
      <c r="DZ254" s="14">
        <f>[1]Sheet2!DG253</f>
        <v>0</v>
      </c>
    </row>
    <row r="255" spans="1:130" x14ac:dyDescent="0.25">
      <c r="A255" s="15">
        <v>43717</v>
      </c>
      <c r="B255" s="1"/>
      <c r="C255" s="1"/>
      <c r="D255" s="1"/>
      <c r="E255" s="14">
        <f>[1]Sheet2!N254</f>
        <v>0</v>
      </c>
      <c r="F255" s="14">
        <f>[1]Sheet2!BE254</f>
        <v>0</v>
      </c>
      <c r="G255" s="14">
        <f>[1]Sheet2!CV254</f>
        <v>288.46153846153851</v>
      </c>
      <c r="H255" s="1"/>
      <c r="I255" s="1"/>
      <c r="J255" s="1"/>
      <c r="K255" s="16">
        <f>Demand_CWRS!B$11/30</f>
        <v>118.04546474358973</v>
      </c>
      <c r="L255" s="16">
        <f>Demand_CWRS!C$11/30</f>
        <v>491.39401709401704</v>
      </c>
      <c r="M255" s="16">
        <f>Demand_CWRS!D$11/30</f>
        <v>0</v>
      </c>
      <c r="N255" s="16">
        <f>Demand_CWRS!E$11/30</f>
        <v>107.84935897435898</v>
      </c>
      <c r="O255" s="16">
        <f>Demand_CWRS!F$11/30</f>
        <v>218.22274305555553</v>
      </c>
      <c r="P255" s="16">
        <f>Demand_CWRS!G$11/30</f>
        <v>118.04546474358973</v>
      </c>
      <c r="Q255" s="16">
        <f>Demand_CWRS!H$11/30</f>
        <v>491.39401709401704</v>
      </c>
      <c r="R255" s="16">
        <f>Demand_CWRS!I$11/30</f>
        <v>218.22274305555553</v>
      </c>
      <c r="S255" s="16">
        <f>Demand_CWRS!J$11/30</f>
        <v>218.22274305555553</v>
      </c>
      <c r="T255" s="16">
        <f>Demand_CWRS!K$11/30</f>
        <v>218.22274305555553</v>
      </c>
      <c r="U255" s="16">
        <f t="shared" si="93"/>
        <v>-33497.041393165673</v>
      </c>
      <c r="V255" s="16">
        <f t="shared" si="94"/>
        <v>-118684.37948717913</v>
      </c>
      <c r="W255" s="16">
        <f t="shared" si="95"/>
        <v>0</v>
      </c>
      <c r="X255" s="16">
        <f t="shared" si="96"/>
        <v>-27990.638729308572</v>
      </c>
      <c r="Y255" s="16">
        <f t="shared" si="97"/>
        <v>-54631.528938960575</v>
      </c>
      <c r="Z255" s="16">
        <f t="shared" si="98"/>
        <v>-33100.108869127267</v>
      </c>
      <c r="AA255" s="16">
        <f t="shared" si="99"/>
        <v>-118184.37948717913</v>
      </c>
      <c r="AB255" s="16">
        <f t="shared" si="100"/>
        <v>-52147.683458191292</v>
      </c>
      <c r="AC255" s="16">
        <f t="shared" si="101"/>
        <v>-52147.683458191284</v>
      </c>
      <c r="AD255" s="16">
        <f t="shared" si="102"/>
        <v>-52847.683458191277</v>
      </c>
      <c r="AE255" s="14">
        <f>IF([1]Sheet2!AJ254=999999,"NA",[1]Sheet2!AJ254)</f>
        <v>0</v>
      </c>
      <c r="AF255" s="14">
        <f>IF([1]Sheet2!AK254=999999,"NA",[1]Sheet2!AK254)</f>
        <v>0</v>
      </c>
      <c r="AG255" s="14" t="str">
        <f>IF([1]Sheet2!AL254=999999,"NA",[1]Sheet2!AL254)</f>
        <v>NA</v>
      </c>
      <c r="AH255" s="14">
        <f>IF([1]Sheet2!AM254=999999,"NA",[1]Sheet2!AM254)</f>
        <v>113</v>
      </c>
      <c r="AI255" s="14">
        <f>IF([1]Sheet2!AN254=999999,"NA",[1]Sheet2!AN254)</f>
        <v>113</v>
      </c>
      <c r="AJ255" s="14">
        <f>IF([1]Sheet2!AO254=999999,"NA",[1]Sheet2!AO254)</f>
        <v>113</v>
      </c>
      <c r="AK255" s="14">
        <f>IF([1]Sheet2!AP254=999999,"NA",[1]Sheet2!AP254)</f>
        <v>0</v>
      </c>
      <c r="AL255" s="14">
        <f>IF([1]Sheet2!AQ254=999999,"NA",[1]Sheet2!AQ254)</f>
        <v>8</v>
      </c>
      <c r="AM255" s="14">
        <f>IF([1]Sheet2!AR254=999999,"NA",[1]Sheet2!AR254)</f>
        <v>113</v>
      </c>
      <c r="AN255" s="14">
        <f>IF([1]Sheet2!AS254=999999,"NA",[1]Sheet2!AS254)</f>
        <v>64</v>
      </c>
      <c r="AO255" s="14">
        <f>[1]Sheet2!P254</f>
        <v>0</v>
      </c>
      <c r="AP255" s="14">
        <f>[1]Sheet2!Q254</f>
        <v>0</v>
      </c>
      <c r="AQ255" s="14">
        <f>[1]Sheet2!R254</f>
        <v>0</v>
      </c>
      <c r="AR255" s="14">
        <f>[1]Sheet2!S254</f>
        <v>0</v>
      </c>
      <c r="AS255" s="14">
        <f>[1]Sheet2!T254</f>
        <v>0</v>
      </c>
      <c r="AT255" s="14">
        <f>[1]Sheet2!U254</f>
        <v>0</v>
      </c>
      <c r="AU255" s="14">
        <f>[1]Sheet2!V254</f>
        <v>0</v>
      </c>
      <c r="AV255" s="14">
        <f>[1]Sheet2!W254</f>
        <v>0</v>
      </c>
      <c r="AW255" s="14">
        <f>[1]Sheet2!X254</f>
        <v>0</v>
      </c>
      <c r="AX255" s="14">
        <f>[1]Sheet2!Y254</f>
        <v>0</v>
      </c>
      <c r="AY255" s="16">
        <f>Demand_LP!B$11/30</f>
        <v>902.60591613247857</v>
      </c>
      <c r="AZ255" s="16">
        <f>Demand_LP!C$11/30</f>
        <v>593.76410256410259</v>
      </c>
      <c r="BA255" s="16">
        <f>Demand_LP!D$11/30</f>
        <v>290.27136752136749</v>
      </c>
      <c r="BB255" s="16">
        <f>Demand_LP!E$11/30</f>
        <v>790.42628205128199</v>
      </c>
      <c r="BC255" s="16">
        <f>Demand_LP!F$11/30</f>
        <v>538.46224626068363</v>
      </c>
      <c r="BD255" s="16">
        <f>Demand_LP!G$11/30</f>
        <v>902.60591613247857</v>
      </c>
      <c r="BE255" s="16">
        <f>Demand_LP!H$11/30</f>
        <v>593.76410256410259</v>
      </c>
      <c r="BF255" s="16">
        <f>Demand_LP!I$11/30</f>
        <v>538.46224626068363</v>
      </c>
      <c r="BG255" s="16">
        <f>Demand_LP!J$11/30</f>
        <v>538.46224626068363</v>
      </c>
      <c r="BH255" s="16">
        <f>Demand_LP!K$11/30</f>
        <v>538.46224626068363</v>
      </c>
      <c r="BI255" s="16" t="e">
        <f t="shared" si="103"/>
        <v>#VALUE!</v>
      </c>
      <c r="BJ255" s="16">
        <f t="shared" si="104"/>
        <v>-142630.01794871781</v>
      </c>
      <c r="BK255" s="16">
        <f t="shared" si="105"/>
        <v>-73977.042307692289</v>
      </c>
      <c r="BL255" s="16">
        <f t="shared" si="106"/>
        <v>-188234.51857351448</v>
      </c>
      <c r="BM255" s="16">
        <f t="shared" si="107"/>
        <v>-110768.33032041155</v>
      </c>
      <c r="BN255" s="16">
        <f t="shared" si="108"/>
        <v>-192969.21342684978</v>
      </c>
      <c r="BO255" s="16">
        <f t="shared" si="109"/>
        <v>-144987.59743589759</v>
      </c>
      <c r="BP255" s="16">
        <f t="shared" si="110"/>
        <v>-111880.01423878215</v>
      </c>
      <c r="BQ255" s="16">
        <f t="shared" si="111"/>
        <v>-108870.0142387822</v>
      </c>
      <c r="BR255" s="16">
        <f t="shared" si="112"/>
        <v>-110070.01423878215</v>
      </c>
      <c r="BS255" s="14">
        <f>IF([1]Sheet2!CA254=999999,"NA",[1]Sheet2!CA254)</f>
        <v>106408.98576121801</v>
      </c>
      <c r="BT255" s="14">
        <f>IF([1]Sheet2!CB254=999999,"NA",[1]Sheet2!CB254)</f>
        <v>43</v>
      </c>
      <c r="BU255" s="14">
        <f>IF([1]Sheet2!CC254=999999,"NA",[1]Sheet2!CC254)</f>
        <v>113</v>
      </c>
      <c r="BV255" s="14">
        <f>IF([1]Sheet2!CD254=999999,"NA",[1]Sheet2!CD254)</f>
        <v>113</v>
      </c>
      <c r="BW255" s="14">
        <f>IF([1]Sheet2!CE254=999999,"NA",[1]Sheet2!CE254)</f>
        <v>82</v>
      </c>
      <c r="BX255" s="14">
        <f>IF([1]Sheet2!CF254=999999,"NA",[1]Sheet2!CF254)</f>
        <v>113</v>
      </c>
      <c r="BY255" s="14">
        <f>IF([1]Sheet2!CG254=999999,"NA",[1]Sheet2!CG254)</f>
        <v>14</v>
      </c>
      <c r="BZ255" s="14">
        <f>IF([1]Sheet2!CH254=999999,"NA",[1]Sheet2!CH254)</f>
        <v>113</v>
      </c>
      <c r="CA255" s="14">
        <f>IF([1]Sheet2!CI254=999999,"NA",[1]Sheet2!CI254)</f>
        <v>113</v>
      </c>
      <c r="CB255" s="14">
        <f>IF([1]Sheet2!CJ254=999999,"NA",[1]Sheet2!CJ254)</f>
        <v>113</v>
      </c>
      <c r="CC255" s="14">
        <f>[1]Sheet2!BG254</f>
        <v>0</v>
      </c>
      <c r="CD255" s="14">
        <f>[1]Sheet2!BH254</f>
        <v>0</v>
      </c>
      <c r="CE255" s="14">
        <f>[1]Sheet2!BI254</f>
        <v>0</v>
      </c>
      <c r="CF255" s="14">
        <f>[1]Sheet2!BJ254</f>
        <v>0</v>
      </c>
      <c r="CG255" s="14">
        <f>[1]Sheet2!BK254</f>
        <v>0</v>
      </c>
      <c r="CH255" s="14">
        <f>[1]Sheet2!BL254</f>
        <v>0</v>
      </c>
      <c r="CI255" s="14">
        <f>[1]Sheet2!BM254</f>
        <v>0</v>
      </c>
      <c r="CJ255" s="14">
        <f>[1]Sheet2!BN254</f>
        <v>0</v>
      </c>
      <c r="CK255" s="14">
        <f>[1]Sheet2!BO254</f>
        <v>0</v>
      </c>
      <c r="CL255" s="14">
        <f>[1]Sheet2!BP254</f>
        <v>0</v>
      </c>
      <c r="CM255" s="16">
        <f>Demand_SW!B$11/30</f>
        <v>144.23076923076923</v>
      </c>
      <c r="CN255" s="16">
        <f>Demand_SW!C$11/30</f>
        <v>0</v>
      </c>
      <c r="CO255" s="16">
        <f>Demand_SW!D$11/30</f>
        <v>0</v>
      </c>
      <c r="CP255" s="16">
        <f>Demand_SW!E$11/30</f>
        <v>0</v>
      </c>
      <c r="CQ255" s="16">
        <f>Demand_SW!F$11/30</f>
        <v>0</v>
      </c>
      <c r="CR255" s="16">
        <f>Demand_SW!G$11/30</f>
        <v>144.23076923076923</v>
      </c>
      <c r="CS255" s="16">
        <f>Demand_SW!H$11/30</f>
        <v>0</v>
      </c>
      <c r="CT255" s="16">
        <f>Demand_SW!I$11/30</f>
        <v>0</v>
      </c>
      <c r="CU255" s="16">
        <f>Demand_SW!J$11/30</f>
        <v>0</v>
      </c>
      <c r="CV255" s="16">
        <f>Demand_SW!K$11/30</f>
        <v>0</v>
      </c>
      <c r="CW255" s="16">
        <f t="shared" si="113"/>
        <v>66981.1538461538</v>
      </c>
      <c r="CX255" s="16">
        <f t="shared" si="114"/>
        <v>20683.923076923078</v>
      </c>
      <c r="CY255" s="16">
        <f t="shared" si="115"/>
        <v>0</v>
      </c>
      <c r="CZ255" s="16">
        <f t="shared" si="116"/>
        <v>0</v>
      </c>
      <c r="DA255" s="16">
        <f t="shared" si="117"/>
        <v>0</v>
      </c>
      <c r="DB255" s="16">
        <f t="shared" si="118"/>
        <v>-32548.076923076933</v>
      </c>
      <c r="DC255" s="16">
        <f t="shared" si="119"/>
        <v>20683.923076923078</v>
      </c>
      <c r="DD255" s="16">
        <f t="shared" si="120"/>
        <v>0</v>
      </c>
      <c r="DE255" s="16">
        <f t="shared" si="121"/>
        <v>0</v>
      </c>
      <c r="DF255" s="16">
        <f t="shared" si="122"/>
        <v>0</v>
      </c>
      <c r="DG255" s="14">
        <f>IF([1]Sheet2!DR254=999999,"NA",[1]Sheet2!DR254)</f>
        <v>73103</v>
      </c>
      <c r="DH255" s="14">
        <f>IF([1]Sheet2!DS254=999999,"NA",[1]Sheet2!DS254)</f>
        <v>113</v>
      </c>
      <c r="DI255" s="14">
        <f>IF([1]Sheet2!DT254=999999,"NA",[1]Sheet2!DT254)</f>
        <v>113</v>
      </c>
      <c r="DJ255" s="14" t="str">
        <f>IF([1]Sheet2!DU254=999999,"NA",[1]Sheet2!DU254)</f>
        <v>NA</v>
      </c>
      <c r="DK255" s="14" t="str">
        <f>IF([1]Sheet2!DV254=999999,"NA",[1]Sheet2!DV254)</f>
        <v>NA</v>
      </c>
      <c r="DL255" s="14" t="str">
        <f>IF([1]Sheet2!DW254=999999,"NA",[1]Sheet2!DW254)</f>
        <v>NA</v>
      </c>
      <c r="DM255" s="14">
        <f>IF([1]Sheet2!DX254=999999,"NA",[1]Sheet2!DX254)</f>
        <v>113</v>
      </c>
      <c r="DN255" s="14">
        <f>IF([1]Sheet2!DY254=999999,"NA",[1]Sheet2!DY254)</f>
        <v>113</v>
      </c>
      <c r="DO255" s="14" t="str">
        <f>IF([1]Sheet2!DZ254=999999,"NA",[1]Sheet2!DZ254)</f>
        <v>NA</v>
      </c>
      <c r="DP255" s="14" t="str">
        <f>IF([1]Sheet2!EA254=999999,"NA",[1]Sheet2!EA254)</f>
        <v>NA</v>
      </c>
      <c r="DQ255" s="14">
        <f>[1]Sheet2!CX254</f>
        <v>0</v>
      </c>
      <c r="DR255" s="14">
        <f>[1]Sheet2!CY254</f>
        <v>0</v>
      </c>
      <c r="DS255" s="14">
        <f>[1]Sheet2!CZ254</f>
        <v>0</v>
      </c>
      <c r="DT255" s="14">
        <f>[1]Sheet2!DA254</f>
        <v>0</v>
      </c>
      <c r="DU255" s="14">
        <f>[1]Sheet2!DB254</f>
        <v>0</v>
      </c>
      <c r="DV255" s="14">
        <f>[1]Sheet2!DC254</f>
        <v>0</v>
      </c>
      <c r="DW255" s="14">
        <f>[1]Sheet2!DD254</f>
        <v>0</v>
      </c>
      <c r="DX255" s="14">
        <f>[1]Sheet2!DE254</f>
        <v>0</v>
      </c>
      <c r="DY255" s="14">
        <f>[1]Sheet2!DF254</f>
        <v>0</v>
      </c>
      <c r="DZ255" s="14">
        <f>[1]Sheet2!DG254</f>
        <v>0</v>
      </c>
    </row>
    <row r="256" spans="1:130" x14ac:dyDescent="0.25">
      <c r="A256" s="15">
        <v>43718</v>
      </c>
      <c r="B256" s="1"/>
      <c r="C256" s="1"/>
      <c r="D256" s="1"/>
      <c r="E256" s="14">
        <f>[1]Sheet2!N255</f>
        <v>0</v>
      </c>
      <c r="F256" s="14">
        <f>[1]Sheet2!BE255</f>
        <v>0</v>
      </c>
      <c r="G256" s="14">
        <f>[1]Sheet2!CV255</f>
        <v>288.46153846153851</v>
      </c>
      <c r="H256" s="1"/>
      <c r="I256" s="1"/>
      <c r="J256" s="1"/>
      <c r="K256" s="16">
        <f>Demand_CWRS!B$11/30</f>
        <v>118.04546474358973</v>
      </c>
      <c r="L256" s="16">
        <f>Demand_CWRS!C$11/30</f>
        <v>491.39401709401704</v>
      </c>
      <c r="M256" s="16">
        <f>Demand_CWRS!D$11/30</f>
        <v>0</v>
      </c>
      <c r="N256" s="16">
        <f>Demand_CWRS!E$11/30</f>
        <v>107.84935897435898</v>
      </c>
      <c r="O256" s="16">
        <f>Demand_CWRS!F$11/30</f>
        <v>218.22274305555553</v>
      </c>
      <c r="P256" s="16">
        <f>Demand_CWRS!G$11/30</f>
        <v>118.04546474358973</v>
      </c>
      <c r="Q256" s="16">
        <f>Demand_CWRS!H$11/30</f>
        <v>491.39401709401704</v>
      </c>
      <c r="R256" s="16">
        <f>Demand_CWRS!I$11/30</f>
        <v>218.22274305555553</v>
      </c>
      <c r="S256" s="16">
        <f>Demand_CWRS!J$11/30</f>
        <v>218.22274305555553</v>
      </c>
      <c r="T256" s="16">
        <f>Demand_CWRS!K$11/30</f>
        <v>218.22274305555553</v>
      </c>
      <c r="U256" s="16">
        <f t="shared" si="93"/>
        <v>-33615.086857909264</v>
      </c>
      <c r="V256" s="16">
        <f t="shared" si="94"/>
        <v>-119175.77350427315</v>
      </c>
      <c r="W256" s="16">
        <f t="shared" si="95"/>
        <v>0</v>
      </c>
      <c r="X256" s="16">
        <f t="shared" si="96"/>
        <v>-28098.488088282931</v>
      </c>
      <c r="Y256" s="16">
        <f t="shared" si="97"/>
        <v>-54849.751682016133</v>
      </c>
      <c r="Z256" s="16">
        <f t="shared" si="98"/>
        <v>-33218.154333870858</v>
      </c>
      <c r="AA256" s="16">
        <f t="shared" si="99"/>
        <v>-118675.77350427315</v>
      </c>
      <c r="AB256" s="16">
        <f t="shared" si="100"/>
        <v>-52365.906201246849</v>
      </c>
      <c r="AC256" s="16">
        <f t="shared" si="101"/>
        <v>-52365.906201246842</v>
      </c>
      <c r="AD256" s="16">
        <f t="shared" si="102"/>
        <v>-53065.906201246835</v>
      </c>
      <c r="AE256" s="14">
        <f>IF([1]Sheet2!AJ255=999999,"NA",[1]Sheet2!AJ255)</f>
        <v>0</v>
      </c>
      <c r="AF256" s="14">
        <f>IF([1]Sheet2!AK255=999999,"NA",[1]Sheet2!AK255)</f>
        <v>0</v>
      </c>
      <c r="AG256" s="14" t="str">
        <f>IF([1]Sheet2!AL255=999999,"NA",[1]Sheet2!AL255)</f>
        <v>NA</v>
      </c>
      <c r="AH256" s="14">
        <f>IF([1]Sheet2!AM255=999999,"NA",[1]Sheet2!AM255)</f>
        <v>112</v>
      </c>
      <c r="AI256" s="14">
        <f>IF([1]Sheet2!AN255=999999,"NA",[1]Sheet2!AN255)</f>
        <v>112</v>
      </c>
      <c r="AJ256" s="14">
        <f>IF([1]Sheet2!AO255=999999,"NA",[1]Sheet2!AO255)</f>
        <v>112</v>
      </c>
      <c r="AK256" s="14">
        <f>IF([1]Sheet2!AP255=999999,"NA",[1]Sheet2!AP255)</f>
        <v>0</v>
      </c>
      <c r="AL256" s="14">
        <f>IF([1]Sheet2!AQ255=999999,"NA",[1]Sheet2!AQ255)</f>
        <v>7</v>
      </c>
      <c r="AM256" s="14">
        <f>IF([1]Sheet2!AR255=999999,"NA",[1]Sheet2!AR255)</f>
        <v>112</v>
      </c>
      <c r="AN256" s="14">
        <f>IF([1]Sheet2!AS255=999999,"NA",[1]Sheet2!AS255)</f>
        <v>63</v>
      </c>
      <c r="AO256" s="14">
        <f>[1]Sheet2!P255</f>
        <v>0</v>
      </c>
      <c r="AP256" s="14">
        <f>[1]Sheet2!Q255</f>
        <v>0</v>
      </c>
      <c r="AQ256" s="14">
        <f>[1]Sheet2!R255</f>
        <v>0</v>
      </c>
      <c r="AR256" s="14">
        <f>[1]Sheet2!S255</f>
        <v>0</v>
      </c>
      <c r="AS256" s="14">
        <f>[1]Sheet2!T255</f>
        <v>0</v>
      </c>
      <c r="AT256" s="14">
        <f>[1]Sheet2!U255</f>
        <v>0</v>
      </c>
      <c r="AU256" s="14">
        <f>[1]Sheet2!V255</f>
        <v>0</v>
      </c>
      <c r="AV256" s="14">
        <f>[1]Sheet2!W255</f>
        <v>0</v>
      </c>
      <c r="AW256" s="14">
        <f>[1]Sheet2!X255</f>
        <v>0</v>
      </c>
      <c r="AX256" s="14">
        <f>[1]Sheet2!Y255</f>
        <v>0</v>
      </c>
      <c r="AY256" s="16">
        <f>Demand_LP!B$11/30</f>
        <v>902.60591613247857</v>
      </c>
      <c r="AZ256" s="16">
        <f>Demand_LP!C$11/30</f>
        <v>593.76410256410259</v>
      </c>
      <c r="BA256" s="16">
        <f>Demand_LP!D$11/30</f>
        <v>290.27136752136749</v>
      </c>
      <c r="BB256" s="16">
        <f>Demand_LP!E$11/30</f>
        <v>790.42628205128199</v>
      </c>
      <c r="BC256" s="16">
        <f>Demand_LP!F$11/30</f>
        <v>538.46224626068363</v>
      </c>
      <c r="BD256" s="16">
        <f>Demand_LP!G$11/30</f>
        <v>902.60591613247857</v>
      </c>
      <c r="BE256" s="16">
        <f>Demand_LP!H$11/30</f>
        <v>593.76410256410259</v>
      </c>
      <c r="BF256" s="16">
        <f>Demand_LP!I$11/30</f>
        <v>538.46224626068363</v>
      </c>
      <c r="BG256" s="16">
        <f>Demand_LP!J$11/30</f>
        <v>538.46224626068363</v>
      </c>
      <c r="BH256" s="16">
        <f>Demand_LP!K$11/30</f>
        <v>538.46224626068363</v>
      </c>
      <c r="BI256" s="16" t="e">
        <f t="shared" si="103"/>
        <v>#VALUE!</v>
      </c>
      <c r="BJ256" s="16">
        <f t="shared" si="104"/>
        <v>-143223.78205128192</v>
      </c>
      <c r="BK256" s="16">
        <f t="shared" si="105"/>
        <v>-74267.313675213663</v>
      </c>
      <c r="BL256" s="16">
        <f t="shared" si="106"/>
        <v>-189024.94485556576</v>
      </c>
      <c r="BM256" s="16">
        <f t="shared" si="107"/>
        <v>-111306.79256667223</v>
      </c>
      <c r="BN256" s="16">
        <f t="shared" si="108"/>
        <v>-193871.81934298226</v>
      </c>
      <c r="BO256" s="16">
        <f t="shared" si="109"/>
        <v>-145581.3615384617</v>
      </c>
      <c r="BP256" s="16">
        <f t="shared" si="110"/>
        <v>-112418.47648504283</v>
      </c>
      <c r="BQ256" s="16">
        <f t="shared" si="111"/>
        <v>-109408.47648504288</v>
      </c>
      <c r="BR256" s="16">
        <f t="shared" si="112"/>
        <v>-110608.47648504283</v>
      </c>
      <c r="BS256" s="14">
        <f>IF([1]Sheet2!CA255=999999,"NA",[1]Sheet2!CA255)</f>
        <v>105870.52351495733</v>
      </c>
      <c r="BT256" s="14">
        <f>IF([1]Sheet2!CB255=999999,"NA",[1]Sheet2!CB255)</f>
        <v>42</v>
      </c>
      <c r="BU256" s="14">
        <f>IF([1]Sheet2!CC255=999999,"NA",[1]Sheet2!CC255)</f>
        <v>112</v>
      </c>
      <c r="BV256" s="14">
        <f>IF([1]Sheet2!CD255=999999,"NA",[1]Sheet2!CD255)</f>
        <v>112</v>
      </c>
      <c r="BW256" s="14">
        <f>IF([1]Sheet2!CE255=999999,"NA",[1]Sheet2!CE255)</f>
        <v>81</v>
      </c>
      <c r="BX256" s="14">
        <f>IF([1]Sheet2!CF255=999999,"NA",[1]Sheet2!CF255)</f>
        <v>112</v>
      </c>
      <c r="BY256" s="14">
        <f>IF([1]Sheet2!CG255=999999,"NA",[1]Sheet2!CG255)</f>
        <v>13</v>
      </c>
      <c r="BZ256" s="14">
        <f>IF([1]Sheet2!CH255=999999,"NA",[1]Sheet2!CH255)</f>
        <v>112</v>
      </c>
      <c r="CA256" s="14">
        <f>IF([1]Sheet2!CI255=999999,"NA",[1]Sheet2!CI255)</f>
        <v>112</v>
      </c>
      <c r="CB256" s="14">
        <f>IF([1]Sheet2!CJ255=999999,"NA",[1]Sheet2!CJ255)</f>
        <v>112</v>
      </c>
      <c r="CC256" s="14">
        <f>[1]Sheet2!BG255</f>
        <v>0</v>
      </c>
      <c r="CD256" s="14">
        <f>[1]Sheet2!BH255</f>
        <v>0</v>
      </c>
      <c r="CE256" s="14">
        <f>[1]Sheet2!BI255</f>
        <v>0</v>
      </c>
      <c r="CF256" s="14">
        <f>[1]Sheet2!BJ255</f>
        <v>0</v>
      </c>
      <c r="CG256" s="14">
        <f>[1]Sheet2!BK255</f>
        <v>0</v>
      </c>
      <c r="CH256" s="14">
        <f>[1]Sheet2!BL255</f>
        <v>0</v>
      </c>
      <c r="CI256" s="14">
        <f>[1]Sheet2!BM255</f>
        <v>0</v>
      </c>
      <c r="CJ256" s="14">
        <f>[1]Sheet2!BN255</f>
        <v>0</v>
      </c>
      <c r="CK256" s="14">
        <f>[1]Sheet2!BO255</f>
        <v>0</v>
      </c>
      <c r="CL256" s="14">
        <f>[1]Sheet2!BP255</f>
        <v>0</v>
      </c>
      <c r="CM256" s="16">
        <f>Demand_SW!B$11/30</f>
        <v>144.23076923076923</v>
      </c>
      <c r="CN256" s="16">
        <f>Demand_SW!C$11/30</f>
        <v>0</v>
      </c>
      <c r="CO256" s="16">
        <f>Demand_SW!D$11/30</f>
        <v>0</v>
      </c>
      <c r="CP256" s="16">
        <f>Demand_SW!E$11/30</f>
        <v>0</v>
      </c>
      <c r="CQ256" s="16">
        <f>Demand_SW!F$11/30</f>
        <v>0</v>
      </c>
      <c r="CR256" s="16">
        <f>Demand_SW!G$11/30</f>
        <v>144.23076923076923</v>
      </c>
      <c r="CS256" s="16">
        <f>Demand_SW!H$11/30</f>
        <v>0</v>
      </c>
      <c r="CT256" s="16">
        <f>Demand_SW!I$11/30</f>
        <v>0</v>
      </c>
      <c r="CU256" s="16">
        <f>Demand_SW!J$11/30</f>
        <v>0</v>
      </c>
      <c r="CV256" s="16">
        <f>Demand_SW!K$11/30</f>
        <v>0</v>
      </c>
      <c r="CW256" s="16">
        <f t="shared" si="113"/>
        <v>66836.923076923034</v>
      </c>
      <c r="CX256" s="16">
        <f t="shared" si="114"/>
        <v>20683.923076923078</v>
      </c>
      <c r="CY256" s="16">
        <f t="shared" si="115"/>
        <v>0</v>
      </c>
      <c r="CZ256" s="16">
        <f t="shared" si="116"/>
        <v>0</v>
      </c>
      <c r="DA256" s="16">
        <f t="shared" si="117"/>
        <v>0</v>
      </c>
      <c r="DB256" s="16">
        <f t="shared" si="118"/>
        <v>-32692.307692307702</v>
      </c>
      <c r="DC256" s="16">
        <f t="shared" si="119"/>
        <v>20683.923076923078</v>
      </c>
      <c r="DD256" s="16">
        <f t="shared" si="120"/>
        <v>0</v>
      </c>
      <c r="DE256" s="16">
        <f t="shared" si="121"/>
        <v>0</v>
      </c>
      <c r="DF256" s="16">
        <f t="shared" si="122"/>
        <v>0</v>
      </c>
      <c r="DG256" s="14">
        <f>IF([1]Sheet2!DR255=999999,"NA",[1]Sheet2!DR255)</f>
        <v>73103</v>
      </c>
      <c r="DH256" s="14">
        <f>IF([1]Sheet2!DS255=999999,"NA",[1]Sheet2!DS255)</f>
        <v>112</v>
      </c>
      <c r="DI256" s="14">
        <f>IF([1]Sheet2!DT255=999999,"NA",[1]Sheet2!DT255)</f>
        <v>112</v>
      </c>
      <c r="DJ256" s="14" t="str">
        <f>IF([1]Sheet2!DU255=999999,"NA",[1]Sheet2!DU255)</f>
        <v>NA</v>
      </c>
      <c r="DK256" s="14" t="str">
        <f>IF([1]Sheet2!DV255=999999,"NA",[1]Sheet2!DV255)</f>
        <v>NA</v>
      </c>
      <c r="DL256" s="14" t="str">
        <f>IF([1]Sheet2!DW255=999999,"NA",[1]Sheet2!DW255)</f>
        <v>NA</v>
      </c>
      <c r="DM256" s="14">
        <f>IF([1]Sheet2!DX255=999999,"NA",[1]Sheet2!DX255)</f>
        <v>112</v>
      </c>
      <c r="DN256" s="14">
        <f>IF([1]Sheet2!DY255=999999,"NA",[1]Sheet2!DY255)</f>
        <v>112</v>
      </c>
      <c r="DO256" s="14" t="str">
        <f>IF([1]Sheet2!DZ255=999999,"NA",[1]Sheet2!DZ255)</f>
        <v>NA</v>
      </c>
      <c r="DP256" s="14" t="str">
        <f>IF([1]Sheet2!EA255=999999,"NA",[1]Sheet2!EA255)</f>
        <v>NA</v>
      </c>
      <c r="DQ256" s="14">
        <f>[1]Sheet2!CX255</f>
        <v>0</v>
      </c>
      <c r="DR256" s="14">
        <f>[1]Sheet2!CY255</f>
        <v>0</v>
      </c>
      <c r="DS256" s="14">
        <f>[1]Sheet2!CZ255</f>
        <v>0</v>
      </c>
      <c r="DT256" s="14">
        <f>[1]Sheet2!DA255</f>
        <v>0</v>
      </c>
      <c r="DU256" s="14">
        <f>[1]Sheet2!DB255</f>
        <v>0</v>
      </c>
      <c r="DV256" s="14">
        <f>[1]Sheet2!DC255</f>
        <v>0</v>
      </c>
      <c r="DW256" s="14">
        <f>[1]Sheet2!DD255</f>
        <v>0</v>
      </c>
      <c r="DX256" s="14">
        <f>[1]Sheet2!DE255</f>
        <v>0</v>
      </c>
      <c r="DY256" s="14">
        <f>[1]Sheet2!DF255</f>
        <v>0</v>
      </c>
      <c r="DZ256" s="14">
        <f>[1]Sheet2!DG255</f>
        <v>0</v>
      </c>
    </row>
    <row r="257" spans="1:130" x14ac:dyDescent="0.25">
      <c r="A257" s="15">
        <v>43719</v>
      </c>
      <c r="B257" s="1"/>
      <c r="C257" s="1"/>
      <c r="D257" s="1"/>
      <c r="E257" s="14">
        <f>[1]Sheet2!N256</f>
        <v>0</v>
      </c>
      <c r="F257" s="14">
        <f>[1]Sheet2!BE256</f>
        <v>48000</v>
      </c>
      <c r="G257" s="14">
        <f>[1]Sheet2!CV256</f>
        <v>288.46153846153851</v>
      </c>
      <c r="H257" s="1"/>
      <c r="I257" s="1"/>
      <c r="J257" s="1"/>
      <c r="K257" s="16">
        <f>Demand_CWRS!B$11/30</f>
        <v>118.04546474358973</v>
      </c>
      <c r="L257" s="16">
        <f>Demand_CWRS!C$11/30</f>
        <v>491.39401709401704</v>
      </c>
      <c r="M257" s="16">
        <f>Demand_CWRS!D$11/30</f>
        <v>0</v>
      </c>
      <c r="N257" s="16">
        <f>Demand_CWRS!E$11/30</f>
        <v>107.84935897435898</v>
      </c>
      <c r="O257" s="16">
        <f>Demand_CWRS!F$11/30</f>
        <v>218.22274305555553</v>
      </c>
      <c r="P257" s="16">
        <f>Demand_CWRS!G$11/30</f>
        <v>118.04546474358973</v>
      </c>
      <c r="Q257" s="16">
        <f>Demand_CWRS!H$11/30</f>
        <v>491.39401709401704</v>
      </c>
      <c r="R257" s="16">
        <f>Demand_CWRS!I$11/30</f>
        <v>218.22274305555553</v>
      </c>
      <c r="S257" s="16">
        <f>Demand_CWRS!J$11/30</f>
        <v>218.22274305555553</v>
      </c>
      <c r="T257" s="16">
        <f>Demand_CWRS!K$11/30</f>
        <v>218.22274305555553</v>
      </c>
      <c r="U257" s="16">
        <f t="shared" si="93"/>
        <v>-33733.132322652855</v>
      </c>
      <c r="V257" s="16">
        <f t="shared" si="94"/>
        <v>-119667.16752136717</v>
      </c>
      <c r="W257" s="16">
        <f t="shared" si="95"/>
        <v>0</v>
      </c>
      <c r="X257" s="16">
        <f t="shared" si="96"/>
        <v>-28206.33744725729</v>
      </c>
      <c r="Y257" s="16">
        <f t="shared" si="97"/>
        <v>-55067.97442507169</v>
      </c>
      <c r="Z257" s="16">
        <f t="shared" si="98"/>
        <v>-33336.199798614449</v>
      </c>
      <c r="AA257" s="16">
        <f t="shared" si="99"/>
        <v>-119167.16752136717</v>
      </c>
      <c r="AB257" s="16">
        <f t="shared" si="100"/>
        <v>-52584.128944302407</v>
      </c>
      <c r="AC257" s="16">
        <f t="shared" si="101"/>
        <v>-52584.1289443024</v>
      </c>
      <c r="AD257" s="16">
        <f t="shared" si="102"/>
        <v>-53284.128944302392</v>
      </c>
      <c r="AE257" s="14">
        <f>IF([1]Sheet2!AJ256=999999,"NA",[1]Sheet2!AJ256)</f>
        <v>0</v>
      </c>
      <c r="AF257" s="14">
        <f>IF([1]Sheet2!AK256=999999,"NA",[1]Sheet2!AK256)</f>
        <v>0</v>
      </c>
      <c r="AG257" s="14" t="str">
        <f>IF([1]Sheet2!AL256=999999,"NA",[1]Sheet2!AL256)</f>
        <v>NA</v>
      </c>
      <c r="AH257" s="14">
        <f>IF([1]Sheet2!AM256=999999,"NA",[1]Sheet2!AM256)</f>
        <v>111</v>
      </c>
      <c r="AI257" s="14">
        <f>IF([1]Sheet2!AN256=999999,"NA",[1]Sheet2!AN256)</f>
        <v>111</v>
      </c>
      <c r="AJ257" s="14">
        <f>IF([1]Sheet2!AO256=999999,"NA",[1]Sheet2!AO256)</f>
        <v>111</v>
      </c>
      <c r="AK257" s="14">
        <f>IF([1]Sheet2!AP256=999999,"NA",[1]Sheet2!AP256)</f>
        <v>0</v>
      </c>
      <c r="AL257" s="14">
        <f>IF([1]Sheet2!AQ256=999999,"NA",[1]Sheet2!AQ256)</f>
        <v>6</v>
      </c>
      <c r="AM257" s="14">
        <f>IF([1]Sheet2!AR256=999999,"NA",[1]Sheet2!AR256)</f>
        <v>111</v>
      </c>
      <c r="AN257" s="14">
        <f>IF([1]Sheet2!AS256=999999,"NA",[1]Sheet2!AS256)</f>
        <v>62</v>
      </c>
      <c r="AO257" s="14">
        <f>[1]Sheet2!P256</f>
        <v>0</v>
      </c>
      <c r="AP257" s="14">
        <f>[1]Sheet2!Q256</f>
        <v>0</v>
      </c>
      <c r="AQ257" s="14">
        <f>[1]Sheet2!R256</f>
        <v>0</v>
      </c>
      <c r="AR257" s="14">
        <f>[1]Sheet2!S256</f>
        <v>0</v>
      </c>
      <c r="AS257" s="14">
        <f>[1]Sheet2!T256</f>
        <v>0</v>
      </c>
      <c r="AT257" s="14">
        <f>[1]Sheet2!U256</f>
        <v>0</v>
      </c>
      <c r="AU257" s="14">
        <f>[1]Sheet2!V256</f>
        <v>0</v>
      </c>
      <c r="AV257" s="14">
        <f>[1]Sheet2!W256</f>
        <v>0</v>
      </c>
      <c r="AW257" s="14">
        <f>[1]Sheet2!X256</f>
        <v>0</v>
      </c>
      <c r="AX257" s="14">
        <f>[1]Sheet2!Y256</f>
        <v>0</v>
      </c>
      <c r="AY257" s="16">
        <f>Demand_LP!B$11/30</f>
        <v>902.60591613247857</v>
      </c>
      <c r="AZ257" s="16">
        <f>Demand_LP!C$11/30</f>
        <v>593.76410256410259</v>
      </c>
      <c r="BA257" s="16">
        <f>Demand_LP!D$11/30</f>
        <v>290.27136752136749</v>
      </c>
      <c r="BB257" s="16">
        <f>Demand_LP!E$11/30</f>
        <v>790.42628205128199</v>
      </c>
      <c r="BC257" s="16">
        <f>Demand_LP!F$11/30</f>
        <v>538.46224626068363</v>
      </c>
      <c r="BD257" s="16">
        <f>Demand_LP!G$11/30</f>
        <v>902.60591613247857</v>
      </c>
      <c r="BE257" s="16">
        <f>Demand_LP!H$11/30</f>
        <v>593.76410256410259</v>
      </c>
      <c r="BF257" s="16">
        <f>Demand_LP!I$11/30</f>
        <v>538.46224626068363</v>
      </c>
      <c r="BG257" s="16">
        <f>Demand_LP!J$11/30</f>
        <v>538.46224626068363</v>
      </c>
      <c r="BH257" s="16">
        <f>Demand_LP!K$11/30</f>
        <v>538.46224626068363</v>
      </c>
      <c r="BI257" s="16" t="e">
        <f t="shared" si="103"/>
        <v>#VALUE!</v>
      </c>
      <c r="BJ257" s="16">
        <f t="shared" si="104"/>
        <v>-143817.54615384602</v>
      </c>
      <c r="BK257" s="16">
        <f t="shared" si="105"/>
        <v>-74557.585042735038</v>
      </c>
      <c r="BL257" s="16">
        <f t="shared" si="106"/>
        <v>-189815.37113761704</v>
      </c>
      <c r="BM257" s="16">
        <f t="shared" si="107"/>
        <v>-111845.25481293291</v>
      </c>
      <c r="BN257" s="16">
        <f t="shared" si="108"/>
        <v>-194774.42525911474</v>
      </c>
      <c r="BO257" s="16">
        <f t="shared" si="109"/>
        <v>-146175.12564102581</v>
      </c>
      <c r="BP257" s="16">
        <f t="shared" si="110"/>
        <v>-112956.93873130351</v>
      </c>
      <c r="BQ257" s="16">
        <f t="shared" si="111"/>
        <v>-109946.93873130355</v>
      </c>
      <c r="BR257" s="16">
        <f t="shared" si="112"/>
        <v>-111146.93873130351</v>
      </c>
      <c r="BS257" s="14">
        <f>IF([1]Sheet2!CA256=999999,"NA",[1]Sheet2!CA256)</f>
        <v>105332.06126869665</v>
      </c>
      <c r="BT257" s="14">
        <f>IF([1]Sheet2!CB256=999999,"NA",[1]Sheet2!CB256)</f>
        <v>41</v>
      </c>
      <c r="BU257" s="14">
        <f>IF([1]Sheet2!CC256=999999,"NA",[1]Sheet2!CC256)</f>
        <v>111</v>
      </c>
      <c r="BV257" s="14">
        <f>IF([1]Sheet2!CD256=999999,"NA",[1]Sheet2!CD256)</f>
        <v>111</v>
      </c>
      <c r="BW257" s="14">
        <f>IF([1]Sheet2!CE256=999999,"NA",[1]Sheet2!CE256)</f>
        <v>80</v>
      </c>
      <c r="BX257" s="14">
        <f>IF([1]Sheet2!CF256=999999,"NA",[1]Sheet2!CF256)</f>
        <v>111</v>
      </c>
      <c r="BY257" s="14">
        <f>IF([1]Sheet2!CG256=999999,"NA",[1]Sheet2!CG256)</f>
        <v>12</v>
      </c>
      <c r="BZ257" s="14">
        <f>IF([1]Sheet2!CH256=999999,"NA",[1]Sheet2!CH256)</f>
        <v>111</v>
      </c>
      <c r="CA257" s="14">
        <f>IF([1]Sheet2!CI256=999999,"NA",[1]Sheet2!CI256)</f>
        <v>111</v>
      </c>
      <c r="CB257" s="14">
        <f>IF([1]Sheet2!CJ256=999999,"NA",[1]Sheet2!CJ256)</f>
        <v>111</v>
      </c>
      <c r="CC257" s="14">
        <f>[1]Sheet2!BG256</f>
        <v>0</v>
      </c>
      <c r="CD257" s="14">
        <f>[1]Sheet2!BH256</f>
        <v>0</v>
      </c>
      <c r="CE257" s="14">
        <f>[1]Sheet2!BI256</f>
        <v>0</v>
      </c>
      <c r="CF257" s="14">
        <f>[1]Sheet2!BJ256</f>
        <v>0</v>
      </c>
      <c r="CG257" s="14">
        <f>[1]Sheet2!BK256</f>
        <v>0</v>
      </c>
      <c r="CH257" s="14">
        <f>[1]Sheet2!BL256</f>
        <v>0</v>
      </c>
      <c r="CI257" s="14">
        <f>[1]Sheet2!BM256</f>
        <v>0</v>
      </c>
      <c r="CJ257" s="14">
        <f>[1]Sheet2!BN256</f>
        <v>0</v>
      </c>
      <c r="CK257" s="14">
        <f>[1]Sheet2!BO256</f>
        <v>0</v>
      </c>
      <c r="CL257" s="14">
        <f>[1]Sheet2!BP256</f>
        <v>0</v>
      </c>
      <c r="CM257" s="16">
        <f>Demand_SW!B$11/30</f>
        <v>144.23076923076923</v>
      </c>
      <c r="CN257" s="16">
        <f>Demand_SW!C$11/30</f>
        <v>0</v>
      </c>
      <c r="CO257" s="16">
        <f>Demand_SW!D$11/30</f>
        <v>0</v>
      </c>
      <c r="CP257" s="16">
        <f>Demand_SW!E$11/30</f>
        <v>0</v>
      </c>
      <c r="CQ257" s="16">
        <f>Demand_SW!F$11/30</f>
        <v>0</v>
      </c>
      <c r="CR257" s="16">
        <f>Demand_SW!G$11/30</f>
        <v>144.23076923076923</v>
      </c>
      <c r="CS257" s="16">
        <f>Demand_SW!H$11/30</f>
        <v>0</v>
      </c>
      <c r="CT257" s="16">
        <f>Demand_SW!I$11/30</f>
        <v>0</v>
      </c>
      <c r="CU257" s="16">
        <f>Demand_SW!J$11/30</f>
        <v>0</v>
      </c>
      <c r="CV257" s="16">
        <f>Demand_SW!K$11/30</f>
        <v>0</v>
      </c>
      <c r="CW257" s="16">
        <f t="shared" si="113"/>
        <v>66692.692307692269</v>
      </c>
      <c r="CX257" s="16">
        <f t="shared" si="114"/>
        <v>20683.923076923078</v>
      </c>
      <c r="CY257" s="16">
        <f t="shared" si="115"/>
        <v>0</v>
      </c>
      <c r="CZ257" s="16">
        <f t="shared" si="116"/>
        <v>0</v>
      </c>
      <c r="DA257" s="16">
        <f t="shared" si="117"/>
        <v>0</v>
      </c>
      <c r="DB257" s="16">
        <f t="shared" si="118"/>
        <v>-32836.538461538468</v>
      </c>
      <c r="DC257" s="16">
        <f t="shared" si="119"/>
        <v>20683.923076923078</v>
      </c>
      <c r="DD257" s="16">
        <f t="shared" si="120"/>
        <v>0</v>
      </c>
      <c r="DE257" s="16">
        <f t="shared" si="121"/>
        <v>0</v>
      </c>
      <c r="DF257" s="16">
        <f t="shared" si="122"/>
        <v>0</v>
      </c>
      <c r="DG257" s="14">
        <f>IF([1]Sheet2!DR256=999999,"NA",[1]Sheet2!DR256)</f>
        <v>73103</v>
      </c>
      <c r="DH257" s="14">
        <f>IF([1]Sheet2!DS256=999999,"NA",[1]Sheet2!DS256)</f>
        <v>111</v>
      </c>
      <c r="DI257" s="14">
        <f>IF([1]Sheet2!DT256=999999,"NA",[1]Sheet2!DT256)</f>
        <v>111</v>
      </c>
      <c r="DJ257" s="14" t="str">
        <f>IF([1]Sheet2!DU256=999999,"NA",[1]Sheet2!DU256)</f>
        <v>NA</v>
      </c>
      <c r="DK257" s="14" t="str">
        <f>IF([1]Sheet2!DV256=999999,"NA",[1]Sheet2!DV256)</f>
        <v>NA</v>
      </c>
      <c r="DL257" s="14" t="str">
        <f>IF([1]Sheet2!DW256=999999,"NA",[1]Sheet2!DW256)</f>
        <v>NA</v>
      </c>
      <c r="DM257" s="14">
        <f>IF([1]Sheet2!DX256=999999,"NA",[1]Sheet2!DX256)</f>
        <v>111</v>
      </c>
      <c r="DN257" s="14">
        <f>IF([1]Sheet2!DY256=999999,"NA",[1]Sheet2!DY256)</f>
        <v>111</v>
      </c>
      <c r="DO257" s="14" t="str">
        <f>IF([1]Sheet2!DZ256=999999,"NA",[1]Sheet2!DZ256)</f>
        <v>NA</v>
      </c>
      <c r="DP257" s="14" t="str">
        <f>IF([1]Sheet2!EA256=999999,"NA",[1]Sheet2!EA256)</f>
        <v>NA</v>
      </c>
      <c r="DQ257" s="14">
        <f>[1]Sheet2!CX256</f>
        <v>0</v>
      </c>
      <c r="DR257" s="14">
        <f>[1]Sheet2!CY256</f>
        <v>0</v>
      </c>
      <c r="DS257" s="14">
        <f>[1]Sheet2!CZ256</f>
        <v>0</v>
      </c>
      <c r="DT257" s="14">
        <f>[1]Sheet2!DA256</f>
        <v>0</v>
      </c>
      <c r="DU257" s="14">
        <f>[1]Sheet2!DB256</f>
        <v>0</v>
      </c>
      <c r="DV257" s="14">
        <f>[1]Sheet2!DC256</f>
        <v>0</v>
      </c>
      <c r="DW257" s="14">
        <f>[1]Sheet2!DD256</f>
        <v>0</v>
      </c>
      <c r="DX257" s="14">
        <f>[1]Sheet2!DE256</f>
        <v>0</v>
      </c>
      <c r="DY257" s="14">
        <f>[1]Sheet2!DF256</f>
        <v>0</v>
      </c>
      <c r="DZ257" s="14">
        <f>[1]Sheet2!DG256</f>
        <v>0</v>
      </c>
    </row>
    <row r="258" spans="1:130" x14ac:dyDescent="0.25">
      <c r="A258" s="15">
        <v>43720</v>
      </c>
      <c r="B258" s="1"/>
      <c r="C258" s="1"/>
      <c r="D258" s="1"/>
      <c r="E258" s="14">
        <f>[1]Sheet2!N257</f>
        <v>0</v>
      </c>
      <c r="F258" s="14">
        <f>[1]Sheet2!BE257</f>
        <v>0</v>
      </c>
      <c r="G258" s="14">
        <f>[1]Sheet2!CV257</f>
        <v>288.46153846153851</v>
      </c>
      <c r="H258" s="1"/>
      <c r="I258" s="1"/>
      <c r="J258" s="1"/>
      <c r="K258" s="16">
        <f>Demand_CWRS!B$11/30</f>
        <v>118.04546474358973</v>
      </c>
      <c r="L258" s="16">
        <f>Demand_CWRS!C$11/30</f>
        <v>491.39401709401704</v>
      </c>
      <c r="M258" s="16">
        <f>Demand_CWRS!D$11/30</f>
        <v>0</v>
      </c>
      <c r="N258" s="16">
        <f>Demand_CWRS!E$11/30</f>
        <v>107.84935897435898</v>
      </c>
      <c r="O258" s="16">
        <f>Demand_CWRS!F$11/30</f>
        <v>218.22274305555553</v>
      </c>
      <c r="P258" s="16">
        <f>Demand_CWRS!G$11/30</f>
        <v>118.04546474358973</v>
      </c>
      <c r="Q258" s="16">
        <f>Demand_CWRS!H$11/30</f>
        <v>491.39401709401704</v>
      </c>
      <c r="R258" s="16">
        <f>Demand_CWRS!I$11/30</f>
        <v>218.22274305555553</v>
      </c>
      <c r="S258" s="16">
        <f>Demand_CWRS!J$11/30</f>
        <v>218.22274305555553</v>
      </c>
      <c r="T258" s="16">
        <f>Demand_CWRS!K$11/30</f>
        <v>218.22274305555553</v>
      </c>
      <c r="U258" s="16">
        <f t="shared" si="93"/>
        <v>-33851.177787396446</v>
      </c>
      <c r="V258" s="16">
        <f t="shared" si="94"/>
        <v>-120158.56153846119</v>
      </c>
      <c r="W258" s="16">
        <f t="shared" si="95"/>
        <v>0</v>
      </c>
      <c r="X258" s="16">
        <f t="shared" si="96"/>
        <v>-28314.18680623165</v>
      </c>
      <c r="Y258" s="16">
        <f t="shared" si="97"/>
        <v>-55286.197168127248</v>
      </c>
      <c r="Z258" s="16">
        <f t="shared" si="98"/>
        <v>-33454.24526335804</v>
      </c>
      <c r="AA258" s="16">
        <f t="shared" si="99"/>
        <v>-119658.56153846119</v>
      </c>
      <c r="AB258" s="16">
        <f t="shared" si="100"/>
        <v>-52802.351687357965</v>
      </c>
      <c r="AC258" s="16">
        <f t="shared" si="101"/>
        <v>-52802.351687357957</v>
      </c>
      <c r="AD258" s="16">
        <f t="shared" si="102"/>
        <v>-53502.35168735795</v>
      </c>
      <c r="AE258" s="14">
        <f>IF([1]Sheet2!AJ257=999999,"NA",[1]Sheet2!AJ257)</f>
        <v>0</v>
      </c>
      <c r="AF258" s="14">
        <f>IF([1]Sheet2!AK257=999999,"NA",[1]Sheet2!AK257)</f>
        <v>0</v>
      </c>
      <c r="AG258" s="14" t="str">
        <f>IF([1]Sheet2!AL257=999999,"NA",[1]Sheet2!AL257)</f>
        <v>NA</v>
      </c>
      <c r="AH258" s="14">
        <f>IF([1]Sheet2!AM257=999999,"NA",[1]Sheet2!AM257)</f>
        <v>110</v>
      </c>
      <c r="AI258" s="14">
        <f>IF([1]Sheet2!AN257=999999,"NA",[1]Sheet2!AN257)</f>
        <v>110</v>
      </c>
      <c r="AJ258" s="14">
        <f>IF([1]Sheet2!AO257=999999,"NA",[1]Sheet2!AO257)</f>
        <v>110</v>
      </c>
      <c r="AK258" s="14">
        <f>IF([1]Sheet2!AP257=999999,"NA",[1]Sheet2!AP257)</f>
        <v>0</v>
      </c>
      <c r="AL258" s="14">
        <f>IF([1]Sheet2!AQ257=999999,"NA",[1]Sheet2!AQ257)</f>
        <v>5</v>
      </c>
      <c r="AM258" s="14">
        <f>IF([1]Sheet2!AR257=999999,"NA",[1]Sheet2!AR257)</f>
        <v>110</v>
      </c>
      <c r="AN258" s="14">
        <f>IF([1]Sheet2!AS257=999999,"NA",[1]Sheet2!AS257)</f>
        <v>61</v>
      </c>
      <c r="AO258" s="14">
        <f>[1]Sheet2!P257</f>
        <v>0</v>
      </c>
      <c r="AP258" s="14">
        <f>[1]Sheet2!Q257</f>
        <v>0</v>
      </c>
      <c r="AQ258" s="14">
        <f>[1]Sheet2!R257</f>
        <v>0</v>
      </c>
      <c r="AR258" s="14">
        <f>[1]Sheet2!S257</f>
        <v>0</v>
      </c>
      <c r="AS258" s="14">
        <f>[1]Sheet2!T257</f>
        <v>0</v>
      </c>
      <c r="AT258" s="14">
        <f>[1]Sheet2!U257</f>
        <v>0</v>
      </c>
      <c r="AU258" s="14">
        <f>[1]Sheet2!V257</f>
        <v>0</v>
      </c>
      <c r="AV258" s="14">
        <f>[1]Sheet2!W257</f>
        <v>0</v>
      </c>
      <c r="AW258" s="14">
        <f>[1]Sheet2!X257</f>
        <v>0</v>
      </c>
      <c r="AX258" s="14">
        <f>[1]Sheet2!Y257</f>
        <v>0</v>
      </c>
      <c r="AY258" s="16">
        <f>Demand_LP!B$11/30</f>
        <v>902.60591613247857</v>
      </c>
      <c r="AZ258" s="16">
        <f>Demand_LP!C$11/30</f>
        <v>593.76410256410259</v>
      </c>
      <c r="BA258" s="16">
        <f>Demand_LP!D$11/30</f>
        <v>290.27136752136749</v>
      </c>
      <c r="BB258" s="16">
        <f>Demand_LP!E$11/30</f>
        <v>790.42628205128199</v>
      </c>
      <c r="BC258" s="16">
        <f>Demand_LP!F$11/30</f>
        <v>538.46224626068363</v>
      </c>
      <c r="BD258" s="16">
        <f>Demand_LP!G$11/30</f>
        <v>902.60591613247857</v>
      </c>
      <c r="BE258" s="16">
        <f>Demand_LP!H$11/30</f>
        <v>593.76410256410259</v>
      </c>
      <c r="BF258" s="16">
        <f>Demand_LP!I$11/30</f>
        <v>538.46224626068363</v>
      </c>
      <c r="BG258" s="16">
        <f>Demand_LP!J$11/30</f>
        <v>538.46224626068363</v>
      </c>
      <c r="BH258" s="16">
        <f>Demand_LP!K$11/30</f>
        <v>538.46224626068363</v>
      </c>
      <c r="BI258" s="16" t="e">
        <f t="shared" si="103"/>
        <v>#VALUE!</v>
      </c>
      <c r="BJ258" s="16">
        <f t="shared" si="104"/>
        <v>-144411.31025641013</v>
      </c>
      <c r="BK258" s="16">
        <f t="shared" si="105"/>
        <v>-74847.856410256412</v>
      </c>
      <c r="BL258" s="16">
        <f t="shared" si="106"/>
        <v>-190605.79741966832</v>
      </c>
      <c r="BM258" s="16">
        <f t="shared" si="107"/>
        <v>-112383.71705919359</v>
      </c>
      <c r="BN258" s="16">
        <f t="shared" si="108"/>
        <v>-195677.03117524722</v>
      </c>
      <c r="BO258" s="16">
        <f t="shared" si="109"/>
        <v>-146768.88974358991</v>
      </c>
      <c r="BP258" s="16">
        <f t="shared" si="110"/>
        <v>-113495.40097756419</v>
      </c>
      <c r="BQ258" s="16">
        <f t="shared" si="111"/>
        <v>-110485.40097756423</v>
      </c>
      <c r="BR258" s="16">
        <f t="shared" si="112"/>
        <v>-111685.40097756419</v>
      </c>
      <c r="BS258" s="14">
        <f>IF([1]Sheet2!CA257=999999,"NA",[1]Sheet2!CA257)</f>
        <v>104793.59902243597</v>
      </c>
      <c r="BT258" s="14">
        <f>IF([1]Sheet2!CB257=999999,"NA",[1]Sheet2!CB257)</f>
        <v>40</v>
      </c>
      <c r="BU258" s="14">
        <f>IF([1]Sheet2!CC257=999999,"NA",[1]Sheet2!CC257)</f>
        <v>110</v>
      </c>
      <c r="BV258" s="14">
        <f>IF([1]Sheet2!CD257=999999,"NA",[1]Sheet2!CD257)</f>
        <v>110</v>
      </c>
      <c r="BW258" s="14">
        <f>IF([1]Sheet2!CE257=999999,"NA",[1]Sheet2!CE257)</f>
        <v>79</v>
      </c>
      <c r="BX258" s="14">
        <f>IF([1]Sheet2!CF257=999999,"NA",[1]Sheet2!CF257)</f>
        <v>110</v>
      </c>
      <c r="BY258" s="14">
        <f>IF([1]Sheet2!CG257=999999,"NA",[1]Sheet2!CG257)</f>
        <v>11</v>
      </c>
      <c r="BZ258" s="14">
        <f>IF([1]Sheet2!CH257=999999,"NA",[1]Sheet2!CH257)</f>
        <v>110</v>
      </c>
      <c r="CA258" s="14">
        <f>IF([1]Sheet2!CI257=999999,"NA",[1]Sheet2!CI257)</f>
        <v>110</v>
      </c>
      <c r="CB258" s="14">
        <f>IF([1]Sheet2!CJ257=999999,"NA",[1]Sheet2!CJ257)</f>
        <v>110</v>
      </c>
      <c r="CC258" s="14">
        <f>[1]Sheet2!BG257</f>
        <v>0</v>
      </c>
      <c r="CD258" s="14">
        <f>[1]Sheet2!BH257</f>
        <v>0</v>
      </c>
      <c r="CE258" s="14">
        <f>[1]Sheet2!BI257</f>
        <v>0</v>
      </c>
      <c r="CF258" s="14">
        <f>[1]Sheet2!BJ257</f>
        <v>0</v>
      </c>
      <c r="CG258" s="14">
        <f>[1]Sheet2!BK257</f>
        <v>0</v>
      </c>
      <c r="CH258" s="14">
        <f>[1]Sheet2!BL257</f>
        <v>0</v>
      </c>
      <c r="CI258" s="14">
        <f>[1]Sheet2!BM257</f>
        <v>0</v>
      </c>
      <c r="CJ258" s="14">
        <f>[1]Sheet2!BN257</f>
        <v>0</v>
      </c>
      <c r="CK258" s="14">
        <f>[1]Sheet2!BO257</f>
        <v>0</v>
      </c>
      <c r="CL258" s="14">
        <f>[1]Sheet2!BP257</f>
        <v>0</v>
      </c>
      <c r="CM258" s="16">
        <f>Demand_SW!B$11/30</f>
        <v>144.23076923076923</v>
      </c>
      <c r="CN258" s="16">
        <f>Demand_SW!C$11/30</f>
        <v>0</v>
      </c>
      <c r="CO258" s="16">
        <f>Demand_SW!D$11/30</f>
        <v>0</v>
      </c>
      <c r="CP258" s="16">
        <f>Demand_SW!E$11/30</f>
        <v>0</v>
      </c>
      <c r="CQ258" s="16">
        <f>Demand_SW!F$11/30</f>
        <v>0</v>
      </c>
      <c r="CR258" s="16">
        <f>Demand_SW!G$11/30</f>
        <v>144.23076923076923</v>
      </c>
      <c r="CS258" s="16">
        <f>Demand_SW!H$11/30</f>
        <v>0</v>
      </c>
      <c r="CT258" s="16">
        <f>Demand_SW!I$11/30</f>
        <v>0</v>
      </c>
      <c r="CU258" s="16">
        <f>Demand_SW!J$11/30</f>
        <v>0</v>
      </c>
      <c r="CV258" s="16">
        <f>Demand_SW!K$11/30</f>
        <v>0</v>
      </c>
      <c r="CW258" s="16">
        <f t="shared" si="113"/>
        <v>66548.461538461503</v>
      </c>
      <c r="CX258" s="16">
        <f t="shared" si="114"/>
        <v>20683.923076923078</v>
      </c>
      <c r="CY258" s="16">
        <f t="shared" si="115"/>
        <v>0</v>
      </c>
      <c r="CZ258" s="16">
        <f t="shared" si="116"/>
        <v>0</v>
      </c>
      <c r="DA258" s="16">
        <f t="shared" si="117"/>
        <v>0</v>
      </c>
      <c r="DB258" s="16">
        <f t="shared" si="118"/>
        <v>-32980.769230769234</v>
      </c>
      <c r="DC258" s="16">
        <f t="shared" si="119"/>
        <v>20683.923076923078</v>
      </c>
      <c r="DD258" s="16">
        <f t="shared" si="120"/>
        <v>0</v>
      </c>
      <c r="DE258" s="16">
        <f t="shared" si="121"/>
        <v>0</v>
      </c>
      <c r="DF258" s="16">
        <f t="shared" si="122"/>
        <v>0</v>
      </c>
      <c r="DG258" s="14">
        <f>IF([1]Sheet2!DR257=999999,"NA",[1]Sheet2!DR257)</f>
        <v>73103</v>
      </c>
      <c r="DH258" s="14">
        <f>IF([1]Sheet2!DS257=999999,"NA",[1]Sheet2!DS257)</f>
        <v>110</v>
      </c>
      <c r="DI258" s="14">
        <f>IF([1]Sheet2!DT257=999999,"NA",[1]Sheet2!DT257)</f>
        <v>110</v>
      </c>
      <c r="DJ258" s="14" t="str">
        <f>IF([1]Sheet2!DU257=999999,"NA",[1]Sheet2!DU257)</f>
        <v>NA</v>
      </c>
      <c r="DK258" s="14" t="str">
        <f>IF([1]Sheet2!DV257=999999,"NA",[1]Sheet2!DV257)</f>
        <v>NA</v>
      </c>
      <c r="DL258" s="14" t="str">
        <f>IF([1]Sheet2!DW257=999999,"NA",[1]Sheet2!DW257)</f>
        <v>NA</v>
      </c>
      <c r="DM258" s="14">
        <f>IF([1]Sheet2!DX257=999999,"NA",[1]Sheet2!DX257)</f>
        <v>110</v>
      </c>
      <c r="DN258" s="14">
        <f>IF([1]Sheet2!DY257=999999,"NA",[1]Sheet2!DY257)</f>
        <v>110</v>
      </c>
      <c r="DO258" s="14" t="str">
        <f>IF([1]Sheet2!DZ257=999999,"NA",[1]Sheet2!DZ257)</f>
        <v>NA</v>
      </c>
      <c r="DP258" s="14" t="str">
        <f>IF([1]Sheet2!EA257=999999,"NA",[1]Sheet2!EA257)</f>
        <v>NA</v>
      </c>
      <c r="DQ258" s="14">
        <f>[1]Sheet2!CX257</f>
        <v>0</v>
      </c>
      <c r="DR258" s="14">
        <f>[1]Sheet2!CY257</f>
        <v>0</v>
      </c>
      <c r="DS258" s="14">
        <f>[1]Sheet2!CZ257</f>
        <v>0</v>
      </c>
      <c r="DT258" s="14">
        <f>[1]Sheet2!DA257</f>
        <v>0</v>
      </c>
      <c r="DU258" s="14">
        <f>[1]Sheet2!DB257</f>
        <v>0</v>
      </c>
      <c r="DV258" s="14">
        <f>[1]Sheet2!DC257</f>
        <v>0</v>
      </c>
      <c r="DW258" s="14">
        <f>[1]Sheet2!DD257</f>
        <v>0</v>
      </c>
      <c r="DX258" s="14">
        <f>[1]Sheet2!DE257</f>
        <v>0</v>
      </c>
      <c r="DY258" s="14">
        <f>[1]Sheet2!DF257</f>
        <v>0</v>
      </c>
      <c r="DZ258" s="14">
        <f>[1]Sheet2!DG257</f>
        <v>0</v>
      </c>
    </row>
    <row r="259" spans="1:130" x14ac:dyDescent="0.25">
      <c r="A259" s="15">
        <v>43721</v>
      </c>
      <c r="B259" s="1"/>
      <c r="C259" s="1"/>
      <c r="D259" s="1"/>
      <c r="E259" s="14">
        <f>[1]Sheet2!N258</f>
        <v>0</v>
      </c>
      <c r="F259" s="14">
        <f>[1]Sheet2!BE258</f>
        <v>0</v>
      </c>
      <c r="G259" s="14">
        <f>[1]Sheet2!CV258</f>
        <v>288.46153846153851</v>
      </c>
      <c r="H259" s="1"/>
      <c r="I259" s="1"/>
      <c r="J259" s="1"/>
      <c r="K259" s="16">
        <f>Demand_CWRS!B$11/30</f>
        <v>118.04546474358973</v>
      </c>
      <c r="L259" s="16">
        <f>Demand_CWRS!C$11/30</f>
        <v>491.39401709401704</v>
      </c>
      <c r="M259" s="16">
        <f>Demand_CWRS!D$11/30</f>
        <v>0</v>
      </c>
      <c r="N259" s="16">
        <f>Demand_CWRS!E$11/30</f>
        <v>107.84935897435898</v>
      </c>
      <c r="O259" s="16">
        <f>Demand_CWRS!F$11/30</f>
        <v>218.22274305555553</v>
      </c>
      <c r="P259" s="16">
        <f>Demand_CWRS!G$11/30</f>
        <v>118.04546474358973</v>
      </c>
      <c r="Q259" s="16">
        <f>Demand_CWRS!H$11/30</f>
        <v>491.39401709401704</v>
      </c>
      <c r="R259" s="16">
        <f>Demand_CWRS!I$11/30</f>
        <v>218.22274305555553</v>
      </c>
      <c r="S259" s="16">
        <f>Demand_CWRS!J$11/30</f>
        <v>218.22274305555553</v>
      </c>
      <c r="T259" s="16">
        <f>Demand_CWRS!K$11/30</f>
        <v>218.22274305555553</v>
      </c>
      <c r="U259" s="16">
        <f t="shared" si="93"/>
        <v>-33969.223252140036</v>
      </c>
      <c r="V259" s="16">
        <f t="shared" si="94"/>
        <v>-120649.95555555521</v>
      </c>
      <c r="W259" s="16">
        <f t="shared" si="95"/>
        <v>0</v>
      </c>
      <c r="X259" s="16">
        <f t="shared" si="96"/>
        <v>-28422.036165206009</v>
      </c>
      <c r="Y259" s="16">
        <f t="shared" si="97"/>
        <v>-55504.419911182806</v>
      </c>
      <c r="Z259" s="16">
        <f t="shared" si="98"/>
        <v>-33572.290728101631</v>
      </c>
      <c r="AA259" s="16">
        <f t="shared" si="99"/>
        <v>-120149.95555555521</v>
      </c>
      <c r="AB259" s="16">
        <f t="shared" si="100"/>
        <v>-53020.574430413522</v>
      </c>
      <c r="AC259" s="16">
        <f t="shared" si="101"/>
        <v>-53020.574430413515</v>
      </c>
      <c r="AD259" s="16">
        <f t="shared" si="102"/>
        <v>-53720.574430413508</v>
      </c>
      <c r="AE259" s="14">
        <f>IF([1]Sheet2!AJ258=999999,"NA",[1]Sheet2!AJ258)</f>
        <v>0</v>
      </c>
      <c r="AF259" s="14">
        <f>IF([1]Sheet2!AK258=999999,"NA",[1]Sheet2!AK258)</f>
        <v>0</v>
      </c>
      <c r="AG259" s="14" t="str">
        <f>IF([1]Sheet2!AL258=999999,"NA",[1]Sheet2!AL258)</f>
        <v>NA</v>
      </c>
      <c r="AH259" s="14">
        <f>IF([1]Sheet2!AM258=999999,"NA",[1]Sheet2!AM258)</f>
        <v>109</v>
      </c>
      <c r="AI259" s="14">
        <f>IF([1]Sheet2!AN258=999999,"NA",[1]Sheet2!AN258)</f>
        <v>109</v>
      </c>
      <c r="AJ259" s="14">
        <f>IF([1]Sheet2!AO258=999999,"NA",[1]Sheet2!AO258)</f>
        <v>109</v>
      </c>
      <c r="AK259" s="14">
        <f>IF([1]Sheet2!AP258=999999,"NA",[1]Sheet2!AP258)</f>
        <v>0</v>
      </c>
      <c r="AL259" s="14">
        <f>IF([1]Sheet2!AQ258=999999,"NA",[1]Sheet2!AQ258)</f>
        <v>4</v>
      </c>
      <c r="AM259" s="14">
        <f>IF([1]Sheet2!AR258=999999,"NA",[1]Sheet2!AR258)</f>
        <v>109</v>
      </c>
      <c r="AN259" s="14">
        <f>IF([1]Sheet2!AS258=999999,"NA",[1]Sheet2!AS258)</f>
        <v>60</v>
      </c>
      <c r="AO259" s="14">
        <f>[1]Sheet2!P258</f>
        <v>0</v>
      </c>
      <c r="AP259" s="14">
        <f>[1]Sheet2!Q258</f>
        <v>0</v>
      </c>
      <c r="AQ259" s="14">
        <f>[1]Sheet2!R258</f>
        <v>0</v>
      </c>
      <c r="AR259" s="14">
        <f>[1]Sheet2!S258</f>
        <v>0</v>
      </c>
      <c r="AS259" s="14">
        <f>[1]Sheet2!T258</f>
        <v>0</v>
      </c>
      <c r="AT259" s="14">
        <f>[1]Sheet2!U258</f>
        <v>0</v>
      </c>
      <c r="AU259" s="14">
        <f>[1]Sheet2!V258</f>
        <v>0</v>
      </c>
      <c r="AV259" s="14">
        <f>[1]Sheet2!W258</f>
        <v>0</v>
      </c>
      <c r="AW259" s="14">
        <f>[1]Sheet2!X258</f>
        <v>0</v>
      </c>
      <c r="AX259" s="14">
        <f>[1]Sheet2!Y258</f>
        <v>0</v>
      </c>
      <c r="AY259" s="16">
        <f>Demand_LP!B$11/30</f>
        <v>902.60591613247857</v>
      </c>
      <c r="AZ259" s="16">
        <f>Demand_LP!C$11/30</f>
        <v>593.76410256410259</v>
      </c>
      <c r="BA259" s="16">
        <f>Demand_LP!D$11/30</f>
        <v>290.27136752136749</v>
      </c>
      <c r="BB259" s="16">
        <f>Demand_LP!E$11/30</f>
        <v>790.42628205128199</v>
      </c>
      <c r="BC259" s="16">
        <f>Demand_LP!F$11/30</f>
        <v>538.46224626068363</v>
      </c>
      <c r="BD259" s="16">
        <f>Demand_LP!G$11/30</f>
        <v>902.60591613247857</v>
      </c>
      <c r="BE259" s="16">
        <f>Demand_LP!H$11/30</f>
        <v>593.76410256410259</v>
      </c>
      <c r="BF259" s="16">
        <f>Demand_LP!I$11/30</f>
        <v>538.46224626068363</v>
      </c>
      <c r="BG259" s="16">
        <f>Demand_LP!J$11/30</f>
        <v>538.46224626068363</v>
      </c>
      <c r="BH259" s="16">
        <f>Demand_LP!K$11/30</f>
        <v>538.46224626068363</v>
      </c>
      <c r="BI259" s="16" t="e">
        <f t="shared" si="103"/>
        <v>#VALUE!</v>
      </c>
      <c r="BJ259" s="16">
        <f t="shared" si="104"/>
        <v>-145005.07435897423</v>
      </c>
      <c r="BK259" s="16">
        <f t="shared" si="105"/>
        <v>-75138.127777777787</v>
      </c>
      <c r="BL259" s="16">
        <f t="shared" si="106"/>
        <v>-191396.2237017196</v>
      </c>
      <c r="BM259" s="16">
        <f t="shared" si="107"/>
        <v>-112922.17930545426</v>
      </c>
      <c r="BN259" s="16">
        <f t="shared" si="108"/>
        <v>-196579.6370913797</v>
      </c>
      <c r="BO259" s="16">
        <f t="shared" si="109"/>
        <v>-147362.65384615402</v>
      </c>
      <c r="BP259" s="16">
        <f t="shared" si="110"/>
        <v>-114033.86322382487</v>
      </c>
      <c r="BQ259" s="16">
        <f t="shared" si="111"/>
        <v>-111023.86322382491</v>
      </c>
      <c r="BR259" s="16">
        <f t="shared" si="112"/>
        <v>-112223.86322382487</v>
      </c>
      <c r="BS259" s="14">
        <f>IF([1]Sheet2!CA258=999999,"NA",[1]Sheet2!CA258)</f>
        <v>104255.13677617529</v>
      </c>
      <c r="BT259" s="14">
        <f>IF([1]Sheet2!CB258=999999,"NA",[1]Sheet2!CB258)</f>
        <v>39</v>
      </c>
      <c r="BU259" s="14">
        <f>IF([1]Sheet2!CC258=999999,"NA",[1]Sheet2!CC258)</f>
        <v>109</v>
      </c>
      <c r="BV259" s="14">
        <f>IF([1]Sheet2!CD258=999999,"NA",[1]Sheet2!CD258)</f>
        <v>109</v>
      </c>
      <c r="BW259" s="14">
        <f>IF([1]Sheet2!CE258=999999,"NA",[1]Sheet2!CE258)</f>
        <v>78</v>
      </c>
      <c r="BX259" s="14">
        <f>IF([1]Sheet2!CF258=999999,"NA",[1]Sheet2!CF258)</f>
        <v>109</v>
      </c>
      <c r="BY259" s="14">
        <f>IF([1]Sheet2!CG258=999999,"NA",[1]Sheet2!CG258)</f>
        <v>10</v>
      </c>
      <c r="BZ259" s="14">
        <f>IF([1]Sheet2!CH258=999999,"NA",[1]Sheet2!CH258)</f>
        <v>109</v>
      </c>
      <c r="CA259" s="14">
        <f>IF([1]Sheet2!CI258=999999,"NA",[1]Sheet2!CI258)</f>
        <v>109</v>
      </c>
      <c r="CB259" s="14">
        <f>IF([1]Sheet2!CJ258=999999,"NA",[1]Sheet2!CJ258)</f>
        <v>109</v>
      </c>
      <c r="CC259" s="14">
        <f>[1]Sheet2!BG258</f>
        <v>0</v>
      </c>
      <c r="CD259" s="14">
        <f>[1]Sheet2!BH258</f>
        <v>0</v>
      </c>
      <c r="CE259" s="14">
        <f>[1]Sheet2!BI258</f>
        <v>0</v>
      </c>
      <c r="CF259" s="14">
        <f>[1]Sheet2!BJ258</f>
        <v>0</v>
      </c>
      <c r="CG259" s="14">
        <f>[1]Sheet2!BK258</f>
        <v>0</v>
      </c>
      <c r="CH259" s="14">
        <f>[1]Sheet2!BL258</f>
        <v>0</v>
      </c>
      <c r="CI259" s="14">
        <f>[1]Sheet2!BM258</f>
        <v>0</v>
      </c>
      <c r="CJ259" s="14">
        <f>[1]Sheet2!BN258</f>
        <v>0</v>
      </c>
      <c r="CK259" s="14">
        <f>[1]Sheet2!BO258</f>
        <v>0</v>
      </c>
      <c r="CL259" s="14">
        <f>[1]Sheet2!BP258</f>
        <v>0</v>
      </c>
      <c r="CM259" s="16">
        <f>Demand_SW!B$11/30</f>
        <v>144.23076923076923</v>
      </c>
      <c r="CN259" s="16">
        <f>Demand_SW!C$11/30</f>
        <v>0</v>
      </c>
      <c r="CO259" s="16">
        <f>Demand_SW!D$11/30</f>
        <v>0</v>
      </c>
      <c r="CP259" s="16">
        <f>Demand_SW!E$11/30</f>
        <v>0</v>
      </c>
      <c r="CQ259" s="16">
        <f>Demand_SW!F$11/30</f>
        <v>0</v>
      </c>
      <c r="CR259" s="16">
        <f>Demand_SW!G$11/30</f>
        <v>144.23076923076923</v>
      </c>
      <c r="CS259" s="16">
        <f>Demand_SW!H$11/30</f>
        <v>0</v>
      </c>
      <c r="CT259" s="16">
        <f>Demand_SW!I$11/30</f>
        <v>0</v>
      </c>
      <c r="CU259" s="16">
        <f>Demand_SW!J$11/30</f>
        <v>0</v>
      </c>
      <c r="CV259" s="16">
        <f>Demand_SW!K$11/30</f>
        <v>0</v>
      </c>
      <c r="CW259" s="16">
        <f t="shared" si="113"/>
        <v>66404.230769230737</v>
      </c>
      <c r="CX259" s="16">
        <f t="shared" si="114"/>
        <v>20683.923076923078</v>
      </c>
      <c r="CY259" s="16">
        <f t="shared" si="115"/>
        <v>0</v>
      </c>
      <c r="CZ259" s="16">
        <f t="shared" si="116"/>
        <v>0</v>
      </c>
      <c r="DA259" s="16">
        <f t="shared" si="117"/>
        <v>0</v>
      </c>
      <c r="DB259" s="16">
        <f t="shared" si="118"/>
        <v>-33125</v>
      </c>
      <c r="DC259" s="16">
        <f t="shared" si="119"/>
        <v>20683.923076923078</v>
      </c>
      <c r="DD259" s="16">
        <f t="shared" si="120"/>
        <v>0</v>
      </c>
      <c r="DE259" s="16">
        <f t="shared" si="121"/>
        <v>0</v>
      </c>
      <c r="DF259" s="16">
        <f t="shared" si="122"/>
        <v>0</v>
      </c>
      <c r="DG259" s="14">
        <f>IF([1]Sheet2!DR258=999999,"NA",[1]Sheet2!DR258)</f>
        <v>73103</v>
      </c>
      <c r="DH259" s="14">
        <f>IF([1]Sheet2!DS258=999999,"NA",[1]Sheet2!DS258)</f>
        <v>109</v>
      </c>
      <c r="DI259" s="14">
        <f>IF([1]Sheet2!DT258=999999,"NA",[1]Sheet2!DT258)</f>
        <v>109</v>
      </c>
      <c r="DJ259" s="14" t="str">
        <f>IF([1]Sheet2!DU258=999999,"NA",[1]Sheet2!DU258)</f>
        <v>NA</v>
      </c>
      <c r="DK259" s="14" t="str">
        <f>IF([1]Sheet2!DV258=999999,"NA",[1]Sheet2!DV258)</f>
        <v>NA</v>
      </c>
      <c r="DL259" s="14" t="str">
        <f>IF([1]Sheet2!DW258=999999,"NA",[1]Sheet2!DW258)</f>
        <v>NA</v>
      </c>
      <c r="DM259" s="14">
        <f>IF([1]Sheet2!DX258=999999,"NA",[1]Sheet2!DX258)</f>
        <v>109</v>
      </c>
      <c r="DN259" s="14">
        <f>IF([1]Sheet2!DY258=999999,"NA",[1]Sheet2!DY258)</f>
        <v>109</v>
      </c>
      <c r="DO259" s="14" t="str">
        <f>IF([1]Sheet2!DZ258=999999,"NA",[1]Sheet2!DZ258)</f>
        <v>NA</v>
      </c>
      <c r="DP259" s="14" t="str">
        <f>IF([1]Sheet2!EA258=999999,"NA",[1]Sheet2!EA258)</f>
        <v>NA</v>
      </c>
      <c r="DQ259" s="14">
        <f>[1]Sheet2!CX258</f>
        <v>0</v>
      </c>
      <c r="DR259" s="14">
        <f>[1]Sheet2!CY258</f>
        <v>0</v>
      </c>
      <c r="DS259" s="14">
        <f>[1]Sheet2!CZ258</f>
        <v>0</v>
      </c>
      <c r="DT259" s="14">
        <f>[1]Sheet2!DA258</f>
        <v>0</v>
      </c>
      <c r="DU259" s="14">
        <f>[1]Sheet2!DB258</f>
        <v>0</v>
      </c>
      <c r="DV259" s="14">
        <f>[1]Sheet2!DC258</f>
        <v>0</v>
      </c>
      <c r="DW259" s="14">
        <f>[1]Sheet2!DD258</f>
        <v>0</v>
      </c>
      <c r="DX259" s="14">
        <f>[1]Sheet2!DE258</f>
        <v>0</v>
      </c>
      <c r="DY259" s="14">
        <f>[1]Sheet2!DF258</f>
        <v>0</v>
      </c>
      <c r="DZ259" s="14">
        <f>[1]Sheet2!DG258</f>
        <v>0</v>
      </c>
    </row>
    <row r="260" spans="1:130" x14ac:dyDescent="0.25">
      <c r="A260" s="15">
        <v>43722</v>
      </c>
      <c r="B260" s="1"/>
      <c r="C260" s="1"/>
      <c r="D260" s="1"/>
      <c r="E260" s="14">
        <f>[1]Sheet2!N259</f>
        <v>0</v>
      </c>
      <c r="F260" s="14">
        <f>[1]Sheet2!BE259</f>
        <v>0</v>
      </c>
      <c r="G260" s="14">
        <f>[1]Sheet2!CV259</f>
        <v>288.46153846153851</v>
      </c>
      <c r="H260" s="1"/>
      <c r="I260" s="1"/>
      <c r="J260" s="1"/>
      <c r="K260" s="16">
        <f>Demand_CWRS!B$11/30</f>
        <v>118.04546474358973</v>
      </c>
      <c r="L260" s="16">
        <f>Demand_CWRS!C$11/30</f>
        <v>491.39401709401704</v>
      </c>
      <c r="M260" s="16">
        <f>Demand_CWRS!D$11/30</f>
        <v>0</v>
      </c>
      <c r="N260" s="16">
        <f>Demand_CWRS!E$11/30</f>
        <v>107.84935897435898</v>
      </c>
      <c r="O260" s="16">
        <f>Demand_CWRS!F$11/30</f>
        <v>218.22274305555553</v>
      </c>
      <c r="P260" s="16">
        <f>Demand_CWRS!G$11/30</f>
        <v>118.04546474358973</v>
      </c>
      <c r="Q260" s="16">
        <f>Demand_CWRS!H$11/30</f>
        <v>491.39401709401704</v>
      </c>
      <c r="R260" s="16">
        <f>Demand_CWRS!I$11/30</f>
        <v>218.22274305555553</v>
      </c>
      <c r="S260" s="16">
        <f>Demand_CWRS!J$11/30</f>
        <v>218.22274305555553</v>
      </c>
      <c r="T260" s="16">
        <f>Demand_CWRS!K$11/30</f>
        <v>218.22274305555553</v>
      </c>
      <c r="U260" s="16">
        <f t="shared" si="93"/>
        <v>-34087.268716883627</v>
      </c>
      <c r="V260" s="16">
        <f t="shared" si="94"/>
        <v>-121141.34957264923</v>
      </c>
      <c r="W260" s="16">
        <f t="shared" si="95"/>
        <v>0</v>
      </c>
      <c r="X260" s="16">
        <f t="shared" si="96"/>
        <v>-28529.885524180369</v>
      </c>
      <c r="Y260" s="16">
        <f t="shared" si="97"/>
        <v>-55722.642654238363</v>
      </c>
      <c r="Z260" s="16">
        <f t="shared" si="98"/>
        <v>-33690.336192845221</v>
      </c>
      <c r="AA260" s="16">
        <f t="shared" si="99"/>
        <v>-120641.34957264923</v>
      </c>
      <c r="AB260" s="16">
        <f t="shared" si="100"/>
        <v>-53238.79717346908</v>
      </c>
      <c r="AC260" s="16">
        <f t="shared" si="101"/>
        <v>-53238.797173469073</v>
      </c>
      <c r="AD260" s="16">
        <f t="shared" si="102"/>
        <v>-53938.797173469065</v>
      </c>
      <c r="AE260" s="14">
        <f>IF([1]Sheet2!AJ259=999999,"NA",[1]Sheet2!AJ259)</f>
        <v>0</v>
      </c>
      <c r="AF260" s="14">
        <f>IF([1]Sheet2!AK259=999999,"NA",[1]Sheet2!AK259)</f>
        <v>0</v>
      </c>
      <c r="AG260" s="14" t="str">
        <f>IF([1]Sheet2!AL259=999999,"NA",[1]Sheet2!AL259)</f>
        <v>NA</v>
      </c>
      <c r="AH260" s="14">
        <f>IF([1]Sheet2!AM259=999999,"NA",[1]Sheet2!AM259)</f>
        <v>108</v>
      </c>
      <c r="AI260" s="14">
        <f>IF([1]Sheet2!AN259=999999,"NA",[1]Sheet2!AN259)</f>
        <v>108</v>
      </c>
      <c r="AJ260" s="14">
        <f>IF([1]Sheet2!AO259=999999,"NA",[1]Sheet2!AO259)</f>
        <v>108</v>
      </c>
      <c r="AK260" s="14">
        <f>IF([1]Sheet2!AP259=999999,"NA",[1]Sheet2!AP259)</f>
        <v>0</v>
      </c>
      <c r="AL260" s="14">
        <f>IF([1]Sheet2!AQ259=999999,"NA",[1]Sheet2!AQ259)</f>
        <v>3</v>
      </c>
      <c r="AM260" s="14">
        <f>IF([1]Sheet2!AR259=999999,"NA",[1]Sheet2!AR259)</f>
        <v>108</v>
      </c>
      <c r="AN260" s="14">
        <f>IF([1]Sheet2!AS259=999999,"NA",[1]Sheet2!AS259)</f>
        <v>59</v>
      </c>
      <c r="AO260" s="14">
        <f>[1]Sheet2!P259</f>
        <v>0</v>
      </c>
      <c r="AP260" s="14">
        <f>[1]Sheet2!Q259</f>
        <v>0</v>
      </c>
      <c r="AQ260" s="14">
        <f>[1]Sheet2!R259</f>
        <v>0</v>
      </c>
      <c r="AR260" s="14">
        <f>[1]Sheet2!S259</f>
        <v>0</v>
      </c>
      <c r="AS260" s="14">
        <f>[1]Sheet2!T259</f>
        <v>0</v>
      </c>
      <c r="AT260" s="14">
        <f>[1]Sheet2!U259</f>
        <v>0</v>
      </c>
      <c r="AU260" s="14">
        <f>[1]Sheet2!V259</f>
        <v>0</v>
      </c>
      <c r="AV260" s="14">
        <f>[1]Sheet2!W259</f>
        <v>0</v>
      </c>
      <c r="AW260" s="14">
        <f>[1]Sheet2!X259</f>
        <v>0</v>
      </c>
      <c r="AX260" s="14">
        <f>[1]Sheet2!Y259</f>
        <v>0</v>
      </c>
      <c r="AY260" s="16">
        <f>Demand_LP!B$11/30</f>
        <v>902.60591613247857</v>
      </c>
      <c r="AZ260" s="16">
        <f>Demand_LP!C$11/30</f>
        <v>593.76410256410259</v>
      </c>
      <c r="BA260" s="16">
        <f>Demand_LP!D$11/30</f>
        <v>290.27136752136749</v>
      </c>
      <c r="BB260" s="16">
        <f>Demand_LP!E$11/30</f>
        <v>790.42628205128199</v>
      </c>
      <c r="BC260" s="16">
        <f>Demand_LP!F$11/30</f>
        <v>538.46224626068363</v>
      </c>
      <c r="BD260" s="16">
        <f>Demand_LP!G$11/30</f>
        <v>902.60591613247857</v>
      </c>
      <c r="BE260" s="16">
        <f>Demand_LP!H$11/30</f>
        <v>593.76410256410259</v>
      </c>
      <c r="BF260" s="16">
        <f>Demand_LP!I$11/30</f>
        <v>538.46224626068363</v>
      </c>
      <c r="BG260" s="16">
        <f>Demand_LP!J$11/30</f>
        <v>538.46224626068363</v>
      </c>
      <c r="BH260" s="16">
        <f>Demand_LP!K$11/30</f>
        <v>538.46224626068363</v>
      </c>
      <c r="BI260" s="16" t="e">
        <f t="shared" si="103"/>
        <v>#VALUE!</v>
      </c>
      <c r="BJ260" s="16">
        <f t="shared" si="104"/>
        <v>-145598.83846153834</v>
      </c>
      <c r="BK260" s="16">
        <f t="shared" si="105"/>
        <v>-75428.399145299161</v>
      </c>
      <c r="BL260" s="16">
        <f t="shared" si="106"/>
        <v>-192186.64998377088</v>
      </c>
      <c r="BM260" s="16">
        <f t="shared" si="107"/>
        <v>-113460.64155171494</v>
      </c>
      <c r="BN260" s="16">
        <f t="shared" si="108"/>
        <v>-197482.24300751218</v>
      </c>
      <c r="BO260" s="16">
        <f t="shared" si="109"/>
        <v>-147956.41794871812</v>
      </c>
      <c r="BP260" s="16">
        <f t="shared" si="110"/>
        <v>-114572.32547008555</v>
      </c>
      <c r="BQ260" s="16">
        <f t="shared" si="111"/>
        <v>-111562.32547008559</v>
      </c>
      <c r="BR260" s="16">
        <f t="shared" si="112"/>
        <v>-112762.32547008555</v>
      </c>
      <c r="BS260" s="14">
        <f>IF([1]Sheet2!CA259=999999,"NA",[1]Sheet2!CA259)</f>
        <v>103716.67452991461</v>
      </c>
      <c r="BT260" s="14">
        <f>IF([1]Sheet2!CB259=999999,"NA",[1]Sheet2!CB259)</f>
        <v>38</v>
      </c>
      <c r="BU260" s="14">
        <f>IF([1]Sheet2!CC259=999999,"NA",[1]Sheet2!CC259)</f>
        <v>108</v>
      </c>
      <c r="BV260" s="14">
        <f>IF([1]Sheet2!CD259=999999,"NA",[1]Sheet2!CD259)</f>
        <v>108</v>
      </c>
      <c r="BW260" s="14">
        <f>IF([1]Sheet2!CE259=999999,"NA",[1]Sheet2!CE259)</f>
        <v>77</v>
      </c>
      <c r="BX260" s="14">
        <f>IF([1]Sheet2!CF259=999999,"NA",[1]Sheet2!CF259)</f>
        <v>108</v>
      </c>
      <c r="BY260" s="14">
        <f>IF([1]Sheet2!CG259=999999,"NA",[1]Sheet2!CG259)</f>
        <v>9</v>
      </c>
      <c r="BZ260" s="14">
        <f>IF([1]Sheet2!CH259=999999,"NA",[1]Sheet2!CH259)</f>
        <v>108</v>
      </c>
      <c r="CA260" s="14">
        <f>IF([1]Sheet2!CI259=999999,"NA",[1]Sheet2!CI259)</f>
        <v>108</v>
      </c>
      <c r="CB260" s="14">
        <f>IF([1]Sheet2!CJ259=999999,"NA",[1]Sheet2!CJ259)</f>
        <v>108</v>
      </c>
      <c r="CC260" s="14">
        <f>[1]Sheet2!BG259</f>
        <v>0</v>
      </c>
      <c r="CD260" s="14">
        <f>[1]Sheet2!BH259</f>
        <v>0</v>
      </c>
      <c r="CE260" s="14">
        <f>[1]Sheet2!BI259</f>
        <v>0</v>
      </c>
      <c r="CF260" s="14">
        <f>[1]Sheet2!BJ259</f>
        <v>0</v>
      </c>
      <c r="CG260" s="14">
        <f>[1]Sheet2!BK259</f>
        <v>0</v>
      </c>
      <c r="CH260" s="14">
        <f>[1]Sheet2!BL259</f>
        <v>0</v>
      </c>
      <c r="CI260" s="14">
        <f>[1]Sheet2!BM259</f>
        <v>0</v>
      </c>
      <c r="CJ260" s="14">
        <f>[1]Sheet2!BN259</f>
        <v>0</v>
      </c>
      <c r="CK260" s="14">
        <f>[1]Sheet2!BO259</f>
        <v>0</v>
      </c>
      <c r="CL260" s="14">
        <f>[1]Sheet2!BP259</f>
        <v>0</v>
      </c>
      <c r="CM260" s="16">
        <f>Demand_SW!B$11/30</f>
        <v>144.23076923076923</v>
      </c>
      <c r="CN260" s="16">
        <f>Demand_SW!C$11/30</f>
        <v>0</v>
      </c>
      <c r="CO260" s="16">
        <f>Demand_SW!D$11/30</f>
        <v>0</v>
      </c>
      <c r="CP260" s="16">
        <f>Demand_SW!E$11/30</f>
        <v>0</v>
      </c>
      <c r="CQ260" s="16">
        <f>Demand_SW!F$11/30</f>
        <v>0</v>
      </c>
      <c r="CR260" s="16">
        <f>Demand_SW!G$11/30</f>
        <v>144.23076923076923</v>
      </c>
      <c r="CS260" s="16">
        <f>Demand_SW!H$11/30</f>
        <v>0</v>
      </c>
      <c r="CT260" s="16">
        <f>Demand_SW!I$11/30</f>
        <v>0</v>
      </c>
      <c r="CU260" s="16">
        <f>Demand_SW!J$11/30</f>
        <v>0</v>
      </c>
      <c r="CV260" s="16">
        <f>Demand_SW!K$11/30</f>
        <v>0</v>
      </c>
      <c r="CW260" s="16">
        <f t="shared" si="113"/>
        <v>66259.999999999971</v>
      </c>
      <c r="CX260" s="16">
        <f t="shared" si="114"/>
        <v>20683.923076923078</v>
      </c>
      <c r="CY260" s="16">
        <f t="shared" si="115"/>
        <v>0</v>
      </c>
      <c r="CZ260" s="16">
        <f t="shared" si="116"/>
        <v>0</v>
      </c>
      <c r="DA260" s="16">
        <f t="shared" si="117"/>
        <v>0</v>
      </c>
      <c r="DB260" s="16">
        <f t="shared" si="118"/>
        <v>-33269.230769230766</v>
      </c>
      <c r="DC260" s="16">
        <f t="shared" si="119"/>
        <v>20683.923076923078</v>
      </c>
      <c r="DD260" s="16">
        <f t="shared" si="120"/>
        <v>0</v>
      </c>
      <c r="DE260" s="16">
        <f t="shared" si="121"/>
        <v>0</v>
      </c>
      <c r="DF260" s="16">
        <f t="shared" si="122"/>
        <v>0</v>
      </c>
      <c r="DG260" s="14">
        <f>IF([1]Sheet2!DR259=999999,"NA",[1]Sheet2!DR259)</f>
        <v>73103</v>
      </c>
      <c r="DH260" s="14">
        <f>IF([1]Sheet2!DS259=999999,"NA",[1]Sheet2!DS259)</f>
        <v>108</v>
      </c>
      <c r="DI260" s="14">
        <f>IF([1]Sheet2!DT259=999999,"NA",[1]Sheet2!DT259)</f>
        <v>108</v>
      </c>
      <c r="DJ260" s="14" t="str">
        <f>IF([1]Sheet2!DU259=999999,"NA",[1]Sheet2!DU259)</f>
        <v>NA</v>
      </c>
      <c r="DK260" s="14" t="str">
        <f>IF([1]Sheet2!DV259=999999,"NA",[1]Sheet2!DV259)</f>
        <v>NA</v>
      </c>
      <c r="DL260" s="14" t="str">
        <f>IF([1]Sheet2!DW259=999999,"NA",[1]Sheet2!DW259)</f>
        <v>NA</v>
      </c>
      <c r="DM260" s="14">
        <f>IF([1]Sheet2!DX259=999999,"NA",[1]Sheet2!DX259)</f>
        <v>108</v>
      </c>
      <c r="DN260" s="14">
        <f>IF([1]Sheet2!DY259=999999,"NA",[1]Sheet2!DY259)</f>
        <v>108</v>
      </c>
      <c r="DO260" s="14" t="str">
        <f>IF([1]Sheet2!DZ259=999999,"NA",[1]Sheet2!DZ259)</f>
        <v>NA</v>
      </c>
      <c r="DP260" s="14" t="str">
        <f>IF([1]Sheet2!EA259=999999,"NA",[1]Sheet2!EA259)</f>
        <v>NA</v>
      </c>
      <c r="DQ260" s="14">
        <f>[1]Sheet2!CX259</f>
        <v>0</v>
      </c>
      <c r="DR260" s="14">
        <f>[1]Sheet2!CY259</f>
        <v>0</v>
      </c>
      <c r="DS260" s="14">
        <f>[1]Sheet2!CZ259</f>
        <v>0</v>
      </c>
      <c r="DT260" s="14">
        <f>[1]Sheet2!DA259</f>
        <v>0</v>
      </c>
      <c r="DU260" s="14">
        <f>[1]Sheet2!DB259</f>
        <v>0</v>
      </c>
      <c r="DV260" s="14">
        <f>[1]Sheet2!DC259</f>
        <v>0</v>
      </c>
      <c r="DW260" s="14">
        <f>[1]Sheet2!DD259</f>
        <v>0</v>
      </c>
      <c r="DX260" s="14">
        <f>[1]Sheet2!DE259</f>
        <v>0</v>
      </c>
      <c r="DY260" s="14">
        <f>[1]Sheet2!DF259</f>
        <v>0</v>
      </c>
      <c r="DZ260" s="14">
        <f>[1]Sheet2!DG259</f>
        <v>0</v>
      </c>
    </row>
    <row r="261" spans="1:130" x14ac:dyDescent="0.25">
      <c r="A261" s="15">
        <v>43723</v>
      </c>
      <c r="B261" s="1"/>
      <c r="C261" s="1"/>
      <c r="D261" s="1"/>
      <c r="E261" s="14">
        <f>[1]Sheet2!N260</f>
        <v>0</v>
      </c>
      <c r="F261" s="14">
        <f>[1]Sheet2!BE260</f>
        <v>0</v>
      </c>
      <c r="G261" s="14">
        <f>[1]Sheet2!CV260</f>
        <v>288.46153846153851</v>
      </c>
      <c r="H261" s="1"/>
      <c r="I261" s="1"/>
      <c r="J261" s="1"/>
      <c r="K261" s="16">
        <f>Demand_CWRS!B$11/30</f>
        <v>118.04546474358973</v>
      </c>
      <c r="L261" s="16">
        <f>Demand_CWRS!C$11/30</f>
        <v>491.39401709401704</v>
      </c>
      <c r="M261" s="16">
        <f>Demand_CWRS!D$11/30</f>
        <v>0</v>
      </c>
      <c r="N261" s="16">
        <f>Demand_CWRS!E$11/30</f>
        <v>107.84935897435898</v>
      </c>
      <c r="O261" s="16">
        <f>Demand_CWRS!F$11/30</f>
        <v>218.22274305555553</v>
      </c>
      <c r="P261" s="16">
        <f>Demand_CWRS!G$11/30</f>
        <v>118.04546474358973</v>
      </c>
      <c r="Q261" s="16">
        <f>Demand_CWRS!H$11/30</f>
        <v>491.39401709401704</v>
      </c>
      <c r="R261" s="16">
        <f>Demand_CWRS!I$11/30</f>
        <v>218.22274305555553</v>
      </c>
      <c r="S261" s="16">
        <f>Demand_CWRS!J$11/30</f>
        <v>218.22274305555553</v>
      </c>
      <c r="T261" s="16">
        <f>Demand_CWRS!K$11/30</f>
        <v>218.22274305555553</v>
      </c>
      <c r="U261" s="16">
        <f t="shared" ref="U261:U324" si="123">U260-K261+AO261</f>
        <v>-34205.314181627218</v>
      </c>
      <c r="V261" s="16">
        <f t="shared" ref="V261:V324" si="124">V260-L261+AP261</f>
        <v>-121632.74358974324</v>
      </c>
      <c r="W261" s="16">
        <f t="shared" ref="W261:W324" si="125">W260-M261+AQ261</f>
        <v>0</v>
      </c>
      <c r="X261" s="16">
        <f t="shared" ref="X261:X324" si="126">X260-N261+AR261</f>
        <v>-28637.734883154728</v>
      </c>
      <c r="Y261" s="16">
        <f t="shared" ref="Y261:Y324" si="127">Y260-O261+AS261</f>
        <v>-55940.865397293921</v>
      </c>
      <c r="Z261" s="16">
        <f t="shared" ref="Z261:Z324" si="128">Z260-P261+AT261</f>
        <v>-33808.381657588812</v>
      </c>
      <c r="AA261" s="16">
        <f t="shared" ref="AA261:AA324" si="129">AA260-Q261+AU261</f>
        <v>-121132.74358974324</v>
      </c>
      <c r="AB261" s="16">
        <f t="shared" ref="AB261:AB324" si="130">AB260-R261+AV261</f>
        <v>-53457.019916524638</v>
      </c>
      <c r="AC261" s="16">
        <f t="shared" ref="AC261:AC324" si="131">AC260-S261+AW261</f>
        <v>-53457.01991652463</v>
      </c>
      <c r="AD261" s="16">
        <f t="shared" ref="AD261:AD324" si="132">AD260-T261+AX261</f>
        <v>-54157.019916524623</v>
      </c>
      <c r="AE261" s="14">
        <f>IF([1]Sheet2!AJ260=999999,"NA",[1]Sheet2!AJ260)</f>
        <v>0</v>
      </c>
      <c r="AF261" s="14">
        <f>IF([1]Sheet2!AK260=999999,"NA",[1]Sheet2!AK260)</f>
        <v>0</v>
      </c>
      <c r="AG261" s="14" t="str">
        <f>IF([1]Sheet2!AL260=999999,"NA",[1]Sheet2!AL260)</f>
        <v>NA</v>
      </c>
      <c r="AH261" s="14">
        <f>IF([1]Sheet2!AM260=999999,"NA",[1]Sheet2!AM260)</f>
        <v>107</v>
      </c>
      <c r="AI261" s="14">
        <f>IF([1]Sheet2!AN260=999999,"NA",[1]Sheet2!AN260)</f>
        <v>107</v>
      </c>
      <c r="AJ261" s="14">
        <f>IF([1]Sheet2!AO260=999999,"NA",[1]Sheet2!AO260)</f>
        <v>107</v>
      </c>
      <c r="AK261" s="14">
        <f>IF([1]Sheet2!AP260=999999,"NA",[1]Sheet2!AP260)</f>
        <v>0</v>
      </c>
      <c r="AL261" s="14">
        <f>IF([1]Sheet2!AQ260=999999,"NA",[1]Sheet2!AQ260)</f>
        <v>2</v>
      </c>
      <c r="AM261" s="14">
        <f>IF([1]Sheet2!AR260=999999,"NA",[1]Sheet2!AR260)</f>
        <v>107</v>
      </c>
      <c r="AN261" s="14">
        <f>IF([1]Sheet2!AS260=999999,"NA",[1]Sheet2!AS260)</f>
        <v>58</v>
      </c>
      <c r="AO261" s="14">
        <f>[1]Sheet2!P260</f>
        <v>0</v>
      </c>
      <c r="AP261" s="14">
        <f>[1]Sheet2!Q260</f>
        <v>0</v>
      </c>
      <c r="AQ261" s="14">
        <f>[1]Sheet2!R260</f>
        <v>0</v>
      </c>
      <c r="AR261" s="14">
        <f>[1]Sheet2!S260</f>
        <v>0</v>
      </c>
      <c r="AS261" s="14">
        <f>[1]Sheet2!T260</f>
        <v>0</v>
      </c>
      <c r="AT261" s="14">
        <f>[1]Sheet2!U260</f>
        <v>0</v>
      </c>
      <c r="AU261" s="14">
        <f>[1]Sheet2!V260</f>
        <v>0</v>
      </c>
      <c r="AV261" s="14">
        <f>[1]Sheet2!W260</f>
        <v>0</v>
      </c>
      <c r="AW261" s="14">
        <f>[1]Sheet2!X260</f>
        <v>0</v>
      </c>
      <c r="AX261" s="14">
        <f>[1]Sheet2!Y260</f>
        <v>0</v>
      </c>
      <c r="AY261" s="16">
        <f>Demand_LP!B$11/30</f>
        <v>902.60591613247857</v>
      </c>
      <c r="AZ261" s="16">
        <f>Demand_LP!C$11/30</f>
        <v>593.76410256410259</v>
      </c>
      <c r="BA261" s="16">
        <f>Demand_LP!D$11/30</f>
        <v>290.27136752136749</v>
      </c>
      <c r="BB261" s="16">
        <f>Demand_LP!E$11/30</f>
        <v>790.42628205128199</v>
      </c>
      <c r="BC261" s="16">
        <f>Demand_LP!F$11/30</f>
        <v>538.46224626068363</v>
      </c>
      <c r="BD261" s="16">
        <f>Demand_LP!G$11/30</f>
        <v>902.60591613247857</v>
      </c>
      <c r="BE261" s="16">
        <f>Demand_LP!H$11/30</f>
        <v>593.76410256410259</v>
      </c>
      <c r="BF261" s="16">
        <f>Demand_LP!I$11/30</f>
        <v>538.46224626068363</v>
      </c>
      <c r="BG261" s="16">
        <f>Demand_LP!J$11/30</f>
        <v>538.46224626068363</v>
      </c>
      <c r="BH261" s="16">
        <f>Demand_LP!K$11/30</f>
        <v>538.46224626068363</v>
      </c>
      <c r="BI261" s="16" t="e">
        <f t="shared" ref="BI261:BI324" si="133">BI260-AY261+CC261</f>
        <v>#VALUE!</v>
      </c>
      <c r="BJ261" s="16">
        <f t="shared" ref="BJ261:BJ324" si="134">BJ260-AZ261+CD261</f>
        <v>-146192.60256410245</v>
      </c>
      <c r="BK261" s="16">
        <f t="shared" ref="BK261:BK324" si="135">BK260-BA261+CE261</f>
        <v>-75718.670512820536</v>
      </c>
      <c r="BL261" s="16">
        <f t="shared" ref="BL261:BL324" si="136">BL260-BB261+CF261</f>
        <v>-192977.07626582216</v>
      </c>
      <c r="BM261" s="16">
        <f t="shared" ref="BM261:BM324" si="137">BM260-BC261+CG261</f>
        <v>-113999.10379797562</v>
      </c>
      <c r="BN261" s="16">
        <f t="shared" ref="BN261:BN324" si="138">BN260-BD261+CH261</f>
        <v>-198384.84892364466</v>
      </c>
      <c r="BO261" s="16">
        <f t="shared" ref="BO261:BO324" si="139">BO260-BE261+CI261</f>
        <v>-148550.18205128223</v>
      </c>
      <c r="BP261" s="16">
        <f t="shared" ref="BP261:BP324" si="140">BP260-BF261+CJ261</f>
        <v>-115110.78771634623</v>
      </c>
      <c r="BQ261" s="16">
        <f t="shared" ref="BQ261:BQ324" si="141">BQ260-BG261+CK261</f>
        <v>-112100.78771634627</v>
      </c>
      <c r="BR261" s="16">
        <f t="shared" ref="BR261:BR324" si="142">BR260-BH261+CL261</f>
        <v>-113300.78771634623</v>
      </c>
      <c r="BS261" s="14">
        <f>IF([1]Sheet2!CA260=999999,"NA",[1]Sheet2!CA260)</f>
        <v>103178.21228365393</v>
      </c>
      <c r="BT261" s="14">
        <f>IF([1]Sheet2!CB260=999999,"NA",[1]Sheet2!CB260)</f>
        <v>37</v>
      </c>
      <c r="BU261" s="14">
        <f>IF([1]Sheet2!CC260=999999,"NA",[1]Sheet2!CC260)</f>
        <v>107</v>
      </c>
      <c r="BV261" s="14">
        <f>IF([1]Sheet2!CD260=999999,"NA",[1]Sheet2!CD260)</f>
        <v>107</v>
      </c>
      <c r="BW261" s="14">
        <f>IF([1]Sheet2!CE260=999999,"NA",[1]Sheet2!CE260)</f>
        <v>76</v>
      </c>
      <c r="BX261" s="14">
        <f>IF([1]Sheet2!CF260=999999,"NA",[1]Sheet2!CF260)</f>
        <v>107</v>
      </c>
      <c r="BY261" s="14">
        <f>IF([1]Sheet2!CG260=999999,"NA",[1]Sheet2!CG260)</f>
        <v>8</v>
      </c>
      <c r="BZ261" s="14">
        <f>IF([1]Sheet2!CH260=999999,"NA",[1]Sheet2!CH260)</f>
        <v>107</v>
      </c>
      <c r="CA261" s="14">
        <f>IF([1]Sheet2!CI260=999999,"NA",[1]Sheet2!CI260)</f>
        <v>107</v>
      </c>
      <c r="CB261" s="14">
        <f>IF([1]Sheet2!CJ260=999999,"NA",[1]Sheet2!CJ260)</f>
        <v>107</v>
      </c>
      <c r="CC261" s="14">
        <f>[1]Sheet2!BG260</f>
        <v>0</v>
      </c>
      <c r="CD261" s="14">
        <f>[1]Sheet2!BH260</f>
        <v>0</v>
      </c>
      <c r="CE261" s="14">
        <f>[1]Sheet2!BI260</f>
        <v>0</v>
      </c>
      <c r="CF261" s="14">
        <f>[1]Sheet2!BJ260</f>
        <v>0</v>
      </c>
      <c r="CG261" s="14">
        <f>[1]Sheet2!BK260</f>
        <v>0</v>
      </c>
      <c r="CH261" s="14">
        <f>[1]Sheet2!BL260</f>
        <v>0</v>
      </c>
      <c r="CI261" s="14">
        <f>[1]Sheet2!BM260</f>
        <v>0</v>
      </c>
      <c r="CJ261" s="14">
        <f>[1]Sheet2!BN260</f>
        <v>0</v>
      </c>
      <c r="CK261" s="14">
        <f>[1]Sheet2!BO260</f>
        <v>0</v>
      </c>
      <c r="CL261" s="14">
        <f>[1]Sheet2!BP260</f>
        <v>0</v>
      </c>
      <c r="CM261" s="16">
        <f>Demand_SW!B$11/30</f>
        <v>144.23076923076923</v>
      </c>
      <c r="CN261" s="16">
        <f>Demand_SW!C$11/30</f>
        <v>0</v>
      </c>
      <c r="CO261" s="16">
        <f>Demand_SW!D$11/30</f>
        <v>0</v>
      </c>
      <c r="CP261" s="16">
        <f>Demand_SW!E$11/30</f>
        <v>0</v>
      </c>
      <c r="CQ261" s="16">
        <f>Demand_SW!F$11/30</f>
        <v>0</v>
      </c>
      <c r="CR261" s="16">
        <f>Demand_SW!G$11/30</f>
        <v>144.23076923076923</v>
      </c>
      <c r="CS261" s="16">
        <f>Demand_SW!H$11/30</f>
        <v>0</v>
      </c>
      <c r="CT261" s="16">
        <f>Demand_SW!I$11/30</f>
        <v>0</v>
      </c>
      <c r="CU261" s="16">
        <f>Demand_SW!J$11/30</f>
        <v>0</v>
      </c>
      <c r="CV261" s="16">
        <f>Demand_SW!K$11/30</f>
        <v>0</v>
      </c>
      <c r="CW261" s="16">
        <f t="shared" ref="CW261:CW324" si="143">CW260-CM261+DQ261</f>
        <v>66115.769230769205</v>
      </c>
      <c r="CX261" s="16">
        <f t="shared" ref="CX261:CX324" si="144">CX260-CN261+DR261</f>
        <v>20683.923076923078</v>
      </c>
      <c r="CY261" s="16">
        <f t="shared" ref="CY261:CY324" si="145">CY260-CO261+DS261</f>
        <v>0</v>
      </c>
      <c r="CZ261" s="16">
        <f t="shared" ref="CZ261:CZ324" si="146">CZ260-CP261+DT261</f>
        <v>0</v>
      </c>
      <c r="DA261" s="16">
        <f t="shared" ref="DA261:DA324" si="147">DA260-CQ261+DU261</f>
        <v>0</v>
      </c>
      <c r="DB261" s="16">
        <f t="shared" ref="DB261:DB324" si="148">DB260-CR261+DV261</f>
        <v>-33413.461538461532</v>
      </c>
      <c r="DC261" s="16">
        <f t="shared" ref="DC261:DC324" si="149">DC260-CS261+DW261</f>
        <v>20683.923076923078</v>
      </c>
      <c r="DD261" s="16">
        <f t="shared" ref="DD261:DD324" si="150">DD260-CT261+DX261</f>
        <v>0</v>
      </c>
      <c r="DE261" s="16">
        <f t="shared" ref="DE261:DE324" si="151">DE260-CU261+DY261</f>
        <v>0</v>
      </c>
      <c r="DF261" s="16">
        <f t="shared" ref="DF261:DF324" si="152">DF260-CV261+DZ261</f>
        <v>0</v>
      </c>
      <c r="DG261" s="14">
        <f>IF([1]Sheet2!DR260=999999,"NA",[1]Sheet2!DR260)</f>
        <v>73103</v>
      </c>
      <c r="DH261" s="14">
        <f>IF([1]Sheet2!DS260=999999,"NA",[1]Sheet2!DS260)</f>
        <v>107</v>
      </c>
      <c r="DI261" s="14">
        <f>IF([1]Sheet2!DT260=999999,"NA",[1]Sheet2!DT260)</f>
        <v>107</v>
      </c>
      <c r="DJ261" s="14" t="str">
        <f>IF([1]Sheet2!DU260=999999,"NA",[1]Sheet2!DU260)</f>
        <v>NA</v>
      </c>
      <c r="DK261" s="14" t="str">
        <f>IF([1]Sheet2!DV260=999999,"NA",[1]Sheet2!DV260)</f>
        <v>NA</v>
      </c>
      <c r="DL261" s="14" t="str">
        <f>IF([1]Sheet2!DW260=999999,"NA",[1]Sheet2!DW260)</f>
        <v>NA</v>
      </c>
      <c r="DM261" s="14">
        <f>IF([1]Sheet2!DX260=999999,"NA",[1]Sheet2!DX260)</f>
        <v>107</v>
      </c>
      <c r="DN261" s="14">
        <f>IF([1]Sheet2!DY260=999999,"NA",[1]Sheet2!DY260)</f>
        <v>107</v>
      </c>
      <c r="DO261" s="14" t="str">
        <f>IF([1]Sheet2!DZ260=999999,"NA",[1]Sheet2!DZ260)</f>
        <v>NA</v>
      </c>
      <c r="DP261" s="14" t="str">
        <f>IF([1]Sheet2!EA260=999999,"NA",[1]Sheet2!EA260)</f>
        <v>NA</v>
      </c>
      <c r="DQ261" s="14">
        <f>[1]Sheet2!CX260</f>
        <v>0</v>
      </c>
      <c r="DR261" s="14">
        <f>[1]Sheet2!CY260</f>
        <v>0</v>
      </c>
      <c r="DS261" s="14">
        <f>[1]Sheet2!CZ260</f>
        <v>0</v>
      </c>
      <c r="DT261" s="14">
        <f>[1]Sheet2!DA260</f>
        <v>0</v>
      </c>
      <c r="DU261" s="14">
        <f>[1]Sheet2!DB260</f>
        <v>0</v>
      </c>
      <c r="DV261" s="14">
        <f>[1]Sheet2!DC260</f>
        <v>0</v>
      </c>
      <c r="DW261" s="14">
        <f>[1]Sheet2!DD260</f>
        <v>0</v>
      </c>
      <c r="DX261" s="14">
        <f>[1]Sheet2!DE260</f>
        <v>0</v>
      </c>
      <c r="DY261" s="14">
        <f>[1]Sheet2!DF260</f>
        <v>0</v>
      </c>
      <c r="DZ261" s="14">
        <f>[1]Sheet2!DG260</f>
        <v>0</v>
      </c>
    </row>
    <row r="262" spans="1:130" x14ac:dyDescent="0.25">
      <c r="A262" s="15">
        <v>43724</v>
      </c>
      <c r="B262" s="1"/>
      <c r="C262" s="1"/>
      <c r="D262" s="1"/>
      <c r="E262" s="14">
        <f>[1]Sheet2!N261</f>
        <v>0</v>
      </c>
      <c r="F262" s="14">
        <f>[1]Sheet2!BE261</f>
        <v>0</v>
      </c>
      <c r="G262" s="14">
        <f>[1]Sheet2!CV261</f>
        <v>288.46153846153851</v>
      </c>
      <c r="H262" s="1"/>
      <c r="I262" s="1"/>
      <c r="J262" s="1"/>
      <c r="K262" s="16">
        <f>Demand_CWRS!B$11/30</f>
        <v>118.04546474358973</v>
      </c>
      <c r="L262" s="16">
        <f>Demand_CWRS!C$11/30</f>
        <v>491.39401709401704</v>
      </c>
      <c r="M262" s="16">
        <f>Demand_CWRS!D$11/30</f>
        <v>0</v>
      </c>
      <c r="N262" s="16">
        <f>Demand_CWRS!E$11/30</f>
        <v>107.84935897435898</v>
      </c>
      <c r="O262" s="16">
        <f>Demand_CWRS!F$11/30</f>
        <v>218.22274305555553</v>
      </c>
      <c r="P262" s="16">
        <f>Demand_CWRS!G$11/30</f>
        <v>118.04546474358973</v>
      </c>
      <c r="Q262" s="16">
        <f>Demand_CWRS!H$11/30</f>
        <v>491.39401709401704</v>
      </c>
      <c r="R262" s="16">
        <f>Demand_CWRS!I$11/30</f>
        <v>218.22274305555553</v>
      </c>
      <c r="S262" s="16">
        <f>Demand_CWRS!J$11/30</f>
        <v>218.22274305555553</v>
      </c>
      <c r="T262" s="16">
        <f>Demand_CWRS!K$11/30</f>
        <v>218.22274305555553</v>
      </c>
      <c r="U262" s="16">
        <f t="shared" si="123"/>
        <v>-34323.359646370809</v>
      </c>
      <c r="V262" s="16">
        <f t="shared" si="124"/>
        <v>-122124.13760683726</v>
      </c>
      <c r="W262" s="16">
        <f t="shared" si="125"/>
        <v>0</v>
      </c>
      <c r="X262" s="16">
        <f t="shared" si="126"/>
        <v>-28745.584242129087</v>
      </c>
      <c r="Y262" s="16">
        <f t="shared" si="127"/>
        <v>-56159.088140349479</v>
      </c>
      <c r="Z262" s="16">
        <f t="shared" si="128"/>
        <v>-33926.427122332403</v>
      </c>
      <c r="AA262" s="16">
        <f t="shared" si="129"/>
        <v>-121624.13760683726</v>
      </c>
      <c r="AB262" s="16">
        <f t="shared" si="130"/>
        <v>-53675.242659580195</v>
      </c>
      <c r="AC262" s="16">
        <f t="shared" si="131"/>
        <v>-53675.242659580188</v>
      </c>
      <c r="AD262" s="16">
        <f t="shared" si="132"/>
        <v>-54375.242659580181</v>
      </c>
      <c r="AE262" s="14">
        <f>IF([1]Sheet2!AJ261=999999,"NA",[1]Sheet2!AJ261)</f>
        <v>0</v>
      </c>
      <c r="AF262" s="14">
        <f>IF([1]Sheet2!AK261=999999,"NA",[1]Sheet2!AK261)</f>
        <v>0</v>
      </c>
      <c r="AG262" s="14" t="str">
        <f>IF([1]Sheet2!AL261=999999,"NA",[1]Sheet2!AL261)</f>
        <v>NA</v>
      </c>
      <c r="AH262" s="14">
        <f>IF([1]Sheet2!AM261=999999,"NA",[1]Sheet2!AM261)</f>
        <v>106</v>
      </c>
      <c r="AI262" s="14">
        <f>IF([1]Sheet2!AN261=999999,"NA",[1]Sheet2!AN261)</f>
        <v>106</v>
      </c>
      <c r="AJ262" s="14">
        <f>IF([1]Sheet2!AO261=999999,"NA",[1]Sheet2!AO261)</f>
        <v>106</v>
      </c>
      <c r="AK262" s="14">
        <f>IF([1]Sheet2!AP261=999999,"NA",[1]Sheet2!AP261)</f>
        <v>0</v>
      </c>
      <c r="AL262" s="14">
        <f>IF([1]Sheet2!AQ261=999999,"NA",[1]Sheet2!AQ261)</f>
        <v>1</v>
      </c>
      <c r="AM262" s="14">
        <f>IF([1]Sheet2!AR261=999999,"NA",[1]Sheet2!AR261)</f>
        <v>106</v>
      </c>
      <c r="AN262" s="14">
        <f>IF([1]Sheet2!AS261=999999,"NA",[1]Sheet2!AS261)</f>
        <v>57</v>
      </c>
      <c r="AO262" s="14">
        <f>[1]Sheet2!P261</f>
        <v>0</v>
      </c>
      <c r="AP262" s="14">
        <f>[1]Sheet2!Q261</f>
        <v>0</v>
      </c>
      <c r="AQ262" s="14">
        <f>[1]Sheet2!R261</f>
        <v>0</v>
      </c>
      <c r="AR262" s="14">
        <f>[1]Sheet2!S261</f>
        <v>0</v>
      </c>
      <c r="AS262" s="14">
        <f>[1]Sheet2!T261</f>
        <v>0</v>
      </c>
      <c r="AT262" s="14">
        <f>[1]Sheet2!U261</f>
        <v>0</v>
      </c>
      <c r="AU262" s="14">
        <f>[1]Sheet2!V261</f>
        <v>0</v>
      </c>
      <c r="AV262" s="14">
        <f>[1]Sheet2!W261</f>
        <v>0</v>
      </c>
      <c r="AW262" s="14">
        <f>[1]Sheet2!X261</f>
        <v>0</v>
      </c>
      <c r="AX262" s="14">
        <f>[1]Sheet2!Y261</f>
        <v>0</v>
      </c>
      <c r="AY262" s="16">
        <f>Demand_LP!B$11/30</f>
        <v>902.60591613247857</v>
      </c>
      <c r="AZ262" s="16">
        <f>Demand_LP!C$11/30</f>
        <v>593.76410256410259</v>
      </c>
      <c r="BA262" s="16">
        <f>Demand_LP!D$11/30</f>
        <v>290.27136752136749</v>
      </c>
      <c r="BB262" s="16">
        <f>Demand_LP!E$11/30</f>
        <v>790.42628205128199</v>
      </c>
      <c r="BC262" s="16">
        <f>Demand_LP!F$11/30</f>
        <v>538.46224626068363</v>
      </c>
      <c r="BD262" s="16">
        <f>Demand_LP!G$11/30</f>
        <v>902.60591613247857</v>
      </c>
      <c r="BE262" s="16">
        <f>Demand_LP!H$11/30</f>
        <v>593.76410256410259</v>
      </c>
      <c r="BF262" s="16">
        <f>Demand_LP!I$11/30</f>
        <v>538.46224626068363</v>
      </c>
      <c r="BG262" s="16">
        <f>Demand_LP!J$11/30</f>
        <v>538.46224626068363</v>
      </c>
      <c r="BH262" s="16">
        <f>Demand_LP!K$11/30</f>
        <v>538.46224626068363</v>
      </c>
      <c r="BI262" s="16" t="e">
        <f t="shared" si="133"/>
        <v>#VALUE!</v>
      </c>
      <c r="BJ262" s="16">
        <f t="shared" si="134"/>
        <v>-146786.36666666655</v>
      </c>
      <c r="BK262" s="16">
        <f t="shared" si="135"/>
        <v>-76008.94188034191</v>
      </c>
      <c r="BL262" s="16">
        <f t="shared" si="136"/>
        <v>-193767.50254787345</v>
      </c>
      <c r="BM262" s="16">
        <f t="shared" si="137"/>
        <v>-114537.5660442363</v>
      </c>
      <c r="BN262" s="16">
        <f t="shared" si="138"/>
        <v>-199287.45483977714</v>
      </c>
      <c r="BO262" s="16">
        <f t="shared" si="139"/>
        <v>-149143.94615384634</v>
      </c>
      <c r="BP262" s="16">
        <f t="shared" si="140"/>
        <v>-115649.2499626069</v>
      </c>
      <c r="BQ262" s="16">
        <f t="shared" si="141"/>
        <v>-112639.24996260695</v>
      </c>
      <c r="BR262" s="16">
        <f t="shared" si="142"/>
        <v>-113839.2499626069</v>
      </c>
      <c r="BS262" s="14">
        <f>IF([1]Sheet2!CA261=999999,"NA",[1]Sheet2!CA261)</f>
        <v>102639.75003739326</v>
      </c>
      <c r="BT262" s="14">
        <f>IF([1]Sheet2!CB261=999999,"NA",[1]Sheet2!CB261)</f>
        <v>36</v>
      </c>
      <c r="BU262" s="14">
        <f>IF([1]Sheet2!CC261=999999,"NA",[1]Sheet2!CC261)</f>
        <v>106</v>
      </c>
      <c r="BV262" s="14">
        <f>IF([1]Sheet2!CD261=999999,"NA",[1]Sheet2!CD261)</f>
        <v>106</v>
      </c>
      <c r="BW262" s="14">
        <f>IF([1]Sheet2!CE261=999999,"NA",[1]Sheet2!CE261)</f>
        <v>75</v>
      </c>
      <c r="BX262" s="14">
        <f>IF([1]Sheet2!CF261=999999,"NA",[1]Sheet2!CF261)</f>
        <v>106</v>
      </c>
      <c r="BY262" s="14">
        <f>IF([1]Sheet2!CG261=999999,"NA",[1]Sheet2!CG261)</f>
        <v>7</v>
      </c>
      <c r="BZ262" s="14">
        <f>IF([1]Sheet2!CH261=999999,"NA",[1]Sheet2!CH261)</f>
        <v>106</v>
      </c>
      <c r="CA262" s="14">
        <f>IF([1]Sheet2!CI261=999999,"NA",[1]Sheet2!CI261)</f>
        <v>106</v>
      </c>
      <c r="CB262" s="14">
        <f>IF([1]Sheet2!CJ261=999999,"NA",[1]Sheet2!CJ261)</f>
        <v>106</v>
      </c>
      <c r="CC262" s="14">
        <f>[1]Sheet2!BG261</f>
        <v>0</v>
      </c>
      <c r="CD262" s="14">
        <f>[1]Sheet2!BH261</f>
        <v>0</v>
      </c>
      <c r="CE262" s="14">
        <f>[1]Sheet2!BI261</f>
        <v>0</v>
      </c>
      <c r="CF262" s="14">
        <f>[1]Sheet2!BJ261</f>
        <v>0</v>
      </c>
      <c r="CG262" s="14">
        <f>[1]Sheet2!BK261</f>
        <v>0</v>
      </c>
      <c r="CH262" s="14">
        <f>[1]Sheet2!BL261</f>
        <v>0</v>
      </c>
      <c r="CI262" s="14">
        <f>[1]Sheet2!BM261</f>
        <v>0</v>
      </c>
      <c r="CJ262" s="14">
        <f>[1]Sheet2!BN261</f>
        <v>0</v>
      </c>
      <c r="CK262" s="14">
        <f>[1]Sheet2!BO261</f>
        <v>0</v>
      </c>
      <c r="CL262" s="14">
        <f>[1]Sheet2!BP261</f>
        <v>0</v>
      </c>
      <c r="CM262" s="16">
        <f>Demand_SW!B$11/30</f>
        <v>144.23076923076923</v>
      </c>
      <c r="CN262" s="16">
        <f>Demand_SW!C$11/30</f>
        <v>0</v>
      </c>
      <c r="CO262" s="16">
        <f>Demand_SW!D$11/30</f>
        <v>0</v>
      </c>
      <c r="CP262" s="16">
        <f>Demand_SW!E$11/30</f>
        <v>0</v>
      </c>
      <c r="CQ262" s="16">
        <f>Demand_SW!F$11/30</f>
        <v>0</v>
      </c>
      <c r="CR262" s="16">
        <f>Demand_SW!G$11/30</f>
        <v>144.23076923076923</v>
      </c>
      <c r="CS262" s="16">
        <f>Demand_SW!H$11/30</f>
        <v>0</v>
      </c>
      <c r="CT262" s="16">
        <f>Demand_SW!I$11/30</f>
        <v>0</v>
      </c>
      <c r="CU262" s="16">
        <f>Demand_SW!J$11/30</f>
        <v>0</v>
      </c>
      <c r="CV262" s="16">
        <f>Demand_SW!K$11/30</f>
        <v>0</v>
      </c>
      <c r="CW262" s="16">
        <f t="shared" si="143"/>
        <v>65971.538461538439</v>
      </c>
      <c r="CX262" s="16">
        <f t="shared" si="144"/>
        <v>20683.923076923078</v>
      </c>
      <c r="CY262" s="16">
        <f t="shared" si="145"/>
        <v>0</v>
      </c>
      <c r="CZ262" s="16">
        <f t="shared" si="146"/>
        <v>0</v>
      </c>
      <c r="DA262" s="16">
        <f t="shared" si="147"/>
        <v>0</v>
      </c>
      <c r="DB262" s="16">
        <f t="shared" si="148"/>
        <v>-33557.692307692298</v>
      </c>
      <c r="DC262" s="16">
        <f t="shared" si="149"/>
        <v>20683.923076923078</v>
      </c>
      <c r="DD262" s="16">
        <f t="shared" si="150"/>
        <v>0</v>
      </c>
      <c r="DE262" s="16">
        <f t="shared" si="151"/>
        <v>0</v>
      </c>
      <c r="DF262" s="16">
        <f t="shared" si="152"/>
        <v>0</v>
      </c>
      <c r="DG262" s="14">
        <f>IF([1]Sheet2!DR261=999999,"NA",[1]Sheet2!DR261)</f>
        <v>73103</v>
      </c>
      <c r="DH262" s="14">
        <f>IF([1]Sheet2!DS261=999999,"NA",[1]Sheet2!DS261)</f>
        <v>106</v>
      </c>
      <c r="DI262" s="14">
        <f>IF([1]Sheet2!DT261=999999,"NA",[1]Sheet2!DT261)</f>
        <v>106</v>
      </c>
      <c r="DJ262" s="14" t="str">
        <f>IF([1]Sheet2!DU261=999999,"NA",[1]Sheet2!DU261)</f>
        <v>NA</v>
      </c>
      <c r="DK262" s="14" t="str">
        <f>IF([1]Sheet2!DV261=999999,"NA",[1]Sheet2!DV261)</f>
        <v>NA</v>
      </c>
      <c r="DL262" s="14" t="str">
        <f>IF([1]Sheet2!DW261=999999,"NA",[1]Sheet2!DW261)</f>
        <v>NA</v>
      </c>
      <c r="DM262" s="14">
        <f>IF([1]Sheet2!DX261=999999,"NA",[1]Sheet2!DX261)</f>
        <v>106</v>
      </c>
      <c r="DN262" s="14">
        <f>IF([1]Sheet2!DY261=999999,"NA",[1]Sheet2!DY261)</f>
        <v>106</v>
      </c>
      <c r="DO262" s="14" t="str">
        <f>IF([1]Sheet2!DZ261=999999,"NA",[1]Sheet2!DZ261)</f>
        <v>NA</v>
      </c>
      <c r="DP262" s="14" t="str">
        <f>IF([1]Sheet2!EA261=999999,"NA",[1]Sheet2!EA261)</f>
        <v>NA</v>
      </c>
      <c r="DQ262" s="14">
        <f>[1]Sheet2!CX261</f>
        <v>0</v>
      </c>
      <c r="DR262" s="14">
        <f>[1]Sheet2!CY261</f>
        <v>0</v>
      </c>
      <c r="DS262" s="14">
        <f>[1]Sheet2!CZ261</f>
        <v>0</v>
      </c>
      <c r="DT262" s="14">
        <f>[1]Sheet2!DA261</f>
        <v>0</v>
      </c>
      <c r="DU262" s="14">
        <f>[1]Sheet2!DB261</f>
        <v>0</v>
      </c>
      <c r="DV262" s="14">
        <f>[1]Sheet2!DC261</f>
        <v>0</v>
      </c>
      <c r="DW262" s="14">
        <f>[1]Sheet2!DD261</f>
        <v>0</v>
      </c>
      <c r="DX262" s="14">
        <f>[1]Sheet2!DE261</f>
        <v>0</v>
      </c>
      <c r="DY262" s="14">
        <f>[1]Sheet2!DF261</f>
        <v>0</v>
      </c>
      <c r="DZ262" s="14">
        <f>[1]Sheet2!DG261</f>
        <v>0</v>
      </c>
    </row>
    <row r="263" spans="1:130" x14ac:dyDescent="0.25">
      <c r="A263" s="15">
        <v>43725</v>
      </c>
      <c r="B263" s="1"/>
      <c r="C263" s="1"/>
      <c r="D263" s="1"/>
      <c r="E263" s="14">
        <f>[1]Sheet2!N262</f>
        <v>0</v>
      </c>
      <c r="F263" s="14">
        <f>[1]Sheet2!BE262</f>
        <v>0</v>
      </c>
      <c r="G263" s="14">
        <f>[1]Sheet2!CV262</f>
        <v>288.46153846153851</v>
      </c>
      <c r="H263" s="1"/>
      <c r="I263" s="1"/>
      <c r="J263" s="1"/>
      <c r="K263" s="16">
        <f>Demand_CWRS!B$11/30</f>
        <v>118.04546474358973</v>
      </c>
      <c r="L263" s="16">
        <f>Demand_CWRS!C$11/30</f>
        <v>491.39401709401704</v>
      </c>
      <c r="M263" s="16">
        <f>Demand_CWRS!D$11/30</f>
        <v>0</v>
      </c>
      <c r="N263" s="16">
        <f>Demand_CWRS!E$11/30</f>
        <v>107.84935897435898</v>
      </c>
      <c r="O263" s="16">
        <f>Demand_CWRS!F$11/30</f>
        <v>218.22274305555553</v>
      </c>
      <c r="P263" s="16">
        <f>Demand_CWRS!G$11/30</f>
        <v>118.04546474358973</v>
      </c>
      <c r="Q263" s="16">
        <f>Demand_CWRS!H$11/30</f>
        <v>491.39401709401704</v>
      </c>
      <c r="R263" s="16">
        <f>Demand_CWRS!I$11/30</f>
        <v>218.22274305555553</v>
      </c>
      <c r="S263" s="16">
        <f>Demand_CWRS!J$11/30</f>
        <v>218.22274305555553</v>
      </c>
      <c r="T263" s="16">
        <f>Demand_CWRS!K$11/30</f>
        <v>218.22274305555553</v>
      </c>
      <c r="U263" s="16">
        <f t="shared" si="123"/>
        <v>-34441.4051111144</v>
      </c>
      <c r="V263" s="16">
        <f t="shared" si="124"/>
        <v>-122615.53162393128</v>
      </c>
      <c r="W263" s="16">
        <f t="shared" si="125"/>
        <v>0</v>
      </c>
      <c r="X263" s="16">
        <f t="shared" si="126"/>
        <v>-28853.433601103447</v>
      </c>
      <c r="Y263" s="16">
        <f t="shared" si="127"/>
        <v>-56377.310883405036</v>
      </c>
      <c r="Z263" s="16">
        <f t="shared" si="128"/>
        <v>-34044.472587075994</v>
      </c>
      <c r="AA263" s="16">
        <f t="shared" si="129"/>
        <v>-122115.53162393128</v>
      </c>
      <c r="AB263" s="16">
        <f t="shared" si="130"/>
        <v>-53893.465402635753</v>
      </c>
      <c r="AC263" s="16">
        <f t="shared" si="131"/>
        <v>-53893.465402635746</v>
      </c>
      <c r="AD263" s="16">
        <f t="shared" si="132"/>
        <v>-54593.465402635738</v>
      </c>
      <c r="AE263" s="14">
        <f>IF([1]Sheet2!AJ262=999999,"NA",[1]Sheet2!AJ262)</f>
        <v>0</v>
      </c>
      <c r="AF263" s="14">
        <f>IF([1]Sheet2!AK262=999999,"NA",[1]Sheet2!AK262)</f>
        <v>0</v>
      </c>
      <c r="AG263" s="14" t="str">
        <f>IF([1]Sheet2!AL262=999999,"NA",[1]Sheet2!AL262)</f>
        <v>NA</v>
      </c>
      <c r="AH263" s="14">
        <f>IF([1]Sheet2!AM262=999999,"NA",[1]Sheet2!AM262)</f>
        <v>105</v>
      </c>
      <c r="AI263" s="14">
        <f>IF([1]Sheet2!AN262=999999,"NA",[1]Sheet2!AN262)</f>
        <v>105</v>
      </c>
      <c r="AJ263" s="14">
        <f>IF([1]Sheet2!AO262=999999,"NA",[1]Sheet2!AO262)</f>
        <v>105</v>
      </c>
      <c r="AK263" s="14">
        <f>IF([1]Sheet2!AP262=999999,"NA",[1]Sheet2!AP262)</f>
        <v>0</v>
      </c>
      <c r="AL263" s="14">
        <f>IF([1]Sheet2!AQ262=999999,"NA",[1]Sheet2!AQ262)</f>
        <v>0</v>
      </c>
      <c r="AM263" s="14">
        <f>IF([1]Sheet2!AR262=999999,"NA",[1]Sheet2!AR262)</f>
        <v>105</v>
      </c>
      <c r="AN263" s="14">
        <f>IF([1]Sheet2!AS262=999999,"NA",[1]Sheet2!AS262)</f>
        <v>56</v>
      </c>
      <c r="AO263" s="14">
        <f>[1]Sheet2!P262</f>
        <v>0</v>
      </c>
      <c r="AP263" s="14">
        <f>[1]Sheet2!Q262</f>
        <v>0</v>
      </c>
      <c r="AQ263" s="14">
        <f>[1]Sheet2!R262</f>
        <v>0</v>
      </c>
      <c r="AR263" s="14">
        <f>[1]Sheet2!S262</f>
        <v>0</v>
      </c>
      <c r="AS263" s="14">
        <f>[1]Sheet2!T262</f>
        <v>0</v>
      </c>
      <c r="AT263" s="14">
        <f>[1]Sheet2!U262</f>
        <v>0</v>
      </c>
      <c r="AU263" s="14">
        <f>[1]Sheet2!V262</f>
        <v>0</v>
      </c>
      <c r="AV263" s="14">
        <f>[1]Sheet2!W262</f>
        <v>0</v>
      </c>
      <c r="AW263" s="14">
        <f>[1]Sheet2!X262</f>
        <v>0</v>
      </c>
      <c r="AX263" s="14">
        <f>[1]Sheet2!Y262</f>
        <v>0</v>
      </c>
      <c r="AY263" s="16">
        <f>Demand_LP!B$11/30</f>
        <v>902.60591613247857</v>
      </c>
      <c r="AZ263" s="16">
        <f>Demand_LP!C$11/30</f>
        <v>593.76410256410259</v>
      </c>
      <c r="BA263" s="16">
        <f>Demand_LP!D$11/30</f>
        <v>290.27136752136749</v>
      </c>
      <c r="BB263" s="16">
        <f>Demand_LP!E$11/30</f>
        <v>790.42628205128199</v>
      </c>
      <c r="BC263" s="16">
        <f>Demand_LP!F$11/30</f>
        <v>538.46224626068363</v>
      </c>
      <c r="BD263" s="16">
        <f>Demand_LP!G$11/30</f>
        <v>902.60591613247857</v>
      </c>
      <c r="BE263" s="16">
        <f>Demand_LP!H$11/30</f>
        <v>593.76410256410259</v>
      </c>
      <c r="BF263" s="16">
        <f>Demand_LP!I$11/30</f>
        <v>538.46224626068363</v>
      </c>
      <c r="BG263" s="16">
        <f>Demand_LP!J$11/30</f>
        <v>538.46224626068363</v>
      </c>
      <c r="BH263" s="16">
        <f>Demand_LP!K$11/30</f>
        <v>538.46224626068363</v>
      </c>
      <c r="BI263" s="16" t="e">
        <f t="shared" si="133"/>
        <v>#VALUE!</v>
      </c>
      <c r="BJ263" s="16">
        <f t="shared" si="134"/>
        <v>-147380.13076923066</v>
      </c>
      <c r="BK263" s="16">
        <f t="shared" si="135"/>
        <v>-76299.213247863285</v>
      </c>
      <c r="BL263" s="16">
        <f t="shared" si="136"/>
        <v>-194557.92882992473</v>
      </c>
      <c r="BM263" s="16">
        <f t="shared" si="137"/>
        <v>-115076.02829049698</v>
      </c>
      <c r="BN263" s="16">
        <f t="shared" si="138"/>
        <v>-200190.06075590962</v>
      </c>
      <c r="BO263" s="16">
        <f t="shared" si="139"/>
        <v>-149737.71025641044</v>
      </c>
      <c r="BP263" s="16">
        <f t="shared" si="140"/>
        <v>-116187.71220886758</v>
      </c>
      <c r="BQ263" s="16">
        <f t="shared" si="141"/>
        <v>-113177.71220886763</v>
      </c>
      <c r="BR263" s="16">
        <f t="shared" si="142"/>
        <v>-114377.71220886758</v>
      </c>
      <c r="BS263" s="14">
        <f>IF([1]Sheet2!CA262=999999,"NA",[1]Sheet2!CA262)</f>
        <v>102101.28779113258</v>
      </c>
      <c r="BT263" s="14">
        <f>IF([1]Sheet2!CB262=999999,"NA",[1]Sheet2!CB262)</f>
        <v>35</v>
      </c>
      <c r="BU263" s="14">
        <f>IF([1]Sheet2!CC262=999999,"NA",[1]Sheet2!CC262)</f>
        <v>105</v>
      </c>
      <c r="BV263" s="14">
        <f>IF([1]Sheet2!CD262=999999,"NA",[1]Sheet2!CD262)</f>
        <v>105</v>
      </c>
      <c r="BW263" s="14">
        <f>IF([1]Sheet2!CE262=999999,"NA",[1]Sheet2!CE262)</f>
        <v>74</v>
      </c>
      <c r="BX263" s="14">
        <f>IF([1]Sheet2!CF262=999999,"NA",[1]Sheet2!CF262)</f>
        <v>105</v>
      </c>
      <c r="BY263" s="14">
        <f>IF([1]Sheet2!CG262=999999,"NA",[1]Sheet2!CG262)</f>
        <v>6</v>
      </c>
      <c r="BZ263" s="14">
        <f>IF([1]Sheet2!CH262=999999,"NA",[1]Sheet2!CH262)</f>
        <v>105</v>
      </c>
      <c r="CA263" s="14">
        <f>IF([1]Sheet2!CI262=999999,"NA",[1]Sheet2!CI262)</f>
        <v>105</v>
      </c>
      <c r="CB263" s="14">
        <f>IF([1]Sheet2!CJ262=999999,"NA",[1]Sheet2!CJ262)</f>
        <v>105</v>
      </c>
      <c r="CC263" s="14">
        <f>[1]Sheet2!BG262</f>
        <v>0</v>
      </c>
      <c r="CD263" s="14">
        <f>[1]Sheet2!BH262</f>
        <v>0</v>
      </c>
      <c r="CE263" s="14">
        <f>[1]Sheet2!BI262</f>
        <v>0</v>
      </c>
      <c r="CF263" s="14">
        <f>[1]Sheet2!BJ262</f>
        <v>0</v>
      </c>
      <c r="CG263" s="14">
        <f>[1]Sheet2!BK262</f>
        <v>0</v>
      </c>
      <c r="CH263" s="14">
        <f>[1]Sheet2!BL262</f>
        <v>0</v>
      </c>
      <c r="CI263" s="14">
        <f>[1]Sheet2!BM262</f>
        <v>0</v>
      </c>
      <c r="CJ263" s="14">
        <f>[1]Sheet2!BN262</f>
        <v>0</v>
      </c>
      <c r="CK263" s="14">
        <f>[1]Sheet2!BO262</f>
        <v>0</v>
      </c>
      <c r="CL263" s="14">
        <f>[1]Sheet2!BP262</f>
        <v>0</v>
      </c>
      <c r="CM263" s="16">
        <f>Demand_SW!B$11/30</f>
        <v>144.23076923076923</v>
      </c>
      <c r="CN263" s="16">
        <f>Demand_SW!C$11/30</f>
        <v>0</v>
      </c>
      <c r="CO263" s="16">
        <f>Demand_SW!D$11/30</f>
        <v>0</v>
      </c>
      <c r="CP263" s="16">
        <f>Demand_SW!E$11/30</f>
        <v>0</v>
      </c>
      <c r="CQ263" s="16">
        <f>Demand_SW!F$11/30</f>
        <v>0</v>
      </c>
      <c r="CR263" s="16">
        <f>Demand_SW!G$11/30</f>
        <v>144.23076923076923</v>
      </c>
      <c r="CS263" s="16">
        <f>Demand_SW!H$11/30</f>
        <v>0</v>
      </c>
      <c r="CT263" s="16">
        <f>Demand_SW!I$11/30</f>
        <v>0</v>
      </c>
      <c r="CU263" s="16">
        <f>Demand_SW!J$11/30</f>
        <v>0</v>
      </c>
      <c r="CV263" s="16">
        <f>Demand_SW!K$11/30</f>
        <v>0</v>
      </c>
      <c r="CW263" s="16">
        <f t="shared" si="143"/>
        <v>65827.307692307673</v>
      </c>
      <c r="CX263" s="16">
        <f t="shared" si="144"/>
        <v>20683.923076923078</v>
      </c>
      <c r="CY263" s="16">
        <f t="shared" si="145"/>
        <v>0</v>
      </c>
      <c r="CZ263" s="16">
        <f t="shared" si="146"/>
        <v>0</v>
      </c>
      <c r="DA263" s="16">
        <f t="shared" si="147"/>
        <v>0</v>
      </c>
      <c r="DB263" s="16">
        <f t="shared" si="148"/>
        <v>-33701.923076923063</v>
      </c>
      <c r="DC263" s="16">
        <f t="shared" si="149"/>
        <v>20683.923076923078</v>
      </c>
      <c r="DD263" s="16">
        <f t="shared" si="150"/>
        <v>0</v>
      </c>
      <c r="DE263" s="16">
        <f t="shared" si="151"/>
        <v>0</v>
      </c>
      <c r="DF263" s="16">
        <f t="shared" si="152"/>
        <v>0</v>
      </c>
      <c r="DG263" s="14">
        <f>IF([1]Sheet2!DR262=999999,"NA",[1]Sheet2!DR262)</f>
        <v>73103</v>
      </c>
      <c r="DH263" s="14">
        <f>IF([1]Sheet2!DS262=999999,"NA",[1]Sheet2!DS262)</f>
        <v>105</v>
      </c>
      <c r="DI263" s="14">
        <f>IF([1]Sheet2!DT262=999999,"NA",[1]Sheet2!DT262)</f>
        <v>105</v>
      </c>
      <c r="DJ263" s="14" t="str">
        <f>IF([1]Sheet2!DU262=999999,"NA",[1]Sheet2!DU262)</f>
        <v>NA</v>
      </c>
      <c r="DK263" s="14" t="str">
        <f>IF([1]Sheet2!DV262=999999,"NA",[1]Sheet2!DV262)</f>
        <v>NA</v>
      </c>
      <c r="DL263" s="14" t="str">
        <f>IF([1]Sheet2!DW262=999999,"NA",[1]Sheet2!DW262)</f>
        <v>NA</v>
      </c>
      <c r="DM263" s="14">
        <f>IF([1]Sheet2!DX262=999999,"NA",[1]Sheet2!DX262)</f>
        <v>105</v>
      </c>
      <c r="DN263" s="14">
        <f>IF([1]Sheet2!DY262=999999,"NA",[1]Sheet2!DY262)</f>
        <v>105</v>
      </c>
      <c r="DO263" s="14" t="str">
        <f>IF([1]Sheet2!DZ262=999999,"NA",[1]Sheet2!DZ262)</f>
        <v>NA</v>
      </c>
      <c r="DP263" s="14" t="str">
        <f>IF([1]Sheet2!EA262=999999,"NA",[1]Sheet2!EA262)</f>
        <v>NA</v>
      </c>
      <c r="DQ263" s="14">
        <f>[1]Sheet2!CX262</f>
        <v>0</v>
      </c>
      <c r="DR263" s="14">
        <f>[1]Sheet2!CY262</f>
        <v>0</v>
      </c>
      <c r="DS263" s="14">
        <f>[1]Sheet2!CZ262</f>
        <v>0</v>
      </c>
      <c r="DT263" s="14">
        <f>[1]Sheet2!DA262</f>
        <v>0</v>
      </c>
      <c r="DU263" s="14">
        <f>[1]Sheet2!DB262</f>
        <v>0</v>
      </c>
      <c r="DV263" s="14">
        <f>[1]Sheet2!DC262</f>
        <v>0</v>
      </c>
      <c r="DW263" s="14">
        <f>[1]Sheet2!DD262</f>
        <v>0</v>
      </c>
      <c r="DX263" s="14">
        <f>[1]Sheet2!DE262</f>
        <v>0</v>
      </c>
      <c r="DY263" s="14">
        <f>[1]Sheet2!DF262</f>
        <v>0</v>
      </c>
      <c r="DZ263" s="14">
        <f>[1]Sheet2!DG262</f>
        <v>0</v>
      </c>
    </row>
    <row r="264" spans="1:130" x14ac:dyDescent="0.25">
      <c r="A264" s="15">
        <v>43726</v>
      </c>
      <c r="B264" s="1"/>
      <c r="C264" s="1"/>
      <c r="D264" s="1"/>
      <c r="E264" s="14">
        <f>[1]Sheet2!N263</f>
        <v>0</v>
      </c>
      <c r="F264" s="14">
        <f>[1]Sheet2!BE263</f>
        <v>48000</v>
      </c>
      <c r="G264" s="14">
        <f>[1]Sheet2!CV263</f>
        <v>288.46153846153851</v>
      </c>
      <c r="H264" s="1"/>
      <c r="I264" s="1"/>
      <c r="J264" s="1"/>
      <c r="K264" s="16">
        <f>Demand_CWRS!B$11/30</f>
        <v>118.04546474358973</v>
      </c>
      <c r="L264" s="16">
        <f>Demand_CWRS!C$11/30</f>
        <v>491.39401709401704</v>
      </c>
      <c r="M264" s="16">
        <f>Demand_CWRS!D$11/30</f>
        <v>0</v>
      </c>
      <c r="N264" s="16">
        <f>Demand_CWRS!E$11/30</f>
        <v>107.84935897435898</v>
      </c>
      <c r="O264" s="16">
        <f>Demand_CWRS!F$11/30</f>
        <v>218.22274305555553</v>
      </c>
      <c r="P264" s="16">
        <f>Demand_CWRS!G$11/30</f>
        <v>118.04546474358973</v>
      </c>
      <c r="Q264" s="16">
        <f>Demand_CWRS!H$11/30</f>
        <v>491.39401709401704</v>
      </c>
      <c r="R264" s="16">
        <f>Demand_CWRS!I$11/30</f>
        <v>218.22274305555553</v>
      </c>
      <c r="S264" s="16">
        <f>Demand_CWRS!J$11/30</f>
        <v>218.22274305555553</v>
      </c>
      <c r="T264" s="16">
        <f>Demand_CWRS!K$11/30</f>
        <v>218.22274305555553</v>
      </c>
      <c r="U264" s="16">
        <f t="shared" si="123"/>
        <v>-34559.450575857991</v>
      </c>
      <c r="V264" s="16">
        <f t="shared" si="124"/>
        <v>-123106.9256410253</v>
      </c>
      <c r="W264" s="16">
        <f t="shared" si="125"/>
        <v>0</v>
      </c>
      <c r="X264" s="16">
        <f t="shared" si="126"/>
        <v>-28961.282960077806</v>
      </c>
      <c r="Y264" s="16">
        <f t="shared" si="127"/>
        <v>-56595.533626460594</v>
      </c>
      <c r="Z264" s="16">
        <f t="shared" si="128"/>
        <v>-34162.518051819585</v>
      </c>
      <c r="AA264" s="16">
        <f t="shared" si="129"/>
        <v>-122606.9256410253</v>
      </c>
      <c r="AB264" s="16">
        <f t="shared" si="130"/>
        <v>-54111.688145691311</v>
      </c>
      <c r="AC264" s="16">
        <f t="shared" si="131"/>
        <v>-54111.688145691303</v>
      </c>
      <c r="AD264" s="16">
        <f t="shared" si="132"/>
        <v>-54811.688145691296</v>
      </c>
      <c r="AE264" s="14">
        <f>IF([1]Sheet2!AJ263=999999,"NA",[1]Sheet2!AJ263)</f>
        <v>0</v>
      </c>
      <c r="AF264" s="14">
        <f>IF([1]Sheet2!AK263=999999,"NA",[1]Sheet2!AK263)</f>
        <v>0</v>
      </c>
      <c r="AG264" s="14" t="str">
        <f>IF([1]Sheet2!AL263=999999,"NA",[1]Sheet2!AL263)</f>
        <v>NA</v>
      </c>
      <c r="AH264" s="14">
        <f>IF([1]Sheet2!AM263=999999,"NA",[1]Sheet2!AM263)</f>
        <v>104</v>
      </c>
      <c r="AI264" s="14">
        <f>IF([1]Sheet2!AN263=999999,"NA",[1]Sheet2!AN263)</f>
        <v>104</v>
      </c>
      <c r="AJ264" s="14">
        <f>IF([1]Sheet2!AO263=999999,"NA",[1]Sheet2!AO263)</f>
        <v>104</v>
      </c>
      <c r="AK264" s="14">
        <f>IF([1]Sheet2!AP263=999999,"NA",[1]Sheet2!AP263)</f>
        <v>0</v>
      </c>
      <c r="AL264" s="14">
        <f>IF([1]Sheet2!AQ263=999999,"NA",[1]Sheet2!AQ263)</f>
        <v>0</v>
      </c>
      <c r="AM264" s="14">
        <f>IF([1]Sheet2!AR263=999999,"NA",[1]Sheet2!AR263)</f>
        <v>104</v>
      </c>
      <c r="AN264" s="14">
        <f>IF([1]Sheet2!AS263=999999,"NA",[1]Sheet2!AS263)</f>
        <v>55</v>
      </c>
      <c r="AO264" s="14">
        <f>[1]Sheet2!P263</f>
        <v>0</v>
      </c>
      <c r="AP264" s="14">
        <f>[1]Sheet2!Q263</f>
        <v>0</v>
      </c>
      <c r="AQ264" s="14">
        <f>[1]Sheet2!R263</f>
        <v>0</v>
      </c>
      <c r="AR264" s="14">
        <f>[1]Sheet2!S263</f>
        <v>0</v>
      </c>
      <c r="AS264" s="14">
        <f>[1]Sheet2!T263</f>
        <v>0</v>
      </c>
      <c r="AT264" s="14">
        <f>[1]Sheet2!U263</f>
        <v>0</v>
      </c>
      <c r="AU264" s="14">
        <f>[1]Sheet2!V263</f>
        <v>0</v>
      </c>
      <c r="AV264" s="14">
        <f>[1]Sheet2!W263</f>
        <v>0</v>
      </c>
      <c r="AW264" s="14">
        <f>[1]Sheet2!X263</f>
        <v>0</v>
      </c>
      <c r="AX264" s="14">
        <f>[1]Sheet2!Y263</f>
        <v>0</v>
      </c>
      <c r="AY264" s="16">
        <f>Demand_LP!B$11/30</f>
        <v>902.60591613247857</v>
      </c>
      <c r="AZ264" s="16">
        <f>Demand_LP!C$11/30</f>
        <v>593.76410256410259</v>
      </c>
      <c r="BA264" s="16">
        <f>Demand_LP!D$11/30</f>
        <v>290.27136752136749</v>
      </c>
      <c r="BB264" s="16">
        <f>Demand_LP!E$11/30</f>
        <v>790.42628205128199</v>
      </c>
      <c r="BC264" s="16">
        <f>Demand_LP!F$11/30</f>
        <v>538.46224626068363</v>
      </c>
      <c r="BD264" s="16">
        <f>Demand_LP!G$11/30</f>
        <v>902.60591613247857</v>
      </c>
      <c r="BE264" s="16">
        <f>Demand_LP!H$11/30</f>
        <v>593.76410256410259</v>
      </c>
      <c r="BF264" s="16">
        <f>Demand_LP!I$11/30</f>
        <v>538.46224626068363</v>
      </c>
      <c r="BG264" s="16">
        <f>Demand_LP!J$11/30</f>
        <v>538.46224626068363</v>
      </c>
      <c r="BH264" s="16">
        <f>Demand_LP!K$11/30</f>
        <v>538.46224626068363</v>
      </c>
      <c r="BI264" s="16" t="e">
        <f t="shared" si="133"/>
        <v>#VALUE!</v>
      </c>
      <c r="BJ264" s="16">
        <f t="shared" si="134"/>
        <v>-147973.89487179476</v>
      </c>
      <c r="BK264" s="16">
        <f t="shared" si="135"/>
        <v>-76589.484615384659</v>
      </c>
      <c r="BL264" s="16">
        <f t="shared" si="136"/>
        <v>-195348.35511197601</v>
      </c>
      <c r="BM264" s="16">
        <f t="shared" si="137"/>
        <v>-115614.49053675766</v>
      </c>
      <c r="BN264" s="16">
        <f t="shared" si="138"/>
        <v>-201092.66667204211</v>
      </c>
      <c r="BO264" s="16">
        <f t="shared" si="139"/>
        <v>-150331.47435897455</v>
      </c>
      <c r="BP264" s="16">
        <f t="shared" si="140"/>
        <v>-116726.17445512826</v>
      </c>
      <c r="BQ264" s="16">
        <f t="shared" si="141"/>
        <v>-113716.1744551283</v>
      </c>
      <c r="BR264" s="16">
        <f t="shared" si="142"/>
        <v>-114916.17445512826</v>
      </c>
      <c r="BS264" s="14">
        <f>IF([1]Sheet2!CA263=999999,"NA",[1]Sheet2!CA263)</f>
        <v>101562.8255448719</v>
      </c>
      <c r="BT264" s="14">
        <f>IF([1]Sheet2!CB263=999999,"NA",[1]Sheet2!CB263)</f>
        <v>34</v>
      </c>
      <c r="BU264" s="14">
        <f>IF([1]Sheet2!CC263=999999,"NA",[1]Sheet2!CC263)</f>
        <v>104</v>
      </c>
      <c r="BV264" s="14">
        <f>IF([1]Sheet2!CD263=999999,"NA",[1]Sheet2!CD263)</f>
        <v>104</v>
      </c>
      <c r="BW264" s="14">
        <f>IF([1]Sheet2!CE263=999999,"NA",[1]Sheet2!CE263)</f>
        <v>73</v>
      </c>
      <c r="BX264" s="14">
        <f>IF([1]Sheet2!CF263=999999,"NA",[1]Sheet2!CF263)</f>
        <v>104</v>
      </c>
      <c r="BY264" s="14">
        <f>IF([1]Sheet2!CG263=999999,"NA",[1]Sheet2!CG263)</f>
        <v>5</v>
      </c>
      <c r="BZ264" s="14">
        <f>IF([1]Sheet2!CH263=999999,"NA",[1]Sheet2!CH263)</f>
        <v>104</v>
      </c>
      <c r="CA264" s="14">
        <f>IF([1]Sheet2!CI263=999999,"NA",[1]Sheet2!CI263)</f>
        <v>104</v>
      </c>
      <c r="CB264" s="14">
        <f>IF([1]Sheet2!CJ263=999999,"NA",[1]Sheet2!CJ263)</f>
        <v>104</v>
      </c>
      <c r="CC264" s="14">
        <f>[1]Sheet2!BG263</f>
        <v>0</v>
      </c>
      <c r="CD264" s="14">
        <f>[1]Sheet2!BH263</f>
        <v>0</v>
      </c>
      <c r="CE264" s="14">
        <f>[1]Sheet2!BI263</f>
        <v>0</v>
      </c>
      <c r="CF264" s="14">
        <f>[1]Sheet2!BJ263</f>
        <v>0</v>
      </c>
      <c r="CG264" s="14">
        <f>[1]Sheet2!BK263</f>
        <v>0</v>
      </c>
      <c r="CH264" s="14">
        <f>[1]Sheet2!BL263</f>
        <v>0</v>
      </c>
      <c r="CI264" s="14">
        <f>[1]Sheet2!BM263</f>
        <v>0</v>
      </c>
      <c r="CJ264" s="14">
        <f>[1]Sheet2!BN263</f>
        <v>0</v>
      </c>
      <c r="CK264" s="14">
        <f>[1]Sheet2!BO263</f>
        <v>0</v>
      </c>
      <c r="CL264" s="14">
        <f>[1]Sheet2!BP263</f>
        <v>0</v>
      </c>
      <c r="CM264" s="16">
        <f>Demand_SW!B$11/30</f>
        <v>144.23076923076923</v>
      </c>
      <c r="CN264" s="16">
        <f>Demand_SW!C$11/30</f>
        <v>0</v>
      </c>
      <c r="CO264" s="16">
        <f>Demand_SW!D$11/30</f>
        <v>0</v>
      </c>
      <c r="CP264" s="16">
        <f>Demand_SW!E$11/30</f>
        <v>0</v>
      </c>
      <c r="CQ264" s="16">
        <f>Demand_SW!F$11/30</f>
        <v>0</v>
      </c>
      <c r="CR264" s="16">
        <f>Demand_SW!G$11/30</f>
        <v>144.23076923076923</v>
      </c>
      <c r="CS264" s="16">
        <f>Demand_SW!H$11/30</f>
        <v>0</v>
      </c>
      <c r="CT264" s="16">
        <f>Demand_SW!I$11/30</f>
        <v>0</v>
      </c>
      <c r="CU264" s="16">
        <f>Demand_SW!J$11/30</f>
        <v>0</v>
      </c>
      <c r="CV264" s="16">
        <f>Demand_SW!K$11/30</f>
        <v>0</v>
      </c>
      <c r="CW264" s="16">
        <f t="shared" si="143"/>
        <v>65683.076923076907</v>
      </c>
      <c r="CX264" s="16">
        <f t="shared" si="144"/>
        <v>20683.923076923078</v>
      </c>
      <c r="CY264" s="16">
        <f t="shared" si="145"/>
        <v>0</v>
      </c>
      <c r="CZ264" s="16">
        <f t="shared" si="146"/>
        <v>0</v>
      </c>
      <c r="DA264" s="16">
        <f t="shared" si="147"/>
        <v>0</v>
      </c>
      <c r="DB264" s="16">
        <f t="shared" si="148"/>
        <v>-33846.153846153829</v>
      </c>
      <c r="DC264" s="16">
        <f t="shared" si="149"/>
        <v>20683.923076923078</v>
      </c>
      <c r="DD264" s="16">
        <f t="shared" si="150"/>
        <v>0</v>
      </c>
      <c r="DE264" s="16">
        <f t="shared" si="151"/>
        <v>0</v>
      </c>
      <c r="DF264" s="16">
        <f t="shared" si="152"/>
        <v>0</v>
      </c>
      <c r="DG264" s="14">
        <f>IF([1]Sheet2!DR263=999999,"NA",[1]Sheet2!DR263)</f>
        <v>73103</v>
      </c>
      <c r="DH264" s="14">
        <f>IF([1]Sheet2!DS263=999999,"NA",[1]Sheet2!DS263)</f>
        <v>104</v>
      </c>
      <c r="DI264" s="14">
        <f>IF([1]Sheet2!DT263=999999,"NA",[1]Sheet2!DT263)</f>
        <v>104</v>
      </c>
      <c r="DJ264" s="14" t="str">
        <f>IF([1]Sheet2!DU263=999999,"NA",[1]Sheet2!DU263)</f>
        <v>NA</v>
      </c>
      <c r="DK264" s="14" t="str">
        <f>IF([1]Sheet2!DV263=999999,"NA",[1]Sheet2!DV263)</f>
        <v>NA</v>
      </c>
      <c r="DL264" s="14" t="str">
        <f>IF([1]Sheet2!DW263=999999,"NA",[1]Sheet2!DW263)</f>
        <v>NA</v>
      </c>
      <c r="DM264" s="14">
        <f>IF([1]Sheet2!DX263=999999,"NA",[1]Sheet2!DX263)</f>
        <v>104</v>
      </c>
      <c r="DN264" s="14">
        <f>IF([1]Sheet2!DY263=999999,"NA",[1]Sheet2!DY263)</f>
        <v>104</v>
      </c>
      <c r="DO264" s="14" t="str">
        <f>IF([1]Sheet2!DZ263=999999,"NA",[1]Sheet2!DZ263)</f>
        <v>NA</v>
      </c>
      <c r="DP264" s="14" t="str">
        <f>IF([1]Sheet2!EA263=999999,"NA",[1]Sheet2!EA263)</f>
        <v>NA</v>
      </c>
      <c r="DQ264" s="14">
        <f>[1]Sheet2!CX263</f>
        <v>0</v>
      </c>
      <c r="DR264" s="14">
        <f>[1]Sheet2!CY263</f>
        <v>0</v>
      </c>
      <c r="DS264" s="14">
        <f>[1]Sheet2!CZ263</f>
        <v>0</v>
      </c>
      <c r="DT264" s="14">
        <f>[1]Sheet2!DA263</f>
        <v>0</v>
      </c>
      <c r="DU264" s="14">
        <f>[1]Sheet2!DB263</f>
        <v>0</v>
      </c>
      <c r="DV264" s="14">
        <f>[1]Sheet2!DC263</f>
        <v>0</v>
      </c>
      <c r="DW264" s="14">
        <f>[1]Sheet2!DD263</f>
        <v>0</v>
      </c>
      <c r="DX264" s="14">
        <f>[1]Sheet2!DE263</f>
        <v>0</v>
      </c>
      <c r="DY264" s="14">
        <f>[1]Sheet2!DF263</f>
        <v>0</v>
      </c>
      <c r="DZ264" s="14">
        <f>[1]Sheet2!DG263</f>
        <v>0</v>
      </c>
    </row>
    <row r="265" spans="1:130" x14ac:dyDescent="0.25">
      <c r="A265" s="15">
        <v>43727</v>
      </c>
      <c r="B265" s="1"/>
      <c r="C265" s="1"/>
      <c r="D265" s="1"/>
      <c r="E265" s="14">
        <f>[1]Sheet2!N264</f>
        <v>0</v>
      </c>
      <c r="F265" s="14">
        <f>[1]Sheet2!BE264</f>
        <v>0</v>
      </c>
      <c r="G265" s="14">
        <f>[1]Sheet2!CV264</f>
        <v>288.46153846153851</v>
      </c>
      <c r="H265" s="1"/>
      <c r="I265" s="1"/>
      <c r="J265" s="1"/>
      <c r="K265" s="16">
        <f>Demand_CWRS!B$11/30</f>
        <v>118.04546474358973</v>
      </c>
      <c r="L265" s="16">
        <f>Demand_CWRS!C$11/30</f>
        <v>491.39401709401704</v>
      </c>
      <c r="M265" s="16">
        <f>Demand_CWRS!D$11/30</f>
        <v>0</v>
      </c>
      <c r="N265" s="16">
        <f>Demand_CWRS!E$11/30</f>
        <v>107.84935897435898</v>
      </c>
      <c r="O265" s="16">
        <f>Demand_CWRS!F$11/30</f>
        <v>218.22274305555553</v>
      </c>
      <c r="P265" s="16">
        <f>Demand_CWRS!G$11/30</f>
        <v>118.04546474358973</v>
      </c>
      <c r="Q265" s="16">
        <f>Demand_CWRS!H$11/30</f>
        <v>491.39401709401704</v>
      </c>
      <c r="R265" s="16">
        <f>Demand_CWRS!I$11/30</f>
        <v>218.22274305555553</v>
      </c>
      <c r="S265" s="16">
        <f>Demand_CWRS!J$11/30</f>
        <v>218.22274305555553</v>
      </c>
      <c r="T265" s="16">
        <f>Demand_CWRS!K$11/30</f>
        <v>218.22274305555553</v>
      </c>
      <c r="U265" s="16">
        <f t="shared" si="123"/>
        <v>-34677.496040601582</v>
      </c>
      <c r="V265" s="16">
        <f t="shared" si="124"/>
        <v>-123598.31965811932</v>
      </c>
      <c r="W265" s="16">
        <f t="shared" si="125"/>
        <v>0</v>
      </c>
      <c r="X265" s="16">
        <f t="shared" si="126"/>
        <v>-29069.132319052165</v>
      </c>
      <c r="Y265" s="16">
        <f t="shared" si="127"/>
        <v>-56813.756369516152</v>
      </c>
      <c r="Z265" s="16">
        <f t="shared" si="128"/>
        <v>-34280.563516563176</v>
      </c>
      <c r="AA265" s="16">
        <f t="shared" si="129"/>
        <v>-123098.31965811932</v>
      </c>
      <c r="AB265" s="16">
        <f t="shared" si="130"/>
        <v>-54329.910888746868</v>
      </c>
      <c r="AC265" s="16">
        <f t="shared" si="131"/>
        <v>-54329.910888746861</v>
      </c>
      <c r="AD265" s="16">
        <f t="shared" si="132"/>
        <v>-55029.910888746854</v>
      </c>
      <c r="AE265" s="14">
        <f>IF([1]Sheet2!AJ264=999999,"NA",[1]Sheet2!AJ264)</f>
        <v>0</v>
      </c>
      <c r="AF265" s="14">
        <f>IF([1]Sheet2!AK264=999999,"NA",[1]Sheet2!AK264)</f>
        <v>0</v>
      </c>
      <c r="AG265" s="14" t="str">
        <f>IF([1]Sheet2!AL264=999999,"NA",[1]Sheet2!AL264)</f>
        <v>NA</v>
      </c>
      <c r="AH265" s="14">
        <f>IF([1]Sheet2!AM264=999999,"NA",[1]Sheet2!AM264)</f>
        <v>103</v>
      </c>
      <c r="AI265" s="14">
        <f>IF([1]Sheet2!AN264=999999,"NA",[1]Sheet2!AN264)</f>
        <v>103</v>
      </c>
      <c r="AJ265" s="14">
        <f>IF([1]Sheet2!AO264=999999,"NA",[1]Sheet2!AO264)</f>
        <v>103</v>
      </c>
      <c r="AK265" s="14">
        <f>IF([1]Sheet2!AP264=999999,"NA",[1]Sheet2!AP264)</f>
        <v>0</v>
      </c>
      <c r="AL265" s="14">
        <f>IF([1]Sheet2!AQ264=999999,"NA",[1]Sheet2!AQ264)</f>
        <v>0</v>
      </c>
      <c r="AM265" s="14">
        <f>IF([1]Sheet2!AR264=999999,"NA",[1]Sheet2!AR264)</f>
        <v>103</v>
      </c>
      <c r="AN265" s="14">
        <f>IF([1]Sheet2!AS264=999999,"NA",[1]Sheet2!AS264)</f>
        <v>54</v>
      </c>
      <c r="AO265" s="14">
        <f>[1]Sheet2!P264</f>
        <v>0</v>
      </c>
      <c r="AP265" s="14">
        <f>[1]Sheet2!Q264</f>
        <v>0</v>
      </c>
      <c r="AQ265" s="14">
        <f>[1]Sheet2!R264</f>
        <v>0</v>
      </c>
      <c r="AR265" s="14">
        <f>[1]Sheet2!S264</f>
        <v>0</v>
      </c>
      <c r="AS265" s="14">
        <f>[1]Sheet2!T264</f>
        <v>0</v>
      </c>
      <c r="AT265" s="14">
        <f>[1]Sheet2!U264</f>
        <v>0</v>
      </c>
      <c r="AU265" s="14">
        <f>[1]Sheet2!V264</f>
        <v>0</v>
      </c>
      <c r="AV265" s="14">
        <f>[1]Sheet2!W264</f>
        <v>0</v>
      </c>
      <c r="AW265" s="14">
        <f>[1]Sheet2!X264</f>
        <v>0</v>
      </c>
      <c r="AX265" s="14">
        <f>[1]Sheet2!Y264</f>
        <v>0</v>
      </c>
      <c r="AY265" s="16">
        <f>Demand_LP!B$11/30</f>
        <v>902.60591613247857</v>
      </c>
      <c r="AZ265" s="16">
        <f>Demand_LP!C$11/30</f>
        <v>593.76410256410259</v>
      </c>
      <c r="BA265" s="16">
        <f>Demand_LP!D$11/30</f>
        <v>290.27136752136749</v>
      </c>
      <c r="BB265" s="16">
        <f>Demand_LP!E$11/30</f>
        <v>790.42628205128199</v>
      </c>
      <c r="BC265" s="16">
        <f>Demand_LP!F$11/30</f>
        <v>538.46224626068363</v>
      </c>
      <c r="BD265" s="16">
        <f>Demand_LP!G$11/30</f>
        <v>902.60591613247857</v>
      </c>
      <c r="BE265" s="16">
        <f>Demand_LP!H$11/30</f>
        <v>593.76410256410259</v>
      </c>
      <c r="BF265" s="16">
        <f>Demand_LP!I$11/30</f>
        <v>538.46224626068363</v>
      </c>
      <c r="BG265" s="16">
        <f>Demand_LP!J$11/30</f>
        <v>538.46224626068363</v>
      </c>
      <c r="BH265" s="16">
        <f>Demand_LP!K$11/30</f>
        <v>538.46224626068363</v>
      </c>
      <c r="BI265" s="16" t="e">
        <f t="shared" si="133"/>
        <v>#VALUE!</v>
      </c>
      <c r="BJ265" s="16">
        <f t="shared" si="134"/>
        <v>-148567.65897435887</v>
      </c>
      <c r="BK265" s="16">
        <f t="shared" si="135"/>
        <v>-76879.755982906034</v>
      </c>
      <c r="BL265" s="16">
        <f t="shared" si="136"/>
        <v>-196138.78139402729</v>
      </c>
      <c r="BM265" s="16">
        <f t="shared" si="137"/>
        <v>-116152.95278301834</v>
      </c>
      <c r="BN265" s="16">
        <f t="shared" si="138"/>
        <v>-201995.27258817459</v>
      </c>
      <c r="BO265" s="16">
        <f t="shared" si="139"/>
        <v>-150925.23846153865</v>
      </c>
      <c r="BP265" s="16">
        <f t="shared" si="140"/>
        <v>-117264.63670138894</v>
      </c>
      <c r="BQ265" s="16">
        <f t="shared" si="141"/>
        <v>-114254.63670138898</v>
      </c>
      <c r="BR265" s="16">
        <f t="shared" si="142"/>
        <v>-115454.63670138894</v>
      </c>
      <c r="BS265" s="14">
        <f>IF([1]Sheet2!CA264=999999,"NA",[1]Sheet2!CA264)</f>
        <v>101024.36329861122</v>
      </c>
      <c r="BT265" s="14">
        <f>IF([1]Sheet2!CB264=999999,"NA",[1]Sheet2!CB264)</f>
        <v>33</v>
      </c>
      <c r="BU265" s="14">
        <f>IF([1]Sheet2!CC264=999999,"NA",[1]Sheet2!CC264)</f>
        <v>103</v>
      </c>
      <c r="BV265" s="14">
        <f>IF([1]Sheet2!CD264=999999,"NA",[1]Sheet2!CD264)</f>
        <v>103</v>
      </c>
      <c r="BW265" s="14">
        <f>IF([1]Sheet2!CE264=999999,"NA",[1]Sheet2!CE264)</f>
        <v>72</v>
      </c>
      <c r="BX265" s="14">
        <f>IF([1]Sheet2!CF264=999999,"NA",[1]Sheet2!CF264)</f>
        <v>103</v>
      </c>
      <c r="BY265" s="14">
        <f>IF([1]Sheet2!CG264=999999,"NA",[1]Sheet2!CG264)</f>
        <v>4</v>
      </c>
      <c r="BZ265" s="14">
        <f>IF([1]Sheet2!CH264=999999,"NA",[1]Sheet2!CH264)</f>
        <v>103</v>
      </c>
      <c r="CA265" s="14">
        <f>IF([1]Sheet2!CI264=999999,"NA",[1]Sheet2!CI264)</f>
        <v>103</v>
      </c>
      <c r="CB265" s="14">
        <f>IF([1]Sheet2!CJ264=999999,"NA",[1]Sheet2!CJ264)</f>
        <v>103</v>
      </c>
      <c r="CC265" s="14">
        <f>[1]Sheet2!BG264</f>
        <v>0</v>
      </c>
      <c r="CD265" s="14">
        <f>[1]Sheet2!BH264</f>
        <v>0</v>
      </c>
      <c r="CE265" s="14">
        <f>[1]Sheet2!BI264</f>
        <v>0</v>
      </c>
      <c r="CF265" s="14">
        <f>[1]Sheet2!BJ264</f>
        <v>0</v>
      </c>
      <c r="CG265" s="14">
        <f>[1]Sheet2!BK264</f>
        <v>0</v>
      </c>
      <c r="CH265" s="14">
        <f>[1]Sheet2!BL264</f>
        <v>0</v>
      </c>
      <c r="CI265" s="14">
        <f>[1]Sheet2!BM264</f>
        <v>0</v>
      </c>
      <c r="CJ265" s="14">
        <f>[1]Sheet2!BN264</f>
        <v>0</v>
      </c>
      <c r="CK265" s="14">
        <f>[1]Sheet2!BO264</f>
        <v>0</v>
      </c>
      <c r="CL265" s="14">
        <f>[1]Sheet2!BP264</f>
        <v>0</v>
      </c>
      <c r="CM265" s="16">
        <f>Demand_SW!B$11/30</f>
        <v>144.23076923076923</v>
      </c>
      <c r="CN265" s="16">
        <f>Demand_SW!C$11/30</f>
        <v>0</v>
      </c>
      <c r="CO265" s="16">
        <f>Demand_SW!D$11/30</f>
        <v>0</v>
      </c>
      <c r="CP265" s="16">
        <f>Demand_SW!E$11/30</f>
        <v>0</v>
      </c>
      <c r="CQ265" s="16">
        <f>Demand_SW!F$11/30</f>
        <v>0</v>
      </c>
      <c r="CR265" s="16">
        <f>Demand_SW!G$11/30</f>
        <v>144.23076923076923</v>
      </c>
      <c r="CS265" s="16">
        <f>Demand_SW!H$11/30</f>
        <v>0</v>
      </c>
      <c r="CT265" s="16">
        <f>Demand_SW!I$11/30</f>
        <v>0</v>
      </c>
      <c r="CU265" s="16">
        <f>Demand_SW!J$11/30</f>
        <v>0</v>
      </c>
      <c r="CV265" s="16">
        <f>Demand_SW!K$11/30</f>
        <v>0</v>
      </c>
      <c r="CW265" s="16">
        <f t="shared" si="143"/>
        <v>65538.846153846142</v>
      </c>
      <c r="CX265" s="16">
        <f t="shared" si="144"/>
        <v>20683.923076923078</v>
      </c>
      <c r="CY265" s="16">
        <f t="shared" si="145"/>
        <v>0</v>
      </c>
      <c r="CZ265" s="16">
        <f t="shared" si="146"/>
        <v>0</v>
      </c>
      <c r="DA265" s="16">
        <f t="shared" si="147"/>
        <v>0</v>
      </c>
      <c r="DB265" s="16">
        <f t="shared" si="148"/>
        <v>-33990.384615384595</v>
      </c>
      <c r="DC265" s="16">
        <f t="shared" si="149"/>
        <v>20683.923076923078</v>
      </c>
      <c r="DD265" s="16">
        <f t="shared" si="150"/>
        <v>0</v>
      </c>
      <c r="DE265" s="16">
        <f t="shared" si="151"/>
        <v>0</v>
      </c>
      <c r="DF265" s="16">
        <f t="shared" si="152"/>
        <v>0</v>
      </c>
      <c r="DG265" s="14">
        <f>IF([1]Sheet2!DR264=999999,"NA",[1]Sheet2!DR264)</f>
        <v>73103</v>
      </c>
      <c r="DH265" s="14">
        <f>IF([1]Sheet2!DS264=999999,"NA",[1]Sheet2!DS264)</f>
        <v>103</v>
      </c>
      <c r="DI265" s="14">
        <f>IF([1]Sheet2!DT264=999999,"NA",[1]Sheet2!DT264)</f>
        <v>103</v>
      </c>
      <c r="DJ265" s="14" t="str">
        <f>IF([1]Sheet2!DU264=999999,"NA",[1]Sheet2!DU264)</f>
        <v>NA</v>
      </c>
      <c r="DK265" s="14" t="str">
        <f>IF([1]Sheet2!DV264=999999,"NA",[1]Sheet2!DV264)</f>
        <v>NA</v>
      </c>
      <c r="DL265" s="14" t="str">
        <f>IF([1]Sheet2!DW264=999999,"NA",[1]Sheet2!DW264)</f>
        <v>NA</v>
      </c>
      <c r="DM265" s="14">
        <f>IF([1]Sheet2!DX264=999999,"NA",[1]Sheet2!DX264)</f>
        <v>103</v>
      </c>
      <c r="DN265" s="14">
        <f>IF([1]Sheet2!DY264=999999,"NA",[1]Sheet2!DY264)</f>
        <v>103</v>
      </c>
      <c r="DO265" s="14" t="str">
        <f>IF([1]Sheet2!DZ264=999999,"NA",[1]Sheet2!DZ264)</f>
        <v>NA</v>
      </c>
      <c r="DP265" s="14" t="str">
        <f>IF([1]Sheet2!EA264=999999,"NA",[1]Sheet2!EA264)</f>
        <v>NA</v>
      </c>
      <c r="DQ265" s="14">
        <f>[1]Sheet2!CX264</f>
        <v>0</v>
      </c>
      <c r="DR265" s="14">
        <f>[1]Sheet2!CY264</f>
        <v>0</v>
      </c>
      <c r="DS265" s="14">
        <f>[1]Sheet2!CZ264</f>
        <v>0</v>
      </c>
      <c r="DT265" s="14">
        <f>[1]Sheet2!DA264</f>
        <v>0</v>
      </c>
      <c r="DU265" s="14">
        <f>[1]Sheet2!DB264</f>
        <v>0</v>
      </c>
      <c r="DV265" s="14">
        <f>[1]Sheet2!DC264</f>
        <v>0</v>
      </c>
      <c r="DW265" s="14">
        <f>[1]Sheet2!DD264</f>
        <v>0</v>
      </c>
      <c r="DX265" s="14">
        <f>[1]Sheet2!DE264</f>
        <v>0</v>
      </c>
      <c r="DY265" s="14">
        <f>[1]Sheet2!DF264</f>
        <v>0</v>
      </c>
      <c r="DZ265" s="14">
        <f>[1]Sheet2!DG264</f>
        <v>0</v>
      </c>
    </row>
    <row r="266" spans="1:130" x14ac:dyDescent="0.25">
      <c r="A266" s="15">
        <v>43728</v>
      </c>
      <c r="B266" s="1"/>
      <c r="C266" s="1"/>
      <c r="D266" s="1"/>
      <c r="E266" s="14">
        <f>[1]Sheet2!N265</f>
        <v>0</v>
      </c>
      <c r="F266" s="14">
        <f>[1]Sheet2!BE265</f>
        <v>0</v>
      </c>
      <c r="G266" s="14">
        <f>[1]Sheet2!CV265</f>
        <v>288.46153846153851</v>
      </c>
      <c r="H266" s="1"/>
      <c r="I266" s="1"/>
      <c r="J266" s="1"/>
      <c r="K266" s="16">
        <f>Demand_CWRS!B$11/30</f>
        <v>118.04546474358973</v>
      </c>
      <c r="L266" s="16">
        <f>Demand_CWRS!C$11/30</f>
        <v>491.39401709401704</v>
      </c>
      <c r="M266" s="16">
        <f>Demand_CWRS!D$11/30</f>
        <v>0</v>
      </c>
      <c r="N266" s="16">
        <f>Demand_CWRS!E$11/30</f>
        <v>107.84935897435898</v>
      </c>
      <c r="O266" s="16">
        <f>Demand_CWRS!F$11/30</f>
        <v>218.22274305555553</v>
      </c>
      <c r="P266" s="16">
        <f>Demand_CWRS!G$11/30</f>
        <v>118.04546474358973</v>
      </c>
      <c r="Q266" s="16">
        <f>Demand_CWRS!H$11/30</f>
        <v>491.39401709401704</v>
      </c>
      <c r="R266" s="16">
        <f>Demand_CWRS!I$11/30</f>
        <v>218.22274305555553</v>
      </c>
      <c r="S266" s="16">
        <f>Demand_CWRS!J$11/30</f>
        <v>218.22274305555553</v>
      </c>
      <c r="T266" s="16">
        <f>Demand_CWRS!K$11/30</f>
        <v>218.22274305555553</v>
      </c>
      <c r="U266" s="16">
        <f t="shared" si="123"/>
        <v>-34795.541505345172</v>
      </c>
      <c r="V266" s="16">
        <f t="shared" si="124"/>
        <v>-124089.71367521334</v>
      </c>
      <c r="W266" s="16">
        <f t="shared" si="125"/>
        <v>0</v>
      </c>
      <c r="X266" s="16">
        <f t="shared" si="126"/>
        <v>-29176.981678026525</v>
      </c>
      <c r="Y266" s="16">
        <f t="shared" si="127"/>
        <v>-57031.979112571709</v>
      </c>
      <c r="Z266" s="16">
        <f t="shared" si="128"/>
        <v>-34398.608981306767</v>
      </c>
      <c r="AA266" s="16">
        <f t="shared" si="129"/>
        <v>-123589.71367521334</v>
      </c>
      <c r="AB266" s="16">
        <f t="shared" si="130"/>
        <v>-54548.133631802426</v>
      </c>
      <c r="AC266" s="16">
        <f t="shared" si="131"/>
        <v>-54548.133631802419</v>
      </c>
      <c r="AD266" s="16">
        <f t="shared" si="132"/>
        <v>-55248.133631802411</v>
      </c>
      <c r="AE266" s="14">
        <f>IF([1]Sheet2!AJ265=999999,"NA",[1]Sheet2!AJ265)</f>
        <v>0</v>
      </c>
      <c r="AF266" s="14">
        <f>IF([1]Sheet2!AK265=999999,"NA",[1]Sheet2!AK265)</f>
        <v>0</v>
      </c>
      <c r="AG266" s="14" t="str">
        <f>IF([1]Sheet2!AL265=999999,"NA",[1]Sheet2!AL265)</f>
        <v>NA</v>
      </c>
      <c r="AH266" s="14">
        <f>IF([1]Sheet2!AM265=999999,"NA",[1]Sheet2!AM265)</f>
        <v>102</v>
      </c>
      <c r="AI266" s="14">
        <f>IF([1]Sheet2!AN265=999999,"NA",[1]Sheet2!AN265)</f>
        <v>102</v>
      </c>
      <c r="AJ266" s="14">
        <f>IF([1]Sheet2!AO265=999999,"NA",[1]Sheet2!AO265)</f>
        <v>102</v>
      </c>
      <c r="AK266" s="14">
        <f>IF([1]Sheet2!AP265=999999,"NA",[1]Sheet2!AP265)</f>
        <v>0</v>
      </c>
      <c r="AL266" s="14">
        <f>IF([1]Sheet2!AQ265=999999,"NA",[1]Sheet2!AQ265)</f>
        <v>0</v>
      </c>
      <c r="AM266" s="14">
        <f>IF([1]Sheet2!AR265=999999,"NA",[1]Sheet2!AR265)</f>
        <v>102</v>
      </c>
      <c r="AN266" s="14">
        <f>IF([1]Sheet2!AS265=999999,"NA",[1]Sheet2!AS265)</f>
        <v>53</v>
      </c>
      <c r="AO266" s="14">
        <f>[1]Sheet2!P265</f>
        <v>0</v>
      </c>
      <c r="AP266" s="14">
        <f>[1]Sheet2!Q265</f>
        <v>0</v>
      </c>
      <c r="AQ266" s="14">
        <f>[1]Sheet2!R265</f>
        <v>0</v>
      </c>
      <c r="AR266" s="14">
        <f>[1]Sheet2!S265</f>
        <v>0</v>
      </c>
      <c r="AS266" s="14">
        <f>[1]Sheet2!T265</f>
        <v>0</v>
      </c>
      <c r="AT266" s="14">
        <f>[1]Sheet2!U265</f>
        <v>0</v>
      </c>
      <c r="AU266" s="14">
        <f>[1]Sheet2!V265</f>
        <v>0</v>
      </c>
      <c r="AV266" s="14">
        <f>[1]Sheet2!W265</f>
        <v>0</v>
      </c>
      <c r="AW266" s="14">
        <f>[1]Sheet2!X265</f>
        <v>0</v>
      </c>
      <c r="AX266" s="14">
        <f>[1]Sheet2!Y265</f>
        <v>0</v>
      </c>
      <c r="AY266" s="16">
        <f>Demand_LP!B$11/30</f>
        <v>902.60591613247857</v>
      </c>
      <c r="AZ266" s="16">
        <f>Demand_LP!C$11/30</f>
        <v>593.76410256410259</v>
      </c>
      <c r="BA266" s="16">
        <f>Demand_LP!D$11/30</f>
        <v>290.27136752136749</v>
      </c>
      <c r="BB266" s="16">
        <f>Demand_LP!E$11/30</f>
        <v>790.42628205128199</v>
      </c>
      <c r="BC266" s="16">
        <f>Demand_LP!F$11/30</f>
        <v>538.46224626068363</v>
      </c>
      <c r="BD266" s="16">
        <f>Demand_LP!G$11/30</f>
        <v>902.60591613247857</v>
      </c>
      <c r="BE266" s="16">
        <f>Demand_LP!H$11/30</f>
        <v>593.76410256410259</v>
      </c>
      <c r="BF266" s="16">
        <f>Demand_LP!I$11/30</f>
        <v>538.46224626068363</v>
      </c>
      <c r="BG266" s="16">
        <f>Demand_LP!J$11/30</f>
        <v>538.46224626068363</v>
      </c>
      <c r="BH266" s="16">
        <f>Demand_LP!K$11/30</f>
        <v>538.46224626068363</v>
      </c>
      <c r="BI266" s="16" t="e">
        <f t="shared" si="133"/>
        <v>#VALUE!</v>
      </c>
      <c r="BJ266" s="16">
        <f t="shared" si="134"/>
        <v>-149161.42307692298</v>
      </c>
      <c r="BK266" s="16">
        <f t="shared" si="135"/>
        <v>-77170.027350427408</v>
      </c>
      <c r="BL266" s="16">
        <f t="shared" si="136"/>
        <v>-196929.20767607857</v>
      </c>
      <c r="BM266" s="16">
        <f t="shared" si="137"/>
        <v>-116691.41502927901</v>
      </c>
      <c r="BN266" s="16">
        <f t="shared" si="138"/>
        <v>-202897.87850430707</v>
      </c>
      <c r="BO266" s="16">
        <f t="shared" si="139"/>
        <v>-151519.00256410276</v>
      </c>
      <c r="BP266" s="16">
        <f t="shared" si="140"/>
        <v>-117803.09894764962</v>
      </c>
      <c r="BQ266" s="16">
        <f t="shared" si="141"/>
        <v>-114793.09894764966</v>
      </c>
      <c r="BR266" s="16">
        <f t="shared" si="142"/>
        <v>-115993.09894764962</v>
      </c>
      <c r="BS266" s="14">
        <f>IF([1]Sheet2!CA265=999999,"NA",[1]Sheet2!CA265)</f>
        <v>100485.90105235054</v>
      </c>
      <c r="BT266" s="14">
        <f>IF([1]Sheet2!CB265=999999,"NA",[1]Sheet2!CB265)</f>
        <v>32</v>
      </c>
      <c r="BU266" s="14">
        <f>IF([1]Sheet2!CC265=999999,"NA",[1]Sheet2!CC265)</f>
        <v>102</v>
      </c>
      <c r="BV266" s="14">
        <f>IF([1]Sheet2!CD265=999999,"NA",[1]Sheet2!CD265)</f>
        <v>102</v>
      </c>
      <c r="BW266" s="14">
        <f>IF([1]Sheet2!CE265=999999,"NA",[1]Sheet2!CE265)</f>
        <v>71</v>
      </c>
      <c r="BX266" s="14">
        <f>IF([1]Sheet2!CF265=999999,"NA",[1]Sheet2!CF265)</f>
        <v>102</v>
      </c>
      <c r="BY266" s="14">
        <f>IF([1]Sheet2!CG265=999999,"NA",[1]Sheet2!CG265)</f>
        <v>3</v>
      </c>
      <c r="BZ266" s="14">
        <f>IF([1]Sheet2!CH265=999999,"NA",[1]Sheet2!CH265)</f>
        <v>102</v>
      </c>
      <c r="CA266" s="14">
        <f>IF([1]Sheet2!CI265=999999,"NA",[1]Sheet2!CI265)</f>
        <v>102</v>
      </c>
      <c r="CB266" s="14">
        <f>IF([1]Sheet2!CJ265=999999,"NA",[1]Sheet2!CJ265)</f>
        <v>102</v>
      </c>
      <c r="CC266" s="14">
        <f>[1]Sheet2!BG265</f>
        <v>0</v>
      </c>
      <c r="CD266" s="14">
        <f>[1]Sheet2!BH265</f>
        <v>0</v>
      </c>
      <c r="CE266" s="14">
        <f>[1]Sheet2!BI265</f>
        <v>0</v>
      </c>
      <c r="CF266" s="14">
        <f>[1]Sheet2!BJ265</f>
        <v>0</v>
      </c>
      <c r="CG266" s="14">
        <f>[1]Sheet2!BK265</f>
        <v>0</v>
      </c>
      <c r="CH266" s="14">
        <f>[1]Sheet2!BL265</f>
        <v>0</v>
      </c>
      <c r="CI266" s="14">
        <f>[1]Sheet2!BM265</f>
        <v>0</v>
      </c>
      <c r="CJ266" s="14">
        <f>[1]Sheet2!BN265</f>
        <v>0</v>
      </c>
      <c r="CK266" s="14">
        <f>[1]Sheet2!BO265</f>
        <v>0</v>
      </c>
      <c r="CL266" s="14">
        <f>[1]Sheet2!BP265</f>
        <v>0</v>
      </c>
      <c r="CM266" s="16">
        <f>Demand_SW!B$11/30</f>
        <v>144.23076923076923</v>
      </c>
      <c r="CN266" s="16">
        <f>Demand_SW!C$11/30</f>
        <v>0</v>
      </c>
      <c r="CO266" s="16">
        <f>Demand_SW!D$11/30</f>
        <v>0</v>
      </c>
      <c r="CP266" s="16">
        <f>Demand_SW!E$11/30</f>
        <v>0</v>
      </c>
      <c r="CQ266" s="16">
        <f>Demand_SW!F$11/30</f>
        <v>0</v>
      </c>
      <c r="CR266" s="16">
        <f>Demand_SW!G$11/30</f>
        <v>144.23076923076923</v>
      </c>
      <c r="CS266" s="16">
        <f>Demand_SW!H$11/30</f>
        <v>0</v>
      </c>
      <c r="CT266" s="16">
        <f>Demand_SW!I$11/30</f>
        <v>0</v>
      </c>
      <c r="CU266" s="16">
        <f>Demand_SW!J$11/30</f>
        <v>0</v>
      </c>
      <c r="CV266" s="16">
        <f>Demand_SW!K$11/30</f>
        <v>0</v>
      </c>
      <c r="CW266" s="16">
        <f t="shared" si="143"/>
        <v>65394.615384615376</v>
      </c>
      <c r="CX266" s="16">
        <f t="shared" si="144"/>
        <v>20683.923076923078</v>
      </c>
      <c r="CY266" s="16">
        <f t="shared" si="145"/>
        <v>0</v>
      </c>
      <c r="CZ266" s="16">
        <f t="shared" si="146"/>
        <v>0</v>
      </c>
      <c r="DA266" s="16">
        <f t="shared" si="147"/>
        <v>0</v>
      </c>
      <c r="DB266" s="16">
        <f t="shared" si="148"/>
        <v>-34134.615384615361</v>
      </c>
      <c r="DC266" s="16">
        <f t="shared" si="149"/>
        <v>20683.923076923078</v>
      </c>
      <c r="DD266" s="16">
        <f t="shared" si="150"/>
        <v>0</v>
      </c>
      <c r="DE266" s="16">
        <f t="shared" si="151"/>
        <v>0</v>
      </c>
      <c r="DF266" s="16">
        <f t="shared" si="152"/>
        <v>0</v>
      </c>
      <c r="DG266" s="14">
        <f>IF([1]Sheet2!DR265=999999,"NA",[1]Sheet2!DR265)</f>
        <v>73103</v>
      </c>
      <c r="DH266" s="14">
        <f>IF([1]Sheet2!DS265=999999,"NA",[1]Sheet2!DS265)</f>
        <v>102</v>
      </c>
      <c r="DI266" s="14">
        <f>IF([1]Sheet2!DT265=999999,"NA",[1]Sheet2!DT265)</f>
        <v>102</v>
      </c>
      <c r="DJ266" s="14" t="str">
        <f>IF([1]Sheet2!DU265=999999,"NA",[1]Sheet2!DU265)</f>
        <v>NA</v>
      </c>
      <c r="DK266" s="14" t="str">
        <f>IF([1]Sheet2!DV265=999999,"NA",[1]Sheet2!DV265)</f>
        <v>NA</v>
      </c>
      <c r="DL266" s="14" t="str">
        <f>IF([1]Sheet2!DW265=999999,"NA",[1]Sheet2!DW265)</f>
        <v>NA</v>
      </c>
      <c r="DM266" s="14">
        <f>IF([1]Sheet2!DX265=999999,"NA",[1]Sheet2!DX265)</f>
        <v>102</v>
      </c>
      <c r="DN266" s="14">
        <f>IF([1]Sheet2!DY265=999999,"NA",[1]Sheet2!DY265)</f>
        <v>102</v>
      </c>
      <c r="DO266" s="14" t="str">
        <f>IF([1]Sheet2!DZ265=999999,"NA",[1]Sheet2!DZ265)</f>
        <v>NA</v>
      </c>
      <c r="DP266" s="14" t="str">
        <f>IF([1]Sheet2!EA265=999999,"NA",[1]Sheet2!EA265)</f>
        <v>NA</v>
      </c>
      <c r="DQ266" s="14">
        <f>[1]Sheet2!CX265</f>
        <v>0</v>
      </c>
      <c r="DR266" s="14">
        <f>[1]Sheet2!CY265</f>
        <v>0</v>
      </c>
      <c r="DS266" s="14">
        <f>[1]Sheet2!CZ265</f>
        <v>0</v>
      </c>
      <c r="DT266" s="14">
        <f>[1]Sheet2!DA265</f>
        <v>0</v>
      </c>
      <c r="DU266" s="14">
        <f>[1]Sheet2!DB265</f>
        <v>0</v>
      </c>
      <c r="DV266" s="14">
        <f>[1]Sheet2!DC265</f>
        <v>0</v>
      </c>
      <c r="DW266" s="14">
        <f>[1]Sheet2!DD265</f>
        <v>0</v>
      </c>
      <c r="DX266" s="14">
        <f>[1]Sheet2!DE265</f>
        <v>0</v>
      </c>
      <c r="DY266" s="14">
        <f>[1]Sheet2!DF265</f>
        <v>0</v>
      </c>
      <c r="DZ266" s="14">
        <f>[1]Sheet2!DG265</f>
        <v>0</v>
      </c>
    </row>
    <row r="267" spans="1:130" x14ac:dyDescent="0.25">
      <c r="A267" s="15">
        <v>43729</v>
      </c>
      <c r="B267" s="1"/>
      <c r="C267" s="1"/>
      <c r="D267" s="1"/>
      <c r="E267" s="14">
        <f>[1]Sheet2!N266</f>
        <v>0</v>
      </c>
      <c r="F267" s="14">
        <f>[1]Sheet2!BE266</f>
        <v>0</v>
      </c>
      <c r="G267" s="14">
        <f>[1]Sheet2!CV266</f>
        <v>288.46153846153851</v>
      </c>
      <c r="H267" s="1"/>
      <c r="I267" s="1"/>
      <c r="J267" s="1"/>
      <c r="K267" s="16">
        <f>Demand_CWRS!B$11/30</f>
        <v>118.04546474358973</v>
      </c>
      <c r="L267" s="16">
        <f>Demand_CWRS!C$11/30</f>
        <v>491.39401709401704</v>
      </c>
      <c r="M267" s="16">
        <f>Demand_CWRS!D$11/30</f>
        <v>0</v>
      </c>
      <c r="N267" s="16">
        <f>Demand_CWRS!E$11/30</f>
        <v>107.84935897435898</v>
      </c>
      <c r="O267" s="16">
        <f>Demand_CWRS!F$11/30</f>
        <v>218.22274305555553</v>
      </c>
      <c r="P267" s="16">
        <f>Demand_CWRS!G$11/30</f>
        <v>118.04546474358973</v>
      </c>
      <c r="Q267" s="16">
        <f>Demand_CWRS!H$11/30</f>
        <v>491.39401709401704</v>
      </c>
      <c r="R267" s="16">
        <f>Demand_CWRS!I$11/30</f>
        <v>218.22274305555553</v>
      </c>
      <c r="S267" s="16">
        <f>Demand_CWRS!J$11/30</f>
        <v>218.22274305555553</v>
      </c>
      <c r="T267" s="16">
        <f>Demand_CWRS!K$11/30</f>
        <v>218.22274305555553</v>
      </c>
      <c r="U267" s="16">
        <f t="shared" si="123"/>
        <v>-34913.586970088763</v>
      </c>
      <c r="V267" s="16">
        <f t="shared" si="124"/>
        <v>-124581.10769230736</v>
      </c>
      <c r="W267" s="16">
        <f t="shared" si="125"/>
        <v>0</v>
      </c>
      <c r="X267" s="16">
        <f t="shared" si="126"/>
        <v>-29284.831037000884</v>
      </c>
      <c r="Y267" s="16">
        <f t="shared" si="127"/>
        <v>-57250.201855627267</v>
      </c>
      <c r="Z267" s="16">
        <f t="shared" si="128"/>
        <v>-34516.654446050357</v>
      </c>
      <c r="AA267" s="16">
        <f t="shared" si="129"/>
        <v>-124081.10769230736</v>
      </c>
      <c r="AB267" s="16">
        <f t="shared" si="130"/>
        <v>-54766.356374857984</v>
      </c>
      <c r="AC267" s="16">
        <f t="shared" si="131"/>
        <v>-54766.356374857976</v>
      </c>
      <c r="AD267" s="16">
        <f t="shared" si="132"/>
        <v>-55466.356374857969</v>
      </c>
      <c r="AE267" s="14">
        <f>IF([1]Sheet2!AJ266=999999,"NA",[1]Sheet2!AJ266)</f>
        <v>0</v>
      </c>
      <c r="AF267" s="14">
        <f>IF([1]Sheet2!AK266=999999,"NA",[1]Sheet2!AK266)</f>
        <v>0</v>
      </c>
      <c r="AG267" s="14" t="str">
        <f>IF([1]Sheet2!AL266=999999,"NA",[1]Sheet2!AL266)</f>
        <v>NA</v>
      </c>
      <c r="AH267" s="14">
        <f>IF([1]Sheet2!AM266=999999,"NA",[1]Sheet2!AM266)</f>
        <v>101</v>
      </c>
      <c r="AI267" s="14">
        <f>IF([1]Sheet2!AN266=999999,"NA",[1]Sheet2!AN266)</f>
        <v>101</v>
      </c>
      <c r="AJ267" s="14">
        <f>IF([1]Sheet2!AO266=999999,"NA",[1]Sheet2!AO266)</f>
        <v>101</v>
      </c>
      <c r="AK267" s="14">
        <f>IF([1]Sheet2!AP266=999999,"NA",[1]Sheet2!AP266)</f>
        <v>0</v>
      </c>
      <c r="AL267" s="14">
        <f>IF([1]Sheet2!AQ266=999999,"NA",[1]Sheet2!AQ266)</f>
        <v>0</v>
      </c>
      <c r="AM267" s="14">
        <f>IF([1]Sheet2!AR266=999999,"NA",[1]Sheet2!AR266)</f>
        <v>101</v>
      </c>
      <c r="AN267" s="14">
        <f>IF([1]Sheet2!AS266=999999,"NA",[1]Sheet2!AS266)</f>
        <v>52</v>
      </c>
      <c r="AO267" s="14">
        <f>[1]Sheet2!P266</f>
        <v>0</v>
      </c>
      <c r="AP267" s="14">
        <f>[1]Sheet2!Q266</f>
        <v>0</v>
      </c>
      <c r="AQ267" s="14">
        <f>[1]Sheet2!R266</f>
        <v>0</v>
      </c>
      <c r="AR267" s="14">
        <f>[1]Sheet2!S266</f>
        <v>0</v>
      </c>
      <c r="AS267" s="14">
        <f>[1]Sheet2!T266</f>
        <v>0</v>
      </c>
      <c r="AT267" s="14">
        <f>[1]Sheet2!U266</f>
        <v>0</v>
      </c>
      <c r="AU267" s="14">
        <f>[1]Sheet2!V266</f>
        <v>0</v>
      </c>
      <c r="AV267" s="14">
        <f>[1]Sheet2!W266</f>
        <v>0</v>
      </c>
      <c r="AW267" s="14">
        <f>[1]Sheet2!X266</f>
        <v>0</v>
      </c>
      <c r="AX267" s="14">
        <f>[1]Sheet2!Y266</f>
        <v>0</v>
      </c>
      <c r="AY267" s="16">
        <f>Demand_LP!B$11/30</f>
        <v>902.60591613247857</v>
      </c>
      <c r="AZ267" s="16">
        <f>Demand_LP!C$11/30</f>
        <v>593.76410256410259</v>
      </c>
      <c r="BA267" s="16">
        <f>Demand_LP!D$11/30</f>
        <v>290.27136752136749</v>
      </c>
      <c r="BB267" s="16">
        <f>Demand_LP!E$11/30</f>
        <v>790.42628205128199</v>
      </c>
      <c r="BC267" s="16">
        <f>Demand_LP!F$11/30</f>
        <v>538.46224626068363</v>
      </c>
      <c r="BD267" s="16">
        <f>Demand_LP!G$11/30</f>
        <v>902.60591613247857</v>
      </c>
      <c r="BE267" s="16">
        <f>Demand_LP!H$11/30</f>
        <v>593.76410256410259</v>
      </c>
      <c r="BF267" s="16">
        <f>Demand_LP!I$11/30</f>
        <v>538.46224626068363</v>
      </c>
      <c r="BG267" s="16">
        <f>Demand_LP!J$11/30</f>
        <v>538.46224626068363</v>
      </c>
      <c r="BH267" s="16">
        <f>Demand_LP!K$11/30</f>
        <v>538.46224626068363</v>
      </c>
      <c r="BI267" s="16" t="e">
        <f t="shared" si="133"/>
        <v>#VALUE!</v>
      </c>
      <c r="BJ267" s="16">
        <f t="shared" si="134"/>
        <v>-149755.18717948708</v>
      </c>
      <c r="BK267" s="16">
        <f t="shared" si="135"/>
        <v>-77460.298717948783</v>
      </c>
      <c r="BL267" s="16">
        <f t="shared" si="136"/>
        <v>-197719.63395812985</v>
      </c>
      <c r="BM267" s="16">
        <f t="shared" si="137"/>
        <v>-117229.87727553969</v>
      </c>
      <c r="BN267" s="16">
        <f t="shared" si="138"/>
        <v>-203800.48442043955</v>
      </c>
      <c r="BO267" s="16">
        <f t="shared" si="139"/>
        <v>-152112.76666666687</v>
      </c>
      <c r="BP267" s="16">
        <f t="shared" si="140"/>
        <v>-118341.5611939103</v>
      </c>
      <c r="BQ267" s="16">
        <f t="shared" si="141"/>
        <v>-115331.56119391034</v>
      </c>
      <c r="BR267" s="16">
        <f t="shared" si="142"/>
        <v>-116531.5611939103</v>
      </c>
      <c r="BS267" s="14">
        <f>IF([1]Sheet2!CA266=999999,"NA",[1]Sheet2!CA266)</f>
        <v>99947.438806089864</v>
      </c>
      <c r="BT267" s="14">
        <f>IF([1]Sheet2!CB266=999999,"NA",[1]Sheet2!CB266)</f>
        <v>31</v>
      </c>
      <c r="BU267" s="14">
        <f>IF([1]Sheet2!CC266=999999,"NA",[1]Sheet2!CC266)</f>
        <v>101</v>
      </c>
      <c r="BV267" s="14">
        <f>IF([1]Sheet2!CD266=999999,"NA",[1]Sheet2!CD266)</f>
        <v>101</v>
      </c>
      <c r="BW267" s="14">
        <f>IF([1]Sheet2!CE266=999999,"NA",[1]Sheet2!CE266)</f>
        <v>70</v>
      </c>
      <c r="BX267" s="14">
        <f>IF([1]Sheet2!CF266=999999,"NA",[1]Sheet2!CF266)</f>
        <v>101</v>
      </c>
      <c r="BY267" s="14">
        <f>IF([1]Sheet2!CG266=999999,"NA",[1]Sheet2!CG266)</f>
        <v>2</v>
      </c>
      <c r="BZ267" s="14">
        <f>IF([1]Sheet2!CH266=999999,"NA",[1]Sheet2!CH266)</f>
        <v>101</v>
      </c>
      <c r="CA267" s="14">
        <f>IF([1]Sheet2!CI266=999999,"NA",[1]Sheet2!CI266)</f>
        <v>101</v>
      </c>
      <c r="CB267" s="14">
        <f>IF([1]Sheet2!CJ266=999999,"NA",[1]Sheet2!CJ266)</f>
        <v>101</v>
      </c>
      <c r="CC267" s="14">
        <f>[1]Sheet2!BG266</f>
        <v>0</v>
      </c>
      <c r="CD267" s="14">
        <f>[1]Sheet2!BH266</f>
        <v>0</v>
      </c>
      <c r="CE267" s="14">
        <f>[1]Sheet2!BI266</f>
        <v>0</v>
      </c>
      <c r="CF267" s="14">
        <f>[1]Sheet2!BJ266</f>
        <v>0</v>
      </c>
      <c r="CG267" s="14">
        <f>[1]Sheet2!BK266</f>
        <v>0</v>
      </c>
      <c r="CH267" s="14">
        <f>[1]Sheet2!BL266</f>
        <v>0</v>
      </c>
      <c r="CI267" s="14">
        <f>[1]Sheet2!BM266</f>
        <v>0</v>
      </c>
      <c r="CJ267" s="14">
        <f>[1]Sheet2!BN266</f>
        <v>0</v>
      </c>
      <c r="CK267" s="14">
        <f>[1]Sheet2!BO266</f>
        <v>0</v>
      </c>
      <c r="CL267" s="14">
        <f>[1]Sheet2!BP266</f>
        <v>0</v>
      </c>
      <c r="CM267" s="16">
        <f>Demand_SW!B$11/30</f>
        <v>144.23076923076923</v>
      </c>
      <c r="CN267" s="16">
        <f>Demand_SW!C$11/30</f>
        <v>0</v>
      </c>
      <c r="CO267" s="16">
        <f>Demand_SW!D$11/30</f>
        <v>0</v>
      </c>
      <c r="CP267" s="16">
        <f>Demand_SW!E$11/30</f>
        <v>0</v>
      </c>
      <c r="CQ267" s="16">
        <f>Demand_SW!F$11/30</f>
        <v>0</v>
      </c>
      <c r="CR267" s="16">
        <f>Demand_SW!G$11/30</f>
        <v>144.23076923076923</v>
      </c>
      <c r="CS267" s="16">
        <f>Demand_SW!H$11/30</f>
        <v>0</v>
      </c>
      <c r="CT267" s="16">
        <f>Demand_SW!I$11/30</f>
        <v>0</v>
      </c>
      <c r="CU267" s="16">
        <f>Demand_SW!J$11/30</f>
        <v>0</v>
      </c>
      <c r="CV267" s="16">
        <f>Demand_SW!K$11/30</f>
        <v>0</v>
      </c>
      <c r="CW267" s="16">
        <f t="shared" si="143"/>
        <v>65250.38461538461</v>
      </c>
      <c r="CX267" s="16">
        <f t="shared" si="144"/>
        <v>20683.923076923078</v>
      </c>
      <c r="CY267" s="16">
        <f t="shared" si="145"/>
        <v>0</v>
      </c>
      <c r="CZ267" s="16">
        <f t="shared" si="146"/>
        <v>0</v>
      </c>
      <c r="DA267" s="16">
        <f t="shared" si="147"/>
        <v>0</v>
      </c>
      <c r="DB267" s="16">
        <f t="shared" si="148"/>
        <v>-34278.846153846127</v>
      </c>
      <c r="DC267" s="16">
        <f t="shared" si="149"/>
        <v>20683.923076923078</v>
      </c>
      <c r="DD267" s="16">
        <f t="shared" si="150"/>
        <v>0</v>
      </c>
      <c r="DE267" s="16">
        <f t="shared" si="151"/>
        <v>0</v>
      </c>
      <c r="DF267" s="16">
        <f t="shared" si="152"/>
        <v>0</v>
      </c>
      <c r="DG267" s="14">
        <f>IF([1]Sheet2!DR266=999999,"NA",[1]Sheet2!DR266)</f>
        <v>73103</v>
      </c>
      <c r="DH267" s="14">
        <f>IF([1]Sheet2!DS266=999999,"NA",[1]Sheet2!DS266)</f>
        <v>101</v>
      </c>
      <c r="DI267" s="14">
        <f>IF([1]Sheet2!DT266=999999,"NA",[1]Sheet2!DT266)</f>
        <v>101</v>
      </c>
      <c r="DJ267" s="14" t="str">
        <f>IF([1]Sheet2!DU266=999999,"NA",[1]Sheet2!DU266)</f>
        <v>NA</v>
      </c>
      <c r="DK267" s="14" t="str">
        <f>IF([1]Sheet2!DV266=999999,"NA",[1]Sheet2!DV266)</f>
        <v>NA</v>
      </c>
      <c r="DL267" s="14" t="str">
        <f>IF([1]Sheet2!DW266=999999,"NA",[1]Sheet2!DW266)</f>
        <v>NA</v>
      </c>
      <c r="DM267" s="14">
        <f>IF([1]Sheet2!DX266=999999,"NA",[1]Sheet2!DX266)</f>
        <v>101</v>
      </c>
      <c r="DN267" s="14">
        <f>IF([1]Sheet2!DY266=999999,"NA",[1]Sheet2!DY266)</f>
        <v>101</v>
      </c>
      <c r="DO267" s="14" t="str">
        <f>IF([1]Sheet2!DZ266=999999,"NA",[1]Sheet2!DZ266)</f>
        <v>NA</v>
      </c>
      <c r="DP267" s="14" t="str">
        <f>IF([1]Sheet2!EA266=999999,"NA",[1]Sheet2!EA266)</f>
        <v>NA</v>
      </c>
      <c r="DQ267" s="14">
        <f>[1]Sheet2!CX266</f>
        <v>0</v>
      </c>
      <c r="DR267" s="14">
        <f>[1]Sheet2!CY266</f>
        <v>0</v>
      </c>
      <c r="DS267" s="14">
        <f>[1]Sheet2!CZ266</f>
        <v>0</v>
      </c>
      <c r="DT267" s="14">
        <f>[1]Sheet2!DA266</f>
        <v>0</v>
      </c>
      <c r="DU267" s="14">
        <f>[1]Sheet2!DB266</f>
        <v>0</v>
      </c>
      <c r="DV267" s="14">
        <f>[1]Sheet2!DC266</f>
        <v>0</v>
      </c>
      <c r="DW267" s="14">
        <f>[1]Sheet2!DD266</f>
        <v>0</v>
      </c>
      <c r="DX267" s="14">
        <f>[1]Sheet2!DE266</f>
        <v>0</v>
      </c>
      <c r="DY267" s="14">
        <f>[1]Sheet2!DF266</f>
        <v>0</v>
      </c>
      <c r="DZ267" s="14">
        <f>[1]Sheet2!DG266</f>
        <v>0</v>
      </c>
    </row>
    <row r="268" spans="1:130" x14ac:dyDescent="0.25">
      <c r="A268" s="15">
        <v>43730</v>
      </c>
      <c r="B268" s="1"/>
      <c r="C268" s="1"/>
      <c r="D268" s="1"/>
      <c r="E268" s="14">
        <f>[1]Sheet2!N267</f>
        <v>0</v>
      </c>
      <c r="F268" s="14">
        <f>[1]Sheet2!BE267</f>
        <v>0</v>
      </c>
      <c r="G268" s="14">
        <f>[1]Sheet2!CV267</f>
        <v>288.46153846153851</v>
      </c>
      <c r="H268" s="1"/>
      <c r="I268" s="1"/>
      <c r="J268" s="1"/>
      <c r="K268" s="16">
        <f>Demand_CWRS!B$11/30</f>
        <v>118.04546474358973</v>
      </c>
      <c r="L268" s="16">
        <f>Demand_CWRS!C$11/30</f>
        <v>491.39401709401704</v>
      </c>
      <c r="M268" s="16">
        <f>Demand_CWRS!D$11/30</f>
        <v>0</v>
      </c>
      <c r="N268" s="16">
        <f>Demand_CWRS!E$11/30</f>
        <v>107.84935897435898</v>
      </c>
      <c r="O268" s="16">
        <f>Demand_CWRS!F$11/30</f>
        <v>218.22274305555553</v>
      </c>
      <c r="P268" s="16">
        <f>Demand_CWRS!G$11/30</f>
        <v>118.04546474358973</v>
      </c>
      <c r="Q268" s="16">
        <f>Demand_CWRS!H$11/30</f>
        <v>491.39401709401704</v>
      </c>
      <c r="R268" s="16">
        <f>Demand_CWRS!I$11/30</f>
        <v>218.22274305555553</v>
      </c>
      <c r="S268" s="16">
        <f>Demand_CWRS!J$11/30</f>
        <v>218.22274305555553</v>
      </c>
      <c r="T268" s="16">
        <f>Demand_CWRS!K$11/30</f>
        <v>218.22274305555553</v>
      </c>
      <c r="U268" s="16">
        <f t="shared" si="123"/>
        <v>-35031.632434832354</v>
      </c>
      <c r="V268" s="16">
        <f t="shared" si="124"/>
        <v>-125072.50170940137</v>
      </c>
      <c r="W268" s="16">
        <f t="shared" si="125"/>
        <v>0</v>
      </c>
      <c r="X268" s="16">
        <f t="shared" si="126"/>
        <v>-29392.680395975243</v>
      </c>
      <c r="Y268" s="16">
        <f t="shared" si="127"/>
        <v>-57468.424598682825</v>
      </c>
      <c r="Z268" s="16">
        <f t="shared" si="128"/>
        <v>-34634.699910793948</v>
      </c>
      <c r="AA268" s="16">
        <f t="shared" si="129"/>
        <v>-124572.50170940137</v>
      </c>
      <c r="AB268" s="16">
        <f t="shared" si="130"/>
        <v>-54984.579117913541</v>
      </c>
      <c r="AC268" s="16">
        <f t="shared" si="131"/>
        <v>-54984.579117913534</v>
      </c>
      <c r="AD268" s="16">
        <f t="shared" si="132"/>
        <v>-55684.579117913527</v>
      </c>
      <c r="AE268" s="14">
        <f>IF([1]Sheet2!AJ267=999999,"NA",[1]Sheet2!AJ267)</f>
        <v>0</v>
      </c>
      <c r="AF268" s="14">
        <f>IF([1]Sheet2!AK267=999999,"NA",[1]Sheet2!AK267)</f>
        <v>0</v>
      </c>
      <c r="AG268" s="14" t="str">
        <f>IF([1]Sheet2!AL267=999999,"NA",[1]Sheet2!AL267)</f>
        <v>NA</v>
      </c>
      <c r="AH268" s="14">
        <f>IF([1]Sheet2!AM267=999999,"NA",[1]Sheet2!AM267)</f>
        <v>100</v>
      </c>
      <c r="AI268" s="14">
        <f>IF([1]Sheet2!AN267=999999,"NA",[1]Sheet2!AN267)</f>
        <v>100</v>
      </c>
      <c r="AJ268" s="14">
        <f>IF([1]Sheet2!AO267=999999,"NA",[1]Sheet2!AO267)</f>
        <v>100</v>
      </c>
      <c r="AK268" s="14">
        <f>IF([1]Sheet2!AP267=999999,"NA",[1]Sheet2!AP267)</f>
        <v>0</v>
      </c>
      <c r="AL268" s="14">
        <f>IF([1]Sheet2!AQ267=999999,"NA",[1]Sheet2!AQ267)</f>
        <v>0</v>
      </c>
      <c r="AM268" s="14">
        <f>IF([1]Sheet2!AR267=999999,"NA",[1]Sheet2!AR267)</f>
        <v>100</v>
      </c>
      <c r="AN268" s="14">
        <f>IF([1]Sheet2!AS267=999999,"NA",[1]Sheet2!AS267)</f>
        <v>51</v>
      </c>
      <c r="AO268" s="14">
        <f>[1]Sheet2!P267</f>
        <v>0</v>
      </c>
      <c r="AP268" s="14">
        <f>[1]Sheet2!Q267</f>
        <v>0</v>
      </c>
      <c r="AQ268" s="14">
        <f>[1]Sheet2!R267</f>
        <v>0</v>
      </c>
      <c r="AR268" s="14">
        <f>[1]Sheet2!S267</f>
        <v>0</v>
      </c>
      <c r="AS268" s="14">
        <f>[1]Sheet2!T267</f>
        <v>0</v>
      </c>
      <c r="AT268" s="14">
        <f>[1]Sheet2!U267</f>
        <v>0</v>
      </c>
      <c r="AU268" s="14">
        <f>[1]Sheet2!V267</f>
        <v>0</v>
      </c>
      <c r="AV268" s="14">
        <f>[1]Sheet2!W267</f>
        <v>0</v>
      </c>
      <c r="AW268" s="14">
        <f>[1]Sheet2!X267</f>
        <v>0</v>
      </c>
      <c r="AX268" s="14">
        <f>[1]Sheet2!Y267</f>
        <v>0</v>
      </c>
      <c r="AY268" s="16">
        <f>Demand_LP!B$11/30</f>
        <v>902.60591613247857</v>
      </c>
      <c r="AZ268" s="16">
        <f>Demand_LP!C$11/30</f>
        <v>593.76410256410259</v>
      </c>
      <c r="BA268" s="16">
        <f>Demand_LP!D$11/30</f>
        <v>290.27136752136749</v>
      </c>
      <c r="BB268" s="16">
        <f>Demand_LP!E$11/30</f>
        <v>790.42628205128199</v>
      </c>
      <c r="BC268" s="16">
        <f>Demand_LP!F$11/30</f>
        <v>538.46224626068363</v>
      </c>
      <c r="BD268" s="16">
        <f>Demand_LP!G$11/30</f>
        <v>902.60591613247857</v>
      </c>
      <c r="BE268" s="16">
        <f>Demand_LP!H$11/30</f>
        <v>593.76410256410259</v>
      </c>
      <c r="BF268" s="16">
        <f>Demand_LP!I$11/30</f>
        <v>538.46224626068363</v>
      </c>
      <c r="BG268" s="16">
        <f>Demand_LP!J$11/30</f>
        <v>538.46224626068363</v>
      </c>
      <c r="BH268" s="16">
        <f>Demand_LP!K$11/30</f>
        <v>538.46224626068363</v>
      </c>
      <c r="BI268" s="16" t="e">
        <f t="shared" si="133"/>
        <v>#VALUE!</v>
      </c>
      <c r="BJ268" s="16">
        <f t="shared" si="134"/>
        <v>-150348.95128205119</v>
      </c>
      <c r="BK268" s="16">
        <f t="shared" si="135"/>
        <v>-77750.570085470157</v>
      </c>
      <c r="BL268" s="16">
        <f t="shared" si="136"/>
        <v>-198510.06024018113</v>
      </c>
      <c r="BM268" s="16">
        <f t="shared" si="137"/>
        <v>-117768.33952180037</v>
      </c>
      <c r="BN268" s="16">
        <f t="shared" si="138"/>
        <v>-204703.09033657203</v>
      </c>
      <c r="BO268" s="16">
        <f t="shared" si="139"/>
        <v>-152706.53076923097</v>
      </c>
      <c r="BP268" s="16">
        <f t="shared" si="140"/>
        <v>-118880.02344017097</v>
      </c>
      <c r="BQ268" s="16">
        <f t="shared" si="141"/>
        <v>-115870.02344017102</v>
      </c>
      <c r="BR268" s="16">
        <f t="shared" si="142"/>
        <v>-117070.02344017097</v>
      </c>
      <c r="BS268" s="14">
        <f>IF([1]Sheet2!CA267=999999,"NA",[1]Sheet2!CA267)</f>
        <v>99408.976559829185</v>
      </c>
      <c r="BT268" s="14">
        <f>IF([1]Sheet2!CB267=999999,"NA",[1]Sheet2!CB267)</f>
        <v>30</v>
      </c>
      <c r="BU268" s="14">
        <f>IF([1]Sheet2!CC267=999999,"NA",[1]Sheet2!CC267)</f>
        <v>100</v>
      </c>
      <c r="BV268" s="14">
        <f>IF([1]Sheet2!CD267=999999,"NA",[1]Sheet2!CD267)</f>
        <v>100</v>
      </c>
      <c r="BW268" s="14">
        <f>IF([1]Sheet2!CE267=999999,"NA",[1]Sheet2!CE267)</f>
        <v>69</v>
      </c>
      <c r="BX268" s="14">
        <f>IF([1]Sheet2!CF267=999999,"NA",[1]Sheet2!CF267)</f>
        <v>100</v>
      </c>
      <c r="BY268" s="14">
        <f>IF([1]Sheet2!CG267=999999,"NA",[1]Sheet2!CG267)</f>
        <v>1</v>
      </c>
      <c r="BZ268" s="14">
        <f>IF([1]Sheet2!CH267=999999,"NA",[1]Sheet2!CH267)</f>
        <v>100</v>
      </c>
      <c r="CA268" s="14">
        <f>IF([1]Sheet2!CI267=999999,"NA",[1]Sheet2!CI267)</f>
        <v>100</v>
      </c>
      <c r="CB268" s="14">
        <f>IF([1]Sheet2!CJ267=999999,"NA",[1]Sheet2!CJ267)</f>
        <v>100</v>
      </c>
      <c r="CC268" s="14">
        <f>[1]Sheet2!BG267</f>
        <v>0</v>
      </c>
      <c r="CD268" s="14">
        <f>[1]Sheet2!BH267</f>
        <v>0</v>
      </c>
      <c r="CE268" s="14">
        <f>[1]Sheet2!BI267</f>
        <v>0</v>
      </c>
      <c r="CF268" s="14">
        <f>[1]Sheet2!BJ267</f>
        <v>0</v>
      </c>
      <c r="CG268" s="14">
        <f>[1]Sheet2!BK267</f>
        <v>0</v>
      </c>
      <c r="CH268" s="14">
        <f>[1]Sheet2!BL267</f>
        <v>0</v>
      </c>
      <c r="CI268" s="14">
        <f>[1]Sheet2!BM267</f>
        <v>0</v>
      </c>
      <c r="CJ268" s="14">
        <f>[1]Sheet2!BN267</f>
        <v>0</v>
      </c>
      <c r="CK268" s="14">
        <f>[1]Sheet2!BO267</f>
        <v>0</v>
      </c>
      <c r="CL268" s="14">
        <f>[1]Sheet2!BP267</f>
        <v>0</v>
      </c>
      <c r="CM268" s="16">
        <f>Demand_SW!B$11/30</f>
        <v>144.23076923076923</v>
      </c>
      <c r="CN268" s="16">
        <f>Demand_SW!C$11/30</f>
        <v>0</v>
      </c>
      <c r="CO268" s="16">
        <f>Demand_SW!D$11/30</f>
        <v>0</v>
      </c>
      <c r="CP268" s="16">
        <f>Demand_SW!E$11/30</f>
        <v>0</v>
      </c>
      <c r="CQ268" s="16">
        <f>Demand_SW!F$11/30</f>
        <v>0</v>
      </c>
      <c r="CR268" s="16">
        <f>Demand_SW!G$11/30</f>
        <v>144.23076923076923</v>
      </c>
      <c r="CS268" s="16">
        <f>Demand_SW!H$11/30</f>
        <v>0</v>
      </c>
      <c r="CT268" s="16">
        <f>Demand_SW!I$11/30</f>
        <v>0</v>
      </c>
      <c r="CU268" s="16">
        <f>Demand_SW!J$11/30</f>
        <v>0</v>
      </c>
      <c r="CV268" s="16">
        <f>Demand_SW!K$11/30</f>
        <v>0</v>
      </c>
      <c r="CW268" s="16">
        <f t="shared" si="143"/>
        <v>65106.153846153844</v>
      </c>
      <c r="CX268" s="16">
        <f t="shared" si="144"/>
        <v>20683.923076923078</v>
      </c>
      <c r="CY268" s="16">
        <f t="shared" si="145"/>
        <v>0</v>
      </c>
      <c r="CZ268" s="16">
        <f t="shared" si="146"/>
        <v>0</v>
      </c>
      <c r="DA268" s="16">
        <f t="shared" si="147"/>
        <v>0</v>
      </c>
      <c r="DB268" s="16">
        <f t="shared" si="148"/>
        <v>-34423.076923076893</v>
      </c>
      <c r="DC268" s="16">
        <f t="shared" si="149"/>
        <v>20683.923076923078</v>
      </c>
      <c r="DD268" s="16">
        <f t="shared" si="150"/>
        <v>0</v>
      </c>
      <c r="DE268" s="16">
        <f t="shared" si="151"/>
        <v>0</v>
      </c>
      <c r="DF268" s="16">
        <f t="shared" si="152"/>
        <v>0</v>
      </c>
      <c r="DG268" s="14">
        <f>IF([1]Sheet2!DR267=999999,"NA",[1]Sheet2!DR267)</f>
        <v>73103</v>
      </c>
      <c r="DH268" s="14">
        <f>IF([1]Sheet2!DS267=999999,"NA",[1]Sheet2!DS267)</f>
        <v>100</v>
      </c>
      <c r="DI268" s="14">
        <f>IF([1]Sheet2!DT267=999999,"NA",[1]Sheet2!DT267)</f>
        <v>100</v>
      </c>
      <c r="DJ268" s="14" t="str">
        <f>IF([1]Sheet2!DU267=999999,"NA",[1]Sheet2!DU267)</f>
        <v>NA</v>
      </c>
      <c r="DK268" s="14" t="str">
        <f>IF([1]Sheet2!DV267=999999,"NA",[1]Sheet2!DV267)</f>
        <v>NA</v>
      </c>
      <c r="DL268" s="14" t="str">
        <f>IF([1]Sheet2!DW267=999999,"NA",[1]Sheet2!DW267)</f>
        <v>NA</v>
      </c>
      <c r="DM268" s="14">
        <f>IF([1]Sheet2!DX267=999999,"NA",[1]Sheet2!DX267)</f>
        <v>100</v>
      </c>
      <c r="DN268" s="14">
        <f>IF([1]Sheet2!DY267=999999,"NA",[1]Sheet2!DY267)</f>
        <v>100</v>
      </c>
      <c r="DO268" s="14" t="str">
        <f>IF([1]Sheet2!DZ267=999999,"NA",[1]Sheet2!DZ267)</f>
        <v>NA</v>
      </c>
      <c r="DP268" s="14" t="str">
        <f>IF([1]Sheet2!EA267=999999,"NA",[1]Sheet2!EA267)</f>
        <v>NA</v>
      </c>
      <c r="DQ268" s="14">
        <f>[1]Sheet2!CX267</f>
        <v>0</v>
      </c>
      <c r="DR268" s="14">
        <f>[1]Sheet2!CY267</f>
        <v>0</v>
      </c>
      <c r="DS268" s="14">
        <f>[1]Sheet2!CZ267</f>
        <v>0</v>
      </c>
      <c r="DT268" s="14">
        <f>[1]Sheet2!DA267</f>
        <v>0</v>
      </c>
      <c r="DU268" s="14">
        <f>[1]Sheet2!DB267</f>
        <v>0</v>
      </c>
      <c r="DV268" s="14">
        <f>[1]Sheet2!DC267</f>
        <v>0</v>
      </c>
      <c r="DW268" s="14">
        <f>[1]Sheet2!DD267</f>
        <v>0</v>
      </c>
      <c r="DX268" s="14">
        <f>[1]Sheet2!DE267</f>
        <v>0</v>
      </c>
      <c r="DY268" s="14">
        <f>[1]Sheet2!DF267</f>
        <v>0</v>
      </c>
      <c r="DZ268" s="14">
        <f>[1]Sheet2!DG267</f>
        <v>0</v>
      </c>
    </row>
    <row r="269" spans="1:130" x14ac:dyDescent="0.25">
      <c r="A269" s="15">
        <v>43731</v>
      </c>
      <c r="B269" s="1"/>
      <c r="C269" s="1"/>
      <c r="D269" s="1"/>
      <c r="E269" s="14">
        <f>[1]Sheet2!N268</f>
        <v>0</v>
      </c>
      <c r="F269" s="14">
        <f>[1]Sheet2!BE268</f>
        <v>0</v>
      </c>
      <c r="G269" s="14">
        <f>[1]Sheet2!CV268</f>
        <v>288.46153846153851</v>
      </c>
      <c r="H269" s="1"/>
      <c r="I269" s="1"/>
      <c r="J269" s="1"/>
      <c r="K269" s="16">
        <f>Demand_CWRS!B$11/30</f>
        <v>118.04546474358973</v>
      </c>
      <c r="L269" s="16">
        <f>Demand_CWRS!C$11/30</f>
        <v>491.39401709401704</v>
      </c>
      <c r="M269" s="16">
        <f>Demand_CWRS!D$11/30</f>
        <v>0</v>
      </c>
      <c r="N269" s="16">
        <f>Demand_CWRS!E$11/30</f>
        <v>107.84935897435898</v>
      </c>
      <c r="O269" s="16">
        <f>Demand_CWRS!F$11/30</f>
        <v>218.22274305555553</v>
      </c>
      <c r="P269" s="16">
        <f>Demand_CWRS!G$11/30</f>
        <v>118.04546474358973</v>
      </c>
      <c r="Q269" s="16">
        <f>Demand_CWRS!H$11/30</f>
        <v>491.39401709401704</v>
      </c>
      <c r="R269" s="16">
        <f>Demand_CWRS!I$11/30</f>
        <v>218.22274305555553</v>
      </c>
      <c r="S269" s="16">
        <f>Demand_CWRS!J$11/30</f>
        <v>218.22274305555553</v>
      </c>
      <c r="T269" s="16">
        <f>Demand_CWRS!K$11/30</f>
        <v>218.22274305555553</v>
      </c>
      <c r="U269" s="16">
        <f t="shared" si="123"/>
        <v>-35149.677899575945</v>
      </c>
      <c r="V269" s="16">
        <f t="shared" si="124"/>
        <v>-125563.89572649539</v>
      </c>
      <c r="W269" s="16">
        <f t="shared" si="125"/>
        <v>0</v>
      </c>
      <c r="X269" s="16">
        <f t="shared" si="126"/>
        <v>-29500.529754949603</v>
      </c>
      <c r="Y269" s="16">
        <f t="shared" si="127"/>
        <v>-57686.647341738382</v>
      </c>
      <c r="Z269" s="16">
        <f t="shared" si="128"/>
        <v>-34752.745375537539</v>
      </c>
      <c r="AA269" s="16">
        <f t="shared" si="129"/>
        <v>-125063.89572649539</v>
      </c>
      <c r="AB269" s="16">
        <f t="shared" si="130"/>
        <v>-55202.801860969099</v>
      </c>
      <c r="AC269" s="16">
        <f t="shared" si="131"/>
        <v>-55202.801860969092</v>
      </c>
      <c r="AD269" s="16">
        <f t="shared" si="132"/>
        <v>-55902.801860969084</v>
      </c>
      <c r="AE269" s="14">
        <f>IF([1]Sheet2!AJ268=999999,"NA",[1]Sheet2!AJ268)</f>
        <v>0</v>
      </c>
      <c r="AF269" s="14">
        <f>IF([1]Sheet2!AK268=999999,"NA",[1]Sheet2!AK268)</f>
        <v>0</v>
      </c>
      <c r="AG269" s="14" t="str">
        <f>IF([1]Sheet2!AL268=999999,"NA",[1]Sheet2!AL268)</f>
        <v>NA</v>
      </c>
      <c r="AH269" s="14">
        <f>IF([1]Sheet2!AM268=999999,"NA",[1]Sheet2!AM268)</f>
        <v>99</v>
      </c>
      <c r="AI269" s="14">
        <f>IF([1]Sheet2!AN268=999999,"NA",[1]Sheet2!AN268)</f>
        <v>99</v>
      </c>
      <c r="AJ269" s="14">
        <f>IF([1]Sheet2!AO268=999999,"NA",[1]Sheet2!AO268)</f>
        <v>99</v>
      </c>
      <c r="AK269" s="14">
        <f>IF([1]Sheet2!AP268=999999,"NA",[1]Sheet2!AP268)</f>
        <v>0</v>
      </c>
      <c r="AL269" s="14">
        <f>IF([1]Sheet2!AQ268=999999,"NA",[1]Sheet2!AQ268)</f>
        <v>0</v>
      </c>
      <c r="AM269" s="14">
        <f>IF([1]Sheet2!AR268=999999,"NA",[1]Sheet2!AR268)</f>
        <v>99</v>
      </c>
      <c r="AN269" s="14">
        <f>IF([1]Sheet2!AS268=999999,"NA",[1]Sheet2!AS268)</f>
        <v>50</v>
      </c>
      <c r="AO269" s="14">
        <f>[1]Sheet2!P268</f>
        <v>0</v>
      </c>
      <c r="AP269" s="14">
        <f>[1]Sheet2!Q268</f>
        <v>0</v>
      </c>
      <c r="AQ269" s="14">
        <f>[1]Sheet2!R268</f>
        <v>0</v>
      </c>
      <c r="AR269" s="14">
        <f>[1]Sheet2!S268</f>
        <v>0</v>
      </c>
      <c r="AS269" s="14">
        <f>[1]Sheet2!T268</f>
        <v>0</v>
      </c>
      <c r="AT269" s="14">
        <f>[1]Sheet2!U268</f>
        <v>0</v>
      </c>
      <c r="AU269" s="14">
        <f>[1]Sheet2!V268</f>
        <v>0</v>
      </c>
      <c r="AV269" s="14">
        <f>[1]Sheet2!W268</f>
        <v>0</v>
      </c>
      <c r="AW269" s="14">
        <f>[1]Sheet2!X268</f>
        <v>0</v>
      </c>
      <c r="AX269" s="14">
        <f>[1]Sheet2!Y268</f>
        <v>0</v>
      </c>
      <c r="AY269" s="16">
        <f>Demand_LP!B$11/30</f>
        <v>902.60591613247857</v>
      </c>
      <c r="AZ269" s="16">
        <f>Demand_LP!C$11/30</f>
        <v>593.76410256410259</v>
      </c>
      <c r="BA269" s="16">
        <f>Demand_LP!D$11/30</f>
        <v>290.27136752136749</v>
      </c>
      <c r="BB269" s="16">
        <f>Demand_LP!E$11/30</f>
        <v>790.42628205128199</v>
      </c>
      <c r="BC269" s="16">
        <f>Demand_LP!F$11/30</f>
        <v>538.46224626068363</v>
      </c>
      <c r="BD269" s="16">
        <f>Demand_LP!G$11/30</f>
        <v>902.60591613247857</v>
      </c>
      <c r="BE269" s="16">
        <f>Demand_LP!H$11/30</f>
        <v>593.76410256410259</v>
      </c>
      <c r="BF269" s="16">
        <f>Demand_LP!I$11/30</f>
        <v>538.46224626068363</v>
      </c>
      <c r="BG269" s="16">
        <f>Demand_LP!J$11/30</f>
        <v>538.46224626068363</v>
      </c>
      <c r="BH269" s="16">
        <f>Demand_LP!K$11/30</f>
        <v>538.46224626068363</v>
      </c>
      <c r="BI269" s="16" t="e">
        <f t="shared" si="133"/>
        <v>#VALUE!</v>
      </c>
      <c r="BJ269" s="16">
        <f t="shared" si="134"/>
        <v>-150942.71538461529</v>
      </c>
      <c r="BK269" s="16">
        <f t="shared" si="135"/>
        <v>-78040.841452991532</v>
      </c>
      <c r="BL269" s="16">
        <f t="shared" si="136"/>
        <v>-199300.48652223242</v>
      </c>
      <c r="BM269" s="16">
        <f t="shared" si="137"/>
        <v>-118306.80176806105</v>
      </c>
      <c r="BN269" s="16">
        <f t="shared" si="138"/>
        <v>-205605.69625270451</v>
      </c>
      <c r="BO269" s="16">
        <f t="shared" si="139"/>
        <v>-153300.29487179508</v>
      </c>
      <c r="BP269" s="16">
        <f t="shared" si="140"/>
        <v>-119418.48568643165</v>
      </c>
      <c r="BQ269" s="16">
        <f t="shared" si="141"/>
        <v>-116408.4856864317</v>
      </c>
      <c r="BR269" s="16">
        <f t="shared" si="142"/>
        <v>-117608.48568643165</v>
      </c>
      <c r="BS269" s="14">
        <f>IF([1]Sheet2!CA268=999999,"NA",[1]Sheet2!CA268)</f>
        <v>98870.514313568507</v>
      </c>
      <c r="BT269" s="14">
        <f>IF([1]Sheet2!CB268=999999,"NA",[1]Sheet2!CB268)</f>
        <v>29</v>
      </c>
      <c r="BU269" s="14">
        <f>IF([1]Sheet2!CC268=999999,"NA",[1]Sheet2!CC268)</f>
        <v>99</v>
      </c>
      <c r="BV269" s="14">
        <f>IF([1]Sheet2!CD268=999999,"NA",[1]Sheet2!CD268)</f>
        <v>99</v>
      </c>
      <c r="BW269" s="14">
        <f>IF([1]Sheet2!CE268=999999,"NA",[1]Sheet2!CE268)</f>
        <v>68</v>
      </c>
      <c r="BX269" s="14">
        <f>IF([1]Sheet2!CF268=999999,"NA",[1]Sheet2!CF268)</f>
        <v>99</v>
      </c>
      <c r="BY269" s="14">
        <f>IF([1]Sheet2!CG268=999999,"NA",[1]Sheet2!CG268)</f>
        <v>0</v>
      </c>
      <c r="BZ269" s="14">
        <f>IF([1]Sheet2!CH268=999999,"NA",[1]Sheet2!CH268)</f>
        <v>99</v>
      </c>
      <c r="CA269" s="14">
        <f>IF([1]Sheet2!CI268=999999,"NA",[1]Sheet2!CI268)</f>
        <v>99</v>
      </c>
      <c r="CB269" s="14">
        <f>IF([1]Sheet2!CJ268=999999,"NA",[1]Sheet2!CJ268)</f>
        <v>99</v>
      </c>
      <c r="CC269" s="14">
        <f>[1]Sheet2!BG268</f>
        <v>0</v>
      </c>
      <c r="CD269" s="14">
        <f>[1]Sheet2!BH268</f>
        <v>0</v>
      </c>
      <c r="CE269" s="14">
        <f>[1]Sheet2!BI268</f>
        <v>0</v>
      </c>
      <c r="CF269" s="14">
        <f>[1]Sheet2!BJ268</f>
        <v>0</v>
      </c>
      <c r="CG269" s="14">
        <f>[1]Sheet2!BK268</f>
        <v>0</v>
      </c>
      <c r="CH269" s="14">
        <f>[1]Sheet2!BL268</f>
        <v>0</v>
      </c>
      <c r="CI269" s="14">
        <f>[1]Sheet2!BM268</f>
        <v>0</v>
      </c>
      <c r="CJ269" s="14">
        <f>[1]Sheet2!BN268</f>
        <v>0</v>
      </c>
      <c r="CK269" s="14">
        <f>[1]Sheet2!BO268</f>
        <v>0</v>
      </c>
      <c r="CL269" s="14">
        <f>[1]Sheet2!BP268</f>
        <v>0</v>
      </c>
      <c r="CM269" s="16">
        <f>Demand_SW!B$11/30</f>
        <v>144.23076923076923</v>
      </c>
      <c r="CN269" s="16">
        <f>Demand_SW!C$11/30</f>
        <v>0</v>
      </c>
      <c r="CO269" s="16">
        <f>Demand_SW!D$11/30</f>
        <v>0</v>
      </c>
      <c r="CP269" s="16">
        <f>Demand_SW!E$11/30</f>
        <v>0</v>
      </c>
      <c r="CQ269" s="16">
        <f>Demand_SW!F$11/30</f>
        <v>0</v>
      </c>
      <c r="CR269" s="16">
        <f>Demand_SW!G$11/30</f>
        <v>144.23076923076923</v>
      </c>
      <c r="CS269" s="16">
        <f>Demand_SW!H$11/30</f>
        <v>0</v>
      </c>
      <c r="CT269" s="16">
        <f>Demand_SW!I$11/30</f>
        <v>0</v>
      </c>
      <c r="CU269" s="16">
        <f>Demand_SW!J$11/30</f>
        <v>0</v>
      </c>
      <c r="CV269" s="16">
        <f>Demand_SW!K$11/30</f>
        <v>0</v>
      </c>
      <c r="CW269" s="16">
        <f t="shared" si="143"/>
        <v>64961.923076923078</v>
      </c>
      <c r="CX269" s="16">
        <f t="shared" si="144"/>
        <v>20683.923076923078</v>
      </c>
      <c r="CY269" s="16">
        <f t="shared" si="145"/>
        <v>0</v>
      </c>
      <c r="CZ269" s="16">
        <f t="shared" si="146"/>
        <v>0</v>
      </c>
      <c r="DA269" s="16">
        <f t="shared" si="147"/>
        <v>0</v>
      </c>
      <c r="DB269" s="16">
        <f t="shared" si="148"/>
        <v>-34567.307692307659</v>
      </c>
      <c r="DC269" s="16">
        <f t="shared" si="149"/>
        <v>20683.923076923078</v>
      </c>
      <c r="DD269" s="16">
        <f t="shared" si="150"/>
        <v>0</v>
      </c>
      <c r="DE269" s="16">
        <f t="shared" si="151"/>
        <v>0</v>
      </c>
      <c r="DF269" s="16">
        <f t="shared" si="152"/>
        <v>0</v>
      </c>
      <c r="DG269" s="14">
        <f>IF([1]Sheet2!DR268=999999,"NA",[1]Sheet2!DR268)</f>
        <v>73103</v>
      </c>
      <c r="DH269" s="14">
        <f>IF([1]Sheet2!DS268=999999,"NA",[1]Sheet2!DS268)</f>
        <v>99</v>
      </c>
      <c r="DI269" s="14">
        <f>IF([1]Sheet2!DT268=999999,"NA",[1]Sheet2!DT268)</f>
        <v>99</v>
      </c>
      <c r="DJ269" s="14" t="str">
        <f>IF([1]Sheet2!DU268=999999,"NA",[1]Sheet2!DU268)</f>
        <v>NA</v>
      </c>
      <c r="DK269" s="14" t="str">
        <f>IF([1]Sheet2!DV268=999999,"NA",[1]Sheet2!DV268)</f>
        <v>NA</v>
      </c>
      <c r="DL269" s="14" t="str">
        <f>IF([1]Sheet2!DW268=999999,"NA",[1]Sheet2!DW268)</f>
        <v>NA</v>
      </c>
      <c r="DM269" s="14">
        <f>IF([1]Sheet2!DX268=999999,"NA",[1]Sheet2!DX268)</f>
        <v>99</v>
      </c>
      <c r="DN269" s="14">
        <f>IF([1]Sheet2!DY268=999999,"NA",[1]Sheet2!DY268)</f>
        <v>99</v>
      </c>
      <c r="DO269" s="14" t="str">
        <f>IF([1]Sheet2!DZ268=999999,"NA",[1]Sheet2!DZ268)</f>
        <v>NA</v>
      </c>
      <c r="DP269" s="14" t="str">
        <f>IF([1]Sheet2!EA268=999999,"NA",[1]Sheet2!EA268)</f>
        <v>NA</v>
      </c>
      <c r="DQ269" s="14">
        <f>[1]Sheet2!CX268</f>
        <v>0</v>
      </c>
      <c r="DR269" s="14">
        <f>[1]Sheet2!CY268</f>
        <v>0</v>
      </c>
      <c r="DS269" s="14">
        <f>[1]Sheet2!CZ268</f>
        <v>0</v>
      </c>
      <c r="DT269" s="14">
        <f>[1]Sheet2!DA268</f>
        <v>0</v>
      </c>
      <c r="DU269" s="14">
        <f>[1]Sheet2!DB268</f>
        <v>0</v>
      </c>
      <c r="DV269" s="14">
        <f>[1]Sheet2!DC268</f>
        <v>0</v>
      </c>
      <c r="DW269" s="14">
        <f>[1]Sheet2!DD268</f>
        <v>0</v>
      </c>
      <c r="DX269" s="14">
        <f>[1]Sheet2!DE268</f>
        <v>0</v>
      </c>
      <c r="DY269" s="14">
        <f>[1]Sheet2!DF268</f>
        <v>0</v>
      </c>
      <c r="DZ269" s="14">
        <f>[1]Sheet2!DG268</f>
        <v>0</v>
      </c>
    </row>
    <row r="270" spans="1:130" x14ac:dyDescent="0.25">
      <c r="A270" s="15">
        <v>43732</v>
      </c>
      <c r="B270" s="1"/>
      <c r="C270" s="1"/>
      <c r="D270" s="1"/>
      <c r="E270" s="14">
        <f>[1]Sheet2!N269</f>
        <v>0</v>
      </c>
      <c r="F270" s="14">
        <f>[1]Sheet2!BE269</f>
        <v>0</v>
      </c>
      <c r="G270" s="14">
        <f>[1]Sheet2!CV269</f>
        <v>288.46153846153851</v>
      </c>
      <c r="H270" s="1"/>
      <c r="I270" s="1"/>
      <c r="J270" s="1"/>
      <c r="K270" s="16">
        <f>Demand_CWRS!B$11/30</f>
        <v>118.04546474358973</v>
      </c>
      <c r="L270" s="16">
        <f>Demand_CWRS!C$11/30</f>
        <v>491.39401709401704</v>
      </c>
      <c r="M270" s="16">
        <f>Demand_CWRS!D$11/30</f>
        <v>0</v>
      </c>
      <c r="N270" s="16">
        <f>Demand_CWRS!E$11/30</f>
        <v>107.84935897435898</v>
      </c>
      <c r="O270" s="16">
        <f>Demand_CWRS!F$11/30</f>
        <v>218.22274305555553</v>
      </c>
      <c r="P270" s="16">
        <f>Demand_CWRS!G$11/30</f>
        <v>118.04546474358973</v>
      </c>
      <c r="Q270" s="16">
        <f>Demand_CWRS!H$11/30</f>
        <v>491.39401709401704</v>
      </c>
      <c r="R270" s="16">
        <f>Demand_CWRS!I$11/30</f>
        <v>218.22274305555553</v>
      </c>
      <c r="S270" s="16">
        <f>Demand_CWRS!J$11/30</f>
        <v>218.22274305555553</v>
      </c>
      <c r="T270" s="16">
        <f>Demand_CWRS!K$11/30</f>
        <v>218.22274305555553</v>
      </c>
      <c r="U270" s="16">
        <f t="shared" si="123"/>
        <v>-35267.723364319536</v>
      </c>
      <c r="V270" s="16">
        <f t="shared" si="124"/>
        <v>-126055.28974358941</v>
      </c>
      <c r="W270" s="16">
        <f t="shared" si="125"/>
        <v>0</v>
      </c>
      <c r="X270" s="16">
        <f t="shared" si="126"/>
        <v>-29608.379113923962</v>
      </c>
      <c r="Y270" s="16">
        <f t="shared" si="127"/>
        <v>-57904.87008479394</v>
      </c>
      <c r="Z270" s="16">
        <f t="shared" si="128"/>
        <v>-34870.79084028113</v>
      </c>
      <c r="AA270" s="16">
        <f t="shared" si="129"/>
        <v>-125555.28974358941</v>
      </c>
      <c r="AB270" s="16">
        <f t="shared" si="130"/>
        <v>-55421.024604024657</v>
      </c>
      <c r="AC270" s="16">
        <f t="shared" si="131"/>
        <v>-55421.024604024649</v>
      </c>
      <c r="AD270" s="16">
        <f t="shared" si="132"/>
        <v>-56121.024604024642</v>
      </c>
      <c r="AE270" s="14">
        <f>IF([1]Sheet2!AJ269=999999,"NA",[1]Sheet2!AJ269)</f>
        <v>0</v>
      </c>
      <c r="AF270" s="14">
        <f>IF([1]Sheet2!AK269=999999,"NA",[1]Sheet2!AK269)</f>
        <v>0</v>
      </c>
      <c r="AG270" s="14" t="str">
        <f>IF([1]Sheet2!AL269=999999,"NA",[1]Sheet2!AL269)</f>
        <v>NA</v>
      </c>
      <c r="AH270" s="14">
        <f>IF([1]Sheet2!AM269=999999,"NA",[1]Sheet2!AM269)</f>
        <v>98</v>
      </c>
      <c r="AI270" s="14">
        <f>IF([1]Sheet2!AN269=999999,"NA",[1]Sheet2!AN269)</f>
        <v>98</v>
      </c>
      <c r="AJ270" s="14">
        <f>IF([1]Sheet2!AO269=999999,"NA",[1]Sheet2!AO269)</f>
        <v>98</v>
      </c>
      <c r="AK270" s="14">
        <f>IF([1]Sheet2!AP269=999999,"NA",[1]Sheet2!AP269)</f>
        <v>0</v>
      </c>
      <c r="AL270" s="14">
        <f>IF([1]Sheet2!AQ269=999999,"NA",[1]Sheet2!AQ269)</f>
        <v>0</v>
      </c>
      <c r="AM270" s="14">
        <f>IF([1]Sheet2!AR269=999999,"NA",[1]Sheet2!AR269)</f>
        <v>98</v>
      </c>
      <c r="AN270" s="14">
        <f>IF([1]Sheet2!AS269=999999,"NA",[1]Sheet2!AS269)</f>
        <v>49</v>
      </c>
      <c r="AO270" s="14">
        <f>[1]Sheet2!P269</f>
        <v>0</v>
      </c>
      <c r="AP270" s="14">
        <f>[1]Sheet2!Q269</f>
        <v>0</v>
      </c>
      <c r="AQ270" s="14">
        <f>[1]Sheet2!R269</f>
        <v>0</v>
      </c>
      <c r="AR270" s="14">
        <f>[1]Sheet2!S269</f>
        <v>0</v>
      </c>
      <c r="AS270" s="14">
        <f>[1]Sheet2!T269</f>
        <v>0</v>
      </c>
      <c r="AT270" s="14">
        <f>[1]Sheet2!U269</f>
        <v>0</v>
      </c>
      <c r="AU270" s="14">
        <f>[1]Sheet2!V269</f>
        <v>0</v>
      </c>
      <c r="AV270" s="14">
        <f>[1]Sheet2!W269</f>
        <v>0</v>
      </c>
      <c r="AW270" s="14">
        <f>[1]Sheet2!X269</f>
        <v>0</v>
      </c>
      <c r="AX270" s="14">
        <f>[1]Sheet2!Y269</f>
        <v>0</v>
      </c>
      <c r="AY270" s="16">
        <f>Demand_LP!B$11/30</f>
        <v>902.60591613247857</v>
      </c>
      <c r="AZ270" s="16">
        <f>Demand_LP!C$11/30</f>
        <v>593.76410256410259</v>
      </c>
      <c r="BA270" s="16">
        <f>Demand_LP!D$11/30</f>
        <v>290.27136752136749</v>
      </c>
      <c r="BB270" s="16">
        <f>Demand_LP!E$11/30</f>
        <v>790.42628205128199</v>
      </c>
      <c r="BC270" s="16">
        <f>Demand_LP!F$11/30</f>
        <v>538.46224626068363</v>
      </c>
      <c r="BD270" s="16">
        <f>Demand_LP!G$11/30</f>
        <v>902.60591613247857</v>
      </c>
      <c r="BE270" s="16">
        <f>Demand_LP!H$11/30</f>
        <v>593.76410256410259</v>
      </c>
      <c r="BF270" s="16">
        <f>Demand_LP!I$11/30</f>
        <v>538.46224626068363</v>
      </c>
      <c r="BG270" s="16">
        <f>Demand_LP!J$11/30</f>
        <v>538.46224626068363</v>
      </c>
      <c r="BH270" s="16">
        <f>Demand_LP!K$11/30</f>
        <v>538.46224626068363</v>
      </c>
      <c r="BI270" s="16" t="e">
        <f t="shared" si="133"/>
        <v>#VALUE!</v>
      </c>
      <c r="BJ270" s="16">
        <f t="shared" si="134"/>
        <v>-151536.4794871794</v>
      </c>
      <c r="BK270" s="16">
        <f t="shared" si="135"/>
        <v>-78331.112820512906</v>
      </c>
      <c r="BL270" s="16">
        <f t="shared" si="136"/>
        <v>-200090.9128042837</v>
      </c>
      <c r="BM270" s="16">
        <f t="shared" si="137"/>
        <v>-118845.26401432173</v>
      </c>
      <c r="BN270" s="16">
        <f t="shared" si="138"/>
        <v>-206508.30216883699</v>
      </c>
      <c r="BO270" s="16">
        <f t="shared" si="139"/>
        <v>-153894.05897435918</v>
      </c>
      <c r="BP270" s="16">
        <f t="shared" si="140"/>
        <v>-119956.94793269233</v>
      </c>
      <c r="BQ270" s="16">
        <f t="shared" si="141"/>
        <v>-116946.94793269238</v>
      </c>
      <c r="BR270" s="16">
        <f t="shared" si="142"/>
        <v>-118146.94793269233</v>
      </c>
      <c r="BS270" s="14">
        <f>IF([1]Sheet2!CA269=999999,"NA",[1]Sheet2!CA269)</f>
        <v>98332.052067307828</v>
      </c>
      <c r="BT270" s="14">
        <f>IF([1]Sheet2!CB269=999999,"NA",[1]Sheet2!CB269)</f>
        <v>28</v>
      </c>
      <c r="BU270" s="14">
        <f>IF([1]Sheet2!CC269=999999,"NA",[1]Sheet2!CC269)</f>
        <v>98</v>
      </c>
      <c r="BV270" s="14">
        <f>IF([1]Sheet2!CD269=999999,"NA",[1]Sheet2!CD269)</f>
        <v>98</v>
      </c>
      <c r="BW270" s="14">
        <f>IF([1]Sheet2!CE269=999999,"NA",[1]Sheet2!CE269)</f>
        <v>67</v>
      </c>
      <c r="BX270" s="14">
        <f>IF([1]Sheet2!CF269=999999,"NA",[1]Sheet2!CF269)</f>
        <v>98</v>
      </c>
      <c r="BY270" s="14">
        <f>IF([1]Sheet2!CG269=999999,"NA",[1]Sheet2!CG269)</f>
        <v>0</v>
      </c>
      <c r="BZ270" s="14">
        <f>IF([1]Sheet2!CH269=999999,"NA",[1]Sheet2!CH269)</f>
        <v>98</v>
      </c>
      <c r="CA270" s="14">
        <f>IF([1]Sheet2!CI269=999999,"NA",[1]Sheet2!CI269)</f>
        <v>98</v>
      </c>
      <c r="CB270" s="14">
        <f>IF([1]Sheet2!CJ269=999999,"NA",[1]Sheet2!CJ269)</f>
        <v>98</v>
      </c>
      <c r="CC270" s="14">
        <f>[1]Sheet2!BG269</f>
        <v>0</v>
      </c>
      <c r="CD270" s="14">
        <f>[1]Sheet2!BH269</f>
        <v>0</v>
      </c>
      <c r="CE270" s="14">
        <f>[1]Sheet2!BI269</f>
        <v>0</v>
      </c>
      <c r="CF270" s="14">
        <f>[1]Sheet2!BJ269</f>
        <v>0</v>
      </c>
      <c r="CG270" s="14">
        <f>[1]Sheet2!BK269</f>
        <v>0</v>
      </c>
      <c r="CH270" s="14">
        <f>[1]Sheet2!BL269</f>
        <v>0</v>
      </c>
      <c r="CI270" s="14">
        <f>[1]Sheet2!BM269</f>
        <v>0</v>
      </c>
      <c r="CJ270" s="14">
        <f>[1]Sheet2!BN269</f>
        <v>0</v>
      </c>
      <c r="CK270" s="14">
        <f>[1]Sheet2!BO269</f>
        <v>0</v>
      </c>
      <c r="CL270" s="14">
        <f>[1]Sheet2!BP269</f>
        <v>0</v>
      </c>
      <c r="CM270" s="16">
        <f>Demand_SW!B$11/30</f>
        <v>144.23076923076923</v>
      </c>
      <c r="CN270" s="16">
        <f>Demand_SW!C$11/30</f>
        <v>0</v>
      </c>
      <c r="CO270" s="16">
        <f>Demand_SW!D$11/30</f>
        <v>0</v>
      </c>
      <c r="CP270" s="16">
        <f>Demand_SW!E$11/30</f>
        <v>0</v>
      </c>
      <c r="CQ270" s="16">
        <f>Demand_SW!F$11/30</f>
        <v>0</v>
      </c>
      <c r="CR270" s="16">
        <f>Demand_SW!G$11/30</f>
        <v>144.23076923076923</v>
      </c>
      <c r="CS270" s="16">
        <f>Demand_SW!H$11/30</f>
        <v>0</v>
      </c>
      <c r="CT270" s="16">
        <f>Demand_SW!I$11/30</f>
        <v>0</v>
      </c>
      <c r="CU270" s="16">
        <f>Demand_SW!J$11/30</f>
        <v>0</v>
      </c>
      <c r="CV270" s="16">
        <f>Demand_SW!K$11/30</f>
        <v>0</v>
      </c>
      <c r="CW270" s="16">
        <f t="shared" si="143"/>
        <v>64817.692307692312</v>
      </c>
      <c r="CX270" s="16">
        <f t="shared" si="144"/>
        <v>20683.923076923078</v>
      </c>
      <c r="CY270" s="16">
        <f t="shared" si="145"/>
        <v>0</v>
      </c>
      <c r="CZ270" s="16">
        <f t="shared" si="146"/>
        <v>0</v>
      </c>
      <c r="DA270" s="16">
        <f t="shared" si="147"/>
        <v>0</v>
      </c>
      <c r="DB270" s="16">
        <f t="shared" si="148"/>
        <v>-34711.538461538425</v>
      </c>
      <c r="DC270" s="16">
        <f t="shared" si="149"/>
        <v>20683.923076923078</v>
      </c>
      <c r="DD270" s="16">
        <f t="shared" si="150"/>
        <v>0</v>
      </c>
      <c r="DE270" s="16">
        <f t="shared" si="151"/>
        <v>0</v>
      </c>
      <c r="DF270" s="16">
        <f t="shared" si="152"/>
        <v>0</v>
      </c>
      <c r="DG270" s="14">
        <f>IF([1]Sheet2!DR269=999999,"NA",[1]Sheet2!DR269)</f>
        <v>73103</v>
      </c>
      <c r="DH270" s="14">
        <f>IF([1]Sheet2!DS269=999999,"NA",[1]Sheet2!DS269)</f>
        <v>98</v>
      </c>
      <c r="DI270" s="14">
        <f>IF([1]Sheet2!DT269=999999,"NA",[1]Sheet2!DT269)</f>
        <v>98</v>
      </c>
      <c r="DJ270" s="14" t="str">
        <f>IF([1]Sheet2!DU269=999999,"NA",[1]Sheet2!DU269)</f>
        <v>NA</v>
      </c>
      <c r="DK270" s="14" t="str">
        <f>IF([1]Sheet2!DV269=999999,"NA",[1]Sheet2!DV269)</f>
        <v>NA</v>
      </c>
      <c r="DL270" s="14" t="str">
        <f>IF([1]Sheet2!DW269=999999,"NA",[1]Sheet2!DW269)</f>
        <v>NA</v>
      </c>
      <c r="DM270" s="14">
        <f>IF([1]Sheet2!DX269=999999,"NA",[1]Sheet2!DX269)</f>
        <v>98</v>
      </c>
      <c r="DN270" s="14">
        <f>IF([1]Sheet2!DY269=999999,"NA",[1]Sheet2!DY269)</f>
        <v>98</v>
      </c>
      <c r="DO270" s="14" t="str">
        <f>IF([1]Sheet2!DZ269=999999,"NA",[1]Sheet2!DZ269)</f>
        <v>NA</v>
      </c>
      <c r="DP270" s="14" t="str">
        <f>IF([1]Sheet2!EA269=999999,"NA",[1]Sheet2!EA269)</f>
        <v>NA</v>
      </c>
      <c r="DQ270" s="14">
        <f>[1]Sheet2!CX269</f>
        <v>0</v>
      </c>
      <c r="DR270" s="14">
        <f>[1]Sheet2!CY269</f>
        <v>0</v>
      </c>
      <c r="DS270" s="14">
        <f>[1]Sheet2!CZ269</f>
        <v>0</v>
      </c>
      <c r="DT270" s="14">
        <f>[1]Sheet2!DA269</f>
        <v>0</v>
      </c>
      <c r="DU270" s="14">
        <f>[1]Sheet2!DB269</f>
        <v>0</v>
      </c>
      <c r="DV270" s="14">
        <f>[1]Sheet2!DC269</f>
        <v>0</v>
      </c>
      <c r="DW270" s="14">
        <f>[1]Sheet2!DD269</f>
        <v>0</v>
      </c>
      <c r="DX270" s="14">
        <f>[1]Sheet2!DE269</f>
        <v>0</v>
      </c>
      <c r="DY270" s="14">
        <f>[1]Sheet2!DF269</f>
        <v>0</v>
      </c>
      <c r="DZ270" s="14">
        <f>[1]Sheet2!DG269</f>
        <v>0</v>
      </c>
    </row>
    <row r="271" spans="1:130" x14ac:dyDescent="0.25">
      <c r="A271" s="15">
        <v>43733</v>
      </c>
      <c r="B271" s="1"/>
      <c r="C271" s="1"/>
      <c r="D271" s="1"/>
      <c r="E271" s="14">
        <f>[1]Sheet2!N270</f>
        <v>0</v>
      </c>
      <c r="F271" s="14">
        <f>[1]Sheet2!BE270</f>
        <v>48000</v>
      </c>
      <c r="G271" s="14">
        <f>[1]Sheet2!CV270</f>
        <v>288.46153846153851</v>
      </c>
      <c r="H271" s="1"/>
      <c r="I271" s="1"/>
      <c r="J271" s="1"/>
      <c r="K271" s="16">
        <f>Demand_CWRS!B$11/30</f>
        <v>118.04546474358973</v>
      </c>
      <c r="L271" s="16">
        <f>Demand_CWRS!C$11/30</f>
        <v>491.39401709401704</v>
      </c>
      <c r="M271" s="16">
        <f>Demand_CWRS!D$11/30</f>
        <v>0</v>
      </c>
      <c r="N271" s="16">
        <f>Demand_CWRS!E$11/30</f>
        <v>107.84935897435898</v>
      </c>
      <c r="O271" s="16">
        <f>Demand_CWRS!F$11/30</f>
        <v>218.22274305555553</v>
      </c>
      <c r="P271" s="16">
        <f>Demand_CWRS!G$11/30</f>
        <v>118.04546474358973</v>
      </c>
      <c r="Q271" s="16">
        <f>Demand_CWRS!H$11/30</f>
        <v>491.39401709401704</v>
      </c>
      <c r="R271" s="16">
        <f>Demand_CWRS!I$11/30</f>
        <v>218.22274305555553</v>
      </c>
      <c r="S271" s="16">
        <f>Demand_CWRS!J$11/30</f>
        <v>218.22274305555553</v>
      </c>
      <c r="T271" s="16">
        <f>Demand_CWRS!K$11/30</f>
        <v>218.22274305555553</v>
      </c>
      <c r="U271" s="16">
        <f t="shared" si="123"/>
        <v>-35385.768829063127</v>
      </c>
      <c r="V271" s="16">
        <f t="shared" si="124"/>
        <v>-126546.68376068343</v>
      </c>
      <c r="W271" s="16">
        <f t="shared" si="125"/>
        <v>0</v>
      </c>
      <c r="X271" s="16">
        <f t="shared" si="126"/>
        <v>-29716.228472898321</v>
      </c>
      <c r="Y271" s="16">
        <f t="shared" si="127"/>
        <v>-58123.092827849498</v>
      </c>
      <c r="Z271" s="16">
        <f t="shared" si="128"/>
        <v>-34988.836305024721</v>
      </c>
      <c r="AA271" s="16">
        <f t="shared" si="129"/>
        <v>-126046.68376068343</v>
      </c>
      <c r="AB271" s="16">
        <f t="shared" si="130"/>
        <v>-55639.247347080214</v>
      </c>
      <c r="AC271" s="16">
        <f t="shared" si="131"/>
        <v>-55639.247347080207</v>
      </c>
      <c r="AD271" s="16">
        <f t="shared" si="132"/>
        <v>-56339.2473470802</v>
      </c>
      <c r="AE271" s="14">
        <f>IF([1]Sheet2!AJ270=999999,"NA",[1]Sheet2!AJ270)</f>
        <v>0</v>
      </c>
      <c r="AF271" s="14">
        <f>IF([1]Sheet2!AK270=999999,"NA",[1]Sheet2!AK270)</f>
        <v>0</v>
      </c>
      <c r="AG271" s="14" t="str">
        <f>IF([1]Sheet2!AL270=999999,"NA",[1]Sheet2!AL270)</f>
        <v>NA</v>
      </c>
      <c r="AH271" s="14">
        <f>IF([1]Sheet2!AM270=999999,"NA",[1]Sheet2!AM270)</f>
        <v>97</v>
      </c>
      <c r="AI271" s="14">
        <f>IF([1]Sheet2!AN270=999999,"NA",[1]Sheet2!AN270)</f>
        <v>97</v>
      </c>
      <c r="AJ271" s="14">
        <f>IF([1]Sheet2!AO270=999999,"NA",[1]Sheet2!AO270)</f>
        <v>97</v>
      </c>
      <c r="AK271" s="14">
        <f>IF([1]Sheet2!AP270=999999,"NA",[1]Sheet2!AP270)</f>
        <v>0</v>
      </c>
      <c r="AL271" s="14">
        <f>IF([1]Sheet2!AQ270=999999,"NA",[1]Sheet2!AQ270)</f>
        <v>0</v>
      </c>
      <c r="AM271" s="14">
        <f>IF([1]Sheet2!AR270=999999,"NA",[1]Sheet2!AR270)</f>
        <v>97</v>
      </c>
      <c r="AN271" s="14">
        <f>IF([1]Sheet2!AS270=999999,"NA",[1]Sheet2!AS270)</f>
        <v>48</v>
      </c>
      <c r="AO271" s="14">
        <f>[1]Sheet2!P270</f>
        <v>0</v>
      </c>
      <c r="AP271" s="14">
        <f>[1]Sheet2!Q270</f>
        <v>0</v>
      </c>
      <c r="AQ271" s="14">
        <f>[1]Sheet2!R270</f>
        <v>0</v>
      </c>
      <c r="AR271" s="14">
        <f>[1]Sheet2!S270</f>
        <v>0</v>
      </c>
      <c r="AS271" s="14">
        <f>[1]Sheet2!T270</f>
        <v>0</v>
      </c>
      <c r="AT271" s="14">
        <f>[1]Sheet2!U270</f>
        <v>0</v>
      </c>
      <c r="AU271" s="14">
        <f>[1]Sheet2!V270</f>
        <v>0</v>
      </c>
      <c r="AV271" s="14">
        <f>[1]Sheet2!W270</f>
        <v>0</v>
      </c>
      <c r="AW271" s="14">
        <f>[1]Sheet2!X270</f>
        <v>0</v>
      </c>
      <c r="AX271" s="14">
        <f>[1]Sheet2!Y270</f>
        <v>0</v>
      </c>
      <c r="AY271" s="16">
        <f>Demand_LP!B$11/30</f>
        <v>902.60591613247857</v>
      </c>
      <c r="AZ271" s="16">
        <f>Demand_LP!C$11/30</f>
        <v>593.76410256410259</v>
      </c>
      <c r="BA271" s="16">
        <f>Demand_LP!D$11/30</f>
        <v>290.27136752136749</v>
      </c>
      <c r="BB271" s="16">
        <f>Demand_LP!E$11/30</f>
        <v>790.42628205128199</v>
      </c>
      <c r="BC271" s="16">
        <f>Demand_LP!F$11/30</f>
        <v>538.46224626068363</v>
      </c>
      <c r="BD271" s="16">
        <f>Demand_LP!G$11/30</f>
        <v>902.60591613247857</v>
      </c>
      <c r="BE271" s="16">
        <f>Demand_LP!H$11/30</f>
        <v>593.76410256410259</v>
      </c>
      <c r="BF271" s="16">
        <f>Demand_LP!I$11/30</f>
        <v>538.46224626068363</v>
      </c>
      <c r="BG271" s="16">
        <f>Demand_LP!J$11/30</f>
        <v>538.46224626068363</v>
      </c>
      <c r="BH271" s="16">
        <f>Demand_LP!K$11/30</f>
        <v>538.46224626068363</v>
      </c>
      <c r="BI271" s="16" t="e">
        <f t="shared" si="133"/>
        <v>#VALUE!</v>
      </c>
      <c r="BJ271" s="16">
        <f t="shared" si="134"/>
        <v>-152130.24358974351</v>
      </c>
      <c r="BK271" s="16">
        <f t="shared" si="135"/>
        <v>-78621.384188034281</v>
      </c>
      <c r="BL271" s="16">
        <f t="shared" si="136"/>
        <v>-200881.33908633498</v>
      </c>
      <c r="BM271" s="16">
        <f t="shared" si="137"/>
        <v>-119383.72626058241</v>
      </c>
      <c r="BN271" s="16">
        <f t="shared" si="138"/>
        <v>-207410.90808496947</v>
      </c>
      <c r="BO271" s="16">
        <f t="shared" si="139"/>
        <v>-154487.82307692329</v>
      </c>
      <c r="BP271" s="16">
        <f t="shared" si="140"/>
        <v>-120495.41017895301</v>
      </c>
      <c r="BQ271" s="16">
        <f t="shared" si="141"/>
        <v>-117485.41017895305</v>
      </c>
      <c r="BR271" s="16">
        <f t="shared" si="142"/>
        <v>-118685.41017895301</v>
      </c>
      <c r="BS271" s="14">
        <f>IF([1]Sheet2!CA270=999999,"NA",[1]Sheet2!CA270)</f>
        <v>97793.58982104715</v>
      </c>
      <c r="BT271" s="14">
        <f>IF([1]Sheet2!CB270=999999,"NA",[1]Sheet2!CB270)</f>
        <v>27</v>
      </c>
      <c r="BU271" s="14">
        <f>IF([1]Sheet2!CC270=999999,"NA",[1]Sheet2!CC270)</f>
        <v>97</v>
      </c>
      <c r="BV271" s="14">
        <f>IF([1]Sheet2!CD270=999999,"NA",[1]Sheet2!CD270)</f>
        <v>97</v>
      </c>
      <c r="BW271" s="14">
        <f>IF([1]Sheet2!CE270=999999,"NA",[1]Sheet2!CE270)</f>
        <v>66</v>
      </c>
      <c r="BX271" s="14">
        <f>IF([1]Sheet2!CF270=999999,"NA",[1]Sheet2!CF270)</f>
        <v>97</v>
      </c>
      <c r="BY271" s="14">
        <f>IF([1]Sheet2!CG270=999999,"NA",[1]Sheet2!CG270)</f>
        <v>0</v>
      </c>
      <c r="BZ271" s="14">
        <f>IF([1]Sheet2!CH270=999999,"NA",[1]Sheet2!CH270)</f>
        <v>97</v>
      </c>
      <c r="CA271" s="14">
        <f>IF([1]Sheet2!CI270=999999,"NA",[1]Sheet2!CI270)</f>
        <v>97</v>
      </c>
      <c r="CB271" s="14">
        <f>IF([1]Sheet2!CJ270=999999,"NA",[1]Sheet2!CJ270)</f>
        <v>97</v>
      </c>
      <c r="CC271" s="14">
        <f>[1]Sheet2!BG270</f>
        <v>0</v>
      </c>
      <c r="CD271" s="14">
        <f>[1]Sheet2!BH270</f>
        <v>0</v>
      </c>
      <c r="CE271" s="14">
        <f>[1]Sheet2!BI270</f>
        <v>0</v>
      </c>
      <c r="CF271" s="14">
        <f>[1]Sheet2!BJ270</f>
        <v>0</v>
      </c>
      <c r="CG271" s="14">
        <f>[1]Sheet2!BK270</f>
        <v>0</v>
      </c>
      <c r="CH271" s="14">
        <f>[1]Sheet2!BL270</f>
        <v>0</v>
      </c>
      <c r="CI271" s="14">
        <f>[1]Sheet2!BM270</f>
        <v>0</v>
      </c>
      <c r="CJ271" s="14">
        <f>[1]Sheet2!BN270</f>
        <v>0</v>
      </c>
      <c r="CK271" s="14">
        <f>[1]Sheet2!BO270</f>
        <v>0</v>
      </c>
      <c r="CL271" s="14">
        <f>[1]Sheet2!BP270</f>
        <v>0</v>
      </c>
      <c r="CM271" s="16">
        <f>Demand_SW!B$11/30</f>
        <v>144.23076923076923</v>
      </c>
      <c r="CN271" s="16">
        <f>Demand_SW!C$11/30</f>
        <v>0</v>
      </c>
      <c r="CO271" s="16">
        <f>Demand_SW!D$11/30</f>
        <v>0</v>
      </c>
      <c r="CP271" s="16">
        <f>Demand_SW!E$11/30</f>
        <v>0</v>
      </c>
      <c r="CQ271" s="16">
        <f>Demand_SW!F$11/30</f>
        <v>0</v>
      </c>
      <c r="CR271" s="16">
        <f>Demand_SW!G$11/30</f>
        <v>144.23076923076923</v>
      </c>
      <c r="CS271" s="16">
        <f>Demand_SW!H$11/30</f>
        <v>0</v>
      </c>
      <c r="CT271" s="16">
        <f>Demand_SW!I$11/30</f>
        <v>0</v>
      </c>
      <c r="CU271" s="16">
        <f>Demand_SW!J$11/30</f>
        <v>0</v>
      </c>
      <c r="CV271" s="16">
        <f>Demand_SW!K$11/30</f>
        <v>0</v>
      </c>
      <c r="CW271" s="16">
        <f t="shared" si="143"/>
        <v>64673.461538461546</v>
      </c>
      <c r="CX271" s="16">
        <f t="shared" si="144"/>
        <v>20683.923076923078</v>
      </c>
      <c r="CY271" s="16">
        <f t="shared" si="145"/>
        <v>0</v>
      </c>
      <c r="CZ271" s="16">
        <f t="shared" si="146"/>
        <v>0</v>
      </c>
      <c r="DA271" s="16">
        <f t="shared" si="147"/>
        <v>0</v>
      </c>
      <c r="DB271" s="16">
        <f t="shared" si="148"/>
        <v>-34855.76923076919</v>
      </c>
      <c r="DC271" s="16">
        <f t="shared" si="149"/>
        <v>20683.923076923078</v>
      </c>
      <c r="DD271" s="16">
        <f t="shared" si="150"/>
        <v>0</v>
      </c>
      <c r="DE271" s="16">
        <f t="shared" si="151"/>
        <v>0</v>
      </c>
      <c r="DF271" s="16">
        <f t="shared" si="152"/>
        <v>0</v>
      </c>
      <c r="DG271" s="14">
        <f>IF([1]Sheet2!DR270=999999,"NA",[1]Sheet2!DR270)</f>
        <v>73103</v>
      </c>
      <c r="DH271" s="14">
        <f>IF([1]Sheet2!DS270=999999,"NA",[1]Sheet2!DS270)</f>
        <v>97</v>
      </c>
      <c r="DI271" s="14">
        <f>IF([1]Sheet2!DT270=999999,"NA",[1]Sheet2!DT270)</f>
        <v>97</v>
      </c>
      <c r="DJ271" s="14" t="str">
        <f>IF([1]Sheet2!DU270=999999,"NA",[1]Sheet2!DU270)</f>
        <v>NA</v>
      </c>
      <c r="DK271" s="14" t="str">
        <f>IF([1]Sheet2!DV270=999999,"NA",[1]Sheet2!DV270)</f>
        <v>NA</v>
      </c>
      <c r="DL271" s="14" t="str">
        <f>IF([1]Sheet2!DW270=999999,"NA",[1]Sheet2!DW270)</f>
        <v>NA</v>
      </c>
      <c r="DM271" s="14">
        <f>IF([1]Sheet2!DX270=999999,"NA",[1]Sheet2!DX270)</f>
        <v>97</v>
      </c>
      <c r="DN271" s="14">
        <f>IF([1]Sheet2!DY270=999999,"NA",[1]Sheet2!DY270)</f>
        <v>97</v>
      </c>
      <c r="DO271" s="14" t="str">
        <f>IF([1]Sheet2!DZ270=999999,"NA",[1]Sheet2!DZ270)</f>
        <v>NA</v>
      </c>
      <c r="DP271" s="14" t="str">
        <f>IF([1]Sheet2!EA270=999999,"NA",[1]Sheet2!EA270)</f>
        <v>NA</v>
      </c>
      <c r="DQ271" s="14">
        <f>[1]Sheet2!CX270</f>
        <v>0</v>
      </c>
      <c r="DR271" s="14">
        <f>[1]Sheet2!CY270</f>
        <v>0</v>
      </c>
      <c r="DS271" s="14">
        <f>[1]Sheet2!CZ270</f>
        <v>0</v>
      </c>
      <c r="DT271" s="14">
        <f>[1]Sheet2!DA270</f>
        <v>0</v>
      </c>
      <c r="DU271" s="14">
        <f>[1]Sheet2!DB270</f>
        <v>0</v>
      </c>
      <c r="DV271" s="14">
        <f>[1]Sheet2!DC270</f>
        <v>0</v>
      </c>
      <c r="DW271" s="14">
        <f>[1]Sheet2!DD270</f>
        <v>0</v>
      </c>
      <c r="DX271" s="14">
        <f>[1]Sheet2!DE270</f>
        <v>0</v>
      </c>
      <c r="DY271" s="14">
        <f>[1]Sheet2!DF270</f>
        <v>0</v>
      </c>
      <c r="DZ271" s="14">
        <f>[1]Sheet2!DG270</f>
        <v>0</v>
      </c>
    </row>
    <row r="272" spans="1:130" x14ac:dyDescent="0.25">
      <c r="A272" s="15">
        <v>43734</v>
      </c>
      <c r="B272" s="1"/>
      <c r="C272" s="1"/>
      <c r="D272" s="1"/>
      <c r="E272" s="14">
        <f>[1]Sheet2!N271</f>
        <v>0</v>
      </c>
      <c r="F272" s="14">
        <f>[1]Sheet2!BE271</f>
        <v>0</v>
      </c>
      <c r="G272" s="14">
        <f>[1]Sheet2!CV271</f>
        <v>288.46153846153851</v>
      </c>
      <c r="H272" s="1"/>
      <c r="I272" s="1"/>
      <c r="J272" s="1"/>
      <c r="K272" s="16">
        <f>Demand_CWRS!B$11/30</f>
        <v>118.04546474358973</v>
      </c>
      <c r="L272" s="16">
        <f>Demand_CWRS!C$11/30</f>
        <v>491.39401709401704</v>
      </c>
      <c r="M272" s="16">
        <f>Demand_CWRS!D$11/30</f>
        <v>0</v>
      </c>
      <c r="N272" s="16">
        <f>Demand_CWRS!E$11/30</f>
        <v>107.84935897435898</v>
      </c>
      <c r="O272" s="16">
        <f>Demand_CWRS!F$11/30</f>
        <v>218.22274305555553</v>
      </c>
      <c r="P272" s="16">
        <f>Demand_CWRS!G$11/30</f>
        <v>118.04546474358973</v>
      </c>
      <c r="Q272" s="16">
        <f>Demand_CWRS!H$11/30</f>
        <v>491.39401709401704</v>
      </c>
      <c r="R272" s="16">
        <f>Demand_CWRS!I$11/30</f>
        <v>218.22274305555553</v>
      </c>
      <c r="S272" s="16">
        <f>Demand_CWRS!J$11/30</f>
        <v>218.22274305555553</v>
      </c>
      <c r="T272" s="16">
        <f>Demand_CWRS!K$11/30</f>
        <v>218.22274305555553</v>
      </c>
      <c r="U272" s="16">
        <f t="shared" si="123"/>
        <v>-35503.814293806718</v>
      </c>
      <c r="V272" s="16">
        <f t="shared" si="124"/>
        <v>-127038.07777777745</v>
      </c>
      <c r="W272" s="16">
        <f t="shared" si="125"/>
        <v>0</v>
      </c>
      <c r="X272" s="16">
        <f t="shared" si="126"/>
        <v>-29824.077831872681</v>
      </c>
      <c r="Y272" s="16">
        <f t="shared" si="127"/>
        <v>-58341.315570905055</v>
      </c>
      <c r="Z272" s="16">
        <f t="shared" si="128"/>
        <v>-35106.881769768312</v>
      </c>
      <c r="AA272" s="16">
        <f t="shared" si="129"/>
        <v>-126538.07777777745</v>
      </c>
      <c r="AB272" s="16">
        <f t="shared" si="130"/>
        <v>-55857.470090135772</v>
      </c>
      <c r="AC272" s="16">
        <f t="shared" si="131"/>
        <v>-55857.470090135765</v>
      </c>
      <c r="AD272" s="16">
        <f t="shared" si="132"/>
        <v>-56557.470090135757</v>
      </c>
      <c r="AE272" s="14">
        <f>IF([1]Sheet2!AJ271=999999,"NA",[1]Sheet2!AJ271)</f>
        <v>0</v>
      </c>
      <c r="AF272" s="14">
        <f>IF([1]Sheet2!AK271=999999,"NA",[1]Sheet2!AK271)</f>
        <v>0</v>
      </c>
      <c r="AG272" s="14" t="str">
        <f>IF([1]Sheet2!AL271=999999,"NA",[1]Sheet2!AL271)</f>
        <v>NA</v>
      </c>
      <c r="AH272" s="14">
        <f>IF([1]Sheet2!AM271=999999,"NA",[1]Sheet2!AM271)</f>
        <v>96</v>
      </c>
      <c r="AI272" s="14">
        <f>IF([1]Sheet2!AN271=999999,"NA",[1]Sheet2!AN271)</f>
        <v>96</v>
      </c>
      <c r="AJ272" s="14">
        <f>IF([1]Sheet2!AO271=999999,"NA",[1]Sheet2!AO271)</f>
        <v>96</v>
      </c>
      <c r="AK272" s="14">
        <f>IF([1]Sheet2!AP271=999999,"NA",[1]Sheet2!AP271)</f>
        <v>0</v>
      </c>
      <c r="AL272" s="14">
        <f>IF([1]Sheet2!AQ271=999999,"NA",[1]Sheet2!AQ271)</f>
        <v>0</v>
      </c>
      <c r="AM272" s="14">
        <f>IF([1]Sheet2!AR271=999999,"NA",[1]Sheet2!AR271)</f>
        <v>96</v>
      </c>
      <c r="AN272" s="14">
        <f>IF([1]Sheet2!AS271=999999,"NA",[1]Sheet2!AS271)</f>
        <v>47</v>
      </c>
      <c r="AO272" s="14">
        <f>[1]Sheet2!P271</f>
        <v>0</v>
      </c>
      <c r="AP272" s="14">
        <f>[1]Sheet2!Q271</f>
        <v>0</v>
      </c>
      <c r="AQ272" s="14">
        <f>[1]Sheet2!R271</f>
        <v>0</v>
      </c>
      <c r="AR272" s="14">
        <f>[1]Sheet2!S271</f>
        <v>0</v>
      </c>
      <c r="AS272" s="14">
        <f>[1]Sheet2!T271</f>
        <v>0</v>
      </c>
      <c r="AT272" s="14">
        <f>[1]Sheet2!U271</f>
        <v>0</v>
      </c>
      <c r="AU272" s="14">
        <f>[1]Sheet2!V271</f>
        <v>0</v>
      </c>
      <c r="AV272" s="14">
        <f>[1]Sheet2!W271</f>
        <v>0</v>
      </c>
      <c r="AW272" s="14">
        <f>[1]Sheet2!X271</f>
        <v>0</v>
      </c>
      <c r="AX272" s="14">
        <f>[1]Sheet2!Y271</f>
        <v>0</v>
      </c>
      <c r="AY272" s="16">
        <f>Demand_LP!B$11/30</f>
        <v>902.60591613247857</v>
      </c>
      <c r="AZ272" s="16">
        <f>Demand_LP!C$11/30</f>
        <v>593.76410256410259</v>
      </c>
      <c r="BA272" s="16">
        <f>Demand_LP!D$11/30</f>
        <v>290.27136752136749</v>
      </c>
      <c r="BB272" s="16">
        <f>Demand_LP!E$11/30</f>
        <v>790.42628205128199</v>
      </c>
      <c r="BC272" s="16">
        <f>Demand_LP!F$11/30</f>
        <v>538.46224626068363</v>
      </c>
      <c r="BD272" s="16">
        <f>Demand_LP!G$11/30</f>
        <v>902.60591613247857</v>
      </c>
      <c r="BE272" s="16">
        <f>Demand_LP!H$11/30</f>
        <v>593.76410256410259</v>
      </c>
      <c r="BF272" s="16">
        <f>Demand_LP!I$11/30</f>
        <v>538.46224626068363</v>
      </c>
      <c r="BG272" s="16">
        <f>Demand_LP!J$11/30</f>
        <v>538.46224626068363</v>
      </c>
      <c r="BH272" s="16">
        <f>Demand_LP!K$11/30</f>
        <v>538.46224626068363</v>
      </c>
      <c r="BI272" s="16" t="e">
        <f t="shared" si="133"/>
        <v>#VALUE!</v>
      </c>
      <c r="BJ272" s="16">
        <f t="shared" si="134"/>
        <v>-152724.00769230761</v>
      </c>
      <c r="BK272" s="16">
        <f t="shared" si="135"/>
        <v>-78911.655555555655</v>
      </c>
      <c r="BL272" s="16">
        <f t="shared" si="136"/>
        <v>-201671.76536838626</v>
      </c>
      <c r="BM272" s="16">
        <f t="shared" si="137"/>
        <v>-119922.18850684309</v>
      </c>
      <c r="BN272" s="16">
        <f t="shared" si="138"/>
        <v>-208313.51400110195</v>
      </c>
      <c r="BO272" s="16">
        <f t="shared" si="139"/>
        <v>-155081.5871794874</v>
      </c>
      <c r="BP272" s="16">
        <f t="shared" si="140"/>
        <v>-121033.87242521369</v>
      </c>
      <c r="BQ272" s="16">
        <f t="shared" si="141"/>
        <v>-118023.87242521373</v>
      </c>
      <c r="BR272" s="16">
        <f t="shared" si="142"/>
        <v>-119223.87242521369</v>
      </c>
      <c r="BS272" s="14">
        <f>IF([1]Sheet2!CA271=999999,"NA",[1]Sheet2!CA271)</f>
        <v>97255.127574786471</v>
      </c>
      <c r="BT272" s="14">
        <f>IF([1]Sheet2!CB271=999999,"NA",[1]Sheet2!CB271)</f>
        <v>26</v>
      </c>
      <c r="BU272" s="14">
        <f>IF([1]Sheet2!CC271=999999,"NA",[1]Sheet2!CC271)</f>
        <v>96</v>
      </c>
      <c r="BV272" s="14">
        <f>IF([1]Sheet2!CD271=999999,"NA",[1]Sheet2!CD271)</f>
        <v>96</v>
      </c>
      <c r="BW272" s="14">
        <f>IF([1]Sheet2!CE271=999999,"NA",[1]Sheet2!CE271)</f>
        <v>65</v>
      </c>
      <c r="BX272" s="14">
        <f>IF([1]Sheet2!CF271=999999,"NA",[1]Sheet2!CF271)</f>
        <v>96</v>
      </c>
      <c r="BY272" s="14">
        <f>IF([1]Sheet2!CG271=999999,"NA",[1]Sheet2!CG271)</f>
        <v>0</v>
      </c>
      <c r="BZ272" s="14">
        <f>IF([1]Sheet2!CH271=999999,"NA",[1]Sheet2!CH271)</f>
        <v>96</v>
      </c>
      <c r="CA272" s="14">
        <f>IF([1]Sheet2!CI271=999999,"NA",[1]Sheet2!CI271)</f>
        <v>96</v>
      </c>
      <c r="CB272" s="14">
        <f>IF([1]Sheet2!CJ271=999999,"NA",[1]Sheet2!CJ271)</f>
        <v>96</v>
      </c>
      <c r="CC272" s="14">
        <f>[1]Sheet2!BG271</f>
        <v>0</v>
      </c>
      <c r="CD272" s="14">
        <f>[1]Sheet2!BH271</f>
        <v>0</v>
      </c>
      <c r="CE272" s="14">
        <f>[1]Sheet2!BI271</f>
        <v>0</v>
      </c>
      <c r="CF272" s="14">
        <f>[1]Sheet2!BJ271</f>
        <v>0</v>
      </c>
      <c r="CG272" s="14">
        <f>[1]Sheet2!BK271</f>
        <v>0</v>
      </c>
      <c r="CH272" s="14">
        <f>[1]Sheet2!BL271</f>
        <v>0</v>
      </c>
      <c r="CI272" s="14">
        <f>[1]Sheet2!BM271</f>
        <v>0</v>
      </c>
      <c r="CJ272" s="14">
        <f>[1]Sheet2!BN271</f>
        <v>0</v>
      </c>
      <c r="CK272" s="14">
        <f>[1]Sheet2!BO271</f>
        <v>0</v>
      </c>
      <c r="CL272" s="14">
        <f>[1]Sheet2!BP271</f>
        <v>0</v>
      </c>
      <c r="CM272" s="16">
        <f>Demand_SW!B$11/30</f>
        <v>144.23076923076923</v>
      </c>
      <c r="CN272" s="16">
        <f>Demand_SW!C$11/30</f>
        <v>0</v>
      </c>
      <c r="CO272" s="16">
        <f>Demand_SW!D$11/30</f>
        <v>0</v>
      </c>
      <c r="CP272" s="16">
        <f>Demand_SW!E$11/30</f>
        <v>0</v>
      </c>
      <c r="CQ272" s="16">
        <f>Demand_SW!F$11/30</f>
        <v>0</v>
      </c>
      <c r="CR272" s="16">
        <f>Demand_SW!G$11/30</f>
        <v>144.23076923076923</v>
      </c>
      <c r="CS272" s="16">
        <f>Demand_SW!H$11/30</f>
        <v>0</v>
      </c>
      <c r="CT272" s="16">
        <f>Demand_SW!I$11/30</f>
        <v>0</v>
      </c>
      <c r="CU272" s="16">
        <f>Demand_SW!J$11/30</f>
        <v>0</v>
      </c>
      <c r="CV272" s="16">
        <f>Demand_SW!K$11/30</f>
        <v>0</v>
      </c>
      <c r="CW272" s="16">
        <f t="shared" si="143"/>
        <v>64529.23076923078</v>
      </c>
      <c r="CX272" s="16">
        <f t="shared" si="144"/>
        <v>20683.923076923078</v>
      </c>
      <c r="CY272" s="16">
        <f t="shared" si="145"/>
        <v>0</v>
      </c>
      <c r="CZ272" s="16">
        <f t="shared" si="146"/>
        <v>0</v>
      </c>
      <c r="DA272" s="16">
        <f t="shared" si="147"/>
        <v>0</v>
      </c>
      <c r="DB272" s="16">
        <f t="shared" si="148"/>
        <v>-34999.999999999956</v>
      </c>
      <c r="DC272" s="16">
        <f t="shared" si="149"/>
        <v>20683.923076923078</v>
      </c>
      <c r="DD272" s="16">
        <f t="shared" si="150"/>
        <v>0</v>
      </c>
      <c r="DE272" s="16">
        <f t="shared" si="151"/>
        <v>0</v>
      </c>
      <c r="DF272" s="16">
        <f t="shared" si="152"/>
        <v>0</v>
      </c>
      <c r="DG272" s="14">
        <f>IF([1]Sheet2!DR271=999999,"NA",[1]Sheet2!DR271)</f>
        <v>73103</v>
      </c>
      <c r="DH272" s="14">
        <f>IF([1]Sheet2!DS271=999999,"NA",[1]Sheet2!DS271)</f>
        <v>96</v>
      </c>
      <c r="DI272" s="14">
        <f>IF([1]Sheet2!DT271=999999,"NA",[1]Sheet2!DT271)</f>
        <v>96</v>
      </c>
      <c r="DJ272" s="14" t="str">
        <f>IF([1]Sheet2!DU271=999999,"NA",[1]Sheet2!DU271)</f>
        <v>NA</v>
      </c>
      <c r="DK272" s="14" t="str">
        <f>IF([1]Sheet2!DV271=999999,"NA",[1]Sheet2!DV271)</f>
        <v>NA</v>
      </c>
      <c r="DL272" s="14" t="str">
        <f>IF([1]Sheet2!DW271=999999,"NA",[1]Sheet2!DW271)</f>
        <v>NA</v>
      </c>
      <c r="DM272" s="14">
        <f>IF([1]Sheet2!DX271=999999,"NA",[1]Sheet2!DX271)</f>
        <v>96</v>
      </c>
      <c r="DN272" s="14">
        <f>IF([1]Sheet2!DY271=999999,"NA",[1]Sheet2!DY271)</f>
        <v>96</v>
      </c>
      <c r="DO272" s="14" t="str">
        <f>IF([1]Sheet2!DZ271=999999,"NA",[1]Sheet2!DZ271)</f>
        <v>NA</v>
      </c>
      <c r="DP272" s="14" t="str">
        <f>IF([1]Sheet2!EA271=999999,"NA",[1]Sheet2!EA271)</f>
        <v>NA</v>
      </c>
      <c r="DQ272" s="14">
        <f>[1]Sheet2!CX271</f>
        <v>0</v>
      </c>
      <c r="DR272" s="14">
        <f>[1]Sheet2!CY271</f>
        <v>0</v>
      </c>
      <c r="DS272" s="14">
        <f>[1]Sheet2!CZ271</f>
        <v>0</v>
      </c>
      <c r="DT272" s="14">
        <f>[1]Sheet2!DA271</f>
        <v>0</v>
      </c>
      <c r="DU272" s="14">
        <f>[1]Sheet2!DB271</f>
        <v>0</v>
      </c>
      <c r="DV272" s="14">
        <f>[1]Sheet2!DC271</f>
        <v>0</v>
      </c>
      <c r="DW272" s="14">
        <f>[1]Sheet2!DD271</f>
        <v>0</v>
      </c>
      <c r="DX272" s="14">
        <f>[1]Sheet2!DE271</f>
        <v>0</v>
      </c>
      <c r="DY272" s="14">
        <f>[1]Sheet2!DF271</f>
        <v>0</v>
      </c>
      <c r="DZ272" s="14">
        <f>[1]Sheet2!DG271</f>
        <v>0</v>
      </c>
    </row>
    <row r="273" spans="1:130" x14ac:dyDescent="0.25">
      <c r="A273" s="15">
        <v>43735</v>
      </c>
      <c r="B273" s="1"/>
      <c r="C273" s="1"/>
      <c r="D273" s="1"/>
      <c r="E273" s="14">
        <f>[1]Sheet2!N272</f>
        <v>0</v>
      </c>
      <c r="F273" s="14">
        <f>[1]Sheet2!BE272</f>
        <v>0</v>
      </c>
      <c r="G273" s="14">
        <f>[1]Sheet2!CV272</f>
        <v>288.46153846153851</v>
      </c>
      <c r="H273" s="1"/>
      <c r="I273" s="1"/>
      <c r="J273" s="1"/>
      <c r="K273" s="16">
        <f>Demand_CWRS!B$11/30</f>
        <v>118.04546474358973</v>
      </c>
      <c r="L273" s="16">
        <f>Demand_CWRS!C$11/30</f>
        <v>491.39401709401704</v>
      </c>
      <c r="M273" s="16">
        <f>Demand_CWRS!D$11/30</f>
        <v>0</v>
      </c>
      <c r="N273" s="16">
        <f>Demand_CWRS!E$11/30</f>
        <v>107.84935897435898</v>
      </c>
      <c r="O273" s="16">
        <f>Demand_CWRS!F$11/30</f>
        <v>218.22274305555553</v>
      </c>
      <c r="P273" s="16">
        <f>Demand_CWRS!G$11/30</f>
        <v>118.04546474358973</v>
      </c>
      <c r="Q273" s="16">
        <f>Demand_CWRS!H$11/30</f>
        <v>491.39401709401704</v>
      </c>
      <c r="R273" s="16">
        <f>Demand_CWRS!I$11/30</f>
        <v>218.22274305555553</v>
      </c>
      <c r="S273" s="16">
        <f>Demand_CWRS!J$11/30</f>
        <v>218.22274305555553</v>
      </c>
      <c r="T273" s="16">
        <f>Demand_CWRS!K$11/30</f>
        <v>218.22274305555553</v>
      </c>
      <c r="U273" s="16">
        <f t="shared" si="123"/>
        <v>-35621.859758550308</v>
      </c>
      <c r="V273" s="16">
        <f t="shared" si="124"/>
        <v>-127529.47179487147</v>
      </c>
      <c r="W273" s="16">
        <f t="shared" si="125"/>
        <v>0</v>
      </c>
      <c r="X273" s="16">
        <f t="shared" si="126"/>
        <v>-29931.92719084704</v>
      </c>
      <c r="Y273" s="16">
        <f t="shared" si="127"/>
        <v>-58559.538313960613</v>
      </c>
      <c r="Z273" s="16">
        <f t="shared" si="128"/>
        <v>-35224.927234511902</v>
      </c>
      <c r="AA273" s="16">
        <f t="shared" si="129"/>
        <v>-127029.47179487147</v>
      </c>
      <c r="AB273" s="16">
        <f t="shared" si="130"/>
        <v>-56075.69283319133</v>
      </c>
      <c r="AC273" s="16">
        <f t="shared" si="131"/>
        <v>-56075.692833191322</v>
      </c>
      <c r="AD273" s="16">
        <f t="shared" si="132"/>
        <v>-56775.692833191315</v>
      </c>
      <c r="AE273" s="14">
        <f>IF([1]Sheet2!AJ272=999999,"NA",[1]Sheet2!AJ272)</f>
        <v>0</v>
      </c>
      <c r="AF273" s="14">
        <f>IF([1]Sheet2!AK272=999999,"NA",[1]Sheet2!AK272)</f>
        <v>0</v>
      </c>
      <c r="AG273" s="14" t="str">
        <f>IF([1]Sheet2!AL272=999999,"NA",[1]Sheet2!AL272)</f>
        <v>NA</v>
      </c>
      <c r="AH273" s="14">
        <f>IF([1]Sheet2!AM272=999999,"NA",[1]Sheet2!AM272)</f>
        <v>95</v>
      </c>
      <c r="AI273" s="14">
        <f>IF([1]Sheet2!AN272=999999,"NA",[1]Sheet2!AN272)</f>
        <v>95</v>
      </c>
      <c r="AJ273" s="14">
        <f>IF([1]Sheet2!AO272=999999,"NA",[1]Sheet2!AO272)</f>
        <v>95</v>
      </c>
      <c r="AK273" s="14">
        <f>IF([1]Sheet2!AP272=999999,"NA",[1]Sheet2!AP272)</f>
        <v>0</v>
      </c>
      <c r="AL273" s="14">
        <f>IF([1]Sheet2!AQ272=999999,"NA",[1]Sheet2!AQ272)</f>
        <v>0</v>
      </c>
      <c r="AM273" s="14">
        <f>IF([1]Sheet2!AR272=999999,"NA",[1]Sheet2!AR272)</f>
        <v>95</v>
      </c>
      <c r="AN273" s="14">
        <f>IF([1]Sheet2!AS272=999999,"NA",[1]Sheet2!AS272)</f>
        <v>46</v>
      </c>
      <c r="AO273" s="14">
        <f>[1]Sheet2!P272</f>
        <v>0</v>
      </c>
      <c r="AP273" s="14">
        <f>[1]Sheet2!Q272</f>
        <v>0</v>
      </c>
      <c r="AQ273" s="14">
        <f>[1]Sheet2!R272</f>
        <v>0</v>
      </c>
      <c r="AR273" s="14">
        <f>[1]Sheet2!S272</f>
        <v>0</v>
      </c>
      <c r="AS273" s="14">
        <f>[1]Sheet2!T272</f>
        <v>0</v>
      </c>
      <c r="AT273" s="14">
        <f>[1]Sheet2!U272</f>
        <v>0</v>
      </c>
      <c r="AU273" s="14">
        <f>[1]Sheet2!V272</f>
        <v>0</v>
      </c>
      <c r="AV273" s="14">
        <f>[1]Sheet2!W272</f>
        <v>0</v>
      </c>
      <c r="AW273" s="14">
        <f>[1]Sheet2!X272</f>
        <v>0</v>
      </c>
      <c r="AX273" s="14">
        <f>[1]Sheet2!Y272</f>
        <v>0</v>
      </c>
      <c r="AY273" s="16">
        <f>Demand_LP!B$11/30</f>
        <v>902.60591613247857</v>
      </c>
      <c r="AZ273" s="16">
        <f>Demand_LP!C$11/30</f>
        <v>593.76410256410259</v>
      </c>
      <c r="BA273" s="16">
        <f>Demand_LP!D$11/30</f>
        <v>290.27136752136749</v>
      </c>
      <c r="BB273" s="16">
        <f>Demand_LP!E$11/30</f>
        <v>790.42628205128199</v>
      </c>
      <c r="BC273" s="16">
        <f>Demand_LP!F$11/30</f>
        <v>538.46224626068363</v>
      </c>
      <c r="BD273" s="16">
        <f>Demand_LP!G$11/30</f>
        <v>902.60591613247857</v>
      </c>
      <c r="BE273" s="16">
        <f>Demand_LP!H$11/30</f>
        <v>593.76410256410259</v>
      </c>
      <c r="BF273" s="16">
        <f>Demand_LP!I$11/30</f>
        <v>538.46224626068363</v>
      </c>
      <c r="BG273" s="16">
        <f>Demand_LP!J$11/30</f>
        <v>538.46224626068363</v>
      </c>
      <c r="BH273" s="16">
        <f>Demand_LP!K$11/30</f>
        <v>538.46224626068363</v>
      </c>
      <c r="BI273" s="16" t="e">
        <f t="shared" si="133"/>
        <v>#VALUE!</v>
      </c>
      <c r="BJ273" s="16">
        <f t="shared" si="134"/>
        <v>-153317.77179487172</v>
      </c>
      <c r="BK273" s="16">
        <f t="shared" si="135"/>
        <v>-79201.92692307703</v>
      </c>
      <c r="BL273" s="16">
        <f t="shared" si="136"/>
        <v>-202462.19165043754</v>
      </c>
      <c r="BM273" s="16">
        <f t="shared" si="137"/>
        <v>-120460.65075310376</v>
      </c>
      <c r="BN273" s="16">
        <f t="shared" si="138"/>
        <v>-209216.11991723443</v>
      </c>
      <c r="BO273" s="16">
        <f t="shared" si="139"/>
        <v>-155675.3512820515</v>
      </c>
      <c r="BP273" s="16">
        <f t="shared" si="140"/>
        <v>-121572.33467147437</v>
      </c>
      <c r="BQ273" s="16">
        <f t="shared" si="141"/>
        <v>-118562.33467147441</v>
      </c>
      <c r="BR273" s="16">
        <f t="shared" si="142"/>
        <v>-119762.33467147437</v>
      </c>
      <c r="BS273" s="14">
        <f>IF([1]Sheet2!CA272=999999,"NA",[1]Sheet2!CA272)</f>
        <v>96716.665328525793</v>
      </c>
      <c r="BT273" s="14">
        <f>IF([1]Sheet2!CB272=999999,"NA",[1]Sheet2!CB272)</f>
        <v>25</v>
      </c>
      <c r="BU273" s="14">
        <f>IF([1]Sheet2!CC272=999999,"NA",[1]Sheet2!CC272)</f>
        <v>95</v>
      </c>
      <c r="BV273" s="14">
        <f>IF([1]Sheet2!CD272=999999,"NA",[1]Sheet2!CD272)</f>
        <v>95</v>
      </c>
      <c r="BW273" s="14">
        <f>IF([1]Sheet2!CE272=999999,"NA",[1]Sheet2!CE272)</f>
        <v>64</v>
      </c>
      <c r="BX273" s="14">
        <f>IF([1]Sheet2!CF272=999999,"NA",[1]Sheet2!CF272)</f>
        <v>95</v>
      </c>
      <c r="BY273" s="14">
        <f>IF([1]Sheet2!CG272=999999,"NA",[1]Sheet2!CG272)</f>
        <v>0</v>
      </c>
      <c r="BZ273" s="14">
        <f>IF([1]Sheet2!CH272=999999,"NA",[1]Sheet2!CH272)</f>
        <v>95</v>
      </c>
      <c r="CA273" s="14">
        <f>IF([1]Sheet2!CI272=999999,"NA",[1]Sheet2!CI272)</f>
        <v>95</v>
      </c>
      <c r="CB273" s="14">
        <f>IF([1]Sheet2!CJ272=999999,"NA",[1]Sheet2!CJ272)</f>
        <v>95</v>
      </c>
      <c r="CC273" s="14">
        <f>[1]Sheet2!BG272</f>
        <v>0</v>
      </c>
      <c r="CD273" s="14">
        <f>[1]Sheet2!BH272</f>
        <v>0</v>
      </c>
      <c r="CE273" s="14">
        <f>[1]Sheet2!BI272</f>
        <v>0</v>
      </c>
      <c r="CF273" s="14">
        <f>[1]Sheet2!BJ272</f>
        <v>0</v>
      </c>
      <c r="CG273" s="14">
        <f>[1]Sheet2!BK272</f>
        <v>0</v>
      </c>
      <c r="CH273" s="14">
        <f>[1]Sheet2!BL272</f>
        <v>0</v>
      </c>
      <c r="CI273" s="14">
        <f>[1]Sheet2!BM272</f>
        <v>0</v>
      </c>
      <c r="CJ273" s="14">
        <f>[1]Sheet2!BN272</f>
        <v>0</v>
      </c>
      <c r="CK273" s="14">
        <f>[1]Sheet2!BO272</f>
        <v>0</v>
      </c>
      <c r="CL273" s="14">
        <f>[1]Sheet2!BP272</f>
        <v>0</v>
      </c>
      <c r="CM273" s="16">
        <f>Demand_SW!B$11/30</f>
        <v>144.23076923076923</v>
      </c>
      <c r="CN273" s="16">
        <f>Demand_SW!C$11/30</f>
        <v>0</v>
      </c>
      <c r="CO273" s="16">
        <f>Demand_SW!D$11/30</f>
        <v>0</v>
      </c>
      <c r="CP273" s="16">
        <f>Demand_SW!E$11/30</f>
        <v>0</v>
      </c>
      <c r="CQ273" s="16">
        <f>Demand_SW!F$11/30</f>
        <v>0</v>
      </c>
      <c r="CR273" s="16">
        <f>Demand_SW!G$11/30</f>
        <v>144.23076923076923</v>
      </c>
      <c r="CS273" s="16">
        <f>Demand_SW!H$11/30</f>
        <v>0</v>
      </c>
      <c r="CT273" s="16">
        <f>Demand_SW!I$11/30</f>
        <v>0</v>
      </c>
      <c r="CU273" s="16">
        <f>Demand_SW!J$11/30</f>
        <v>0</v>
      </c>
      <c r="CV273" s="16">
        <f>Demand_SW!K$11/30</f>
        <v>0</v>
      </c>
      <c r="CW273" s="16">
        <f t="shared" si="143"/>
        <v>64385.000000000015</v>
      </c>
      <c r="CX273" s="16">
        <f t="shared" si="144"/>
        <v>20683.923076923078</v>
      </c>
      <c r="CY273" s="16">
        <f t="shared" si="145"/>
        <v>0</v>
      </c>
      <c r="CZ273" s="16">
        <f t="shared" si="146"/>
        <v>0</v>
      </c>
      <c r="DA273" s="16">
        <f t="shared" si="147"/>
        <v>0</v>
      </c>
      <c r="DB273" s="16">
        <f t="shared" si="148"/>
        <v>-35144.230769230722</v>
      </c>
      <c r="DC273" s="16">
        <f t="shared" si="149"/>
        <v>20683.923076923078</v>
      </c>
      <c r="DD273" s="16">
        <f t="shared" si="150"/>
        <v>0</v>
      </c>
      <c r="DE273" s="16">
        <f t="shared" si="151"/>
        <v>0</v>
      </c>
      <c r="DF273" s="16">
        <f t="shared" si="152"/>
        <v>0</v>
      </c>
      <c r="DG273" s="14">
        <f>IF([1]Sheet2!DR272=999999,"NA",[1]Sheet2!DR272)</f>
        <v>73103</v>
      </c>
      <c r="DH273" s="14">
        <f>IF([1]Sheet2!DS272=999999,"NA",[1]Sheet2!DS272)</f>
        <v>95</v>
      </c>
      <c r="DI273" s="14">
        <f>IF([1]Sheet2!DT272=999999,"NA",[1]Sheet2!DT272)</f>
        <v>95</v>
      </c>
      <c r="DJ273" s="14" t="str">
        <f>IF([1]Sheet2!DU272=999999,"NA",[1]Sheet2!DU272)</f>
        <v>NA</v>
      </c>
      <c r="DK273" s="14" t="str">
        <f>IF([1]Sheet2!DV272=999999,"NA",[1]Sheet2!DV272)</f>
        <v>NA</v>
      </c>
      <c r="DL273" s="14" t="str">
        <f>IF([1]Sheet2!DW272=999999,"NA",[1]Sheet2!DW272)</f>
        <v>NA</v>
      </c>
      <c r="DM273" s="14">
        <f>IF([1]Sheet2!DX272=999999,"NA",[1]Sheet2!DX272)</f>
        <v>95</v>
      </c>
      <c r="DN273" s="14">
        <f>IF([1]Sheet2!DY272=999999,"NA",[1]Sheet2!DY272)</f>
        <v>95</v>
      </c>
      <c r="DO273" s="14" t="str">
        <f>IF([1]Sheet2!DZ272=999999,"NA",[1]Sheet2!DZ272)</f>
        <v>NA</v>
      </c>
      <c r="DP273" s="14" t="str">
        <f>IF([1]Sheet2!EA272=999999,"NA",[1]Sheet2!EA272)</f>
        <v>NA</v>
      </c>
      <c r="DQ273" s="14">
        <f>[1]Sheet2!CX272</f>
        <v>0</v>
      </c>
      <c r="DR273" s="14">
        <f>[1]Sheet2!CY272</f>
        <v>0</v>
      </c>
      <c r="DS273" s="14">
        <f>[1]Sheet2!CZ272</f>
        <v>0</v>
      </c>
      <c r="DT273" s="14">
        <f>[1]Sheet2!DA272</f>
        <v>0</v>
      </c>
      <c r="DU273" s="14">
        <f>[1]Sheet2!DB272</f>
        <v>0</v>
      </c>
      <c r="DV273" s="14">
        <f>[1]Sheet2!DC272</f>
        <v>0</v>
      </c>
      <c r="DW273" s="14">
        <f>[1]Sheet2!DD272</f>
        <v>0</v>
      </c>
      <c r="DX273" s="14">
        <f>[1]Sheet2!DE272</f>
        <v>0</v>
      </c>
      <c r="DY273" s="14">
        <f>[1]Sheet2!DF272</f>
        <v>0</v>
      </c>
      <c r="DZ273" s="14">
        <f>[1]Sheet2!DG272</f>
        <v>0</v>
      </c>
    </row>
    <row r="274" spans="1:130" x14ac:dyDescent="0.25">
      <c r="A274" s="15">
        <v>43736</v>
      </c>
      <c r="B274" s="1"/>
      <c r="C274" s="1"/>
      <c r="D274" s="1"/>
      <c r="E274" s="14">
        <f>[1]Sheet2!N273</f>
        <v>0</v>
      </c>
      <c r="F274" s="14">
        <f>[1]Sheet2!BE273</f>
        <v>0</v>
      </c>
      <c r="G274" s="14">
        <f>[1]Sheet2!CV273</f>
        <v>288.46153846153851</v>
      </c>
      <c r="H274" s="1"/>
      <c r="I274" s="1"/>
      <c r="J274" s="1"/>
      <c r="K274" s="16">
        <f>Demand_CWRS!B$11/30</f>
        <v>118.04546474358973</v>
      </c>
      <c r="L274" s="16">
        <f>Demand_CWRS!C$11/30</f>
        <v>491.39401709401704</v>
      </c>
      <c r="M274" s="16">
        <f>Demand_CWRS!D$11/30</f>
        <v>0</v>
      </c>
      <c r="N274" s="16">
        <f>Demand_CWRS!E$11/30</f>
        <v>107.84935897435898</v>
      </c>
      <c r="O274" s="16">
        <f>Demand_CWRS!F$11/30</f>
        <v>218.22274305555553</v>
      </c>
      <c r="P274" s="16">
        <f>Demand_CWRS!G$11/30</f>
        <v>118.04546474358973</v>
      </c>
      <c r="Q274" s="16">
        <f>Demand_CWRS!H$11/30</f>
        <v>491.39401709401704</v>
      </c>
      <c r="R274" s="16">
        <f>Demand_CWRS!I$11/30</f>
        <v>218.22274305555553</v>
      </c>
      <c r="S274" s="16">
        <f>Demand_CWRS!J$11/30</f>
        <v>218.22274305555553</v>
      </c>
      <c r="T274" s="16">
        <f>Demand_CWRS!K$11/30</f>
        <v>218.22274305555553</v>
      </c>
      <c r="U274" s="16">
        <f t="shared" si="123"/>
        <v>-35739.905223293899</v>
      </c>
      <c r="V274" s="16">
        <f t="shared" si="124"/>
        <v>-128020.86581196549</v>
      </c>
      <c r="W274" s="16">
        <f t="shared" si="125"/>
        <v>0</v>
      </c>
      <c r="X274" s="16">
        <f t="shared" si="126"/>
        <v>-30039.776549821399</v>
      </c>
      <c r="Y274" s="16">
        <f t="shared" si="127"/>
        <v>-58777.761057016171</v>
      </c>
      <c r="Z274" s="16">
        <f t="shared" si="128"/>
        <v>-35342.972699255493</v>
      </c>
      <c r="AA274" s="16">
        <f t="shared" si="129"/>
        <v>-127520.86581196549</v>
      </c>
      <c r="AB274" s="16">
        <f t="shared" si="130"/>
        <v>-56293.915576246887</v>
      </c>
      <c r="AC274" s="16">
        <f t="shared" si="131"/>
        <v>-56293.91557624688</v>
      </c>
      <c r="AD274" s="16">
        <f t="shared" si="132"/>
        <v>-56993.915576246873</v>
      </c>
      <c r="AE274" s="14">
        <f>IF([1]Sheet2!AJ273=999999,"NA",[1]Sheet2!AJ273)</f>
        <v>0</v>
      </c>
      <c r="AF274" s="14">
        <f>IF([1]Sheet2!AK273=999999,"NA",[1]Sheet2!AK273)</f>
        <v>0</v>
      </c>
      <c r="AG274" s="14" t="str">
        <f>IF([1]Sheet2!AL273=999999,"NA",[1]Sheet2!AL273)</f>
        <v>NA</v>
      </c>
      <c r="AH274" s="14">
        <f>IF([1]Sheet2!AM273=999999,"NA",[1]Sheet2!AM273)</f>
        <v>94</v>
      </c>
      <c r="AI274" s="14">
        <f>IF([1]Sheet2!AN273=999999,"NA",[1]Sheet2!AN273)</f>
        <v>94</v>
      </c>
      <c r="AJ274" s="14">
        <f>IF([1]Sheet2!AO273=999999,"NA",[1]Sheet2!AO273)</f>
        <v>94</v>
      </c>
      <c r="AK274" s="14">
        <f>IF([1]Sheet2!AP273=999999,"NA",[1]Sheet2!AP273)</f>
        <v>0</v>
      </c>
      <c r="AL274" s="14">
        <f>IF([1]Sheet2!AQ273=999999,"NA",[1]Sheet2!AQ273)</f>
        <v>0</v>
      </c>
      <c r="AM274" s="14">
        <f>IF([1]Sheet2!AR273=999999,"NA",[1]Sheet2!AR273)</f>
        <v>94</v>
      </c>
      <c r="AN274" s="14">
        <f>IF([1]Sheet2!AS273=999999,"NA",[1]Sheet2!AS273)</f>
        <v>45</v>
      </c>
      <c r="AO274" s="14">
        <f>[1]Sheet2!P273</f>
        <v>0</v>
      </c>
      <c r="AP274" s="14">
        <f>[1]Sheet2!Q273</f>
        <v>0</v>
      </c>
      <c r="AQ274" s="14">
        <f>[1]Sheet2!R273</f>
        <v>0</v>
      </c>
      <c r="AR274" s="14">
        <f>[1]Sheet2!S273</f>
        <v>0</v>
      </c>
      <c r="AS274" s="14">
        <f>[1]Sheet2!T273</f>
        <v>0</v>
      </c>
      <c r="AT274" s="14">
        <f>[1]Sheet2!U273</f>
        <v>0</v>
      </c>
      <c r="AU274" s="14">
        <f>[1]Sheet2!V273</f>
        <v>0</v>
      </c>
      <c r="AV274" s="14">
        <f>[1]Sheet2!W273</f>
        <v>0</v>
      </c>
      <c r="AW274" s="14">
        <f>[1]Sheet2!X273</f>
        <v>0</v>
      </c>
      <c r="AX274" s="14">
        <f>[1]Sheet2!Y273</f>
        <v>0</v>
      </c>
      <c r="AY274" s="16">
        <f>Demand_LP!B$11/30</f>
        <v>902.60591613247857</v>
      </c>
      <c r="AZ274" s="16">
        <f>Demand_LP!C$11/30</f>
        <v>593.76410256410259</v>
      </c>
      <c r="BA274" s="16">
        <f>Demand_LP!D$11/30</f>
        <v>290.27136752136749</v>
      </c>
      <c r="BB274" s="16">
        <f>Demand_LP!E$11/30</f>
        <v>790.42628205128199</v>
      </c>
      <c r="BC274" s="16">
        <f>Demand_LP!F$11/30</f>
        <v>538.46224626068363</v>
      </c>
      <c r="BD274" s="16">
        <f>Demand_LP!G$11/30</f>
        <v>902.60591613247857</v>
      </c>
      <c r="BE274" s="16">
        <f>Demand_LP!H$11/30</f>
        <v>593.76410256410259</v>
      </c>
      <c r="BF274" s="16">
        <f>Demand_LP!I$11/30</f>
        <v>538.46224626068363</v>
      </c>
      <c r="BG274" s="16">
        <f>Demand_LP!J$11/30</f>
        <v>538.46224626068363</v>
      </c>
      <c r="BH274" s="16">
        <f>Demand_LP!K$11/30</f>
        <v>538.46224626068363</v>
      </c>
      <c r="BI274" s="16" t="e">
        <f t="shared" si="133"/>
        <v>#VALUE!</v>
      </c>
      <c r="BJ274" s="16">
        <f t="shared" si="134"/>
        <v>-153911.53589743582</v>
      </c>
      <c r="BK274" s="16">
        <f t="shared" si="135"/>
        <v>-79492.198290598404</v>
      </c>
      <c r="BL274" s="16">
        <f t="shared" si="136"/>
        <v>-203252.61793248882</v>
      </c>
      <c r="BM274" s="16">
        <f t="shared" si="137"/>
        <v>-120999.11299936444</v>
      </c>
      <c r="BN274" s="16">
        <f t="shared" si="138"/>
        <v>-210118.72583336692</v>
      </c>
      <c r="BO274" s="16">
        <f t="shared" si="139"/>
        <v>-156269.11538461561</v>
      </c>
      <c r="BP274" s="16">
        <f t="shared" si="140"/>
        <v>-122110.79691773505</v>
      </c>
      <c r="BQ274" s="16">
        <f t="shared" si="141"/>
        <v>-119100.79691773509</v>
      </c>
      <c r="BR274" s="16">
        <f t="shared" si="142"/>
        <v>-120300.79691773505</v>
      </c>
      <c r="BS274" s="14">
        <f>IF([1]Sheet2!CA273=999999,"NA",[1]Sheet2!CA273)</f>
        <v>96178.203082265114</v>
      </c>
      <c r="BT274" s="14">
        <f>IF([1]Sheet2!CB273=999999,"NA",[1]Sheet2!CB273)</f>
        <v>24</v>
      </c>
      <c r="BU274" s="14">
        <f>IF([1]Sheet2!CC273=999999,"NA",[1]Sheet2!CC273)</f>
        <v>94</v>
      </c>
      <c r="BV274" s="14">
        <f>IF([1]Sheet2!CD273=999999,"NA",[1]Sheet2!CD273)</f>
        <v>94</v>
      </c>
      <c r="BW274" s="14">
        <f>IF([1]Sheet2!CE273=999999,"NA",[1]Sheet2!CE273)</f>
        <v>63</v>
      </c>
      <c r="BX274" s="14">
        <f>IF([1]Sheet2!CF273=999999,"NA",[1]Sheet2!CF273)</f>
        <v>94</v>
      </c>
      <c r="BY274" s="14">
        <f>IF([1]Sheet2!CG273=999999,"NA",[1]Sheet2!CG273)</f>
        <v>0</v>
      </c>
      <c r="BZ274" s="14">
        <f>IF([1]Sheet2!CH273=999999,"NA",[1]Sheet2!CH273)</f>
        <v>94</v>
      </c>
      <c r="CA274" s="14">
        <f>IF([1]Sheet2!CI273=999999,"NA",[1]Sheet2!CI273)</f>
        <v>94</v>
      </c>
      <c r="CB274" s="14">
        <f>IF([1]Sheet2!CJ273=999999,"NA",[1]Sheet2!CJ273)</f>
        <v>94</v>
      </c>
      <c r="CC274" s="14">
        <f>[1]Sheet2!BG273</f>
        <v>0</v>
      </c>
      <c r="CD274" s="14">
        <f>[1]Sheet2!BH273</f>
        <v>0</v>
      </c>
      <c r="CE274" s="14">
        <f>[1]Sheet2!BI273</f>
        <v>0</v>
      </c>
      <c r="CF274" s="14">
        <f>[1]Sheet2!BJ273</f>
        <v>0</v>
      </c>
      <c r="CG274" s="14">
        <f>[1]Sheet2!BK273</f>
        <v>0</v>
      </c>
      <c r="CH274" s="14">
        <f>[1]Sheet2!BL273</f>
        <v>0</v>
      </c>
      <c r="CI274" s="14">
        <f>[1]Sheet2!BM273</f>
        <v>0</v>
      </c>
      <c r="CJ274" s="14">
        <f>[1]Sheet2!BN273</f>
        <v>0</v>
      </c>
      <c r="CK274" s="14">
        <f>[1]Sheet2!BO273</f>
        <v>0</v>
      </c>
      <c r="CL274" s="14">
        <f>[1]Sheet2!BP273</f>
        <v>0</v>
      </c>
      <c r="CM274" s="16">
        <f>Demand_SW!B$11/30</f>
        <v>144.23076923076923</v>
      </c>
      <c r="CN274" s="16">
        <f>Demand_SW!C$11/30</f>
        <v>0</v>
      </c>
      <c r="CO274" s="16">
        <f>Demand_SW!D$11/30</f>
        <v>0</v>
      </c>
      <c r="CP274" s="16">
        <f>Demand_SW!E$11/30</f>
        <v>0</v>
      </c>
      <c r="CQ274" s="16">
        <f>Demand_SW!F$11/30</f>
        <v>0</v>
      </c>
      <c r="CR274" s="16">
        <f>Demand_SW!G$11/30</f>
        <v>144.23076923076923</v>
      </c>
      <c r="CS274" s="16">
        <f>Demand_SW!H$11/30</f>
        <v>0</v>
      </c>
      <c r="CT274" s="16">
        <f>Demand_SW!I$11/30</f>
        <v>0</v>
      </c>
      <c r="CU274" s="16">
        <f>Demand_SW!J$11/30</f>
        <v>0</v>
      </c>
      <c r="CV274" s="16">
        <f>Demand_SW!K$11/30</f>
        <v>0</v>
      </c>
      <c r="CW274" s="16">
        <f t="shared" si="143"/>
        <v>64240.769230769249</v>
      </c>
      <c r="CX274" s="16">
        <f t="shared" si="144"/>
        <v>20683.923076923078</v>
      </c>
      <c r="CY274" s="16">
        <f t="shared" si="145"/>
        <v>0</v>
      </c>
      <c r="CZ274" s="16">
        <f t="shared" si="146"/>
        <v>0</v>
      </c>
      <c r="DA274" s="16">
        <f t="shared" si="147"/>
        <v>0</v>
      </c>
      <c r="DB274" s="16">
        <f t="shared" si="148"/>
        <v>-35288.461538461488</v>
      </c>
      <c r="DC274" s="16">
        <f t="shared" si="149"/>
        <v>20683.923076923078</v>
      </c>
      <c r="DD274" s="16">
        <f t="shared" si="150"/>
        <v>0</v>
      </c>
      <c r="DE274" s="16">
        <f t="shared" si="151"/>
        <v>0</v>
      </c>
      <c r="DF274" s="16">
        <f t="shared" si="152"/>
        <v>0</v>
      </c>
      <c r="DG274" s="14">
        <f>IF([1]Sheet2!DR273=999999,"NA",[1]Sheet2!DR273)</f>
        <v>73103</v>
      </c>
      <c r="DH274" s="14">
        <f>IF([1]Sheet2!DS273=999999,"NA",[1]Sheet2!DS273)</f>
        <v>94</v>
      </c>
      <c r="DI274" s="14">
        <f>IF([1]Sheet2!DT273=999999,"NA",[1]Sheet2!DT273)</f>
        <v>94</v>
      </c>
      <c r="DJ274" s="14" t="str">
        <f>IF([1]Sheet2!DU273=999999,"NA",[1]Sheet2!DU273)</f>
        <v>NA</v>
      </c>
      <c r="DK274" s="14" t="str">
        <f>IF([1]Sheet2!DV273=999999,"NA",[1]Sheet2!DV273)</f>
        <v>NA</v>
      </c>
      <c r="DL274" s="14" t="str">
        <f>IF([1]Sheet2!DW273=999999,"NA",[1]Sheet2!DW273)</f>
        <v>NA</v>
      </c>
      <c r="DM274" s="14">
        <f>IF([1]Sheet2!DX273=999999,"NA",[1]Sheet2!DX273)</f>
        <v>94</v>
      </c>
      <c r="DN274" s="14">
        <f>IF([1]Sheet2!DY273=999999,"NA",[1]Sheet2!DY273)</f>
        <v>94</v>
      </c>
      <c r="DO274" s="14" t="str">
        <f>IF([1]Sheet2!DZ273=999999,"NA",[1]Sheet2!DZ273)</f>
        <v>NA</v>
      </c>
      <c r="DP274" s="14" t="str">
        <f>IF([1]Sheet2!EA273=999999,"NA",[1]Sheet2!EA273)</f>
        <v>NA</v>
      </c>
      <c r="DQ274" s="14">
        <f>[1]Sheet2!CX273</f>
        <v>0</v>
      </c>
      <c r="DR274" s="14">
        <f>[1]Sheet2!CY273</f>
        <v>0</v>
      </c>
      <c r="DS274" s="14">
        <f>[1]Sheet2!CZ273</f>
        <v>0</v>
      </c>
      <c r="DT274" s="14">
        <f>[1]Sheet2!DA273</f>
        <v>0</v>
      </c>
      <c r="DU274" s="14">
        <f>[1]Sheet2!DB273</f>
        <v>0</v>
      </c>
      <c r="DV274" s="14">
        <f>[1]Sheet2!DC273</f>
        <v>0</v>
      </c>
      <c r="DW274" s="14">
        <f>[1]Sheet2!DD273</f>
        <v>0</v>
      </c>
      <c r="DX274" s="14">
        <f>[1]Sheet2!DE273</f>
        <v>0</v>
      </c>
      <c r="DY274" s="14">
        <f>[1]Sheet2!DF273</f>
        <v>0</v>
      </c>
      <c r="DZ274" s="14">
        <f>[1]Sheet2!DG273</f>
        <v>0</v>
      </c>
    </row>
    <row r="275" spans="1:130" x14ac:dyDescent="0.25">
      <c r="A275" s="15">
        <v>43737</v>
      </c>
      <c r="B275" s="1"/>
      <c r="C275" s="1"/>
      <c r="D275" s="1"/>
      <c r="E275" s="14">
        <f>[1]Sheet2!N274</f>
        <v>48000</v>
      </c>
      <c r="F275" s="14">
        <f>[1]Sheet2!BE274</f>
        <v>0</v>
      </c>
      <c r="G275" s="14">
        <f>[1]Sheet2!CV274</f>
        <v>288.46153846153851</v>
      </c>
      <c r="H275" s="1"/>
      <c r="I275" s="1"/>
      <c r="J275" s="1"/>
      <c r="K275" s="16">
        <f>Demand_CWRS!B$11/30</f>
        <v>118.04546474358973</v>
      </c>
      <c r="L275" s="16">
        <f>Demand_CWRS!C$11/30</f>
        <v>491.39401709401704</v>
      </c>
      <c r="M275" s="16">
        <f>Demand_CWRS!D$11/30</f>
        <v>0</v>
      </c>
      <c r="N275" s="16">
        <f>Demand_CWRS!E$11/30</f>
        <v>107.84935897435898</v>
      </c>
      <c r="O275" s="16">
        <f>Demand_CWRS!F$11/30</f>
        <v>218.22274305555553</v>
      </c>
      <c r="P275" s="16">
        <f>Demand_CWRS!G$11/30</f>
        <v>118.04546474358973</v>
      </c>
      <c r="Q275" s="16">
        <f>Demand_CWRS!H$11/30</f>
        <v>491.39401709401704</v>
      </c>
      <c r="R275" s="16">
        <f>Demand_CWRS!I$11/30</f>
        <v>218.22274305555553</v>
      </c>
      <c r="S275" s="16">
        <f>Demand_CWRS!J$11/30</f>
        <v>218.22274305555553</v>
      </c>
      <c r="T275" s="16">
        <f>Demand_CWRS!K$11/30</f>
        <v>218.22274305555553</v>
      </c>
      <c r="U275" s="16">
        <f t="shared" si="123"/>
        <v>-35857.95068803749</v>
      </c>
      <c r="V275" s="16">
        <f t="shared" si="124"/>
        <v>-128512.25982905951</v>
      </c>
      <c r="W275" s="16">
        <f t="shared" si="125"/>
        <v>0</v>
      </c>
      <c r="X275" s="16">
        <f t="shared" si="126"/>
        <v>-30147.625908795759</v>
      </c>
      <c r="Y275" s="16">
        <f t="shared" si="127"/>
        <v>-58995.983800071728</v>
      </c>
      <c r="Z275" s="16">
        <f t="shared" si="128"/>
        <v>-35461.018163999084</v>
      </c>
      <c r="AA275" s="16">
        <f t="shared" si="129"/>
        <v>-128012.25982905951</v>
      </c>
      <c r="AB275" s="16">
        <f t="shared" si="130"/>
        <v>-56512.138319302445</v>
      </c>
      <c r="AC275" s="16">
        <f t="shared" si="131"/>
        <v>-56512.138319302438</v>
      </c>
      <c r="AD275" s="16">
        <f t="shared" si="132"/>
        <v>-57212.13831930243</v>
      </c>
      <c r="AE275" s="14">
        <f>IF([1]Sheet2!AJ274=999999,"NA",[1]Sheet2!AJ274)</f>
        <v>0</v>
      </c>
      <c r="AF275" s="14">
        <f>IF([1]Sheet2!AK274=999999,"NA",[1]Sheet2!AK274)</f>
        <v>0</v>
      </c>
      <c r="AG275" s="14" t="str">
        <f>IF([1]Sheet2!AL274=999999,"NA",[1]Sheet2!AL274)</f>
        <v>NA</v>
      </c>
      <c r="AH275" s="14">
        <f>IF([1]Sheet2!AM274=999999,"NA",[1]Sheet2!AM274)</f>
        <v>93</v>
      </c>
      <c r="AI275" s="14">
        <f>IF([1]Sheet2!AN274=999999,"NA",[1]Sheet2!AN274)</f>
        <v>93</v>
      </c>
      <c r="AJ275" s="14">
        <f>IF([1]Sheet2!AO274=999999,"NA",[1]Sheet2!AO274)</f>
        <v>93</v>
      </c>
      <c r="AK275" s="14">
        <f>IF([1]Sheet2!AP274=999999,"NA",[1]Sheet2!AP274)</f>
        <v>0</v>
      </c>
      <c r="AL275" s="14">
        <f>IF([1]Sheet2!AQ274=999999,"NA",[1]Sheet2!AQ274)</f>
        <v>0</v>
      </c>
      <c r="AM275" s="14">
        <f>IF([1]Sheet2!AR274=999999,"NA",[1]Sheet2!AR274)</f>
        <v>93</v>
      </c>
      <c r="AN275" s="14">
        <f>IF([1]Sheet2!AS274=999999,"NA",[1]Sheet2!AS274)</f>
        <v>44</v>
      </c>
      <c r="AO275" s="14">
        <f>[1]Sheet2!P274</f>
        <v>0</v>
      </c>
      <c r="AP275" s="14">
        <f>[1]Sheet2!Q274</f>
        <v>0</v>
      </c>
      <c r="AQ275" s="14">
        <f>[1]Sheet2!R274</f>
        <v>0</v>
      </c>
      <c r="AR275" s="14">
        <f>[1]Sheet2!S274</f>
        <v>0</v>
      </c>
      <c r="AS275" s="14">
        <f>[1]Sheet2!T274</f>
        <v>0</v>
      </c>
      <c r="AT275" s="14">
        <f>[1]Sheet2!U274</f>
        <v>0</v>
      </c>
      <c r="AU275" s="14">
        <f>[1]Sheet2!V274</f>
        <v>0</v>
      </c>
      <c r="AV275" s="14">
        <f>[1]Sheet2!W274</f>
        <v>0</v>
      </c>
      <c r="AW275" s="14">
        <f>[1]Sheet2!X274</f>
        <v>0</v>
      </c>
      <c r="AX275" s="14">
        <f>[1]Sheet2!Y274</f>
        <v>0</v>
      </c>
      <c r="AY275" s="16">
        <f>Demand_LP!B$11/30</f>
        <v>902.60591613247857</v>
      </c>
      <c r="AZ275" s="16">
        <f>Demand_LP!C$11/30</f>
        <v>593.76410256410259</v>
      </c>
      <c r="BA275" s="16">
        <f>Demand_LP!D$11/30</f>
        <v>290.27136752136749</v>
      </c>
      <c r="BB275" s="16">
        <f>Demand_LP!E$11/30</f>
        <v>790.42628205128199</v>
      </c>
      <c r="BC275" s="16">
        <f>Demand_LP!F$11/30</f>
        <v>538.46224626068363</v>
      </c>
      <c r="BD275" s="16">
        <f>Demand_LP!G$11/30</f>
        <v>902.60591613247857</v>
      </c>
      <c r="BE275" s="16">
        <f>Demand_LP!H$11/30</f>
        <v>593.76410256410259</v>
      </c>
      <c r="BF275" s="16">
        <f>Demand_LP!I$11/30</f>
        <v>538.46224626068363</v>
      </c>
      <c r="BG275" s="16">
        <f>Demand_LP!J$11/30</f>
        <v>538.46224626068363</v>
      </c>
      <c r="BH275" s="16">
        <f>Demand_LP!K$11/30</f>
        <v>538.46224626068363</v>
      </c>
      <c r="BI275" s="16" t="e">
        <f t="shared" si="133"/>
        <v>#VALUE!</v>
      </c>
      <c r="BJ275" s="16">
        <f t="shared" si="134"/>
        <v>-154505.29999999993</v>
      </c>
      <c r="BK275" s="16">
        <f t="shared" si="135"/>
        <v>-79782.469658119779</v>
      </c>
      <c r="BL275" s="16">
        <f t="shared" si="136"/>
        <v>-204043.0442145401</v>
      </c>
      <c r="BM275" s="16">
        <f t="shared" si="137"/>
        <v>-121537.57524562512</v>
      </c>
      <c r="BN275" s="16">
        <f t="shared" si="138"/>
        <v>-211021.3317494994</v>
      </c>
      <c r="BO275" s="16">
        <f t="shared" si="139"/>
        <v>-156862.87948717971</v>
      </c>
      <c r="BP275" s="16">
        <f t="shared" si="140"/>
        <v>-122649.25916399572</v>
      </c>
      <c r="BQ275" s="16">
        <f t="shared" si="141"/>
        <v>-119639.25916399577</v>
      </c>
      <c r="BR275" s="16">
        <f t="shared" si="142"/>
        <v>-120839.25916399572</v>
      </c>
      <c r="BS275" s="14">
        <f>IF([1]Sheet2!CA274=999999,"NA",[1]Sheet2!CA274)</f>
        <v>95639.740836004436</v>
      </c>
      <c r="BT275" s="14">
        <f>IF([1]Sheet2!CB274=999999,"NA",[1]Sheet2!CB274)</f>
        <v>23</v>
      </c>
      <c r="BU275" s="14">
        <f>IF([1]Sheet2!CC274=999999,"NA",[1]Sheet2!CC274)</f>
        <v>93</v>
      </c>
      <c r="BV275" s="14">
        <f>IF([1]Sheet2!CD274=999999,"NA",[1]Sheet2!CD274)</f>
        <v>93</v>
      </c>
      <c r="BW275" s="14">
        <f>IF([1]Sheet2!CE274=999999,"NA",[1]Sheet2!CE274)</f>
        <v>62</v>
      </c>
      <c r="BX275" s="14">
        <f>IF([1]Sheet2!CF274=999999,"NA",[1]Sheet2!CF274)</f>
        <v>93</v>
      </c>
      <c r="BY275" s="14">
        <f>IF([1]Sheet2!CG274=999999,"NA",[1]Sheet2!CG274)</f>
        <v>0</v>
      </c>
      <c r="BZ275" s="14">
        <f>IF([1]Sheet2!CH274=999999,"NA",[1]Sheet2!CH274)</f>
        <v>93</v>
      </c>
      <c r="CA275" s="14">
        <f>IF([1]Sheet2!CI274=999999,"NA",[1]Sheet2!CI274)</f>
        <v>93</v>
      </c>
      <c r="CB275" s="14">
        <f>IF([1]Sheet2!CJ274=999999,"NA",[1]Sheet2!CJ274)</f>
        <v>93</v>
      </c>
      <c r="CC275" s="14">
        <f>[1]Sheet2!BG274</f>
        <v>0</v>
      </c>
      <c r="CD275" s="14">
        <f>[1]Sheet2!BH274</f>
        <v>0</v>
      </c>
      <c r="CE275" s="14">
        <f>[1]Sheet2!BI274</f>
        <v>0</v>
      </c>
      <c r="CF275" s="14">
        <f>[1]Sheet2!BJ274</f>
        <v>0</v>
      </c>
      <c r="CG275" s="14">
        <f>[1]Sheet2!BK274</f>
        <v>0</v>
      </c>
      <c r="CH275" s="14">
        <f>[1]Sheet2!BL274</f>
        <v>0</v>
      </c>
      <c r="CI275" s="14">
        <f>[1]Sheet2!BM274</f>
        <v>0</v>
      </c>
      <c r="CJ275" s="14">
        <f>[1]Sheet2!BN274</f>
        <v>0</v>
      </c>
      <c r="CK275" s="14">
        <f>[1]Sheet2!BO274</f>
        <v>0</v>
      </c>
      <c r="CL275" s="14">
        <f>[1]Sheet2!BP274</f>
        <v>0</v>
      </c>
      <c r="CM275" s="16">
        <f>Demand_SW!B$11/30</f>
        <v>144.23076923076923</v>
      </c>
      <c r="CN275" s="16">
        <f>Demand_SW!C$11/30</f>
        <v>0</v>
      </c>
      <c r="CO275" s="16">
        <f>Demand_SW!D$11/30</f>
        <v>0</v>
      </c>
      <c r="CP275" s="16">
        <f>Demand_SW!E$11/30</f>
        <v>0</v>
      </c>
      <c r="CQ275" s="16">
        <f>Demand_SW!F$11/30</f>
        <v>0</v>
      </c>
      <c r="CR275" s="16">
        <f>Demand_SW!G$11/30</f>
        <v>144.23076923076923</v>
      </c>
      <c r="CS275" s="16">
        <f>Demand_SW!H$11/30</f>
        <v>0</v>
      </c>
      <c r="CT275" s="16">
        <f>Demand_SW!I$11/30</f>
        <v>0</v>
      </c>
      <c r="CU275" s="16">
        <f>Demand_SW!J$11/30</f>
        <v>0</v>
      </c>
      <c r="CV275" s="16">
        <f>Demand_SW!K$11/30</f>
        <v>0</v>
      </c>
      <c r="CW275" s="16">
        <f t="shared" si="143"/>
        <v>64096.538461538483</v>
      </c>
      <c r="CX275" s="16">
        <f t="shared" si="144"/>
        <v>20683.923076923078</v>
      </c>
      <c r="CY275" s="16">
        <f t="shared" si="145"/>
        <v>0</v>
      </c>
      <c r="CZ275" s="16">
        <f t="shared" si="146"/>
        <v>0</v>
      </c>
      <c r="DA275" s="16">
        <f t="shared" si="147"/>
        <v>0</v>
      </c>
      <c r="DB275" s="16">
        <f t="shared" si="148"/>
        <v>-35432.692307692254</v>
      </c>
      <c r="DC275" s="16">
        <f t="shared" si="149"/>
        <v>20683.923076923078</v>
      </c>
      <c r="DD275" s="16">
        <f t="shared" si="150"/>
        <v>0</v>
      </c>
      <c r="DE275" s="16">
        <f t="shared" si="151"/>
        <v>0</v>
      </c>
      <c r="DF275" s="16">
        <f t="shared" si="152"/>
        <v>0</v>
      </c>
      <c r="DG275" s="14">
        <f>IF([1]Sheet2!DR274=999999,"NA",[1]Sheet2!DR274)</f>
        <v>73103</v>
      </c>
      <c r="DH275" s="14">
        <f>IF([1]Sheet2!DS274=999999,"NA",[1]Sheet2!DS274)</f>
        <v>93</v>
      </c>
      <c r="DI275" s="14">
        <f>IF([1]Sheet2!DT274=999999,"NA",[1]Sheet2!DT274)</f>
        <v>93</v>
      </c>
      <c r="DJ275" s="14" t="str">
        <f>IF([1]Sheet2!DU274=999999,"NA",[1]Sheet2!DU274)</f>
        <v>NA</v>
      </c>
      <c r="DK275" s="14" t="str">
        <f>IF([1]Sheet2!DV274=999999,"NA",[1]Sheet2!DV274)</f>
        <v>NA</v>
      </c>
      <c r="DL275" s="14" t="str">
        <f>IF([1]Sheet2!DW274=999999,"NA",[1]Sheet2!DW274)</f>
        <v>NA</v>
      </c>
      <c r="DM275" s="14">
        <f>IF([1]Sheet2!DX274=999999,"NA",[1]Sheet2!DX274)</f>
        <v>93</v>
      </c>
      <c r="DN275" s="14">
        <f>IF([1]Sheet2!DY274=999999,"NA",[1]Sheet2!DY274)</f>
        <v>93</v>
      </c>
      <c r="DO275" s="14" t="str">
        <f>IF([1]Sheet2!DZ274=999999,"NA",[1]Sheet2!DZ274)</f>
        <v>NA</v>
      </c>
      <c r="DP275" s="14" t="str">
        <f>IF([1]Sheet2!EA274=999999,"NA",[1]Sheet2!EA274)</f>
        <v>NA</v>
      </c>
      <c r="DQ275" s="14">
        <f>[1]Sheet2!CX274</f>
        <v>0</v>
      </c>
      <c r="DR275" s="14">
        <f>[1]Sheet2!CY274</f>
        <v>0</v>
      </c>
      <c r="DS275" s="14">
        <f>[1]Sheet2!CZ274</f>
        <v>0</v>
      </c>
      <c r="DT275" s="14">
        <f>[1]Sheet2!DA274</f>
        <v>0</v>
      </c>
      <c r="DU275" s="14">
        <f>[1]Sheet2!DB274</f>
        <v>0</v>
      </c>
      <c r="DV275" s="14">
        <f>[1]Sheet2!DC274</f>
        <v>0</v>
      </c>
      <c r="DW275" s="14">
        <f>[1]Sheet2!DD274</f>
        <v>0</v>
      </c>
      <c r="DX275" s="14">
        <f>[1]Sheet2!DE274</f>
        <v>0</v>
      </c>
      <c r="DY275" s="14">
        <f>[1]Sheet2!DF274</f>
        <v>0</v>
      </c>
      <c r="DZ275" s="14">
        <f>[1]Sheet2!DG274</f>
        <v>0</v>
      </c>
    </row>
    <row r="276" spans="1:130" x14ac:dyDescent="0.25">
      <c r="A276" s="15">
        <v>43738</v>
      </c>
      <c r="B276" s="1"/>
      <c r="C276" s="1"/>
      <c r="D276" s="1"/>
      <c r="E276" s="14">
        <f>[1]Sheet2!N275</f>
        <v>0</v>
      </c>
      <c r="F276" s="14">
        <f>[1]Sheet2!BE275</f>
        <v>0</v>
      </c>
      <c r="G276" s="14">
        <f>[1]Sheet2!CV275</f>
        <v>288.46153846153851</v>
      </c>
      <c r="H276" s="1"/>
      <c r="I276" s="1"/>
      <c r="J276" s="1"/>
      <c r="K276" s="16">
        <f>Demand_CWRS!B$11/30</f>
        <v>118.04546474358973</v>
      </c>
      <c r="L276" s="16">
        <f>Demand_CWRS!C$11/30</f>
        <v>491.39401709401704</v>
      </c>
      <c r="M276" s="16">
        <f>Demand_CWRS!D$11/30</f>
        <v>0</v>
      </c>
      <c r="N276" s="16">
        <f>Demand_CWRS!E$11/30</f>
        <v>107.84935897435898</v>
      </c>
      <c r="O276" s="16">
        <f>Demand_CWRS!F$11/30</f>
        <v>218.22274305555553</v>
      </c>
      <c r="P276" s="16">
        <f>Demand_CWRS!G$11/30</f>
        <v>118.04546474358973</v>
      </c>
      <c r="Q276" s="16">
        <f>Demand_CWRS!H$11/30</f>
        <v>491.39401709401704</v>
      </c>
      <c r="R276" s="16">
        <f>Demand_CWRS!I$11/30</f>
        <v>218.22274305555553</v>
      </c>
      <c r="S276" s="16">
        <f>Demand_CWRS!J$11/30</f>
        <v>218.22274305555553</v>
      </c>
      <c r="T276" s="16">
        <f>Demand_CWRS!K$11/30</f>
        <v>218.22274305555553</v>
      </c>
      <c r="U276" s="16">
        <f t="shared" si="123"/>
        <v>-35975.996152781081</v>
      </c>
      <c r="V276" s="16">
        <f t="shared" si="124"/>
        <v>-129003.65384615352</v>
      </c>
      <c r="W276" s="16">
        <f t="shared" si="125"/>
        <v>0</v>
      </c>
      <c r="X276" s="16">
        <f t="shared" si="126"/>
        <v>-30255.475267770118</v>
      </c>
      <c r="Y276" s="16">
        <f t="shared" si="127"/>
        <v>-59214.206543127286</v>
      </c>
      <c r="Z276" s="16">
        <f t="shared" si="128"/>
        <v>-35579.063628742675</v>
      </c>
      <c r="AA276" s="16">
        <f t="shared" si="129"/>
        <v>-128503.65384615352</v>
      </c>
      <c r="AB276" s="16">
        <f t="shared" si="130"/>
        <v>-56730.361062358003</v>
      </c>
      <c r="AC276" s="16">
        <f t="shared" si="131"/>
        <v>-56730.361062357995</v>
      </c>
      <c r="AD276" s="16">
        <f t="shared" si="132"/>
        <v>-57430.361062357988</v>
      </c>
      <c r="AE276" s="14">
        <f>IF([1]Sheet2!AJ275=999999,"NA",[1]Sheet2!AJ275)</f>
        <v>0</v>
      </c>
      <c r="AF276" s="14">
        <f>IF([1]Sheet2!AK275=999999,"NA",[1]Sheet2!AK275)</f>
        <v>0</v>
      </c>
      <c r="AG276" s="14" t="str">
        <f>IF([1]Sheet2!AL275=999999,"NA",[1]Sheet2!AL275)</f>
        <v>NA</v>
      </c>
      <c r="AH276" s="14">
        <f>IF([1]Sheet2!AM275=999999,"NA",[1]Sheet2!AM275)</f>
        <v>92</v>
      </c>
      <c r="AI276" s="14">
        <f>IF([1]Sheet2!AN275=999999,"NA",[1]Sheet2!AN275)</f>
        <v>92</v>
      </c>
      <c r="AJ276" s="14">
        <f>IF([1]Sheet2!AO275=999999,"NA",[1]Sheet2!AO275)</f>
        <v>92</v>
      </c>
      <c r="AK276" s="14">
        <f>IF([1]Sheet2!AP275=999999,"NA",[1]Sheet2!AP275)</f>
        <v>0</v>
      </c>
      <c r="AL276" s="14">
        <f>IF([1]Sheet2!AQ275=999999,"NA",[1]Sheet2!AQ275)</f>
        <v>0</v>
      </c>
      <c r="AM276" s="14">
        <f>IF([1]Sheet2!AR275=999999,"NA",[1]Sheet2!AR275)</f>
        <v>92</v>
      </c>
      <c r="AN276" s="14">
        <f>IF([1]Sheet2!AS275=999999,"NA",[1]Sheet2!AS275)</f>
        <v>43</v>
      </c>
      <c r="AO276" s="14">
        <f>[1]Sheet2!P275</f>
        <v>0</v>
      </c>
      <c r="AP276" s="14">
        <f>[1]Sheet2!Q275</f>
        <v>0</v>
      </c>
      <c r="AQ276" s="14">
        <f>[1]Sheet2!R275</f>
        <v>0</v>
      </c>
      <c r="AR276" s="14">
        <f>[1]Sheet2!S275</f>
        <v>0</v>
      </c>
      <c r="AS276" s="14">
        <f>[1]Sheet2!T275</f>
        <v>0</v>
      </c>
      <c r="AT276" s="14">
        <f>[1]Sheet2!U275</f>
        <v>0</v>
      </c>
      <c r="AU276" s="14">
        <f>[1]Sheet2!V275</f>
        <v>0</v>
      </c>
      <c r="AV276" s="14">
        <f>[1]Sheet2!W275</f>
        <v>0</v>
      </c>
      <c r="AW276" s="14">
        <f>[1]Sheet2!X275</f>
        <v>0</v>
      </c>
      <c r="AX276" s="14">
        <f>[1]Sheet2!Y275</f>
        <v>0</v>
      </c>
      <c r="AY276" s="16">
        <f>Demand_LP!B$11/30</f>
        <v>902.60591613247857</v>
      </c>
      <c r="AZ276" s="16">
        <f>Demand_LP!C$11/30</f>
        <v>593.76410256410259</v>
      </c>
      <c r="BA276" s="16">
        <f>Demand_LP!D$11/30</f>
        <v>290.27136752136749</v>
      </c>
      <c r="BB276" s="16">
        <f>Demand_LP!E$11/30</f>
        <v>790.42628205128199</v>
      </c>
      <c r="BC276" s="16">
        <f>Demand_LP!F$11/30</f>
        <v>538.46224626068363</v>
      </c>
      <c r="BD276" s="16">
        <f>Demand_LP!G$11/30</f>
        <v>902.60591613247857</v>
      </c>
      <c r="BE276" s="16">
        <f>Demand_LP!H$11/30</f>
        <v>593.76410256410259</v>
      </c>
      <c r="BF276" s="16">
        <f>Demand_LP!I$11/30</f>
        <v>538.46224626068363</v>
      </c>
      <c r="BG276" s="16">
        <f>Demand_LP!J$11/30</f>
        <v>538.46224626068363</v>
      </c>
      <c r="BH276" s="16">
        <f>Demand_LP!K$11/30</f>
        <v>538.46224626068363</v>
      </c>
      <c r="BI276" s="16" t="e">
        <f t="shared" si="133"/>
        <v>#VALUE!</v>
      </c>
      <c r="BJ276" s="16">
        <f t="shared" si="134"/>
        <v>-155099.06410256404</v>
      </c>
      <c r="BK276" s="16">
        <f t="shared" si="135"/>
        <v>-80072.741025641153</v>
      </c>
      <c r="BL276" s="16">
        <f t="shared" si="136"/>
        <v>-204833.47049659138</v>
      </c>
      <c r="BM276" s="16">
        <f t="shared" si="137"/>
        <v>-122076.0374918858</v>
      </c>
      <c r="BN276" s="16">
        <f t="shared" si="138"/>
        <v>-211923.93766563188</v>
      </c>
      <c r="BO276" s="16">
        <f t="shared" si="139"/>
        <v>-157456.64358974382</v>
      </c>
      <c r="BP276" s="16">
        <f t="shared" si="140"/>
        <v>-123187.7214102564</v>
      </c>
      <c r="BQ276" s="16">
        <f t="shared" si="141"/>
        <v>-120177.72141025645</v>
      </c>
      <c r="BR276" s="16">
        <f t="shared" si="142"/>
        <v>-121377.7214102564</v>
      </c>
      <c r="BS276" s="14">
        <f>IF([1]Sheet2!CA275=999999,"NA",[1]Sheet2!CA275)</f>
        <v>95101.278589743757</v>
      </c>
      <c r="BT276" s="14">
        <f>IF([1]Sheet2!CB275=999999,"NA",[1]Sheet2!CB275)</f>
        <v>22</v>
      </c>
      <c r="BU276" s="14">
        <f>IF([1]Sheet2!CC275=999999,"NA",[1]Sheet2!CC275)</f>
        <v>92</v>
      </c>
      <c r="BV276" s="14">
        <f>IF([1]Sheet2!CD275=999999,"NA",[1]Sheet2!CD275)</f>
        <v>92</v>
      </c>
      <c r="BW276" s="14">
        <f>IF([1]Sheet2!CE275=999999,"NA",[1]Sheet2!CE275)</f>
        <v>61</v>
      </c>
      <c r="BX276" s="14">
        <f>IF([1]Sheet2!CF275=999999,"NA",[1]Sheet2!CF275)</f>
        <v>92</v>
      </c>
      <c r="BY276" s="14">
        <f>IF([1]Sheet2!CG275=999999,"NA",[1]Sheet2!CG275)</f>
        <v>0</v>
      </c>
      <c r="BZ276" s="14">
        <f>IF([1]Sheet2!CH275=999999,"NA",[1]Sheet2!CH275)</f>
        <v>92</v>
      </c>
      <c r="CA276" s="14">
        <f>IF([1]Sheet2!CI275=999999,"NA",[1]Sheet2!CI275)</f>
        <v>92</v>
      </c>
      <c r="CB276" s="14">
        <f>IF([1]Sheet2!CJ275=999999,"NA",[1]Sheet2!CJ275)</f>
        <v>92</v>
      </c>
      <c r="CC276" s="14">
        <f>[1]Sheet2!BG275</f>
        <v>0</v>
      </c>
      <c r="CD276" s="14">
        <f>[1]Sheet2!BH275</f>
        <v>0</v>
      </c>
      <c r="CE276" s="14">
        <f>[1]Sheet2!BI275</f>
        <v>0</v>
      </c>
      <c r="CF276" s="14">
        <f>[1]Sheet2!BJ275</f>
        <v>0</v>
      </c>
      <c r="CG276" s="14">
        <f>[1]Sheet2!BK275</f>
        <v>0</v>
      </c>
      <c r="CH276" s="14">
        <f>[1]Sheet2!BL275</f>
        <v>0</v>
      </c>
      <c r="CI276" s="14">
        <f>[1]Sheet2!BM275</f>
        <v>0</v>
      </c>
      <c r="CJ276" s="14">
        <f>[1]Sheet2!BN275</f>
        <v>0</v>
      </c>
      <c r="CK276" s="14">
        <f>[1]Sheet2!BO275</f>
        <v>0</v>
      </c>
      <c r="CL276" s="14">
        <f>[1]Sheet2!BP275</f>
        <v>0</v>
      </c>
      <c r="CM276" s="16">
        <f>Demand_SW!B$11/30</f>
        <v>144.23076923076923</v>
      </c>
      <c r="CN276" s="16">
        <f>Demand_SW!C$11/30</f>
        <v>0</v>
      </c>
      <c r="CO276" s="16">
        <f>Demand_SW!D$11/30</f>
        <v>0</v>
      </c>
      <c r="CP276" s="16">
        <f>Demand_SW!E$11/30</f>
        <v>0</v>
      </c>
      <c r="CQ276" s="16">
        <f>Demand_SW!F$11/30</f>
        <v>0</v>
      </c>
      <c r="CR276" s="16">
        <f>Demand_SW!G$11/30</f>
        <v>144.23076923076923</v>
      </c>
      <c r="CS276" s="16">
        <f>Demand_SW!H$11/30</f>
        <v>0</v>
      </c>
      <c r="CT276" s="16">
        <f>Demand_SW!I$11/30</f>
        <v>0</v>
      </c>
      <c r="CU276" s="16">
        <f>Demand_SW!J$11/30</f>
        <v>0</v>
      </c>
      <c r="CV276" s="16">
        <f>Demand_SW!K$11/30</f>
        <v>0</v>
      </c>
      <c r="CW276" s="16">
        <f t="shared" si="143"/>
        <v>63952.307692307717</v>
      </c>
      <c r="CX276" s="16">
        <f t="shared" si="144"/>
        <v>20683.923076923078</v>
      </c>
      <c r="CY276" s="16">
        <f t="shared" si="145"/>
        <v>0</v>
      </c>
      <c r="CZ276" s="16">
        <f t="shared" si="146"/>
        <v>0</v>
      </c>
      <c r="DA276" s="16">
        <f t="shared" si="147"/>
        <v>0</v>
      </c>
      <c r="DB276" s="16">
        <f t="shared" si="148"/>
        <v>-35576.92307692302</v>
      </c>
      <c r="DC276" s="16">
        <f t="shared" si="149"/>
        <v>20683.923076923078</v>
      </c>
      <c r="DD276" s="16">
        <f t="shared" si="150"/>
        <v>0</v>
      </c>
      <c r="DE276" s="16">
        <f t="shared" si="151"/>
        <v>0</v>
      </c>
      <c r="DF276" s="16">
        <f t="shared" si="152"/>
        <v>0</v>
      </c>
      <c r="DG276" s="14">
        <f>IF([1]Sheet2!DR275=999999,"NA",[1]Sheet2!DR275)</f>
        <v>73103</v>
      </c>
      <c r="DH276" s="14">
        <f>IF([1]Sheet2!DS275=999999,"NA",[1]Sheet2!DS275)</f>
        <v>92</v>
      </c>
      <c r="DI276" s="14">
        <f>IF([1]Sheet2!DT275=999999,"NA",[1]Sheet2!DT275)</f>
        <v>92</v>
      </c>
      <c r="DJ276" s="14" t="str">
        <f>IF([1]Sheet2!DU275=999999,"NA",[1]Sheet2!DU275)</f>
        <v>NA</v>
      </c>
      <c r="DK276" s="14" t="str">
        <f>IF([1]Sheet2!DV275=999999,"NA",[1]Sheet2!DV275)</f>
        <v>NA</v>
      </c>
      <c r="DL276" s="14" t="str">
        <f>IF([1]Sheet2!DW275=999999,"NA",[1]Sheet2!DW275)</f>
        <v>NA</v>
      </c>
      <c r="DM276" s="14">
        <f>IF([1]Sheet2!DX275=999999,"NA",[1]Sheet2!DX275)</f>
        <v>92</v>
      </c>
      <c r="DN276" s="14">
        <f>IF([1]Sheet2!DY275=999999,"NA",[1]Sheet2!DY275)</f>
        <v>92</v>
      </c>
      <c r="DO276" s="14" t="str">
        <f>IF([1]Sheet2!DZ275=999999,"NA",[1]Sheet2!DZ275)</f>
        <v>NA</v>
      </c>
      <c r="DP276" s="14" t="str">
        <f>IF([1]Sheet2!EA275=999999,"NA",[1]Sheet2!EA275)</f>
        <v>NA</v>
      </c>
      <c r="DQ276" s="14">
        <f>[1]Sheet2!CX275</f>
        <v>0</v>
      </c>
      <c r="DR276" s="14">
        <f>[1]Sheet2!CY275</f>
        <v>0</v>
      </c>
      <c r="DS276" s="14">
        <f>[1]Sheet2!CZ275</f>
        <v>0</v>
      </c>
      <c r="DT276" s="14">
        <f>[1]Sheet2!DA275</f>
        <v>0</v>
      </c>
      <c r="DU276" s="14">
        <f>[1]Sheet2!DB275</f>
        <v>0</v>
      </c>
      <c r="DV276" s="14">
        <f>[1]Sheet2!DC275</f>
        <v>0</v>
      </c>
      <c r="DW276" s="14">
        <f>[1]Sheet2!DD275</f>
        <v>0</v>
      </c>
      <c r="DX276" s="14">
        <f>[1]Sheet2!DE275</f>
        <v>0</v>
      </c>
      <c r="DY276" s="14">
        <f>[1]Sheet2!DF275</f>
        <v>0</v>
      </c>
      <c r="DZ276" s="14">
        <f>[1]Sheet2!DG275</f>
        <v>0</v>
      </c>
    </row>
    <row r="277" spans="1:130" x14ac:dyDescent="0.25">
      <c r="A277" s="15">
        <v>43739</v>
      </c>
      <c r="B277" s="1"/>
      <c r="C277" s="1"/>
      <c r="D277" s="1"/>
      <c r="E277" s="14">
        <f>[1]Sheet2!N276</f>
        <v>0</v>
      </c>
      <c r="F277" s="14">
        <f>[1]Sheet2!BE276</f>
        <v>0</v>
      </c>
      <c r="G277" s="14">
        <f>[1]Sheet2!CV276</f>
        <v>279.15632754342431</v>
      </c>
      <c r="H277" s="1"/>
      <c r="I277" s="1"/>
      <c r="J277" s="1"/>
      <c r="K277" s="16">
        <f>Demand_CWRS!B$12/31</f>
        <v>113.31027191894128</v>
      </c>
      <c r="L277" s="16">
        <f>Demand_CWRS!C$12/31</f>
        <v>480.06765922249781</v>
      </c>
      <c r="M277" s="16">
        <f>Demand_CWRS!D$12/31</f>
        <v>0</v>
      </c>
      <c r="N277" s="16">
        <f>Demand_CWRS!E$12/31</f>
        <v>103.22435897435898</v>
      </c>
      <c r="O277" s="16">
        <f>Demand_CWRS!F$12/31</f>
        <v>209.74544820099254</v>
      </c>
      <c r="P277" s="16">
        <f>Demand_CWRS!G$12/31</f>
        <v>113.31027191894128</v>
      </c>
      <c r="Q277" s="16">
        <f>Demand_CWRS!H$12/31</f>
        <v>480.06765922249781</v>
      </c>
      <c r="R277" s="16">
        <f>Demand_CWRS!I$12/31</f>
        <v>209.74544820099254</v>
      </c>
      <c r="S277" s="16">
        <f>Demand_CWRS!J$12/31</f>
        <v>209.74544820099254</v>
      </c>
      <c r="T277" s="16">
        <f>Demand_CWRS!K$12/31</f>
        <v>209.74544820099254</v>
      </c>
      <c r="U277" s="16">
        <f t="shared" si="123"/>
        <v>-36089.306424700022</v>
      </c>
      <c r="V277" s="16">
        <f t="shared" si="124"/>
        <v>-129483.72150537602</v>
      </c>
      <c r="W277" s="16">
        <f t="shared" si="125"/>
        <v>0</v>
      </c>
      <c r="X277" s="16">
        <f t="shared" si="126"/>
        <v>-30358.699626744477</v>
      </c>
      <c r="Y277" s="16">
        <f t="shared" si="127"/>
        <v>-59423.951991328278</v>
      </c>
      <c r="Z277" s="16">
        <f t="shared" si="128"/>
        <v>-35692.373900661616</v>
      </c>
      <c r="AA277" s="16">
        <f t="shared" si="129"/>
        <v>-128983.72150537602</v>
      </c>
      <c r="AB277" s="16">
        <f t="shared" si="130"/>
        <v>-56940.106510558995</v>
      </c>
      <c r="AC277" s="16">
        <f t="shared" si="131"/>
        <v>-56940.106510558988</v>
      </c>
      <c r="AD277" s="16">
        <f t="shared" si="132"/>
        <v>-57640.106510558981</v>
      </c>
      <c r="AE277" s="14">
        <f>IF([1]Sheet2!AJ276=999999,"NA",[1]Sheet2!AJ276)</f>
        <v>0</v>
      </c>
      <c r="AF277" s="14">
        <f>IF([1]Sheet2!AK276=999999,"NA",[1]Sheet2!AK276)</f>
        <v>0</v>
      </c>
      <c r="AG277" s="14" t="str">
        <f>IF([1]Sheet2!AL276=999999,"NA",[1]Sheet2!AL276)</f>
        <v>NA</v>
      </c>
      <c r="AH277" s="14">
        <f>IF([1]Sheet2!AM276=999999,"NA",[1]Sheet2!AM276)</f>
        <v>91</v>
      </c>
      <c r="AI277" s="14">
        <f>IF([1]Sheet2!AN276=999999,"NA",[1]Sheet2!AN276)</f>
        <v>91</v>
      </c>
      <c r="AJ277" s="14">
        <f>IF([1]Sheet2!AO276=999999,"NA",[1]Sheet2!AO276)</f>
        <v>91</v>
      </c>
      <c r="AK277" s="14">
        <f>IF([1]Sheet2!AP276=999999,"NA",[1]Sheet2!AP276)</f>
        <v>0</v>
      </c>
      <c r="AL277" s="14">
        <f>IF([1]Sheet2!AQ276=999999,"NA",[1]Sheet2!AQ276)</f>
        <v>0</v>
      </c>
      <c r="AM277" s="14">
        <f>IF([1]Sheet2!AR276=999999,"NA",[1]Sheet2!AR276)</f>
        <v>91</v>
      </c>
      <c r="AN277" s="14">
        <f>IF([1]Sheet2!AS276=999999,"NA",[1]Sheet2!AS276)</f>
        <v>42</v>
      </c>
      <c r="AO277" s="14">
        <f>[1]Sheet2!P276</f>
        <v>0</v>
      </c>
      <c r="AP277" s="14">
        <f>[1]Sheet2!Q276</f>
        <v>0</v>
      </c>
      <c r="AQ277" s="14">
        <f>[1]Sheet2!R276</f>
        <v>0</v>
      </c>
      <c r="AR277" s="14">
        <f>[1]Sheet2!S276</f>
        <v>0</v>
      </c>
      <c r="AS277" s="14">
        <f>[1]Sheet2!T276</f>
        <v>0</v>
      </c>
      <c r="AT277" s="14">
        <f>[1]Sheet2!U276</f>
        <v>0</v>
      </c>
      <c r="AU277" s="14">
        <f>[1]Sheet2!V276</f>
        <v>0</v>
      </c>
      <c r="AV277" s="14">
        <f>[1]Sheet2!W276</f>
        <v>0</v>
      </c>
      <c r="AW277" s="14">
        <f>[1]Sheet2!X276</f>
        <v>0</v>
      </c>
      <c r="AX277" s="14">
        <f>[1]Sheet2!Y276</f>
        <v>0</v>
      </c>
      <c r="AY277" s="16">
        <f>Demand_LP!B$12/31</f>
        <v>866.47279518196865</v>
      </c>
      <c r="AZ277" s="16">
        <f>Demand_LP!C$12/31</f>
        <v>577.62712985938799</v>
      </c>
      <c r="BA277" s="16">
        <f>Demand_LP!D$12/31</f>
        <v>262.18502894954509</v>
      </c>
      <c r="BB277" s="16">
        <f>Demand_LP!E$12/31</f>
        <v>766.03229942100904</v>
      </c>
      <c r="BC277" s="16">
        <f>Demand_LP!F$12/31</f>
        <v>516.10499638130682</v>
      </c>
      <c r="BD277" s="16">
        <f>Demand_LP!G$12/31</f>
        <v>866.47279518196865</v>
      </c>
      <c r="BE277" s="16">
        <f>Demand_LP!H$12/31</f>
        <v>577.62712985938799</v>
      </c>
      <c r="BF277" s="16">
        <f>Demand_LP!I$12/31</f>
        <v>516.10499638130682</v>
      </c>
      <c r="BG277" s="16">
        <f>Demand_LP!J$12/31</f>
        <v>516.10499638130682</v>
      </c>
      <c r="BH277" s="16">
        <f>Demand_LP!K$12/31</f>
        <v>516.10499638130682</v>
      </c>
      <c r="BI277" s="16" t="e">
        <f t="shared" si="133"/>
        <v>#VALUE!</v>
      </c>
      <c r="BJ277" s="16">
        <f t="shared" si="134"/>
        <v>-155676.69123242341</v>
      </c>
      <c r="BK277" s="16">
        <f t="shared" si="135"/>
        <v>-80334.926054590702</v>
      </c>
      <c r="BL277" s="16">
        <f t="shared" si="136"/>
        <v>-205599.50279601238</v>
      </c>
      <c r="BM277" s="16">
        <f t="shared" si="137"/>
        <v>-122592.14248826711</v>
      </c>
      <c r="BN277" s="16">
        <f t="shared" si="138"/>
        <v>-212790.41046081384</v>
      </c>
      <c r="BO277" s="16">
        <f t="shared" si="139"/>
        <v>-158034.2707196032</v>
      </c>
      <c r="BP277" s="16">
        <f t="shared" si="140"/>
        <v>-123703.82640663772</v>
      </c>
      <c r="BQ277" s="16">
        <f t="shared" si="141"/>
        <v>-120693.82640663776</v>
      </c>
      <c r="BR277" s="16">
        <f t="shared" si="142"/>
        <v>-121893.82640663772</v>
      </c>
      <c r="BS277" s="14">
        <f>IF([1]Sheet2!CA276=999999,"NA",[1]Sheet2!CA276)</f>
        <v>94585.173593362444</v>
      </c>
      <c r="BT277" s="14">
        <f>IF([1]Sheet2!CB276=999999,"NA",[1]Sheet2!CB276)</f>
        <v>21</v>
      </c>
      <c r="BU277" s="14">
        <f>IF([1]Sheet2!CC276=999999,"NA",[1]Sheet2!CC276)</f>
        <v>91</v>
      </c>
      <c r="BV277" s="14">
        <f>IF([1]Sheet2!CD276=999999,"NA",[1]Sheet2!CD276)</f>
        <v>91</v>
      </c>
      <c r="BW277" s="14">
        <f>IF([1]Sheet2!CE276=999999,"NA",[1]Sheet2!CE276)</f>
        <v>60</v>
      </c>
      <c r="BX277" s="14">
        <f>IF([1]Sheet2!CF276=999999,"NA",[1]Sheet2!CF276)</f>
        <v>91</v>
      </c>
      <c r="BY277" s="14">
        <f>IF([1]Sheet2!CG276=999999,"NA",[1]Sheet2!CG276)</f>
        <v>0</v>
      </c>
      <c r="BZ277" s="14">
        <f>IF([1]Sheet2!CH276=999999,"NA",[1]Sheet2!CH276)</f>
        <v>91</v>
      </c>
      <c r="CA277" s="14">
        <f>IF([1]Sheet2!CI276=999999,"NA",[1]Sheet2!CI276)</f>
        <v>91</v>
      </c>
      <c r="CB277" s="14">
        <f>IF([1]Sheet2!CJ276=999999,"NA",[1]Sheet2!CJ276)</f>
        <v>91</v>
      </c>
      <c r="CC277" s="14">
        <f>[1]Sheet2!BG276</f>
        <v>0</v>
      </c>
      <c r="CD277" s="14">
        <f>[1]Sheet2!BH276</f>
        <v>0</v>
      </c>
      <c r="CE277" s="14">
        <f>[1]Sheet2!BI276</f>
        <v>0</v>
      </c>
      <c r="CF277" s="14">
        <f>[1]Sheet2!BJ276</f>
        <v>0</v>
      </c>
      <c r="CG277" s="14">
        <f>[1]Sheet2!BK276</f>
        <v>0</v>
      </c>
      <c r="CH277" s="14">
        <f>[1]Sheet2!BL276</f>
        <v>0</v>
      </c>
      <c r="CI277" s="14">
        <f>[1]Sheet2!BM276</f>
        <v>0</v>
      </c>
      <c r="CJ277" s="14">
        <f>[1]Sheet2!BN276</f>
        <v>0</v>
      </c>
      <c r="CK277" s="14">
        <f>[1]Sheet2!BO276</f>
        <v>0</v>
      </c>
      <c r="CL277" s="14">
        <f>[1]Sheet2!BP276</f>
        <v>0</v>
      </c>
      <c r="CM277" s="16">
        <f>Demand_SW!B$12/31</f>
        <v>139.57816377171216</v>
      </c>
      <c r="CN277" s="16">
        <f>Demand_SW!C$12/31</f>
        <v>0</v>
      </c>
      <c r="CO277" s="16">
        <f>Demand_SW!D$12/31</f>
        <v>0</v>
      </c>
      <c r="CP277" s="16">
        <f>Demand_SW!E$12/31</f>
        <v>0</v>
      </c>
      <c r="CQ277" s="16">
        <f>Demand_SW!F$12/31</f>
        <v>0</v>
      </c>
      <c r="CR277" s="16">
        <f>Demand_SW!G$12/31</f>
        <v>139.57816377171216</v>
      </c>
      <c r="CS277" s="16">
        <f>Demand_SW!H$12/31</f>
        <v>0</v>
      </c>
      <c r="CT277" s="16">
        <f>Demand_SW!I$12/31</f>
        <v>0</v>
      </c>
      <c r="CU277" s="16">
        <f>Demand_SW!J$12/31</f>
        <v>0</v>
      </c>
      <c r="CV277" s="16">
        <f>Demand_SW!K$12/31</f>
        <v>0</v>
      </c>
      <c r="CW277" s="16">
        <f t="shared" si="143"/>
        <v>63812.729528536001</v>
      </c>
      <c r="CX277" s="16">
        <f t="shared" si="144"/>
        <v>20683.923076923078</v>
      </c>
      <c r="CY277" s="16">
        <f t="shared" si="145"/>
        <v>0</v>
      </c>
      <c r="CZ277" s="16">
        <f t="shared" si="146"/>
        <v>0</v>
      </c>
      <c r="DA277" s="16">
        <f t="shared" si="147"/>
        <v>0</v>
      </c>
      <c r="DB277" s="16">
        <f t="shared" si="148"/>
        <v>-35716.501240694735</v>
      </c>
      <c r="DC277" s="16">
        <f t="shared" si="149"/>
        <v>20683.923076923078</v>
      </c>
      <c r="DD277" s="16">
        <f t="shared" si="150"/>
        <v>0</v>
      </c>
      <c r="DE277" s="16">
        <f t="shared" si="151"/>
        <v>0</v>
      </c>
      <c r="DF277" s="16">
        <f t="shared" si="152"/>
        <v>0</v>
      </c>
      <c r="DG277" s="14">
        <f>IF([1]Sheet2!DR276=999999,"NA",[1]Sheet2!DR276)</f>
        <v>73103</v>
      </c>
      <c r="DH277" s="14">
        <f>IF([1]Sheet2!DS276=999999,"NA",[1]Sheet2!DS276)</f>
        <v>91</v>
      </c>
      <c r="DI277" s="14">
        <f>IF([1]Sheet2!DT276=999999,"NA",[1]Sheet2!DT276)</f>
        <v>91</v>
      </c>
      <c r="DJ277" s="14" t="str">
        <f>IF([1]Sheet2!DU276=999999,"NA",[1]Sheet2!DU276)</f>
        <v>NA</v>
      </c>
      <c r="DK277" s="14" t="str">
        <f>IF([1]Sheet2!DV276=999999,"NA",[1]Sheet2!DV276)</f>
        <v>NA</v>
      </c>
      <c r="DL277" s="14" t="str">
        <f>IF([1]Sheet2!DW276=999999,"NA",[1]Sheet2!DW276)</f>
        <v>NA</v>
      </c>
      <c r="DM277" s="14">
        <f>IF([1]Sheet2!DX276=999999,"NA",[1]Sheet2!DX276)</f>
        <v>91</v>
      </c>
      <c r="DN277" s="14">
        <f>IF([1]Sheet2!DY276=999999,"NA",[1]Sheet2!DY276)</f>
        <v>91</v>
      </c>
      <c r="DO277" s="14" t="str">
        <f>IF([1]Sheet2!DZ276=999999,"NA",[1]Sheet2!DZ276)</f>
        <v>NA</v>
      </c>
      <c r="DP277" s="14" t="str">
        <f>IF([1]Sheet2!EA276=999999,"NA",[1]Sheet2!EA276)</f>
        <v>NA</v>
      </c>
      <c r="DQ277" s="14">
        <f>[1]Sheet2!CX276</f>
        <v>0</v>
      </c>
      <c r="DR277" s="14">
        <f>[1]Sheet2!CY276</f>
        <v>0</v>
      </c>
      <c r="DS277" s="14">
        <f>[1]Sheet2!CZ276</f>
        <v>0</v>
      </c>
      <c r="DT277" s="14">
        <f>[1]Sheet2!DA276</f>
        <v>0</v>
      </c>
      <c r="DU277" s="14">
        <f>[1]Sheet2!DB276</f>
        <v>0</v>
      </c>
      <c r="DV277" s="14">
        <f>[1]Sheet2!DC276</f>
        <v>0</v>
      </c>
      <c r="DW277" s="14">
        <f>[1]Sheet2!DD276</f>
        <v>0</v>
      </c>
      <c r="DX277" s="14">
        <f>[1]Sheet2!DE276</f>
        <v>0</v>
      </c>
      <c r="DY277" s="14">
        <f>[1]Sheet2!DF276</f>
        <v>0</v>
      </c>
      <c r="DZ277" s="14">
        <f>[1]Sheet2!DG276</f>
        <v>0</v>
      </c>
    </row>
    <row r="278" spans="1:130" x14ac:dyDescent="0.25">
      <c r="A278" s="15">
        <v>43740</v>
      </c>
      <c r="B278" s="1"/>
      <c r="C278" s="1"/>
      <c r="D278" s="1"/>
      <c r="E278" s="14">
        <f>[1]Sheet2!N277</f>
        <v>0</v>
      </c>
      <c r="F278" s="14">
        <f>[1]Sheet2!BE277</f>
        <v>48000</v>
      </c>
      <c r="G278" s="14">
        <f>[1]Sheet2!CV277</f>
        <v>279.15632754342431</v>
      </c>
      <c r="H278" s="1"/>
      <c r="I278" s="1"/>
      <c r="J278" s="1"/>
      <c r="K278" s="16">
        <f>Demand_CWRS!B$12/31</f>
        <v>113.31027191894128</v>
      </c>
      <c r="L278" s="16">
        <f>Demand_CWRS!C$12/31</f>
        <v>480.06765922249781</v>
      </c>
      <c r="M278" s="16">
        <f>Demand_CWRS!D$12/31</f>
        <v>0</v>
      </c>
      <c r="N278" s="16">
        <f>Demand_CWRS!E$12/31</f>
        <v>103.22435897435898</v>
      </c>
      <c r="O278" s="16">
        <f>Demand_CWRS!F$12/31</f>
        <v>209.74544820099254</v>
      </c>
      <c r="P278" s="16">
        <f>Demand_CWRS!G$12/31</f>
        <v>113.31027191894128</v>
      </c>
      <c r="Q278" s="16">
        <f>Demand_CWRS!H$12/31</f>
        <v>480.06765922249781</v>
      </c>
      <c r="R278" s="16">
        <f>Demand_CWRS!I$12/31</f>
        <v>209.74544820099254</v>
      </c>
      <c r="S278" s="16">
        <f>Demand_CWRS!J$12/31</f>
        <v>209.74544820099254</v>
      </c>
      <c r="T278" s="16">
        <f>Demand_CWRS!K$12/31</f>
        <v>209.74544820099254</v>
      </c>
      <c r="U278" s="16">
        <f t="shared" si="123"/>
        <v>-36202.616696618963</v>
      </c>
      <c r="V278" s="16">
        <f t="shared" si="124"/>
        <v>-129963.78916459851</v>
      </c>
      <c r="W278" s="16">
        <f t="shared" si="125"/>
        <v>0</v>
      </c>
      <c r="X278" s="16">
        <f t="shared" si="126"/>
        <v>-30461.923985718837</v>
      </c>
      <c r="Y278" s="16">
        <f t="shared" si="127"/>
        <v>-59633.697439529271</v>
      </c>
      <c r="Z278" s="16">
        <f t="shared" si="128"/>
        <v>-35805.684172580557</v>
      </c>
      <c r="AA278" s="16">
        <f t="shared" si="129"/>
        <v>-129463.78916459851</v>
      </c>
      <c r="AB278" s="16">
        <f t="shared" si="130"/>
        <v>-57149.851958759988</v>
      </c>
      <c r="AC278" s="16">
        <f t="shared" si="131"/>
        <v>-57149.85195875998</v>
      </c>
      <c r="AD278" s="16">
        <f t="shared" si="132"/>
        <v>-57849.851958759973</v>
      </c>
      <c r="AE278" s="14">
        <f>IF([1]Sheet2!AJ277=999999,"NA",[1]Sheet2!AJ277)</f>
        <v>0</v>
      </c>
      <c r="AF278" s="14">
        <f>IF([1]Sheet2!AK277=999999,"NA",[1]Sheet2!AK277)</f>
        <v>0</v>
      </c>
      <c r="AG278" s="14" t="str">
        <f>IF([1]Sheet2!AL277=999999,"NA",[1]Sheet2!AL277)</f>
        <v>NA</v>
      </c>
      <c r="AH278" s="14">
        <f>IF([1]Sheet2!AM277=999999,"NA",[1]Sheet2!AM277)</f>
        <v>90</v>
      </c>
      <c r="AI278" s="14">
        <f>IF([1]Sheet2!AN277=999999,"NA",[1]Sheet2!AN277)</f>
        <v>90</v>
      </c>
      <c r="AJ278" s="14">
        <f>IF([1]Sheet2!AO277=999999,"NA",[1]Sheet2!AO277)</f>
        <v>90</v>
      </c>
      <c r="AK278" s="14">
        <f>IF([1]Sheet2!AP277=999999,"NA",[1]Sheet2!AP277)</f>
        <v>0</v>
      </c>
      <c r="AL278" s="14">
        <f>IF([1]Sheet2!AQ277=999999,"NA",[1]Sheet2!AQ277)</f>
        <v>0</v>
      </c>
      <c r="AM278" s="14">
        <f>IF([1]Sheet2!AR277=999999,"NA",[1]Sheet2!AR277)</f>
        <v>90</v>
      </c>
      <c r="AN278" s="14">
        <f>IF([1]Sheet2!AS277=999999,"NA",[1]Sheet2!AS277)</f>
        <v>41</v>
      </c>
      <c r="AO278" s="14">
        <f>[1]Sheet2!P277</f>
        <v>0</v>
      </c>
      <c r="AP278" s="14">
        <f>[1]Sheet2!Q277</f>
        <v>0</v>
      </c>
      <c r="AQ278" s="14">
        <f>[1]Sheet2!R277</f>
        <v>0</v>
      </c>
      <c r="AR278" s="14">
        <f>[1]Sheet2!S277</f>
        <v>0</v>
      </c>
      <c r="AS278" s="14">
        <f>[1]Sheet2!T277</f>
        <v>0</v>
      </c>
      <c r="AT278" s="14">
        <f>[1]Sheet2!U277</f>
        <v>0</v>
      </c>
      <c r="AU278" s="14">
        <f>[1]Sheet2!V277</f>
        <v>0</v>
      </c>
      <c r="AV278" s="14">
        <f>[1]Sheet2!W277</f>
        <v>0</v>
      </c>
      <c r="AW278" s="14">
        <f>[1]Sheet2!X277</f>
        <v>0</v>
      </c>
      <c r="AX278" s="14">
        <f>[1]Sheet2!Y277</f>
        <v>0</v>
      </c>
      <c r="AY278" s="16">
        <f>Demand_LP!B$12/31</f>
        <v>866.47279518196865</v>
      </c>
      <c r="AZ278" s="16">
        <f>Demand_LP!C$12/31</f>
        <v>577.62712985938799</v>
      </c>
      <c r="BA278" s="16">
        <f>Demand_LP!D$12/31</f>
        <v>262.18502894954509</v>
      </c>
      <c r="BB278" s="16">
        <f>Demand_LP!E$12/31</f>
        <v>766.03229942100904</v>
      </c>
      <c r="BC278" s="16">
        <f>Demand_LP!F$12/31</f>
        <v>516.10499638130682</v>
      </c>
      <c r="BD278" s="16">
        <f>Demand_LP!G$12/31</f>
        <v>866.47279518196865</v>
      </c>
      <c r="BE278" s="16">
        <f>Demand_LP!H$12/31</f>
        <v>577.62712985938799</v>
      </c>
      <c r="BF278" s="16">
        <f>Demand_LP!I$12/31</f>
        <v>516.10499638130682</v>
      </c>
      <c r="BG278" s="16">
        <f>Demand_LP!J$12/31</f>
        <v>516.10499638130682</v>
      </c>
      <c r="BH278" s="16">
        <f>Demand_LP!K$12/31</f>
        <v>516.10499638130682</v>
      </c>
      <c r="BI278" s="16" t="e">
        <f t="shared" si="133"/>
        <v>#VALUE!</v>
      </c>
      <c r="BJ278" s="16">
        <f t="shared" si="134"/>
        <v>-156254.31836228279</v>
      </c>
      <c r="BK278" s="16">
        <f t="shared" si="135"/>
        <v>-80597.111083540251</v>
      </c>
      <c r="BL278" s="16">
        <f t="shared" si="136"/>
        <v>-206365.53509543338</v>
      </c>
      <c r="BM278" s="16">
        <f t="shared" si="137"/>
        <v>-123108.24748464843</v>
      </c>
      <c r="BN278" s="16">
        <f t="shared" si="138"/>
        <v>-213656.88325599581</v>
      </c>
      <c r="BO278" s="16">
        <f t="shared" si="139"/>
        <v>-158611.89784946258</v>
      </c>
      <c r="BP278" s="16">
        <f t="shared" si="140"/>
        <v>-124219.93140301903</v>
      </c>
      <c r="BQ278" s="16">
        <f t="shared" si="141"/>
        <v>-121209.93140301907</v>
      </c>
      <c r="BR278" s="16">
        <f t="shared" si="142"/>
        <v>-122409.93140301903</v>
      </c>
      <c r="BS278" s="14">
        <f>IF([1]Sheet2!CA277=999999,"NA",[1]Sheet2!CA277)</f>
        <v>94069.068596981131</v>
      </c>
      <c r="BT278" s="14">
        <f>IF([1]Sheet2!CB277=999999,"NA",[1]Sheet2!CB277)</f>
        <v>20</v>
      </c>
      <c r="BU278" s="14">
        <f>IF([1]Sheet2!CC277=999999,"NA",[1]Sheet2!CC277)</f>
        <v>90</v>
      </c>
      <c r="BV278" s="14">
        <f>IF([1]Sheet2!CD277=999999,"NA",[1]Sheet2!CD277)</f>
        <v>90</v>
      </c>
      <c r="BW278" s="14">
        <f>IF([1]Sheet2!CE277=999999,"NA",[1]Sheet2!CE277)</f>
        <v>59</v>
      </c>
      <c r="BX278" s="14">
        <f>IF([1]Sheet2!CF277=999999,"NA",[1]Sheet2!CF277)</f>
        <v>90</v>
      </c>
      <c r="BY278" s="14">
        <f>IF([1]Sheet2!CG277=999999,"NA",[1]Sheet2!CG277)</f>
        <v>0</v>
      </c>
      <c r="BZ278" s="14">
        <f>IF([1]Sheet2!CH277=999999,"NA",[1]Sheet2!CH277)</f>
        <v>90</v>
      </c>
      <c r="CA278" s="14">
        <f>IF([1]Sheet2!CI277=999999,"NA",[1]Sheet2!CI277)</f>
        <v>90</v>
      </c>
      <c r="CB278" s="14">
        <f>IF([1]Sheet2!CJ277=999999,"NA",[1]Sheet2!CJ277)</f>
        <v>90</v>
      </c>
      <c r="CC278" s="14">
        <f>[1]Sheet2!BG277</f>
        <v>0</v>
      </c>
      <c r="CD278" s="14">
        <f>[1]Sheet2!BH277</f>
        <v>0</v>
      </c>
      <c r="CE278" s="14">
        <f>[1]Sheet2!BI277</f>
        <v>0</v>
      </c>
      <c r="CF278" s="14">
        <f>[1]Sheet2!BJ277</f>
        <v>0</v>
      </c>
      <c r="CG278" s="14">
        <f>[1]Sheet2!BK277</f>
        <v>0</v>
      </c>
      <c r="CH278" s="14">
        <f>[1]Sheet2!BL277</f>
        <v>0</v>
      </c>
      <c r="CI278" s="14">
        <f>[1]Sheet2!BM277</f>
        <v>0</v>
      </c>
      <c r="CJ278" s="14">
        <f>[1]Sheet2!BN277</f>
        <v>0</v>
      </c>
      <c r="CK278" s="14">
        <f>[1]Sheet2!BO277</f>
        <v>0</v>
      </c>
      <c r="CL278" s="14">
        <f>[1]Sheet2!BP277</f>
        <v>0</v>
      </c>
      <c r="CM278" s="16">
        <f>Demand_SW!B$12/31</f>
        <v>139.57816377171216</v>
      </c>
      <c r="CN278" s="16">
        <f>Demand_SW!C$12/31</f>
        <v>0</v>
      </c>
      <c r="CO278" s="16">
        <f>Demand_SW!D$12/31</f>
        <v>0</v>
      </c>
      <c r="CP278" s="16">
        <f>Demand_SW!E$12/31</f>
        <v>0</v>
      </c>
      <c r="CQ278" s="16">
        <f>Demand_SW!F$12/31</f>
        <v>0</v>
      </c>
      <c r="CR278" s="16">
        <f>Demand_SW!G$12/31</f>
        <v>139.57816377171216</v>
      </c>
      <c r="CS278" s="16">
        <f>Demand_SW!H$12/31</f>
        <v>0</v>
      </c>
      <c r="CT278" s="16">
        <f>Demand_SW!I$12/31</f>
        <v>0</v>
      </c>
      <c r="CU278" s="16">
        <f>Demand_SW!J$12/31</f>
        <v>0</v>
      </c>
      <c r="CV278" s="16">
        <f>Demand_SW!K$12/31</f>
        <v>0</v>
      </c>
      <c r="CW278" s="16">
        <f t="shared" si="143"/>
        <v>63673.151364764286</v>
      </c>
      <c r="CX278" s="16">
        <f t="shared" si="144"/>
        <v>20683.923076923078</v>
      </c>
      <c r="CY278" s="16">
        <f t="shared" si="145"/>
        <v>0</v>
      </c>
      <c r="CZ278" s="16">
        <f t="shared" si="146"/>
        <v>0</v>
      </c>
      <c r="DA278" s="16">
        <f t="shared" si="147"/>
        <v>0</v>
      </c>
      <c r="DB278" s="16">
        <f t="shared" si="148"/>
        <v>-35856.079404466451</v>
      </c>
      <c r="DC278" s="16">
        <f t="shared" si="149"/>
        <v>20683.923076923078</v>
      </c>
      <c r="DD278" s="16">
        <f t="shared" si="150"/>
        <v>0</v>
      </c>
      <c r="DE278" s="16">
        <f t="shared" si="151"/>
        <v>0</v>
      </c>
      <c r="DF278" s="16">
        <f t="shared" si="152"/>
        <v>0</v>
      </c>
      <c r="DG278" s="14">
        <f>IF([1]Sheet2!DR277=999999,"NA",[1]Sheet2!DR277)</f>
        <v>73103</v>
      </c>
      <c r="DH278" s="14">
        <f>IF([1]Sheet2!DS277=999999,"NA",[1]Sheet2!DS277)</f>
        <v>90</v>
      </c>
      <c r="DI278" s="14">
        <f>IF([1]Sheet2!DT277=999999,"NA",[1]Sheet2!DT277)</f>
        <v>90</v>
      </c>
      <c r="DJ278" s="14" t="str">
        <f>IF([1]Sheet2!DU277=999999,"NA",[1]Sheet2!DU277)</f>
        <v>NA</v>
      </c>
      <c r="DK278" s="14" t="str">
        <f>IF([1]Sheet2!DV277=999999,"NA",[1]Sheet2!DV277)</f>
        <v>NA</v>
      </c>
      <c r="DL278" s="14" t="str">
        <f>IF([1]Sheet2!DW277=999999,"NA",[1]Sheet2!DW277)</f>
        <v>NA</v>
      </c>
      <c r="DM278" s="14">
        <f>IF([1]Sheet2!DX277=999999,"NA",[1]Sheet2!DX277)</f>
        <v>90</v>
      </c>
      <c r="DN278" s="14">
        <f>IF([1]Sheet2!DY277=999999,"NA",[1]Sheet2!DY277)</f>
        <v>90</v>
      </c>
      <c r="DO278" s="14" t="str">
        <f>IF([1]Sheet2!DZ277=999999,"NA",[1]Sheet2!DZ277)</f>
        <v>NA</v>
      </c>
      <c r="DP278" s="14" t="str">
        <f>IF([1]Sheet2!EA277=999999,"NA",[1]Sheet2!EA277)</f>
        <v>NA</v>
      </c>
      <c r="DQ278" s="14">
        <f>[1]Sheet2!CX277</f>
        <v>0</v>
      </c>
      <c r="DR278" s="14">
        <f>[1]Sheet2!CY277</f>
        <v>0</v>
      </c>
      <c r="DS278" s="14">
        <f>[1]Sheet2!CZ277</f>
        <v>0</v>
      </c>
      <c r="DT278" s="14">
        <f>[1]Sheet2!DA277</f>
        <v>0</v>
      </c>
      <c r="DU278" s="14">
        <f>[1]Sheet2!DB277</f>
        <v>0</v>
      </c>
      <c r="DV278" s="14">
        <f>[1]Sheet2!DC277</f>
        <v>0</v>
      </c>
      <c r="DW278" s="14">
        <f>[1]Sheet2!DD277</f>
        <v>0</v>
      </c>
      <c r="DX278" s="14">
        <f>[1]Sheet2!DE277</f>
        <v>0</v>
      </c>
      <c r="DY278" s="14">
        <f>[1]Sheet2!DF277</f>
        <v>0</v>
      </c>
      <c r="DZ278" s="14">
        <f>[1]Sheet2!DG277</f>
        <v>0</v>
      </c>
    </row>
    <row r="279" spans="1:130" x14ac:dyDescent="0.25">
      <c r="A279" s="15">
        <v>43741</v>
      </c>
      <c r="B279" s="1"/>
      <c r="C279" s="1"/>
      <c r="D279" s="1"/>
      <c r="E279" s="14">
        <f>[1]Sheet2!N278</f>
        <v>0</v>
      </c>
      <c r="F279" s="14">
        <f>[1]Sheet2!BE278</f>
        <v>0</v>
      </c>
      <c r="G279" s="14">
        <f>[1]Sheet2!CV278</f>
        <v>279.15632754342431</v>
      </c>
      <c r="H279" s="1"/>
      <c r="I279" s="1"/>
      <c r="J279" s="1"/>
      <c r="K279" s="16">
        <f>Demand_CWRS!B$12/31</f>
        <v>113.31027191894128</v>
      </c>
      <c r="L279" s="16">
        <f>Demand_CWRS!C$12/31</f>
        <v>480.06765922249781</v>
      </c>
      <c r="M279" s="16">
        <f>Demand_CWRS!D$12/31</f>
        <v>0</v>
      </c>
      <c r="N279" s="16">
        <f>Demand_CWRS!E$12/31</f>
        <v>103.22435897435898</v>
      </c>
      <c r="O279" s="16">
        <f>Demand_CWRS!F$12/31</f>
        <v>209.74544820099254</v>
      </c>
      <c r="P279" s="16">
        <f>Demand_CWRS!G$12/31</f>
        <v>113.31027191894128</v>
      </c>
      <c r="Q279" s="16">
        <f>Demand_CWRS!H$12/31</f>
        <v>480.06765922249781</v>
      </c>
      <c r="R279" s="16">
        <f>Demand_CWRS!I$12/31</f>
        <v>209.74544820099254</v>
      </c>
      <c r="S279" s="16">
        <f>Demand_CWRS!J$12/31</f>
        <v>209.74544820099254</v>
      </c>
      <c r="T279" s="16">
        <f>Demand_CWRS!K$12/31</f>
        <v>209.74544820099254</v>
      </c>
      <c r="U279" s="16">
        <f t="shared" si="123"/>
        <v>-36315.926968537904</v>
      </c>
      <c r="V279" s="16">
        <f t="shared" si="124"/>
        <v>-130443.856823821</v>
      </c>
      <c r="W279" s="16">
        <f t="shared" si="125"/>
        <v>0</v>
      </c>
      <c r="X279" s="16">
        <f t="shared" si="126"/>
        <v>-30565.148344693196</v>
      </c>
      <c r="Y279" s="16">
        <f t="shared" si="127"/>
        <v>-59843.442887730263</v>
      </c>
      <c r="Z279" s="16">
        <f t="shared" si="128"/>
        <v>-35918.994444499498</v>
      </c>
      <c r="AA279" s="16">
        <f t="shared" si="129"/>
        <v>-129943.856823821</v>
      </c>
      <c r="AB279" s="16">
        <f t="shared" si="130"/>
        <v>-57359.59740696098</v>
      </c>
      <c r="AC279" s="16">
        <f t="shared" si="131"/>
        <v>-57359.597406960973</v>
      </c>
      <c r="AD279" s="16">
        <f t="shared" si="132"/>
        <v>-58059.597406960966</v>
      </c>
      <c r="AE279" s="14">
        <f>IF([1]Sheet2!AJ278=999999,"NA",[1]Sheet2!AJ278)</f>
        <v>0</v>
      </c>
      <c r="AF279" s="14">
        <f>IF([1]Sheet2!AK278=999999,"NA",[1]Sheet2!AK278)</f>
        <v>0</v>
      </c>
      <c r="AG279" s="14" t="str">
        <f>IF([1]Sheet2!AL278=999999,"NA",[1]Sheet2!AL278)</f>
        <v>NA</v>
      </c>
      <c r="AH279" s="14">
        <f>IF([1]Sheet2!AM278=999999,"NA",[1]Sheet2!AM278)</f>
        <v>89</v>
      </c>
      <c r="AI279" s="14">
        <f>IF([1]Sheet2!AN278=999999,"NA",[1]Sheet2!AN278)</f>
        <v>89</v>
      </c>
      <c r="AJ279" s="14">
        <f>IF([1]Sheet2!AO278=999999,"NA",[1]Sheet2!AO278)</f>
        <v>89</v>
      </c>
      <c r="AK279" s="14">
        <f>IF([1]Sheet2!AP278=999999,"NA",[1]Sheet2!AP278)</f>
        <v>0</v>
      </c>
      <c r="AL279" s="14">
        <f>IF([1]Sheet2!AQ278=999999,"NA",[1]Sheet2!AQ278)</f>
        <v>0</v>
      </c>
      <c r="AM279" s="14">
        <f>IF([1]Sheet2!AR278=999999,"NA",[1]Sheet2!AR278)</f>
        <v>89</v>
      </c>
      <c r="AN279" s="14">
        <f>IF([1]Sheet2!AS278=999999,"NA",[1]Sheet2!AS278)</f>
        <v>40</v>
      </c>
      <c r="AO279" s="14">
        <f>[1]Sheet2!P278</f>
        <v>0</v>
      </c>
      <c r="AP279" s="14">
        <f>[1]Sheet2!Q278</f>
        <v>0</v>
      </c>
      <c r="AQ279" s="14">
        <f>[1]Sheet2!R278</f>
        <v>0</v>
      </c>
      <c r="AR279" s="14">
        <f>[1]Sheet2!S278</f>
        <v>0</v>
      </c>
      <c r="AS279" s="14">
        <f>[1]Sheet2!T278</f>
        <v>0</v>
      </c>
      <c r="AT279" s="14">
        <f>[1]Sheet2!U278</f>
        <v>0</v>
      </c>
      <c r="AU279" s="14">
        <f>[1]Sheet2!V278</f>
        <v>0</v>
      </c>
      <c r="AV279" s="14">
        <f>[1]Sheet2!W278</f>
        <v>0</v>
      </c>
      <c r="AW279" s="14">
        <f>[1]Sheet2!X278</f>
        <v>0</v>
      </c>
      <c r="AX279" s="14">
        <f>[1]Sheet2!Y278</f>
        <v>0</v>
      </c>
      <c r="AY279" s="16">
        <f>Demand_LP!B$12/31</f>
        <v>866.47279518196865</v>
      </c>
      <c r="AZ279" s="16">
        <f>Demand_LP!C$12/31</f>
        <v>577.62712985938799</v>
      </c>
      <c r="BA279" s="16">
        <f>Demand_LP!D$12/31</f>
        <v>262.18502894954509</v>
      </c>
      <c r="BB279" s="16">
        <f>Demand_LP!E$12/31</f>
        <v>766.03229942100904</v>
      </c>
      <c r="BC279" s="16">
        <f>Demand_LP!F$12/31</f>
        <v>516.10499638130682</v>
      </c>
      <c r="BD279" s="16">
        <f>Demand_LP!G$12/31</f>
        <v>866.47279518196865</v>
      </c>
      <c r="BE279" s="16">
        <f>Demand_LP!H$12/31</f>
        <v>577.62712985938799</v>
      </c>
      <c r="BF279" s="16">
        <f>Demand_LP!I$12/31</f>
        <v>516.10499638130682</v>
      </c>
      <c r="BG279" s="16">
        <f>Demand_LP!J$12/31</f>
        <v>516.10499638130682</v>
      </c>
      <c r="BH279" s="16">
        <f>Demand_LP!K$12/31</f>
        <v>516.10499638130682</v>
      </c>
      <c r="BI279" s="16" t="e">
        <f t="shared" si="133"/>
        <v>#VALUE!</v>
      </c>
      <c r="BJ279" s="16">
        <f t="shared" si="134"/>
        <v>-156831.94549214217</v>
      </c>
      <c r="BK279" s="16">
        <f t="shared" si="135"/>
        <v>-80859.296112489799</v>
      </c>
      <c r="BL279" s="16">
        <f t="shared" si="136"/>
        <v>-207131.56739485438</v>
      </c>
      <c r="BM279" s="16">
        <f t="shared" si="137"/>
        <v>-123624.35248102974</v>
      </c>
      <c r="BN279" s="16">
        <f t="shared" si="138"/>
        <v>-214523.35605117778</v>
      </c>
      <c r="BO279" s="16">
        <f t="shared" si="139"/>
        <v>-159189.52497932196</v>
      </c>
      <c r="BP279" s="16">
        <f t="shared" si="140"/>
        <v>-124736.03639940034</v>
      </c>
      <c r="BQ279" s="16">
        <f t="shared" si="141"/>
        <v>-121726.03639940039</v>
      </c>
      <c r="BR279" s="16">
        <f t="shared" si="142"/>
        <v>-122926.03639940034</v>
      </c>
      <c r="BS279" s="14">
        <f>IF([1]Sheet2!CA278=999999,"NA",[1]Sheet2!CA278)</f>
        <v>93552.963600599818</v>
      </c>
      <c r="BT279" s="14">
        <f>IF([1]Sheet2!CB278=999999,"NA",[1]Sheet2!CB278)</f>
        <v>19</v>
      </c>
      <c r="BU279" s="14">
        <f>IF([1]Sheet2!CC278=999999,"NA",[1]Sheet2!CC278)</f>
        <v>89</v>
      </c>
      <c r="BV279" s="14">
        <f>IF([1]Sheet2!CD278=999999,"NA",[1]Sheet2!CD278)</f>
        <v>89</v>
      </c>
      <c r="BW279" s="14">
        <f>IF([1]Sheet2!CE278=999999,"NA",[1]Sheet2!CE278)</f>
        <v>58</v>
      </c>
      <c r="BX279" s="14">
        <f>IF([1]Sheet2!CF278=999999,"NA",[1]Sheet2!CF278)</f>
        <v>89</v>
      </c>
      <c r="BY279" s="14">
        <f>IF([1]Sheet2!CG278=999999,"NA",[1]Sheet2!CG278)</f>
        <v>0</v>
      </c>
      <c r="BZ279" s="14">
        <f>IF([1]Sheet2!CH278=999999,"NA",[1]Sheet2!CH278)</f>
        <v>89</v>
      </c>
      <c r="CA279" s="14">
        <f>IF([1]Sheet2!CI278=999999,"NA",[1]Sheet2!CI278)</f>
        <v>89</v>
      </c>
      <c r="CB279" s="14">
        <f>IF([1]Sheet2!CJ278=999999,"NA",[1]Sheet2!CJ278)</f>
        <v>89</v>
      </c>
      <c r="CC279" s="14">
        <f>[1]Sheet2!BG278</f>
        <v>0</v>
      </c>
      <c r="CD279" s="14">
        <f>[1]Sheet2!BH278</f>
        <v>0</v>
      </c>
      <c r="CE279" s="14">
        <f>[1]Sheet2!BI278</f>
        <v>0</v>
      </c>
      <c r="CF279" s="14">
        <f>[1]Sheet2!BJ278</f>
        <v>0</v>
      </c>
      <c r="CG279" s="14">
        <f>[1]Sheet2!BK278</f>
        <v>0</v>
      </c>
      <c r="CH279" s="14">
        <f>[1]Sheet2!BL278</f>
        <v>0</v>
      </c>
      <c r="CI279" s="14">
        <f>[1]Sheet2!BM278</f>
        <v>0</v>
      </c>
      <c r="CJ279" s="14">
        <f>[1]Sheet2!BN278</f>
        <v>0</v>
      </c>
      <c r="CK279" s="14">
        <f>[1]Sheet2!BO278</f>
        <v>0</v>
      </c>
      <c r="CL279" s="14">
        <f>[1]Sheet2!BP278</f>
        <v>0</v>
      </c>
      <c r="CM279" s="16">
        <f>Demand_SW!B$12/31</f>
        <v>139.57816377171216</v>
      </c>
      <c r="CN279" s="16">
        <f>Demand_SW!C$12/31</f>
        <v>0</v>
      </c>
      <c r="CO279" s="16">
        <f>Demand_SW!D$12/31</f>
        <v>0</v>
      </c>
      <c r="CP279" s="16">
        <f>Demand_SW!E$12/31</f>
        <v>0</v>
      </c>
      <c r="CQ279" s="16">
        <f>Demand_SW!F$12/31</f>
        <v>0</v>
      </c>
      <c r="CR279" s="16">
        <f>Demand_SW!G$12/31</f>
        <v>139.57816377171216</v>
      </c>
      <c r="CS279" s="16">
        <f>Demand_SW!H$12/31</f>
        <v>0</v>
      </c>
      <c r="CT279" s="16">
        <f>Demand_SW!I$12/31</f>
        <v>0</v>
      </c>
      <c r="CU279" s="16">
        <f>Demand_SW!J$12/31</f>
        <v>0</v>
      </c>
      <c r="CV279" s="16">
        <f>Demand_SW!K$12/31</f>
        <v>0</v>
      </c>
      <c r="CW279" s="16">
        <f t="shared" si="143"/>
        <v>63533.57320099257</v>
      </c>
      <c r="CX279" s="16">
        <f t="shared" si="144"/>
        <v>20683.923076923078</v>
      </c>
      <c r="CY279" s="16">
        <f t="shared" si="145"/>
        <v>0</v>
      </c>
      <c r="CZ279" s="16">
        <f t="shared" si="146"/>
        <v>0</v>
      </c>
      <c r="DA279" s="16">
        <f t="shared" si="147"/>
        <v>0</v>
      </c>
      <c r="DB279" s="16">
        <f t="shared" si="148"/>
        <v>-35995.657568238166</v>
      </c>
      <c r="DC279" s="16">
        <f t="shared" si="149"/>
        <v>20683.923076923078</v>
      </c>
      <c r="DD279" s="16">
        <f t="shared" si="150"/>
        <v>0</v>
      </c>
      <c r="DE279" s="16">
        <f t="shared" si="151"/>
        <v>0</v>
      </c>
      <c r="DF279" s="16">
        <f t="shared" si="152"/>
        <v>0</v>
      </c>
      <c r="DG279" s="14">
        <f>IF([1]Sheet2!DR278=999999,"NA",[1]Sheet2!DR278)</f>
        <v>73103</v>
      </c>
      <c r="DH279" s="14">
        <f>IF([1]Sheet2!DS278=999999,"NA",[1]Sheet2!DS278)</f>
        <v>89</v>
      </c>
      <c r="DI279" s="14">
        <f>IF([1]Sheet2!DT278=999999,"NA",[1]Sheet2!DT278)</f>
        <v>89</v>
      </c>
      <c r="DJ279" s="14" t="str">
        <f>IF([1]Sheet2!DU278=999999,"NA",[1]Sheet2!DU278)</f>
        <v>NA</v>
      </c>
      <c r="DK279" s="14" t="str">
        <f>IF([1]Sheet2!DV278=999999,"NA",[1]Sheet2!DV278)</f>
        <v>NA</v>
      </c>
      <c r="DL279" s="14" t="str">
        <f>IF([1]Sheet2!DW278=999999,"NA",[1]Sheet2!DW278)</f>
        <v>NA</v>
      </c>
      <c r="DM279" s="14">
        <f>IF([1]Sheet2!DX278=999999,"NA",[1]Sheet2!DX278)</f>
        <v>89</v>
      </c>
      <c r="DN279" s="14">
        <f>IF([1]Sheet2!DY278=999999,"NA",[1]Sheet2!DY278)</f>
        <v>89</v>
      </c>
      <c r="DO279" s="14" t="str">
        <f>IF([1]Sheet2!DZ278=999999,"NA",[1]Sheet2!DZ278)</f>
        <v>NA</v>
      </c>
      <c r="DP279" s="14" t="str">
        <f>IF([1]Sheet2!EA278=999999,"NA",[1]Sheet2!EA278)</f>
        <v>NA</v>
      </c>
      <c r="DQ279" s="14">
        <f>[1]Sheet2!CX278</f>
        <v>0</v>
      </c>
      <c r="DR279" s="14">
        <f>[1]Sheet2!CY278</f>
        <v>0</v>
      </c>
      <c r="DS279" s="14">
        <f>[1]Sheet2!CZ278</f>
        <v>0</v>
      </c>
      <c r="DT279" s="14">
        <f>[1]Sheet2!DA278</f>
        <v>0</v>
      </c>
      <c r="DU279" s="14">
        <f>[1]Sheet2!DB278</f>
        <v>0</v>
      </c>
      <c r="DV279" s="14">
        <f>[1]Sheet2!DC278</f>
        <v>0</v>
      </c>
      <c r="DW279" s="14">
        <f>[1]Sheet2!DD278</f>
        <v>0</v>
      </c>
      <c r="DX279" s="14">
        <f>[1]Sheet2!DE278</f>
        <v>0</v>
      </c>
      <c r="DY279" s="14">
        <f>[1]Sheet2!DF278</f>
        <v>0</v>
      </c>
      <c r="DZ279" s="14">
        <f>[1]Sheet2!DG278</f>
        <v>0</v>
      </c>
    </row>
    <row r="280" spans="1:130" x14ac:dyDescent="0.25">
      <c r="A280" s="15">
        <v>43742</v>
      </c>
      <c r="B280" s="1"/>
      <c r="C280" s="1"/>
      <c r="D280" s="1"/>
      <c r="E280" s="14">
        <f>[1]Sheet2!N279</f>
        <v>0</v>
      </c>
      <c r="F280" s="14">
        <f>[1]Sheet2!BE279</f>
        <v>0</v>
      </c>
      <c r="G280" s="14">
        <f>[1]Sheet2!CV279</f>
        <v>279.15632754342431</v>
      </c>
      <c r="H280" s="1"/>
      <c r="I280" s="1"/>
      <c r="J280" s="1"/>
      <c r="K280" s="16">
        <f>Demand_CWRS!B$12/31</f>
        <v>113.31027191894128</v>
      </c>
      <c r="L280" s="16">
        <f>Demand_CWRS!C$12/31</f>
        <v>480.06765922249781</v>
      </c>
      <c r="M280" s="16">
        <f>Demand_CWRS!D$12/31</f>
        <v>0</v>
      </c>
      <c r="N280" s="16">
        <f>Demand_CWRS!E$12/31</f>
        <v>103.22435897435898</v>
      </c>
      <c r="O280" s="16">
        <f>Demand_CWRS!F$12/31</f>
        <v>209.74544820099254</v>
      </c>
      <c r="P280" s="16">
        <f>Demand_CWRS!G$12/31</f>
        <v>113.31027191894128</v>
      </c>
      <c r="Q280" s="16">
        <f>Demand_CWRS!H$12/31</f>
        <v>480.06765922249781</v>
      </c>
      <c r="R280" s="16">
        <f>Demand_CWRS!I$12/31</f>
        <v>209.74544820099254</v>
      </c>
      <c r="S280" s="16">
        <f>Demand_CWRS!J$12/31</f>
        <v>209.74544820099254</v>
      </c>
      <c r="T280" s="16">
        <f>Demand_CWRS!K$12/31</f>
        <v>209.74544820099254</v>
      </c>
      <c r="U280" s="16">
        <f t="shared" si="123"/>
        <v>-36429.237240456845</v>
      </c>
      <c r="V280" s="16">
        <f t="shared" si="124"/>
        <v>-130923.92448304349</v>
      </c>
      <c r="W280" s="16">
        <f t="shared" si="125"/>
        <v>0</v>
      </c>
      <c r="X280" s="16">
        <f t="shared" si="126"/>
        <v>-30668.372703667555</v>
      </c>
      <c r="Y280" s="16">
        <f t="shared" si="127"/>
        <v>-60053.188335931256</v>
      </c>
      <c r="Z280" s="16">
        <f t="shared" si="128"/>
        <v>-36032.304716418439</v>
      </c>
      <c r="AA280" s="16">
        <f t="shared" si="129"/>
        <v>-130423.92448304349</v>
      </c>
      <c r="AB280" s="16">
        <f t="shared" si="130"/>
        <v>-57569.342855161973</v>
      </c>
      <c r="AC280" s="16">
        <f t="shared" si="131"/>
        <v>-57569.342855161965</v>
      </c>
      <c r="AD280" s="16">
        <f t="shared" si="132"/>
        <v>-58269.342855161958</v>
      </c>
      <c r="AE280" s="14">
        <f>IF([1]Sheet2!AJ279=999999,"NA",[1]Sheet2!AJ279)</f>
        <v>0</v>
      </c>
      <c r="AF280" s="14">
        <f>IF([1]Sheet2!AK279=999999,"NA",[1]Sheet2!AK279)</f>
        <v>0</v>
      </c>
      <c r="AG280" s="14" t="str">
        <f>IF([1]Sheet2!AL279=999999,"NA",[1]Sheet2!AL279)</f>
        <v>NA</v>
      </c>
      <c r="AH280" s="14">
        <f>IF([1]Sheet2!AM279=999999,"NA",[1]Sheet2!AM279)</f>
        <v>88</v>
      </c>
      <c r="AI280" s="14">
        <f>IF([1]Sheet2!AN279=999999,"NA",[1]Sheet2!AN279)</f>
        <v>88</v>
      </c>
      <c r="AJ280" s="14">
        <f>IF([1]Sheet2!AO279=999999,"NA",[1]Sheet2!AO279)</f>
        <v>88</v>
      </c>
      <c r="AK280" s="14">
        <f>IF([1]Sheet2!AP279=999999,"NA",[1]Sheet2!AP279)</f>
        <v>0</v>
      </c>
      <c r="AL280" s="14">
        <f>IF([1]Sheet2!AQ279=999999,"NA",[1]Sheet2!AQ279)</f>
        <v>0</v>
      </c>
      <c r="AM280" s="14">
        <f>IF([1]Sheet2!AR279=999999,"NA",[1]Sheet2!AR279)</f>
        <v>88</v>
      </c>
      <c r="AN280" s="14">
        <f>IF([1]Sheet2!AS279=999999,"NA",[1]Sheet2!AS279)</f>
        <v>39</v>
      </c>
      <c r="AO280" s="14">
        <f>[1]Sheet2!P279</f>
        <v>0</v>
      </c>
      <c r="AP280" s="14">
        <f>[1]Sheet2!Q279</f>
        <v>0</v>
      </c>
      <c r="AQ280" s="14">
        <f>[1]Sheet2!R279</f>
        <v>0</v>
      </c>
      <c r="AR280" s="14">
        <f>[1]Sheet2!S279</f>
        <v>0</v>
      </c>
      <c r="AS280" s="14">
        <f>[1]Sheet2!T279</f>
        <v>0</v>
      </c>
      <c r="AT280" s="14">
        <f>[1]Sheet2!U279</f>
        <v>0</v>
      </c>
      <c r="AU280" s="14">
        <f>[1]Sheet2!V279</f>
        <v>0</v>
      </c>
      <c r="AV280" s="14">
        <f>[1]Sheet2!W279</f>
        <v>0</v>
      </c>
      <c r="AW280" s="14">
        <f>[1]Sheet2!X279</f>
        <v>0</v>
      </c>
      <c r="AX280" s="14">
        <f>[1]Sheet2!Y279</f>
        <v>0</v>
      </c>
      <c r="AY280" s="16">
        <f>Demand_LP!B$12/31</f>
        <v>866.47279518196865</v>
      </c>
      <c r="AZ280" s="16">
        <f>Demand_LP!C$12/31</f>
        <v>577.62712985938799</v>
      </c>
      <c r="BA280" s="16">
        <f>Demand_LP!D$12/31</f>
        <v>262.18502894954509</v>
      </c>
      <c r="BB280" s="16">
        <f>Demand_LP!E$12/31</f>
        <v>766.03229942100904</v>
      </c>
      <c r="BC280" s="16">
        <f>Demand_LP!F$12/31</f>
        <v>516.10499638130682</v>
      </c>
      <c r="BD280" s="16">
        <f>Demand_LP!G$12/31</f>
        <v>866.47279518196865</v>
      </c>
      <c r="BE280" s="16">
        <f>Demand_LP!H$12/31</f>
        <v>577.62712985938799</v>
      </c>
      <c r="BF280" s="16">
        <f>Demand_LP!I$12/31</f>
        <v>516.10499638130682</v>
      </c>
      <c r="BG280" s="16">
        <f>Demand_LP!J$12/31</f>
        <v>516.10499638130682</v>
      </c>
      <c r="BH280" s="16">
        <f>Demand_LP!K$12/31</f>
        <v>516.10499638130682</v>
      </c>
      <c r="BI280" s="16" t="e">
        <f t="shared" si="133"/>
        <v>#VALUE!</v>
      </c>
      <c r="BJ280" s="16">
        <f t="shared" si="134"/>
        <v>-157409.57262200155</v>
      </c>
      <c r="BK280" s="16">
        <f t="shared" si="135"/>
        <v>-81121.481141439348</v>
      </c>
      <c r="BL280" s="16">
        <f t="shared" si="136"/>
        <v>-207897.59969427538</v>
      </c>
      <c r="BM280" s="16">
        <f t="shared" si="137"/>
        <v>-124140.45747741105</v>
      </c>
      <c r="BN280" s="16">
        <f t="shared" si="138"/>
        <v>-215389.82884635974</v>
      </c>
      <c r="BO280" s="16">
        <f t="shared" si="139"/>
        <v>-159767.15210918133</v>
      </c>
      <c r="BP280" s="16">
        <f t="shared" si="140"/>
        <v>-125252.14139578165</v>
      </c>
      <c r="BQ280" s="16">
        <f t="shared" si="141"/>
        <v>-122242.1413957817</v>
      </c>
      <c r="BR280" s="16">
        <f t="shared" si="142"/>
        <v>-123442.14139578165</v>
      </c>
      <c r="BS280" s="14">
        <f>IF([1]Sheet2!CA279=999999,"NA",[1]Sheet2!CA279)</f>
        <v>93036.858604218505</v>
      </c>
      <c r="BT280" s="14">
        <f>IF([1]Sheet2!CB279=999999,"NA",[1]Sheet2!CB279)</f>
        <v>18</v>
      </c>
      <c r="BU280" s="14">
        <f>IF([1]Sheet2!CC279=999999,"NA",[1]Sheet2!CC279)</f>
        <v>88</v>
      </c>
      <c r="BV280" s="14">
        <f>IF([1]Sheet2!CD279=999999,"NA",[1]Sheet2!CD279)</f>
        <v>88</v>
      </c>
      <c r="BW280" s="14">
        <f>IF([1]Sheet2!CE279=999999,"NA",[1]Sheet2!CE279)</f>
        <v>57</v>
      </c>
      <c r="BX280" s="14">
        <f>IF([1]Sheet2!CF279=999999,"NA",[1]Sheet2!CF279)</f>
        <v>88</v>
      </c>
      <c r="BY280" s="14">
        <f>IF([1]Sheet2!CG279=999999,"NA",[1]Sheet2!CG279)</f>
        <v>0</v>
      </c>
      <c r="BZ280" s="14">
        <f>IF([1]Sheet2!CH279=999999,"NA",[1]Sheet2!CH279)</f>
        <v>88</v>
      </c>
      <c r="CA280" s="14">
        <f>IF([1]Sheet2!CI279=999999,"NA",[1]Sheet2!CI279)</f>
        <v>88</v>
      </c>
      <c r="CB280" s="14">
        <f>IF([1]Sheet2!CJ279=999999,"NA",[1]Sheet2!CJ279)</f>
        <v>88</v>
      </c>
      <c r="CC280" s="14">
        <f>[1]Sheet2!BG279</f>
        <v>0</v>
      </c>
      <c r="CD280" s="14">
        <f>[1]Sheet2!BH279</f>
        <v>0</v>
      </c>
      <c r="CE280" s="14">
        <f>[1]Sheet2!BI279</f>
        <v>0</v>
      </c>
      <c r="CF280" s="14">
        <f>[1]Sheet2!BJ279</f>
        <v>0</v>
      </c>
      <c r="CG280" s="14">
        <f>[1]Sheet2!BK279</f>
        <v>0</v>
      </c>
      <c r="CH280" s="14">
        <f>[1]Sheet2!BL279</f>
        <v>0</v>
      </c>
      <c r="CI280" s="14">
        <f>[1]Sheet2!BM279</f>
        <v>0</v>
      </c>
      <c r="CJ280" s="14">
        <f>[1]Sheet2!BN279</f>
        <v>0</v>
      </c>
      <c r="CK280" s="14">
        <f>[1]Sheet2!BO279</f>
        <v>0</v>
      </c>
      <c r="CL280" s="14">
        <f>[1]Sheet2!BP279</f>
        <v>0</v>
      </c>
      <c r="CM280" s="16">
        <f>Demand_SW!B$12/31</f>
        <v>139.57816377171216</v>
      </c>
      <c r="CN280" s="16">
        <f>Demand_SW!C$12/31</f>
        <v>0</v>
      </c>
      <c r="CO280" s="16">
        <f>Demand_SW!D$12/31</f>
        <v>0</v>
      </c>
      <c r="CP280" s="16">
        <f>Demand_SW!E$12/31</f>
        <v>0</v>
      </c>
      <c r="CQ280" s="16">
        <f>Demand_SW!F$12/31</f>
        <v>0</v>
      </c>
      <c r="CR280" s="16">
        <f>Demand_SW!G$12/31</f>
        <v>139.57816377171216</v>
      </c>
      <c r="CS280" s="16">
        <f>Demand_SW!H$12/31</f>
        <v>0</v>
      </c>
      <c r="CT280" s="16">
        <f>Demand_SW!I$12/31</f>
        <v>0</v>
      </c>
      <c r="CU280" s="16">
        <f>Demand_SW!J$12/31</f>
        <v>0</v>
      </c>
      <c r="CV280" s="16">
        <f>Demand_SW!K$12/31</f>
        <v>0</v>
      </c>
      <c r="CW280" s="16">
        <f t="shared" si="143"/>
        <v>63393.995037220855</v>
      </c>
      <c r="CX280" s="16">
        <f t="shared" si="144"/>
        <v>20683.923076923078</v>
      </c>
      <c r="CY280" s="16">
        <f t="shared" si="145"/>
        <v>0</v>
      </c>
      <c r="CZ280" s="16">
        <f t="shared" si="146"/>
        <v>0</v>
      </c>
      <c r="DA280" s="16">
        <f t="shared" si="147"/>
        <v>0</v>
      </c>
      <c r="DB280" s="16">
        <f t="shared" si="148"/>
        <v>-36135.235732009882</v>
      </c>
      <c r="DC280" s="16">
        <f t="shared" si="149"/>
        <v>20683.923076923078</v>
      </c>
      <c r="DD280" s="16">
        <f t="shared" si="150"/>
        <v>0</v>
      </c>
      <c r="DE280" s="16">
        <f t="shared" si="151"/>
        <v>0</v>
      </c>
      <c r="DF280" s="16">
        <f t="shared" si="152"/>
        <v>0</v>
      </c>
      <c r="DG280" s="14">
        <f>IF([1]Sheet2!DR279=999999,"NA",[1]Sheet2!DR279)</f>
        <v>73103</v>
      </c>
      <c r="DH280" s="14">
        <f>IF([1]Sheet2!DS279=999999,"NA",[1]Sheet2!DS279)</f>
        <v>88</v>
      </c>
      <c r="DI280" s="14">
        <f>IF([1]Sheet2!DT279=999999,"NA",[1]Sheet2!DT279)</f>
        <v>88</v>
      </c>
      <c r="DJ280" s="14" t="str">
        <f>IF([1]Sheet2!DU279=999999,"NA",[1]Sheet2!DU279)</f>
        <v>NA</v>
      </c>
      <c r="DK280" s="14" t="str">
        <f>IF([1]Sheet2!DV279=999999,"NA",[1]Sheet2!DV279)</f>
        <v>NA</v>
      </c>
      <c r="DL280" s="14" t="str">
        <f>IF([1]Sheet2!DW279=999999,"NA",[1]Sheet2!DW279)</f>
        <v>NA</v>
      </c>
      <c r="DM280" s="14">
        <f>IF([1]Sheet2!DX279=999999,"NA",[1]Sheet2!DX279)</f>
        <v>88</v>
      </c>
      <c r="DN280" s="14">
        <f>IF([1]Sheet2!DY279=999999,"NA",[1]Sheet2!DY279)</f>
        <v>88</v>
      </c>
      <c r="DO280" s="14" t="str">
        <f>IF([1]Sheet2!DZ279=999999,"NA",[1]Sheet2!DZ279)</f>
        <v>NA</v>
      </c>
      <c r="DP280" s="14" t="str">
        <f>IF([1]Sheet2!EA279=999999,"NA",[1]Sheet2!EA279)</f>
        <v>NA</v>
      </c>
      <c r="DQ280" s="14">
        <f>[1]Sheet2!CX279</f>
        <v>0</v>
      </c>
      <c r="DR280" s="14">
        <f>[1]Sheet2!CY279</f>
        <v>0</v>
      </c>
      <c r="DS280" s="14">
        <f>[1]Sheet2!CZ279</f>
        <v>0</v>
      </c>
      <c r="DT280" s="14">
        <f>[1]Sheet2!DA279</f>
        <v>0</v>
      </c>
      <c r="DU280" s="14">
        <f>[1]Sheet2!DB279</f>
        <v>0</v>
      </c>
      <c r="DV280" s="14">
        <f>[1]Sheet2!DC279</f>
        <v>0</v>
      </c>
      <c r="DW280" s="14">
        <f>[1]Sheet2!DD279</f>
        <v>0</v>
      </c>
      <c r="DX280" s="14">
        <f>[1]Sheet2!DE279</f>
        <v>0</v>
      </c>
      <c r="DY280" s="14">
        <f>[1]Sheet2!DF279</f>
        <v>0</v>
      </c>
      <c r="DZ280" s="14">
        <f>[1]Sheet2!DG279</f>
        <v>0</v>
      </c>
    </row>
    <row r="281" spans="1:130" x14ac:dyDescent="0.25">
      <c r="A281" s="15">
        <v>43743</v>
      </c>
      <c r="B281" s="1"/>
      <c r="C281" s="1"/>
      <c r="D281" s="1"/>
      <c r="E281" s="14">
        <f>[1]Sheet2!N280</f>
        <v>0</v>
      </c>
      <c r="F281" s="14">
        <f>[1]Sheet2!BE280</f>
        <v>0</v>
      </c>
      <c r="G281" s="14">
        <f>[1]Sheet2!CV280</f>
        <v>279.15632754342431</v>
      </c>
      <c r="H281" s="1"/>
      <c r="I281" s="1"/>
      <c r="J281" s="1"/>
      <c r="K281" s="16">
        <f>Demand_CWRS!B$12/31</f>
        <v>113.31027191894128</v>
      </c>
      <c r="L281" s="16">
        <f>Demand_CWRS!C$12/31</f>
        <v>480.06765922249781</v>
      </c>
      <c r="M281" s="16">
        <f>Demand_CWRS!D$12/31</f>
        <v>0</v>
      </c>
      <c r="N281" s="16">
        <f>Demand_CWRS!E$12/31</f>
        <v>103.22435897435898</v>
      </c>
      <c r="O281" s="16">
        <f>Demand_CWRS!F$12/31</f>
        <v>209.74544820099254</v>
      </c>
      <c r="P281" s="16">
        <f>Demand_CWRS!G$12/31</f>
        <v>113.31027191894128</v>
      </c>
      <c r="Q281" s="16">
        <f>Demand_CWRS!H$12/31</f>
        <v>480.06765922249781</v>
      </c>
      <c r="R281" s="16">
        <f>Demand_CWRS!I$12/31</f>
        <v>209.74544820099254</v>
      </c>
      <c r="S281" s="16">
        <f>Demand_CWRS!J$12/31</f>
        <v>209.74544820099254</v>
      </c>
      <c r="T281" s="16">
        <f>Demand_CWRS!K$12/31</f>
        <v>209.74544820099254</v>
      </c>
      <c r="U281" s="16">
        <f t="shared" si="123"/>
        <v>-36542.547512375786</v>
      </c>
      <c r="V281" s="16">
        <f t="shared" si="124"/>
        <v>-131403.99214226598</v>
      </c>
      <c r="W281" s="16">
        <f t="shared" si="125"/>
        <v>0</v>
      </c>
      <c r="X281" s="16">
        <f t="shared" si="126"/>
        <v>-30771.597062641915</v>
      </c>
      <c r="Y281" s="16">
        <f t="shared" si="127"/>
        <v>-60262.933784132249</v>
      </c>
      <c r="Z281" s="16">
        <f t="shared" si="128"/>
        <v>-36145.61498833738</v>
      </c>
      <c r="AA281" s="16">
        <f t="shared" si="129"/>
        <v>-130903.99214226598</v>
      </c>
      <c r="AB281" s="16">
        <f t="shared" si="130"/>
        <v>-57779.088303362965</v>
      </c>
      <c r="AC281" s="16">
        <f t="shared" si="131"/>
        <v>-57779.088303362958</v>
      </c>
      <c r="AD281" s="16">
        <f t="shared" si="132"/>
        <v>-58479.088303362951</v>
      </c>
      <c r="AE281" s="14">
        <f>IF([1]Sheet2!AJ280=999999,"NA",[1]Sheet2!AJ280)</f>
        <v>0</v>
      </c>
      <c r="AF281" s="14">
        <f>IF([1]Sheet2!AK280=999999,"NA",[1]Sheet2!AK280)</f>
        <v>0</v>
      </c>
      <c r="AG281" s="14" t="str">
        <f>IF([1]Sheet2!AL280=999999,"NA",[1]Sheet2!AL280)</f>
        <v>NA</v>
      </c>
      <c r="AH281" s="14">
        <f>IF([1]Sheet2!AM280=999999,"NA",[1]Sheet2!AM280)</f>
        <v>87</v>
      </c>
      <c r="AI281" s="14">
        <f>IF([1]Sheet2!AN280=999999,"NA",[1]Sheet2!AN280)</f>
        <v>87</v>
      </c>
      <c r="AJ281" s="14">
        <f>IF([1]Sheet2!AO280=999999,"NA",[1]Sheet2!AO280)</f>
        <v>87</v>
      </c>
      <c r="AK281" s="14">
        <f>IF([1]Sheet2!AP280=999999,"NA",[1]Sheet2!AP280)</f>
        <v>0</v>
      </c>
      <c r="AL281" s="14">
        <f>IF([1]Sheet2!AQ280=999999,"NA",[1]Sheet2!AQ280)</f>
        <v>0</v>
      </c>
      <c r="AM281" s="14">
        <f>IF([1]Sheet2!AR280=999999,"NA",[1]Sheet2!AR280)</f>
        <v>87</v>
      </c>
      <c r="AN281" s="14">
        <f>IF([1]Sheet2!AS280=999999,"NA",[1]Sheet2!AS280)</f>
        <v>38</v>
      </c>
      <c r="AO281" s="14">
        <f>[1]Sheet2!P280</f>
        <v>0</v>
      </c>
      <c r="AP281" s="14">
        <f>[1]Sheet2!Q280</f>
        <v>0</v>
      </c>
      <c r="AQ281" s="14">
        <f>[1]Sheet2!R280</f>
        <v>0</v>
      </c>
      <c r="AR281" s="14">
        <f>[1]Sheet2!S280</f>
        <v>0</v>
      </c>
      <c r="AS281" s="14">
        <f>[1]Sheet2!T280</f>
        <v>0</v>
      </c>
      <c r="AT281" s="14">
        <f>[1]Sheet2!U280</f>
        <v>0</v>
      </c>
      <c r="AU281" s="14">
        <f>[1]Sheet2!V280</f>
        <v>0</v>
      </c>
      <c r="AV281" s="14">
        <f>[1]Sheet2!W280</f>
        <v>0</v>
      </c>
      <c r="AW281" s="14">
        <f>[1]Sheet2!X280</f>
        <v>0</v>
      </c>
      <c r="AX281" s="14">
        <f>[1]Sheet2!Y280</f>
        <v>0</v>
      </c>
      <c r="AY281" s="16">
        <f>Demand_LP!B$12/31</f>
        <v>866.47279518196865</v>
      </c>
      <c r="AZ281" s="16">
        <f>Demand_LP!C$12/31</f>
        <v>577.62712985938799</v>
      </c>
      <c r="BA281" s="16">
        <f>Demand_LP!D$12/31</f>
        <v>262.18502894954509</v>
      </c>
      <c r="BB281" s="16">
        <f>Demand_LP!E$12/31</f>
        <v>766.03229942100904</v>
      </c>
      <c r="BC281" s="16">
        <f>Demand_LP!F$12/31</f>
        <v>516.10499638130682</v>
      </c>
      <c r="BD281" s="16">
        <f>Demand_LP!G$12/31</f>
        <v>866.47279518196865</v>
      </c>
      <c r="BE281" s="16">
        <f>Demand_LP!H$12/31</f>
        <v>577.62712985938799</v>
      </c>
      <c r="BF281" s="16">
        <f>Demand_LP!I$12/31</f>
        <v>516.10499638130682</v>
      </c>
      <c r="BG281" s="16">
        <f>Demand_LP!J$12/31</f>
        <v>516.10499638130682</v>
      </c>
      <c r="BH281" s="16">
        <f>Demand_LP!K$12/31</f>
        <v>516.10499638130682</v>
      </c>
      <c r="BI281" s="16" t="e">
        <f t="shared" si="133"/>
        <v>#VALUE!</v>
      </c>
      <c r="BJ281" s="16">
        <f t="shared" si="134"/>
        <v>-157987.19975186093</v>
      </c>
      <c r="BK281" s="16">
        <f t="shared" si="135"/>
        <v>-81383.666170388897</v>
      </c>
      <c r="BL281" s="16">
        <f t="shared" si="136"/>
        <v>-208663.63199369638</v>
      </c>
      <c r="BM281" s="16">
        <f t="shared" si="137"/>
        <v>-124656.56247379236</v>
      </c>
      <c r="BN281" s="16">
        <f t="shared" si="138"/>
        <v>-216256.30164154171</v>
      </c>
      <c r="BO281" s="16">
        <f t="shared" si="139"/>
        <v>-160344.77923904071</v>
      </c>
      <c r="BP281" s="16">
        <f t="shared" si="140"/>
        <v>-125768.24639216297</v>
      </c>
      <c r="BQ281" s="16">
        <f t="shared" si="141"/>
        <v>-122758.24639216301</v>
      </c>
      <c r="BR281" s="16">
        <f t="shared" si="142"/>
        <v>-123958.24639216297</v>
      </c>
      <c r="BS281" s="14">
        <f>IF([1]Sheet2!CA280=999999,"NA",[1]Sheet2!CA280)</f>
        <v>92520.753607837192</v>
      </c>
      <c r="BT281" s="14">
        <f>IF([1]Sheet2!CB280=999999,"NA",[1]Sheet2!CB280)</f>
        <v>17</v>
      </c>
      <c r="BU281" s="14">
        <f>IF([1]Sheet2!CC280=999999,"NA",[1]Sheet2!CC280)</f>
        <v>87</v>
      </c>
      <c r="BV281" s="14">
        <f>IF([1]Sheet2!CD280=999999,"NA",[1]Sheet2!CD280)</f>
        <v>87</v>
      </c>
      <c r="BW281" s="14">
        <f>IF([1]Sheet2!CE280=999999,"NA",[1]Sheet2!CE280)</f>
        <v>56</v>
      </c>
      <c r="BX281" s="14">
        <f>IF([1]Sheet2!CF280=999999,"NA",[1]Sheet2!CF280)</f>
        <v>87</v>
      </c>
      <c r="BY281" s="14">
        <f>IF([1]Sheet2!CG280=999999,"NA",[1]Sheet2!CG280)</f>
        <v>0</v>
      </c>
      <c r="BZ281" s="14">
        <f>IF([1]Sheet2!CH280=999999,"NA",[1]Sheet2!CH280)</f>
        <v>87</v>
      </c>
      <c r="CA281" s="14">
        <f>IF([1]Sheet2!CI280=999999,"NA",[1]Sheet2!CI280)</f>
        <v>87</v>
      </c>
      <c r="CB281" s="14">
        <f>IF([1]Sheet2!CJ280=999999,"NA",[1]Sheet2!CJ280)</f>
        <v>87</v>
      </c>
      <c r="CC281" s="14">
        <f>[1]Sheet2!BG280</f>
        <v>0</v>
      </c>
      <c r="CD281" s="14">
        <f>[1]Sheet2!BH280</f>
        <v>0</v>
      </c>
      <c r="CE281" s="14">
        <f>[1]Sheet2!BI280</f>
        <v>0</v>
      </c>
      <c r="CF281" s="14">
        <f>[1]Sheet2!BJ280</f>
        <v>0</v>
      </c>
      <c r="CG281" s="14">
        <f>[1]Sheet2!BK280</f>
        <v>0</v>
      </c>
      <c r="CH281" s="14">
        <f>[1]Sheet2!BL280</f>
        <v>0</v>
      </c>
      <c r="CI281" s="14">
        <f>[1]Sheet2!BM280</f>
        <v>0</v>
      </c>
      <c r="CJ281" s="14">
        <f>[1]Sheet2!BN280</f>
        <v>0</v>
      </c>
      <c r="CK281" s="14">
        <f>[1]Sheet2!BO280</f>
        <v>0</v>
      </c>
      <c r="CL281" s="14">
        <f>[1]Sheet2!BP280</f>
        <v>0</v>
      </c>
      <c r="CM281" s="16">
        <f>Demand_SW!B$12/31</f>
        <v>139.57816377171216</v>
      </c>
      <c r="CN281" s="16">
        <f>Demand_SW!C$12/31</f>
        <v>0</v>
      </c>
      <c r="CO281" s="16">
        <f>Demand_SW!D$12/31</f>
        <v>0</v>
      </c>
      <c r="CP281" s="16">
        <f>Demand_SW!E$12/31</f>
        <v>0</v>
      </c>
      <c r="CQ281" s="16">
        <f>Demand_SW!F$12/31</f>
        <v>0</v>
      </c>
      <c r="CR281" s="16">
        <f>Demand_SW!G$12/31</f>
        <v>139.57816377171216</v>
      </c>
      <c r="CS281" s="16">
        <f>Demand_SW!H$12/31</f>
        <v>0</v>
      </c>
      <c r="CT281" s="16">
        <f>Demand_SW!I$12/31</f>
        <v>0</v>
      </c>
      <c r="CU281" s="16">
        <f>Demand_SW!J$12/31</f>
        <v>0</v>
      </c>
      <c r="CV281" s="16">
        <f>Demand_SW!K$12/31</f>
        <v>0</v>
      </c>
      <c r="CW281" s="16">
        <f t="shared" si="143"/>
        <v>63254.41687344914</v>
      </c>
      <c r="CX281" s="16">
        <f t="shared" si="144"/>
        <v>20683.923076923078</v>
      </c>
      <c r="CY281" s="16">
        <f t="shared" si="145"/>
        <v>0</v>
      </c>
      <c r="CZ281" s="16">
        <f t="shared" si="146"/>
        <v>0</v>
      </c>
      <c r="DA281" s="16">
        <f t="shared" si="147"/>
        <v>0</v>
      </c>
      <c r="DB281" s="16">
        <f t="shared" si="148"/>
        <v>-36274.813895781597</v>
      </c>
      <c r="DC281" s="16">
        <f t="shared" si="149"/>
        <v>20683.923076923078</v>
      </c>
      <c r="DD281" s="16">
        <f t="shared" si="150"/>
        <v>0</v>
      </c>
      <c r="DE281" s="16">
        <f t="shared" si="151"/>
        <v>0</v>
      </c>
      <c r="DF281" s="16">
        <f t="shared" si="152"/>
        <v>0</v>
      </c>
      <c r="DG281" s="14">
        <f>IF([1]Sheet2!DR280=999999,"NA",[1]Sheet2!DR280)</f>
        <v>73103</v>
      </c>
      <c r="DH281" s="14">
        <f>IF([1]Sheet2!DS280=999999,"NA",[1]Sheet2!DS280)</f>
        <v>87</v>
      </c>
      <c r="DI281" s="14">
        <f>IF([1]Sheet2!DT280=999999,"NA",[1]Sheet2!DT280)</f>
        <v>87</v>
      </c>
      <c r="DJ281" s="14" t="str">
        <f>IF([1]Sheet2!DU280=999999,"NA",[1]Sheet2!DU280)</f>
        <v>NA</v>
      </c>
      <c r="DK281" s="14" t="str">
        <f>IF([1]Sheet2!DV280=999999,"NA",[1]Sheet2!DV280)</f>
        <v>NA</v>
      </c>
      <c r="DL281" s="14" t="str">
        <f>IF([1]Sheet2!DW280=999999,"NA",[1]Sheet2!DW280)</f>
        <v>NA</v>
      </c>
      <c r="DM281" s="14">
        <f>IF([1]Sheet2!DX280=999999,"NA",[1]Sheet2!DX280)</f>
        <v>87</v>
      </c>
      <c r="DN281" s="14">
        <f>IF([1]Sheet2!DY280=999999,"NA",[1]Sheet2!DY280)</f>
        <v>87</v>
      </c>
      <c r="DO281" s="14" t="str">
        <f>IF([1]Sheet2!DZ280=999999,"NA",[1]Sheet2!DZ280)</f>
        <v>NA</v>
      </c>
      <c r="DP281" s="14" t="str">
        <f>IF([1]Sheet2!EA280=999999,"NA",[1]Sheet2!EA280)</f>
        <v>NA</v>
      </c>
      <c r="DQ281" s="14">
        <f>[1]Sheet2!CX280</f>
        <v>0</v>
      </c>
      <c r="DR281" s="14">
        <f>[1]Sheet2!CY280</f>
        <v>0</v>
      </c>
      <c r="DS281" s="14">
        <f>[1]Sheet2!CZ280</f>
        <v>0</v>
      </c>
      <c r="DT281" s="14">
        <f>[1]Sheet2!DA280</f>
        <v>0</v>
      </c>
      <c r="DU281" s="14">
        <f>[1]Sheet2!DB280</f>
        <v>0</v>
      </c>
      <c r="DV281" s="14">
        <f>[1]Sheet2!DC280</f>
        <v>0</v>
      </c>
      <c r="DW281" s="14">
        <f>[1]Sheet2!DD280</f>
        <v>0</v>
      </c>
      <c r="DX281" s="14">
        <f>[1]Sheet2!DE280</f>
        <v>0</v>
      </c>
      <c r="DY281" s="14">
        <f>[1]Sheet2!DF280</f>
        <v>0</v>
      </c>
      <c r="DZ281" s="14">
        <f>[1]Sheet2!DG280</f>
        <v>0</v>
      </c>
    </row>
    <row r="282" spans="1:130" x14ac:dyDescent="0.25">
      <c r="A282" s="15">
        <v>43744</v>
      </c>
      <c r="B282" s="1"/>
      <c r="C282" s="1"/>
      <c r="D282" s="1"/>
      <c r="E282" s="14">
        <f>[1]Sheet2!N281</f>
        <v>0</v>
      </c>
      <c r="F282" s="14">
        <f>[1]Sheet2!BE281</f>
        <v>0</v>
      </c>
      <c r="G282" s="14">
        <f>[1]Sheet2!CV281</f>
        <v>279.15632754342431</v>
      </c>
      <c r="H282" s="1"/>
      <c r="I282" s="1"/>
      <c r="J282" s="1"/>
      <c r="K282" s="16">
        <f>Demand_CWRS!B$12/31</f>
        <v>113.31027191894128</v>
      </c>
      <c r="L282" s="16">
        <f>Demand_CWRS!C$12/31</f>
        <v>480.06765922249781</v>
      </c>
      <c r="M282" s="16">
        <f>Demand_CWRS!D$12/31</f>
        <v>0</v>
      </c>
      <c r="N282" s="16">
        <f>Demand_CWRS!E$12/31</f>
        <v>103.22435897435898</v>
      </c>
      <c r="O282" s="16">
        <f>Demand_CWRS!F$12/31</f>
        <v>209.74544820099254</v>
      </c>
      <c r="P282" s="16">
        <f>Demand_CWRS!G$12/31</f>
        <v>113.31027191894128</v>
      </c>
      <c r="Q282" s="16">
        <f>Demand_CWRS!H$12/31</f>
        <v>480.06765922249781</v>
      </c>
      <c r="R282" s="16">
        <f>Demand_CWRS!I$12/31</f>
        <v>209.74544820099254</v>
      </c>
      <c r="S282" s="16">
        <f>Demand_CWRS!J$12/31</f>
        <v>209.74544820099254</v>
      </c>
      <c r="T282" s="16">
        <f>Demand_CWRS!K$12/31</f>
        <v>209.74544820099254</v>
      </c>
      <c r="U282" s="16">
        <f t="shared" si="123"/>
        <v>-36655.857784294727</v>
      </c>
      <c r="V282" s="16">
        <f t="shared" si="124"/>
        <v>-131884.05980148847</v>
      </c>
      <c r="W282" s="16">
        <f t="shared" si="125"/>
        <v>0</v>
      </c>
      <c r="X282" s="16">
        <f t="shared" si="126"/>
        <v>-30874.821421616274</v>
      </c>
      <c r="Y282" s="16">
        <f t="shared" si="127"/>
        <v>-60472.679232333241</v>
      </c>
      <c r="Z282" s="16">
        <f t="shared" si="128"/>
        <v>-36258.925260256321</v>
      </c>
      <c r="AA282" s="16">
        <f t="shared" si="129"/>
        <v>-131384.05980148847</v>
      </c>
      <c r="AB282" s="16">
        <f t="shared" si="130"/>
        <v>-57988.833751563958</v>
      </c>
      <c r="AC282" s="16">
        <f t="shared" si="131"/>
        <v>-57988.83375156395</v>
      </c>
      <c r="AD282" s="16">
        <f t="shared" si="132"/>
        <v>-58688.833751563943</v>
      </c>
      <c r="AE282" s="14">
        <f>IF([1]Sheet2!AJ281=999999,"NA",[1]Sheet2!AJ281)</f>
        <v>0</v>
      </c>
      <c r="AF282" s="14">
        <f>IF([1]Sheet2!AK281=999999,"NA",[1]Sheet2!AK281)</f>
        <v>0</v>
      </c>
      <c r="AG282" s="14" t="str">
        <f>IF([1]Sheet2!AL281=999999,"NA",[1]Sheet2!AL281)</f>
        <v>NA</v>
      </c>
      <c r="AH282" s="14">
        <f>IF([1]Sheet2!AM281=999999,"NA",[1]Sheet2!AM281)</f>
        <v>86</v>
      </c>
      <c r="AI282" s="14">
        <f>IF([1]Sheet2!AN281=999999,"NA",[1]Sheet2!AN281)</f>
        <v>86</v>
      </c>
      <c r="AJ282" s="14">
        <f>IF([1]Sheet2!AO281=999999,"NA",[1]Sheet2!AO281)</f>
        <v>86</v>
      </c>
      <c r="AK282" s="14">
        <f>IF([1]Sheet2!AP281=999999,"NA",[1]Sheet2!AP281)</f>
        <v>0</v>
      </c>
      <c r="AL282" s="14">
        <f>IF([1]Sheet2!AQ281=999999,"NA",[1]Sheet2!AQ281)</f>
        <v>0</v>
      </c>
      <c r="AM282" s="14">
        <f>IF([1]Sheet2!AR281=999999,"NA",[1]Sheet2!AR281)</f>
        <v>86</v>
      </c>
      <c r="AN282" s="14">
        <f>IF([1]Sheet2!AS281=999999,"NA",[1]Sheet2!AS281)</f>
        <v>37</v>
      </c>
      <c r="AO282" s="14">
        <f>[1]Sheet2!P281</f>
        <v>0</v>
      </c>
      <c r="AP282" s="14">
        <f>[1]Sheet2!Q281</f>
        <v>0</v>
      </c>
      <c r="AQ282" s="14">
        <f>[1]Sheet2!R281</f>
        <v>0</v>
      </c>
      <c r="AR282" s="14">
        <f>[1]Sheet2!S281</f>
        <v>0</v>
      </c>
      <c r="AS282" s="14">
        <f>[1]Sheet2!T281</f>
        <v>0</v>
      </c>
      <c r="AT282" s="14">
        <f>[1]Sheet2!U281</f>
        <v>0</v>
      </c>
      <c r="AU282" s="14">
        <f>[1]Sheet2!V281</f>
        <v>0</v>
      </c>
      <c r="AV282" s="14">
        <f>[1]Sheet2!W281</f>
        <v>0</v>
      </c>
      <c r="AW282" s="14">
        <f>[1]Sheet2!X281</f>
        <v>0</v>
      </c>
      <c r="AX282" s="14">
        <f>[1]Sheet2!Y281</f>
        <v>0</v>
      </c>
      <c r="AY282" s="16">
        <f>Demand_LP!B$12/31</f>
        <v>866.47279518196865</v>
      </c>
      <c r="AZ282" s="16">
        <f>Demand_LP!C$12/31</f>
        <v>577.62712985938799</v>
      </c>
      <c r="BA282" s="16">
        <f>Demand_LP!D$12/31</f>
        <v>262.18502894954509</v>
      </c>
      <c r="BB282" s="16">
        <f>Demand_LP!E$12/31</f>
        <v>766.03229942100904</v>
      </c>
      <c r="BC282" s="16">
        <f>Demand_LP!F$12/31</f>
        <v>516.10499638130682</v>
      </c>
      <c r="BD282" s="16">
        <f>Demand_LP!G$12/31</f>
        <v>866.47279518196865</v>
      </c>
      <c r="BE282" s="16">
        <f>Demand_LP!H$12/31</f>
        <v>577.62712985938799</v>
      </c>
      <c r="BF282" s="16">
        <f>Demand_LP!I$12/31</f>
        <v>516.10499638130682</v>
      </c>
      <c r="BG282" s="16">
        <f>Demand_LP!J$12/31</f>
        <v>516.10499638130682</v>
      </c>
      <c r="BH282" s="16">
        <f>Demand_LP!K$12/31</f>
        <v>516.10499638130682</v>
      </c>
      <c r="BI282" s="16" t="e">
        <f t="shared" si="133"/>
        <v>#VALUE!</v>
      </c>
      <c r="BJ282" s="16">
        <f t="shared" si="134"/>
        <v>-158564.82688172031</v>
      </c>
      <c r="BK282" s="16">
        <f t="shared" si="135"/>
        <v>-81645.851199338445</v>
      </c>
      <c r="BL282" s="16">
        <f t="shared" si="136"/>
        <v>-209429.66429311738</v>
      </c>
      <c r="BM282" s="16">
        <f t="shared" si="137"/>
        <v>-125172.66747017368</v>
      </c>
      <c r="BN282" s="16">
        <f t="shared" si="138"/>
        <v>-217122.77443672367</v>
      </c>
      <c r="BO282" s="16">
        <f t="shared" si="139"/>
        <v>-160922.40636890009</v>
      </c>
      <c r="BP282" s="16">
        <f t="shared" si="140"/>
        <v>-126284.35138854428</v>
      </c>
      <c r="BQ282" s="16">
        <f t="shared" si="141"/>
        <v>-123274.35138854432</v>
      </c>
      <c r="BR282" s="16">
        <f t="shared" si="142"/>
        <v>-124474.35138854428</v>
      </c>
      <c r="BS282" s="14">
        <f>IF([1]Sheet2!CA281=999999,"NA",[1]Sheet2!CA281)</f>
        <v>92004.648611455879</v>
      </c>
      <c r="BT282" s="14">
        <f>IF([1]Sheet2!CB281=999999,"NA",[1]Sheet2!CB281)</f>
        <v>16</v>
      </c>
      <c r="BU282" s="14">
        <f>IF([1]Sheet2!CC281=999999,"NA",[1]Sheet2!CC281)</f>
        <v>86</v>
      </c>
      <c r="BV282" s="14">
        <f>IF([1]Sheet2!CD281=999999,"NA",[1]Sheet2!CD281)</f>
        <v>86</v>
      </c>
      <c r="BW282" s="14">
        <f>IF([1]Sheet2!CE281=999999,"NA",[1]Sheet2!CE281)</f>
        <v>55</v>
      </c>
      <c r="BX282" s="14">
        <f>IF([1]Sheet2!CF281=999999,"NA",[1]Sheet2!CF281)</f>
        <v>86</v>
      </c>
      <c r="BY282" s="14">
        <f>IF([1]Sheet2!CG281=999999,"NA",[1]Sheet2!CG281)</f>
        <v>0</v>
      </c>
      <c r="BZ282" s="14">
        <f>IF([1]Sheet2!CH281=999999,"NA",[1]Sheet2!CH281)</f>
        <v>86</v>
      </c>
      <c r="CA282" s="14">
        <f>IF([1]Sheet2!CI281=999999,"NA",[1]Sheet2!CI281)</f>
        <v>86</v>
      </c>
      <c r="CB282" s="14">
        <f>IF([1]Sheet2!CJ281=999999,"NA",[1]Sheet2!CJ281)</f>
        <v>86</v>
      </c>
      <c r="CC282" s="14">
        <f>[1]Sheet2!BG281</f>
        <v>0</v>
      </c>
      <c r="CD282" s="14">
        <f>[1]Sheet2!BH281</f>
        <v>0</v>
      </c>
      <c r="CE282" s="14">
        <f>[1]Sheet2!BI281</f>
        <v>0</v>
      </c>
      <c r="CF282" s="14">
        <f>[1]Sheet2!BJ281</f>
        <v>0</v>
      </c>
      <c r="CG282" s="14">
        <f>[1]Sheet2!BK281</f>
        <v>0</v>
      </c>
      <c r="CH282" s="14">
        <f>[1]Sheet2!BL281</f>
        <v>0</v>
      </c>
      <c r="CI282" s="14">
        <f>[1]Sheet2!BM281</f>
        <v>0</v>
      </c>
      <c r="CJ282" s="14">
        <f>[1]Sheet2!BN281</f>
        <v>0</v>
      </c>
      <c r="CK282" s="14">
        <f>[1]Sheet2!BO281</f>
        <v>0</v>
      </c>
      <c r="CL282" s="14">
        <f>[1]Sheet2!BP281</f>
        <v>0</v>
      </c>
      <c r="CM282" s="16">
        <f>Demand_SW!B$12/31</f>
        <v>139.57816377171216</v>
      </c>
      <c r="CN282" s="16">
        <f>Demand_SW!C$12/31</f>
        <v>0</v>
      </c>
      <c r="CO282" s="16">
        <f>Demand_SW!D$12/31</f>
        <v>0</v>
      </c>
      <c r="CP282" s="16">
        <f>Demand_SW!E$12/31</f>
        <v>0</v>
      </c>
      <c r="CQ282" s="16">
        <f>Demand_SW!F$12/31</f>
        <v>0</v>
      </c>
      <c r="CR282" s="16">
        <f>Demand_SW!G$12/31</f>
        <v>139.57816377171216</v>
      </c>
      <c r="CS282" s="16">
        <f>Demand_SW!H$12/31</f>
        <v>0</v>
      </c>
      <c r="CT282" s="16">
        <f>Demand_SW!I$12/31</f>
        <v>0</v>
      </c>
      <c r="CU282" s="16">
        <f>Demand_SW!J$12/31</f>
        <v>0</v>
      </c>
      <c r="CV282" s="16">
        <f>Demand_SW!K$12/31</f>
        <v>0</v>
      </c>
      <c r="CW282" s="16">
        <f t="shared" si="143"/>
        <v>63114.838709677424</v>
      </c>
      <c r="CX282" s="16">
        <f t="shared" si="144"/>
        <v>20683.923076923078</v>
      </c>
      <c r="CY282" s="16">
        <f t="shared" si="145"/>
        <v>0</v>
      </c>
      <c r="CZ282" s="16">
        <f t="shared" si="146"/>
        <v>0</v>
      </c>
      <c r="DA282" s="16">
        <f t="shared" si="147"/>
        <v>0</v>
      </c>
      <c r="DB282" s="16">
        <f t="shared" si="148"/>
        <v>-36414.392059553313</v>
      </c>
      <c r="DC282" s="16">
        <f t="shared" si="149"/>
        <v>20683.923076923078</v>
      </c>
      <c r="DD282" s="16">
        <f t="shared" si="150"/>
        <v>0</v>
      </c>
      <c r="DE282" s="16">
        <f t="shared" si="151"/>
        <v>0</v>
      </c>
      <c r="DF282" s="16">
        <f t="shared" si="152"/>
        <v>0</v>
      </c>
      <c r="DG282" s="14">
        <f>IF([1]Sheet2!DR281=999999,"NA",[1]Sheet2!DR281)</f>
        <v>73103</v>
      </c>
      <c r="DH282" s="14">
        <f>IF([1]Sheet2!DS281=999999,"NA",[1]Sheet2!DS281)</f>
        <v>86</v>
      </c>
      <c r="DI282" s="14">
        <f>IF([1]Sheet2!DT281=999999,"NA",[1]Sheet2!DT281)</f>
        <v>86</v>
      </c>
      <c r="DJ282" s="14" t="str">
        <f>IF([1]Sheet2!DU281=999999,"NA",[1]Sheet2!DU281)</f>
        <v>NA</v>
      </c>
      <c r="DK282" s="14" t="str">
        <f>IF([1]Sheet2!DV281=999999,"NA",[1]Sheet2!DV281)</f>
        <v>NA</v>
      </c>
      <c r="DL282" s="14" t="str">
        <f>IF([1]Sheet2!DW281=999999,"NA",[1]Sheet2!DW281)</f>
        <v>NA</v>
      </c>
      <c r="DM282" s="14">
        <f>IF([1]Sheet2!DX281=999999,"NA",[1]Sheet2!DX281)</f>
        <v>86</v>
      </c>
      <c r="DN282" s="14">
        <f>IF([1]Sheet2!DY281=999999,"NA",[1]Sheet2!DY281)</f>
        <v>86</v>
      </c>
      <c r="DO282" s="14" t="str">
        <f>IF([1]Sheet2!DZ281=999999,"NA",[1]Sheet2!DZ281)</f>
        <v>NA</v>
      </c>
      <c r="DP282" s="14" t="str">
        <f>IF([1]Sheet2!EA281=999999,"NA",[1]Sheet2!EA281)</f>
        <v>NA</v>
      </c>
      <c r="DQ282" s="14">
        <f>[1]Sheet2!CX281</f>
        <v>0</v>
      </c>
      <c r="DR282" s="14">
        <f>[1]Sheet2!CY281</f>
        <v>0</v>
      </c>
      <c r="DS282" s="14">
        <f>[1]Sheet2!CZ281</f>
        <v>0</v>
      </c>
      <c r="DT282" s="14">
        <f>[1]Sheet2!DA281</f>
        <v>0</v>
      </c>
      <c r="DU282" s="14">
        <f>[1]Sheet2!DB281</f>
        <v>0</v>
      </c>
      <c r="DV282" s="14">
        <f>[1]Sheet2!DC281</f>
        <v>0</v>
      </c>
      <c r="DW282" s="14">
        <f>[1]Sheet2!DD281</f>
        <v>0</v>
      </c>
      <c r="DX282" s="14">
        <f>[1]Sheet2!DE281</f>
        <v>0</v>
      </c>
      <c r="DY282" s="14">
        <f>[1]Sheet2!DF281</f>
        <v>0</v>
      </c>
      <c r="DZ282" s="14">
        <f>[1]Sheet2!DG281</f>
        <v>0</v>
      </c>
    </row>
    <row r="283" spans="1:130" x14ac:dyDescent="0.25">
      <c r="A283" s="15">
        <v>43745</v>
      </c>
      <c r="B283" s="1"/>
      <c r="C283" s="1"/>
      <c r="D283" s="1"/>
      <c r="E283" s="14">
        <f>[1]Sheet2!N282</f>
        <v>0</v>
      </c>
      <c r="F283" s="14">
        <f>[1]Sheet2!BE282</f>
        <v>0</v>
      </c>
      <c r="G283" s="14">
        <f>[1]Sheet2!CV282</f>
        <v>279.15632754342431</v>
      </c>
      <c r="H283" s="1"/>
      <c r="I283" s="1"/>
      <c r="J283" s="1"/>
      <c r="K283" s="16">
        <f>Demand_CWRS!B$12/31</f>
        <v>113.31027191894128</v>
      </c>
      <c r="L283" s="16">
        <f>Demand_CWRS!C$12/31</f>
        <v>480.06765922249781</v>
      </c>
      <c r="M283" s="16">
        <f>Demand_CWRS!D$12/31</f>
        <v>0</v>
      </c>
      <c r="N283" s="16">
        <f>Demand_CWRS!E$12/31</f>
        <v>103.22435897435898</v>
      </c>
      <c r="O283" s="16">
        <f>Demand_CWRS!F$12/31</f>
        <v>209.74544820099254</v>
      </c>
      <c r="P283" s="16">
        <f>Demand_CWRS!G$12/31</f>
        <v>113.31027191894128</v>
      </c>
      <c r="Q283" s="16">
        <f>Demand_CWRS!H$12/31</f>
        <v>480.06765922249781</v>
      </c>
      <c r="R283" s="16">
        <f>Demand_CWRS!I$12/31</f>
        <v>209.74544820099254</v>
      </c>
      <c r="S283" s="16">
        <f>Demand_CWRS!J$12/31</f>
        <v>209.74544820099254</v>
      </c>
      <c r="T283" s="16">
        <f>Demand_CWRS!K$12/31</f>
        <v>209.74544820099254</v>
      </c>
      <c r="U283" s="16">
        <f t="shared" si="123"/>
        <v>-36769.168056213668</v>
      </c>
      <c r="V283" s="16">
        <f t="shared" si="124"/>
        <v>-132364.12746071097</v>
      </c>
      <c r="W283" s="16">
        <f t="shared" si="125"/>
        <v>0</v>
      </c>
      <c r="X283" s="16">
        <f t="shared" si="126"/>
        <v>-30978.045780590634</v>
      </c>
      <c r="Y283" s="16">
        <f t="shared" si="127"/>
        <v>-60682.424680534234</v>
      </c>
      <c r="Z283" s="16">
        <f t="shared" si="128"/>
        <v>-36372.235532175262</v>
      </c>
      <c r="AA283" s="16">
        <f t="shared" si="129"/>
        <v>-131864.12746071097</v>
      </c>
      <c r="AB283" s="16">
        <f t="shared" si="130"/>
        <v>-58198.57919976495</v>
      </c>
      <c r="AC283" s="16">
        <f t="shared" si="131"/>
        <v>-58198.579199764943</v>
      </c>
      <c r="AD283" s="16">
        <f t="shared" si="132"/>
        <v>-58898.579199764936</v>
      </c>
      <c r="AE283" s="14">
        <f>IF([1]Sheet2!AJ282=999999,"NA",[1]Sheet2!AJ282)</f>
        <v>0</v>
      </c>
      <c r="AF283" s="14">
        <f>IF([1]Sheet2!AK282=999999,"NA",[1]Sheet2!AK282)</f>
        <v>0</v>
      </c>
      <c r="AG283" s="14" t="str">
        <f>IF([1]Sheet2!AL282=999999,"NA",[1]Sheet2!AL282)</f>
        <v>NA</v>
      </c>
      <c r="AH283" s="14">
        <f>IF([1]Sheet2!AM282=999999,"NA",[1]Sheet2!AM282)</f>
        <v>85</v>
      </c>
      <c r="AI283" s="14">
        <f>IF([1]Sheet2!AN282=999999,"NA",[1]Sheet2!AN282)</f>
        <v>85</v>
      </c>
      <c r="AJ283" s="14">
        <f>IF([1]Sheet2!AO282=999999,"NA",[1]Sheet2!AO282)</f>
        <v>85</v>
      </c>
      <c r="AK283" s="14">
        <f>IF([1]Sheet2!AP282=999999,"NA",[1]Sheet2!AP282)</f>
        <v>0</v>
      </c>
      <c r="AL283" s="14">
        <f>IF([1]Sheet2!AQ282=999999,"NA",[1]Sheet2!AQ282)</f>
        <v>0</v>
      </c>
      <c r="AM283" s="14">
        <f>IF([1]Sheet2!AR282=999999,"NA",[1]Sheet2!AR282)</f>
        <v>85</v>
      </c>
      <c r="AN283" s="14">
        <f>IF([1]Sheet2!AS282=999999,"NA",[1]Sheet2!AS282)</f>
        <v>36</v>
      </c>
      <c r="AO283" s="14">
        <f>[1]Sheet2!P282</f>
        <v>0</v>
      </c>
      <c r="AP283" s="14">
        <f>[1]Sheet2!Q282</f>
        <v>0</v>
      </c>
      <c r="AQ283" s="14">
        <f>[1]Sheet2!R282</f>
        <v>0</v>
      </c>
      <c r="AR283" s="14">
        <f>[1]Sheet2!S282</f>
        <v>0</v>
      </c>
      <c r="AS283" s="14">
        <f>[1]Sheet2!T282</f>
        <v>0</v>
      </c>
      <c r="AT283" s="14">
        <f>[1]Sheet2!U282</f>
        <v>0</v>
      </c>
      <c r="AU283" s="14">
        <f>[1]Sheet2!V282</f>
        <v>0</v>
      </c>
      <c r="AV283" s="14">
        <f>[1]Sheet2!W282</f>
        <v>0</v>
      </c>
      <c r="AW283" s="14">
        <f>[1]Sheet2!X282</f>
        <v>0</v>
      </c>
      <c r="AX283" s="14">
        <f>[1]Sheet2!Y282</f>
        <v>0</v>
      </c>
      <c r="AY283" s="16">
        <f>Demand_LP!B$12/31</f>
        <v>866.47279518196865</v>
      </c>
      <c r="AZ283" s="16">
        <f>Demand_LP!C$12/31</f>
        <v>577.62712985938799</v>
      </c>
      <c r="BA283" s="16">
        <f>Demand_LP!D$12/31</f>
        <v>262.18502894954509</v>
      </c>
      <c r="BB283" s="16">
        <f>Demand_LP!E$12/31</f>
        <v>766.03229942100904</v>
      </c>
      <c r="BC283" s="16">
        <f>Demand_LP!F$12/31</f>
        <v>516.10499638130682</v>
      </c>
      <c r="BD283" s="16">
        <f>Demand_LP!G$12/31</f>
        <v>866.47279518196865</v>
      </c>
      <c r="BE283" s="16">
        <f>Demand_LP!H$12/31</f>
        <v>577.62712985938799</v>
      </c>
      <c r="BF283" s="16">
        <f>Demand_LP!I$12/31</f>
        <v>516.10499638130682</v>
      </c>
      <c r="BG283" s="16">
        <f>Demand_LP!J$12/31</f>
        <v>516.10499638130682</v>
      </c>
      <c r="BH283" s="16">
        <f>Demand_LP!K$12/31</f>
        <v>516.10499638130682</v>
      </c>
      <c r="BI283" s="16" t="e">
        <f t="shared" si="133"/>
        <v>#VALUE!</v>
      </c>
      <c r="BJ283" s="16">
        <f t="shared" si="134"/>
        <v>-159142.45401157968</v>
      </c>
      <c r="BK283" s="16">
        <f t="shared" si="135"/>
        <v>-81908.036228287994</v>
      </c>
      <c r="BL283" s="16">
        <f t="shared" si="136"/>
        <v>-210195.69659253838</v>
      </c>
      <c r="BM283" s="16">
        <f t="shared" si="137"/>
        <v>-125688.77246655499</v>
      </c>
      <c r="BN283" s="16">
        <f t="shared" si="138"/>
        <v>-217989.24723190564</v>
      </c>
      <c r="BO283" s="16">
        <f t="shared" si="139"/>
        <v>-161500.03349875947</v>
      </c>
      <c r="BP283" s="16">
        <f t="shared" si="140"/>
        <v>-126800.45638492559</v>
      </c>
      <c r="BQ283" s="16">
        <f t="shared" si="141"/>
        <v>-123790.45638492564</v>
      </c>
      <c r="BR283" s="16">
        <f t="shared" si="142"/>
        <v>-124990.45638492559</v>
      </c>
      <c r="BS283" s="14">
        <f>IF([1]Sheet2!CA282=999999,"NA",[1]Sheet2!CA282)</f>
        <v>91488.543615074566</v>
      </c>
      <c r="BT283" s="14">
        <f>IF([1]Sheet2!CB282=999999,"NA",[1]Sheet2!CB282)</f>
        <v>15</v>
      </c>
      <c r="BU283" s="14">
        <f>IF([1]Sheet2!CC282=999999,"NA",[1]Sheet2!CC282)</f>
        <v>85</v>
      </c>
      <c r="BV283" s="14">
        <f>IF([1]Sheet2!CD282=999999,"NA",[1]Sheet2!CD282)</f>
        <v>85</v>
      </c>
      <c r="BW283" s="14">
        <f>IF([1]Sheet2!CE282=999999,"NA",[1]Sheet2!CE282)</f>
        <v>54</v>
      </c>
      <c r="BX283" s="14">
        <f>IF([1]Sheet2!CF282=999999,"NA",[1]Sheet2!CF282)</f>
        <v>85</v>
      </c>
      <c r="BY283" s="14">
        <f>IF([1]Sheet2!CG282=999999,"NA",[1]Sheet2!CG282)</f>
        <v>0</v>
      </c>
      <c r="BZ283" s="14">
        <f>IF([1]Sheet2!CH282=999999,"NA",[1]Sheet2!CH282)</f>
        <v>85</v>
      </c>
      <c r="CA283" s="14">
        <f>IF([1]Sheet2!CI282=999999,"NA",[1]Sheet2!CI282)</f>
        <v>85</v>
      </c>
      <c r="CB283" s="14">
        <f>IF([1]Sheet2!CJ282=999999,"NA",[1]Sheet2!CJ282)</f>
        <v>85</v>
      </c>
      <c r="CC283" s="14">
        <f>[1]Sheet2!BG282</f>
        <v>0</v>
      </c>
      <c r="CD283" s="14">
        <f>[1]Sheet2!BH282</f>
        <v>0</v>
      </c>
      <c r="CE283" s="14">
        <f>[1]Sheet2!BI282</f>
        <v>0</v>
      </c>
      <c r="CF283" s="14">
        <f>[1]Sheet2!BJ282</f>
        <v>0</v>
      </c>
      <c r="CG283" s="14">
        <f>[1]Sheet2!BK282</f>
        <v>0</v>
      </c>
      <c r="CH283" s="14">
        <f>[1]Sheet2!BL282</f>
        <v>0</v>
      </c>
      <c r="CI283" s="14">
        <f>[1]Sheet2!BM282</f>
        <v>0</v>
      </c>
      <c r="CJ283" s="14">
        <f>[1]Sheet2!BN282</f>
        <v>0</v>
      </c>
      <c r="CK283" s="14">
        <f>[1]Sheet2!BO282</f>
        <v>0</v>
      </c>
      <c r="CL283" s="14">
        <f>[1]Sheet2!BP282</f>
        <v>0</v>
      </c>
      <c r="CM283" s="16">
        <f>Demand_SW!B$12/31</f>
        <v>139.57816377171216</v>
      </c>
      <c r="CN283" s="16">
        <f>Demand_SW!C$12/31</f>
        <v>0</v>
      </c>
      <c r="CO283" s="16">
        <f>Demand_SW!D$12/31</f>
        <v>0</v>
      </c>
      <c r="CP283" s="16">
        <f>Demand_SW!E$12/31</f>
        <v>0</v>
      </c>
      <c r="CQ283" s="16">
        <f>Demand_SW!F$12/31</f>
        <v>0</v>
      </c>
      <c r="CR283" s="16">
        <f>Demand_SW!G$12/31</f>
        <v>139.57816377171216</v>
      </c>
      <c r="CS283" s="16">
        <f>Demand_SW!H$12/31</f>
        <v>0</v>
      </c>
      <c r="CT283" s="16">
        <f>Demand_SW!I$12/31</f>
        <v>0</v>
      </c>
      <c r="CU283" s="16">
        <f>Demand_SW!J$12/31</f>
        <v>0</v>
      </c>
      <c r="CV283" s="16">
        <f>Demand_SW!K$12/31</f>
        <v>0</v>
      </c>
      <c r="CW283" s="16">
        <f t="shared" si="143"/>
        <v>62975.260545905709</v>
      </c>
      <c r="CX283" s="16">
        <f t="shared" si="144"/>
        <v>20683.923076923078</v>
      </c>
      <c r="CY283" s="16">
        <f t="shared" si="145"/>
        <v>0</v>
      </c>
      <c r="CZ283" s="16">
        <f t="shared" si="146"/>
        <v>0</v>
      </c>
      <c r="DA283" s="16">
        <f t="shared" si="147"/>
        <v>0</v>
      </c>
      <c r="DB283" s="16">
        <f t="shared" si="148"/>
        <v>-36553.970223325028</v>
      </c>
      <c r="DC283" s="16">
        <f t="shared" si="149"/>
        <v>20683.923076923078</v>
      </c>
      <c r="DD283" s="16">
        <f t="shared" si="150"/>
        <v>0</v>
      </c>
      <c r="DE283" s="16">
        <f t="shared" si="151"/>
        <v>0</v>
      </c>
      <c r="DF283" s="16">
        <f t="shared" si="152"/>
        <v>0</v>
      </c>
      <c r="DG283" s="14">
        <f>IF([1]Sheet2!DR282=999999,"NA",[1]Sheet2!DR282)</f>
        <v>73103</v>
      </c>
      <c r="DH283" s="14">
        <f>IF([1]Sheet2!DS282=999999,"NA",[1]Sheet2!DS282)</f>
        <v>85</v>
      </c>
      <c r="DI283" s="14">
        <f>IF([1]Sheet2!DT282=999999,"NA",[1]Sheet2!DT282)</f>
        <v>85</v>
      </c>
      <c r="DJ283" s="14" t="str">
        <f>IF([1]Sheet2!DU282=999999,"NA",[1]Sheet2!DU282)</f>
        <v>NA</v>
      </c>
      <c r="DK283" s="14" t="str">
        <f>IF([1]Sheet2!DV282=999999,"NA",[1]Sheet2!DV282)</f>
        <v>NA</v>
      </c>
      <c r="DL283" s="14" t="str">
        <f>IF([1]Sheet2!DW282=999999,"NA",[1]Sheet2!DW282)</f>
        <v>NA</v>
      </c>
      <c r="DM283" s="14">
        <f>IF([1]Sheet2!DX282=999999,"NA",[1]Sheet2!DX282)</f>
        <v>85</v>
      </c>
      <c r="DN283" s="14">
        <f>IF([1]Sheet2!DY282=999999,"NA",[1]Sheet2!DY282)</f>
        <v>85</v>
      </c>
      <c r="DO283" s="14" t="str">
        <f>IF([1]Sheet2!DZ282=999999,"NA",[1]Sheet2!DZ282)</f>
        <v>NA</v>
      </c>
      <c r="DP283" s="14" t="str">
        <f>IF([1]Sheet2!EA282=999999,"NA",[1]Sheet2!EA282)</f>
        <v>NA</v>
      </c>
      <c r="DQ283" s="14">
        <f>[1]Sheet2!CX282</f>
        <v>0</v>
      </c>
      <c r="DR283" s="14">
        <f>[1]Sheet2!CY282</f>
        <v>0</v>
      </c>
      <c r="DS283" s="14">
        <f>[1]Sheet2!CZ282</f>
        <v>0</v>
      </c>
      <c r="DT283" s="14">
        <f>[1]Sheet2!DA282</f>
        <v>0</v>
      </c>
      <c r="DU283" s="14">
        <f>[1]Sheet2!DB282</f>
        <v>0</v>
      </c>
      <c r="DV283" s="14">
        <f>[1]Sheet2!DC282</f>
        <v>0</v>
      </c>
      <c r="DW283" s="14">
        <f>[1]Sheet2!DD282</f>
        <v>0</v>
      </c>
      <c r="DX283" s="14">
        <f>[1]Sheet2!DE282</f>
        <v>0</v>
      </c>
      <c r="DY283" s="14">
        <f>[1]Sheet2!DF282</f>
        <v>0</v>
      </c>
      <c r="DZ283" s="14">
        <f>[1]Sheet2!DG282</f>
        <v>0</v>
      </c>
    </row>
    <row r="284" spans="1:130" x14ac:dyDescent="0.25">
      <c r="A284" s="15">
        <v>43746</v>
      </c>
      <c r="B284" s="1"/>
      <c r="C284" s="1"/>
      <c r="D284" s="1"/>
      <c r="E284" s="14">
        <f>[1]Sheet2!N283</f>
        <v>0</v>
      </c>
      <c r="F284" s="14">
        <f>[1]Sheet2!BE283</f>
        <v>0</v>
      </c>
      <c r="G284" s="14">
        <f>[1]Sheet2!CV283</f>
        <v>279.15632754342431</v>
      </c>
      <c r="H284" s="1"/>
      <c r="I284" s="1"/>
      <c r="J284" s="1"/>
      <c r="K284" s="16">
        <f>Demand_CWRS!B$12/31</f>
        <v>113.31027191894128</v>
      </c>
      <c r="L284" s="16">
        <f>Demand_CWRS!C$12/31</f>
        <v>480.06765922249781</v>
      </c>
      <c r="M284" s="16">
        <f>Demand_CWRS!D$12/31</f>
        <v>0</v>
      </c>
      <c r="N284" s="16">
        <f>Demand_CWRS!E$12/31</f>
        <v>103.22435897435898</v>
      </c>
      <c r="O284" s="16">
        <f>Demand_CWRS!F$12/31</f>
        <v>209.74544820099254</v>
      </c>
      <c r="P284" s="16">
        <f>Demand_CWRS!G$12/31</f>
        <v>113.31027191894128</v>
      </c>
      <c r="Q284" s="16">
        <f>Demand_CWRS!H$12/31</f>
        <v>480.06765922249781</v>
      </c>
      <c r="R284" s="16">
        <f>Demand_CWRS!I$12/31</f>
        <v>209.74544820099254</v>
      </c>
      <c r="S284" s="16">
        <f>Demand_CWRS!J$12/31</f>
        <v>209.74544820099254</v>
      </c>
      <c r="T284" s="16">
        <f>Demand_CWRS!K$12/31</f>
        <v>209.74544820099254</v>
      </c>
      <c r="U284" s="16">
        <f t="shared" si="123"/>
        <v>-36882.478328132609</v>
      </c>
      <c r="V284" s="16">
        <f t="shared" si="124"/>
        <v>-132844.19511993346</v>
      </c>
      <c r="W284" s="16">
        <f t="shared" si="125"/>
        <v>0</v>
      </c>
      <c r="X284" s="16">
        <f t="shared" si="126"/>
        <v>-31081.270139564993</v>
      </c>
      <c r="Y284" s="16">
        <f t="shared" si="127"/>
        <v>-60892.170128735226</v>
      </c>
      <c r="Z284" s="16">
        <f t="shared" si="128"/>
        <v>-36485.545804094203</v>
      </c>
      <c r="AA284" s="16">
        <f t="shared" si="129"/>
        <v>-132344.19511993346</v>
      </c>
      <c r="AB284" s="16">
        <f t="shared" si="130"/>
        <v>-58408.324647965943</v>
      </c>
      <c r="AC284" s="16">
        <f t="shared" si="131"/>
        <v>-58408.324647965936</v>
      </c>
      <c r="AD284" s="16">
        <f t="shared" si="132"/>
        <v>-59108.324647965928</v>
      </c>
      <c r="AE284" s="14">
        <f>IF([1]Sheet2!AJ283=999999,"NA",[1]Sheet2!AJ283)</f>
        <v>0</v>
      </c>
      <c r="AF284" s="14">
        <f>IF([1]Sheet2!AK283=999999,"NA",[1]Sheet2!AK283)</f>
        <v>0</v>
      </c>
      <c r="AG284" s="14" t="str">
        <f>IF([1]Sheet2!AL283=999999,"NA",[1]Sheet2!AL283)</f>
        <v>NA</v>
      </c>
      <c r="AH284" s="14">
        <f>IF([1]Sheet2!AM283=999999,"NA",[1]Sheet2!AM283)</f>
        <v>84</v>
      </c>
      <c r="AI284" s="14">
        <f>IF([1]Sheet2!AN283=999999,"NA",[1]Sheet2!AN283)</f>
        <v>84</v>
      </c>
      <c r="AJ284" s="14">
        <f>IF([1]Sheet2!AO283=999999,"NA",[1]Sheet2!AO283)</f>
        <v>84</v>
      </c>
      <c r="AK284" s="14">
        <f>IF([1]Sheet2!AP283=999999,"NA",[1]Sheet2!AP283)</f>
        <v>0</v>
      </c>
      <c r="AL284" s="14">
        <f>IF([1]Sheet2!AQ283=999999,"NA",[1]Sheet2!AQ283)</f>
        <v>0</v>
      </c>
      <c r="AM284" s="14">
        <f>IF([1]Sheet2!AR283=999999,"NA",[1]Sheet2!AR283)</f>
        <v>84</v>
      </c>
      <c r="AN284" s="14">
        <f>IF([1]Sheet2!AS283=999999,"NA",[1]Sheet2!AS283)</f>
        <v>35</v>
      </c>
      <c r="AO284" s="14">
        <f>[1]Sheet2!P283</f>
        <v>0</v>
      </c>
      <c r="AP284" s="14">
        <f>[1]Sheet2!Q283</f>
        <v>0</v>
      </c>
      <c r="AQ284" s="14">
        <f>[1]Sheet2!R283</f>
        <v>0</v>
      </c>
      <c r="AR284" s="14">
        <f>[1]Sheet2!S283</f>
        <v>0</v>
      </c>
      <c r="AS284" s="14">
        <f>[1]Sheet2!T283</f>
        <v>0</v>
      </c>
      <c r="AT284" s="14">
        <f>[1]Sheet2!U283</f>
        <v>0</v>
      </c>
      <c r="AU284" s="14">
        <f>[1]Sheet2!V283</f>
        <v>0</v>
      </c>
      <c r="AV284" s="14">
        <f>[1]Sheet2!W283</f>
        <v>0</v>
      </c>
      <c r="AW284" s="14">
        <f>[1]Sheet2!X283</f>
        <v>0</v>
      </c>
      <c r="AX284" s="14">
        <f>[1]Sheet2!Y283</f>
        <v>0</v>
      </c>
      <c r="AY284" s="16">
        <f>Demand_LP!B$12/31</f>
        <v>866.47279518196865</v>
      </c>
      <c r="AZ284" s="16">
        <f>Demand_LP!C$12/31</f>
        <v>577.62712985938799</v>
      </c>
      <c r="BA284" s="16">
        <f>Demand_LP!D$12/31</f>
        <v>262.18502894954509</v>
      </c>
      <c r="BB284" s="16">
        <f>Demand_LP!E$12/31</f>
        <v>766.03229942100904</v>
      </c>
      <c r="BC284" s="16">
        <f>Demand_LP!F$12/31</f>
        <v>516.10499638130682</v>
      </c>
      <c r="BD284" s="16">
        <f>Demand_LP!G$12/31</f>
        <v>866.47279518196865</v>
      </c>
      <c r="BE284" s="16">
        <f>Demand_LP!H$12/31</f>
        <v>577.62712985938799</v>
      </c>
      <c r="BF284" s="16">
        <f>Demand_LP!I$12/31</f>
        <v>516.10499638130682</v>
      </c>
      <c r="BG284" s="16">
        <f>Demand_LP!J$12/31</f>
        <v>516.10499638130682</v>
      </c>
      <c r="BH284" s="16">
        <f>Demand_LP!K$12/31</f>
        <v>516.10499638130682</v>
      </c>
      <c r="BI284" s="16" t="e">
        <f t="shared" si="133"/>
        <v>#VALUE!</v>
      </c>
      <c r="BJ284" s="16">
        <f t="shared" si="134"/>
        <v>-159720.08114143906</v>
      </c>
      <c r="BK284" s="16">
        <f t="shared" si="135"/>
        <v>-82170.221257237543</v>
      </c>
      <c r="BL284" s="16">
        <f t="shared" si="136"/>
        <v>-210961.72889195938</v>
      </c>
      <c r="BM284" s="16">
        <f t="shared" si="137"/>
        <v>-126204.8774629363</v>
      </c>
      <c r="BN284" s="16">
        <f t="shared" si="138"/>
        <v>-218855.72002708761</v>
      </c>
      <c r="BO284" s="16">
        <f t="shared" si="139"/>
        <v>-162077.66062861885</v>
      </c>
      <c r="BP284" s="16">
        <f t="shared" si="140"/>
        <v>-127316.56138130691</v>
      </c>
      <c r="BQ284" s="16">
        <f t="shared" si="141"/>
        <v>-124306.56138130695</v>
      </c>
      <c r="BR284" s="16">
        <f t="shared" si="142"/>
        <v>-125506.56138130691</v>
      </c>
      <c r="BS284" s="14">
        <f>IF([1]Sheet2!CA283=999999,"NA",[1]Sheet2!CA283)</f>
        <v>90972.438618693253</v>
      </c>
      <c r="BT284" s="14">
        <f>IF([1]Sheet2!CB283=999999,"NA",[1]Sheet2!CB283)</f>
        <v>14</v>
      </c>
      <c r="BU284" s="14">
        <f>IF([1]Sheet2!CC283=999999,"NA",[1]Sheet2!CC283)</f>
        <v>84</v>
      </c>
      <c r="BV284" s="14">
        <f>IF([1]Sheet2!CD283=999999,"NA",[1]Sheet2!CD283)</f>
        <v>84</v>
      </c>
      <c r="BW284" s="14">
        <f>IF([1]Sheet2!CE283=999999,"NA",[1]Sheet2!CE283)</f>
        <v>53</v>
      </c>
      <c r="BX284" s="14">
        <f>IF([1]Sheet2!CF283=999999,"NA",[1]Sheet2!CF283)</f>
        <v>84</v>
      </c>
      <c r="BY284" s="14">
        <f>IF([1]Sheet2!CG283=999999,"NA",[1]Sheet2!CG283)</f>
        <v>0</v>
      </c>
      <c r="BZ284" s="14">
        <f>IF([1]Sheet2!CH283=999999,"NA",[1]Sheet2!CH283)</f>
        <v>84</v>
      </c>
      <c r="CA284" s="14">
        <f>IF([1]Sheet2!CI283=999999,"NA",[1]Sheet2!CI283)</f>
        <v>84</v>
      </c>
      <c r="CB284" s="14">
        <f>IF([1]Sheet2!CJ283=999999,"NA",[1]Sheet2!CJ283)</f>
        <v>84</v>
      </c>
      <c r="CC284" s="14">
        <f>[1]Sheet2!BG283</f>
        <v>0</v>
      </c>
      <c r="CD284" s="14">
        <f>[1]Sheet2!BH283</f>
        <v>0</v>
      </c>
      <c r="CE284" s="14">
        <f>[1]Sheet2!BI283</f>
        <v>0</v>
      </c>
      <c r="CF284" s="14">
        <f>[1]Sheet2!BJ283</f>
        <v>0</v>
      </c>
      <c r="CG284" s="14">
        <f>[1]Sheet2!BK283</f>
        <v>0</v>
      </c>
      <c r="CH284" s="14">
        <f>[1]Sheet2!BL283</f>
        <v>0</v>
      </c>
      <c r="CI284" s="14">
        <f>[1]Sheet2!BM283</f>
        <v>0</v>
      </c>
      <c r="CJ284" s="14">
        <f>[1]Sheet2!BN283</f>
        <v>0</v>
      </c>
      <c r="CK284" s="14">
        <f>[1]Sheet2!BO283</f>
        <v>0</v>
      </c>
      <c r="CL284" s="14">
        <f>[1]Sheet2!BP283</f>
        <v>0</v>
      </c>
      <c r="CM284" s="16">
        <f>Demand_SW!B$12/31</f>
        <v>139.57816377171216</v>
      </c>
      <c r="CN284" s="16">
        <f>Demand_SW!C$12/31</f>
        <v>0</v>
      </c>
      <c r="CO284" s="16">
        <f>Demand_SW!D$12/31</f>
        <v>0</v>
      </c>
      <c r="CP284" s="16">
        <f>Demand_SW!E$12/31</f>
        <v>0</v>
      </c>
      <c r="CQ284" s="16">
        <f>Demand_SW!F$12/31</f>
        <v>0</v>
      </c>
      <c r="CR284" s="16">
        <f>Demand_SW!G$12/31</f>
        <v>139.57816377171216</v>
      </c>
      <c r="CS284" s="16">
        <f>Demand_SW!H$12/31</f>
        <v>0</v>
      </c>
      <c r="CT284" s="16">
        <f>Demand_SW!I$12/31</f>
        <v>0</v>
      </c>
      <c r="CU284" s="16">
        <f>Demand_SW!J$12/31</f>
        <v>0</v>
      </c>
      <c r="CV284" s="16">
        <f>Demand_SW!K$12/31</f>
        <v>0</v>
      </c>
      <c r="CW284" s="16">
        <f t="shared" si="143"/>
        <v>62835.682382133993</v>
      </c>
      <c r="CX284" s="16">
        <f t="shared" si="144"/>
        <v>20683.923076923078</v>
      </c>
      <c r="CY284" s="16">
        <f t="shared" si="145"/>
        <v>0</v>
      </c>
      <c r="CZ284" s="16">
        <f t="shared" si="146"/>
        <v>0</v>
      </c>
      <c r="DA284" s="16">
        <f t="shared" si="147"/>
        <v>0</v>
      </c>
      <c r="DB284" s="16">
        <f t="shared" si="148"/>
        <v>-36693.548387096744</v>
      </c>
      <c r="DC284" s="16">
        <f t="shared" si="149"/>
        <v>20683.923076923078</v>
      </c>
      <c r="DD284" s="16">
        <f t="shared" si="150"/>
        <v>0</v>
      </c>
      <c r="DE284" s="16">
        <f t="shared" si="151"/>
        <v>0</v>
      </c>
      <c r="DF284" s="16">
        <f t="shared" si="152"/>
        <v>0</v>
      </c>
      <c r="DG284" s="14">
        <f>IF([1]Sheet2!DR283=999999,"NA",[1]Sheet2!DR283)</f>
        <v>73103</v>
      </c>
      <c r="DH284" s="14">
        <f>IF([1]Sheet2!DS283=999999,"NA",[1]Sheet2!DS283)</f>
        <v>84</v>
      </c>
      <c r="DI284" s="14">
        <f>IF([1]Sheet2!DT283=999999,"NA",[1]Sheet2!DT283)</f>
        <v>84</v>
      </c>
      <c r="DJ284" s="14" t="str">
        <f>IF([1]Sheet2!DU283=999999,"NA",[1]Sheet2!DU283)</f>
        <v>NA</v>
      </c>
      <c r="DK284" s="14" t="str">
        <f>IF([1]Sheet2!DV283=999999,"NA",[1]Sheet2!DV283)</f>
        <v>NA</v>
      </c>
      <c r="DL284" s="14" t="str">
        <f>IF([1]Sheet2!DW283=999999,"NA",[1]Sheet2!DW283)</f>
        <v>NA</v>
      </c>
      <c r="DM284" s="14">
        <f>IF([1]Sheet2!DX283=999999,"NA",[1]Sheet2!DX283)</f>
        <v>84</v>
      </c>
      <c r="DN284" s="14">
        <f>IF([1]Sheet2!DY283=999999,"NA",[1]Sheet2!DY283)</f>
        <v>84</v>
      </c>
      <c r="DO284" s="14" t="str">
        <f>IF([1]Sheet2!DZ283=999999,"NA",[1]Sheet2!DZ283)</f>
        <v>NA</v>
      </c>
      <c r="DP284" s="14" t="str">
        <f>IF([1]Sheet2!EA283=999999,"NA",[1]Sheet2!EA283)</f>
        <v>NA</v>
      </c>
      <c r="DQ284" s="14">
        <f>[1]Sheet2!CX283</f>
        <v>0</v>
      </c>
      <c r="DR284" s="14">
        <f>[1]Sheet2!CY283</f>
        <v>0</v>
      </c>
      <c r="DS284" s="14">
        <f>[1]Sheet2!CZ283</f>
        <v>0</v>
      </c>
      <c r="DT284" s="14">
        <f>[1]Sheet2!DA283</f>
        <v>0</v>
      </c>
      <c r="DU284" s="14">
        <f>[1]Sheet2!DB283</f>
        <v>0</v>
      </c>
      <c r="DV284" s="14">
        <f>[1]Sheet2!DC283</f>
        <v>0</v>
      </c>
      <c r="DW284" s="14">
        <f>[1]Sheet2!DD283</f>
        <v>0</v>
      </c>
      <c r="DX284" s="14">
        <f>[1]Sheet2!DE283</f>
        <v>0</v>
      </c>
      <c r="DY284" s="14">
        <f>[1]Sheet2!DF283</f>
        <v>0</v>
      </c>
      <c r="DZ284" s="14">
        <f>[1]Sheet2!DG283</f>
        <v>0</v>
      </c>
    </row>
    <row r="285" spans="1:130" x14ac:dyDescent="0.25">
      <c r="A285" s="15">
        <v>43747</v>
      </c>
      <c r="B285" s="1"/>
      <c r="C285" s="1"/>
      <c r="D285" s="1"/>
      <c r="E285" s="14">
        <f>[1]Sheet2!N284</f>
        <v>0</v>
      </c>
      <c r="F285" s="14">
        <f>[1]Sheet2!BE284</f>
        <v>0</v>
      </c>
      <c r="G285" s="14">
        <f>[1]Sheet2!CV284</f>
        <v>279.15632754342431</v>
      </c>
      <c r="H285" s="1"/>
      <c r="I285" s="1"/>
      <c r="J285" s="1"/>
      <c r="K285" s="16">
        <f>Demand_CWRS!B$12/31</f>
        <v>113.31027191894128</v>
      </c>
      <c r="L285" s="16">
        <f>Demand_CWRS!C$12/31</f>
        <v>480.06765922249781</v>
      </c>
      <c r="M285" s="16">
        <f>Demand_CWRS!D$12/31</f>
        <v>0</v>
      </c>
      <c r="N285" s="16">
        <f>Demand_CWRS!E$12/31</f>
        <v>103.22435897435898</v>
      </c>
      <c r="O285" s="16">
        <f>Demand_CWRS!F$12/31</f>
        <v>209.74544820099254</v>
      </c>
      <c r="P285" s="16">
        <f>Demand_CWRS!G$12/31</f>
        <v>113.31027191894128</v>
      </c>
      <c r="Q285" s="16">
        <f>Demand_CWRS!H$12/31</f>
        <v>480.06765922249781</v>
      </c>
      <c r="R285" s="16">
        <f>Demand_CWRS!I$12/31</f>
        <v>209.74544820099254</v>
      </c>
      <c r="S285" s="16">
        <f>Demand_CWRS!J$12/31</f>
        <v>209.74544820099254</v>
      </c>
      <c r="T285" s="16">
        <f>Demand_CWRS!K$12/31</f>
        <v>209.74544820099254</v>
      </c>
      <c r="U285" s="16">
        <f t="shared" si="123"/>
        <v>-36995.78860005155</v>
      </c>
      <c r="V285" s="16">
        <f t="shared" si="124"/>
        <v>-133324.26277915595</v>
      </c>
      <c r="W285" s="16">
        <f t="shared" si="125"/>
        <v>0</v>
      </c>
      <c r="X285" s="16">
        <f t="shared" si="126"/>
        <v>-31184.494498539352</v>
      </c>
      <c r="Y285" s="16">
        <f t="shared" si="127"/>
        <v>-61101.915576936219</v>
      </c>
      <c r="Z285" s="16">
        <f t="shared" si="128"/>
        <v>-36598.856076013144</v>
      </c>
      <c r="AA285" s="16">
        <f t="shared" si="129"/>
        <v>-132824.26277915595</v>
      </c>
      <c r="AB285" s="16">
        <f t="shared" si="130"/>
        <v>-58618.070096166935</v>
      </c>
      <c r="AC285" s="16">
        <f t="shared" si="131"/>
        <v>-58618.070096166928</v>
      </c>
      <c r="AD285" s="16">
        <f t="shared" si="132"/>
        <v>-59318.070096166921</v>
      </c>
      <c r="AE285" s="14">
        <f>IF([1]Sheet2!AJ284=999999,"NA",[1]Sheet2!AJ284)</f>
        <v>0</v>
      </c>
      <c r="AF285" s="14">
        <f>IF([1]Sheet2!AK284=999999,"NA",[1]Sheet2!AK284)</f>
        <v>0</v>
      </c>
      <c r="AG285" s="14" t="str">
        <f>IF([1]Sheet2!AL284=999999,"NA",[1]Sheet2!AL284)</f>
        <v>NA</v>
      </c>
      <c r="AH285" s="14">
        <f>IF([1]Sheet2!AM284=999999,"NA",[1]Sheet2!AM284)</f>
        <v>83</v>
      </c>
      <c r="AI285" s="14">
        <f>IF([1]Sheet2!AN284=999999,"NA",[1]Sheet2!AN284)</f>
        <v>83</v>
      </c>
      <c r="AJ285" s="14">
        <f>IF([1]Sheet2!AO284=999999,"NA",[1]Sheet2!AO284)</f>
        <v>83</v>
      </c>
      <c r="AK285" s="14">
        <f>IF([1]Sheet2!AP284=999999,"NA",[1]Sheet2!AP284)</f>
        <v>0</v>
      </c>
      <c r="AL285" s="14">
        <f>IF([1]Sheet2!AQ284=999999,"NA",[1]Sheet2!AQ284)</f>
        <v>0</v>
      </c>
      <c r="AM285" s="14">
        <f>IF([1]Sheet2!AR284=999999,"NA",[1]Sheet2!AR284)</f>
        <v>83</v>
      </c>
      <c r="AN285" s="14">
        <f>IF([1]Sheet2!AS284=999999,"NA",[1]Sheet2!AS284)</f>
        <v>34</v>
      </c>
      <c r="AO285" s="14">
        <f>[1]Sheet2!P284</f>
        <v>0</v>
      </c>
      <c r="AP285" s="14">
        <f>[1]Sheet2!Q284</f>
        <v>0</v>
      </c>
      <c r="AQ285" s="14">
        <f>[1]Sheet2!R284</f>
        <v>0</v>
      </c>
      <c r="AR285" s="14">
        <f>[1]Sheet2!S284</f>
        <v>0</v>
      </c>
      <c r="AS285" s="14">
        <f>[1]Sheet2!T284</f>
        <v>0</v>
      </c>
      <c r="AT285" s="14">
        <f>[1]Sheet2!U284</f>
        <v>0</v>
      </c>
      <c r="AU285" s="14">
        <f>[1]Sheet2!V284</f>
        <v>0</v>
      </c>
      <c r="AV285" s="14">
        <f>[1]Sheet2!W284</f>
        <v>0</v>
      </c>
      <c r="AW285" s="14">
        <f>[1]Sheet2!X284</f>
        <v>0</v>
      </c>
      <c r="AX285" s="14">
        <f>[1]Sheet2!Y284</f>
        <v>0</v>
      </c>
      <c r="AY285" s="16">
        <f>Demand_LP!B$12/31</f>
        <v>866.47279518196865</v>
      </c>
      <c r="AZ285" s="16">
        <f>Demand_LP!C$12/31</f>
        <v>577.62712985938799</v>
      </c>
      <c r="BA285" s="16">
        <f>Demand_LP!D$12/31</f>
        <v>262.18502894954509</v>
      </c>
      <c r="BB285" s="16">
        <f>Demand_LP!E$12/31</f>
        <v>766.03229942100904</v>
      </c>
      <c r="BC285" s="16">
        <f>Demand_LP!F$12/31</f>
        <v>516.10499638130682</v>
      </c>
      <c r="BD285" s="16">
        <f>Demand_LP!G$12/31</f>
        <v>866.47279518196865</v>
      </c>
      <c r="BE285" s="16">
        <f>Demand_LP!H$12/31</f>
        <v>577.62712985938799</v>
      </c>
      <c r="BF285" s="16">
        <f>Demand_LP!I$12/31</f>
        <v>516.10499638130682</v>
      </c>
      <c r="BG285" s="16">
        <f>Demand_LP!J$12/31</f>
        <v>516.10499638130682</v>
      </c>
      <c r="BH285" s="16">
        <f>Demand_LP!K$12/31</f>
        <v>516.10499638130682</v>
      </c>
      <c r="BI285" s="16" t="e">
        <f t="shared" si="133"/>
        <v>#VALUE!</v>
      </c>
      <c r="BJ285" s="16">
        <f t="shared" si="134"/>
        <v>-160297.70827129844</v>
      </c>
      <c r="BK285" s="16">
        <f t="shared" si="135"/>
        <v>-82432.406286187092</v>
      </c>
      <c r="BL285" s="16">
        <f t="shared" si="136"/>
        <v>-211727.76119138038</v>
      </c>
      <c r="BM285" s="16">
        <f t="shared" si="137"/>
        <v>-126720.98245931762</v>
      </c>
      <c r="BN285" s="16">
        <f t="shared" si="138"/>
        <v>-219722.19282226957</v>
      </c>
      <c r="BO285" s="16">
        <f t="shared" si="139"/>
        <v>-162655.28775847823</v>
      </c>
      <c r="BP285" s="16">
        <f t="shared" si="140"/>
        <v>-127832.66637768822</v>
      </c>
      <c r="BQ285" s="16">
        <f t="shared" si="141"/>
        <v>-124822.66637768826</v>
      </c>
      <c r="BR285" s="16">
        <f t="shared" si="142"/>
        <v>-126022.66637768822</v>
      </c>
      <c r="BS285" s="14">
        <f>IF([1]Sheet2!CA284=999999,"NA",[1]Sheet2!CA284)</f>
        <v>90456.33362231194</v>
      </c>
      <c r="BT285" s="14">
        <f>IF([1]Sheet2!CB284=999999,"NA",[1]Sheet2!CB284)</f>
        <v>13</v>
      </c>
      <c r="BU285" s="14">
        <f>IF([1]Sheet2!CC284=999999,"NA",[1]Sheet2!CC284)</f>
        <v>83</v>
      </c>
      <c r="BV285" s="14">
        <f>IF([1]Sheet2!CD284=999999,"NA",[1]Sheet2!CD284)</f>
        <v>83</v>
      </c>
      <c r="BW285" s="14">
        <f>IF([1]Sheet2!CE284=999999,"NA",[1]Sheet2!CE284)</f>
        <v>52</v>
      </c>
      <c r="BX285" s="14">
        <f>IF([1]Sheet2!CF284=999999,"NA",[1]Sheet2!CF284)</f>
        <v>83</v>
      </c>
      <c r="BY285" s="14">
        <f>IF([1]Sheet2!CG284=999999,"NA",[1]Sheet2!CG284)</f>
        <v>0</v>
      </c>
      <c r="BZ285" s="14">
        <f>IF([1]Sheet2!CH284=999999,"NA",[1]Sheet2!CH284)</f>
        <v>83</v>
      </c>
      <c r="CA285" s="14">
        <f>IF([1]Sheet2!CI284=999999,"NA",[1]Sheet2!CI284)</f>
        <v>83</v>
      </c>
      <c r="CB285" s="14">
        <f>IF([1]Sheet2!CJ284=999999,"NA",[1]Sheet2!CJ284)</f>
        <v>83</v>
      </c>
      <c r="CC285" s="14">
        <f>[1]Sheet2!BG284</f>
        <v>0</v>
      </c>
      <c r="CD285" s="14">
        <f>[1]Sheet2!BH284</f>
        <v>0</v>
      </c>
      <c r="CE285" s="14">
        <f>[1]Sheet2!BI284</f>
        <v>0</v>
      </c>
      <c r="CF285" s="14">
        <f>[1]Sheet2!BJ284</f>
        <v>0</v>
      </c>
      <c r="CG285" s="14">
        <f>[1]Sheet2!BK284</f>
        <v>0</v>
      </c>
      <c r="CH285" s="14">
        <f>[1]Sheet2!BL284</f>
        <v>0</v>
      </c>
      <c r="CI285" s="14">
        <f>[1]Sheet2!BM284</f>
        <v>0</v>
      </c>
      <c r="CJ285" s="14">
        <f>[1]Sheet2!BN284</f>
        <v>0</v>
      </c>
      <c r="CK285" s="14">
        <f>[1]Sheet2!BO284</f>
        <v>0</v>
      </c>
      <c r="CL285" s="14">
        <f>[1]Sheet2!BP284</f>
        <v>0</v>
      </c>
      <c r="CM285" s="16">
        <f>Demand_SW!B$12/31</f>
        <v>139.57816377171216</v>
      </c>
      <c r="CN285" s="16">
        <f>Demand_SW!C$12/31</f>
        <v>0</v>
      </c>
      <c r="CO285" s="16">
        <f>Demand_SW!D$12/31</f>
        <v>0</v>
      </c>
      <c r="CP285" s="16">
        <f>Demand_SW!E$12/31</f>
        <v>0</v>
      </c>
      <c r="CQ285" s="16">
        <f>Demand_SW!F$12/31</f>
        <v>0</v>
      </c>
      <c r="CR285" s="16">
        <f>Demand_SW!G$12/31</f>
        <v>139.57816377171216</v>
      </c>
      <c r="CS285" s="16">
        <f>Demand_SW!H$12/31</f>
        <v>0</v>
      </c>
      <c r="CT285" s="16">
        <f>Demand_SW!I$12/31</f>
        <v>0</v>
      </c>
      <c r="CU285" s="16">
        <f>Demand_SW!J$12/31</f>
        <v>0</v>
      </c>
      <c r="CV285" s="16">
        <f>Demand_SW!K$12/31</f>
        <v>0</v>
      </c>
      <c r="CW285" s="16">
        <f t="shared" si="143"/>
        <v>62696.104218362278</v>
      </c>
      <c r="CX285" s="16">
        <f t="shared" si="144"/>
        <v>20683.923076923078</v>
      </c>
      <c r="CY285" s="16">
        <f t="shared" si="145"/>
        <v>0</v>
      </c>
      <c r="CZ285" s="16">
        <f t="shared" si="146"/>
        <v>0</v>
      </c>
      <c r="DA285" s="16">
        <f t="shared" si="147"/>
        <v>0</v>
      </c>
      <c r="DB285" s="16">
        <f t="shared" si="148"/>
        <v>-36833.126550868459</v>
      </c>
      <c r="DC285" s="16">
        <f t="shared" si="149"/>
        <v>20683.923076923078</v>
      </c>
      <c r="DD285" s="16">
        <f t="shared" si="150"/>
        <v>0</v>
      </c>
      <c r="DE285" s="16">
        <f t="shared" si="151"/>
        <v>0</v>
      </c>
      <c r="DF285" s="16">
        <f t="shared" si="152"/>
        <v>0</v>
      </c>
      <c r="DG285" s="14">
        <f>IF([1]Sheet2!DR284=999999,"NA",[1]Sheet2!DR284)</f>
        <v>73103</v>
      </c>
      <c r="DH285" s="14">
        <f>IF([1]Sheet2!DS284=999999,"NA",[1]Sheet2!DS284)</f>
        <v>83</v>
      </c>
      <c r="DI285" s="14">
        <f>IF([1]Sheet2!DT284=999999,"NA",[1]Sheet2!DT284)</f>
        <v>83</v>
      </c>
      <c r="DJ285" s="14" t="str">
        <f>IF([1]Sheet2!DU284=999999,"NA",[1]Sheet2!DU284)</f>
        <v>NA</v>
      </c>
      <c r="DK285" s="14" t="str">
        <f>IF([1]Sheet2!DV284=999999,"NA",[1]Sheet2!DV284)</f>
        <v>NA</v>
      </c>
      <c r="DL285" s="14" t="str">
        <f>IF([1]Sheet2!DW284=999999,"NA",[1]Sheet2!DW284)</f>
        <v>NA</v>
      </c>
      <c r="DM285" s="14">
        <f>IF([1]Sheet2!DX284=999999,"NA",[1]Sheet2!DX284)</f>
        <v>83</v>
      </c>
      <c r="DN285" s="14">
        <f>IF([1]Sheet2!DY284=999999,"NA",[1]Sheet2!DY284)</f>
        <v>83</v>
      </c>
      <c r="DO285" s="14" t="str">
        <f>IF([1]Sheet2!DZ284=999999,"NA",[1]Sheet2!DZ284)</f>
        <v>NA</v>
      </c>
      <c r="DP285" s="14" t="str">
        <f>IF([1]Sheet2!EA284=999999,"NA",[1]Sheet2!EA284)</f>
        <v>NA</v>
      </c>
      <c r="DQ285" s="14">
        <f>[1]Sheet2!CX284</f>
        <v>0</v>
      </c>
      <c r="DR285" s="14">
        <f>[1]Sheet2!CY284</f>
        <v>0</v>
      </c>
      <c r="DS285" s="14">
        <f>[1]Sheet2!CZ284</f>
        <v>0</v>
      </c>
      <c r="DT285" s="14">
        <f>[1]Sheet2!DA284</f>
        <v>0</v>
      </c>
      <c r="DU285" s="14">
        <f>[1]Sheet2!DB284</f>
        <v>0</v>
      </c>
      <c r="DV285" s="14">
        <f>[1]Sheet2!DC284</f>
        <v>0</v>
      </c>
      <c r="DW285" s="14">
        <f>[1]Sheet2!DD284</f>
        <v>0</v>
      </c>
      <c r="DX285" s="14">
        <f>[1]Sheet2!DE284</f>
        <v>0</v>
      </c>
      <c r="DY285" s="14">
        <f>[1]Sheet2!DF284</f>
        <v>0</v>
      </c>
      <c r="DZ285" s="14">
        <f>[1]Sheet2!DG284</f>
        <v>0</v>
      </c>
    </row>
    <row r="286" spans="1:130" x14ac:dyDescent="0.25">
      <c r="A286" s="15">
        <v>43748</v>
      </c>
      <c r="B286" s="1"/>
      <c r="C286" s="1"/>
      <c r="D286" s="1"/>
      <c r="E286" s="14">
        <f>[1]Sheet2!N285</f>
        <v>0</v>
      </c>
      <c r="F286" s="14">
        <f>[1]Sheet2!BE285</f>
        <v>48000</v>
      </c>
      <c r="G286" s="14">
        <f>[1]Sheet2!CV285</f>
        <v>279.15632754342431</v>
      </c>
      <c r="H286" s="1"/>
      <c r="I286" s="1"/>
      <c r="J286" s="1"/>
      <c r="K286" s="16">
        <f>Demand_CWRS!B$12/31</f>
        <v>113.31027191894128</v>
      </c>
      <c r="L286" s="16">
        <f>Demand_CWRS!C$12/31</f>
        <v>480.06765922249781</v>
      </c>
      <c r="M286" s="16">
        <f>Demand_CWRS!D$12/31</f>
        <v>0</v>
      </c>
      <c r="N286" s="16">
        <f>Demand_CWRS!E$12/31</f>
        <v>103.22435897435898</v>
      </c>
      <c r="O286" s="16">
        <f>Demand_CWRS!F$12/31</f>
        <v>209.74544820099254</v>
      </c>
      <c r="P286" s="16">
        <f>Demand_CWRS!G$12/31</f>
        <v>113.31027191894128</v>
      </c>
      <c r="Q286" s="16">
        <f>Demand_CWRS!H$12/31</f>
        <v>480.06765922249781</v>
      </c>
      <c r="R286" s="16">
        <f>Demand_CWRS!I$12/31</f>
        <v>209.74544820099254</v>
      </c>
      <c r="S286" s="16">
        <f>Demand_CWRS!J$12/31</f>
        <v>209.74544820099254</v>
      </c>
      <c r="T286" s="16">
        <f>Demand_CWRS!K$12/31</f>
        <v>209.74544820099254</v>
      </c>
      <c r="U286" s="16">
        <f t="shared" si="123"/>
        <v>-37109.098871970491</v>
      </c>
      <c r="V286" s="16">
        <f t="shared" si="124"/>
        <v>-133804.33043837844</v>
      </c>
      <c r="W286" s="16">
        <f t="shared" si="125"/>
        <v>0</v>
      </c>
      <c r="X286" s="16">
        <f t="shared" si="126"/>
        <v>-31287.718857513712</v>
      </c>
      <c r="Y286" s="16">
        <f t="shared" si="127"/>
        <v>-61311.661025137211</v>
      </c>
      <c r="Z286" s="16">
        <f t="shared" si="128"/>
        <v>-36712.166347932085</v>
      </c>
      <c r="AA286" s="16">
        <f t="shared" si="129"/>
        <v>-133304.33043837844</v>
      </c>
      <c r="AB286" s="16">
        <f t="shared" si="130"/>
        <v>-58827.815544367928</v>
      </c>
      <c r="AC286" s="16">
        <f t="shared" si="131"/>
        <v>-58827.815544367921</v>
      </c>
      <c r="AD286" s="16">
        <f t="shared" si="132"/>
        <v>-59527.815544367913</v>
      </c>
      <c r="AE286" s="14">
        <f>IF([1]Sheet2!AJ285=999999,"NA",[1]Sheet2!AJ285)</f>
        <v>0</v>
      </c>
      <c r="AF286" s="14">
        <f>IF([1]Sheet2!AK285=999999,"NA",[1]Sheet2!AK285)</f>
        <v>0</v>
      </c>
      <c r="AG286" s="14" t="str">
        <f>IF([1]Sheet2!AL285=999999,"NA",[1]Sheet2!AL285)</f>
        <v>NA</v>
      </c>
      <c r="AH286" s="14">
        <f>IF([1]Sheet2!AM285=999999,"NA",[1]Sheet2!AM285)</f>
        <v>82</v>
      </c>
      <c r="AI286" s="14">
        <f>IF([1]Sheet2!AN285=999999,"NA",[1]Sheet2!AN285)</f>
        <v>82</v>
      </c>
      <c r="AJ286" s="14">
        <f>IF([1]Sheet2!AO285=999999,"NA",[1]Sheet2!AO285)</f>
        <v>82</v>
      </c>
      <c r="AK286" s="14">
        <f>IF([1]Sheet2!AP285=999999,"NA",[1]Sheet2!AP285)</f>
        <v>0</v>
      </c>
      <c r="AL286" s="14">
        <f>IF([1]Sheet2!AQ285=999999,"NA",[1]Sheet2!AQ285)</f>
        <v>0</v>
      </c>
      <c r="AM286" s="14">
        <f>IF([1]Sheet2!AR285=999999,"NA",[1]Sheet2!AR285)</f>
        <v>82</v>
      </c>
      <c r="AN286" s="14">
        <f>IF([1]Sheet2!AS285=999999,"NA",[1]Sheet2!AS285)</f>
        <v>33</v>
      </c>
      <c r="AO286" s="14">
        <f>[1]Sheet2!P285</f>
        <v>0</v>
      </c>
      <c r="AP286" s="14">
        <f>[1]Sheet2!Q285</f>
        <v>0</v>
      </c>
      <c r="AQ286" s="14">
        <f>[1]Sheet2!R285</f>
        <v>0</v>
      </c>
      <c r="AR286" s="14">
        <f>[1]Sheet2!S285</f>
        <v>0</v>
      </c>
      <c r="AS286" s="14">
        <f>[1]Sheet2!T285</f>
        <v>0</v>
      </c>
      <c r="AT286" s="14">
        <f>[1]Sheet2!U285</f>
        <v>0</v>
      </c>
      <c r="AU286" s="14">
        <f>[1]Sheet2!V285</f>
        <v>0</v>
      </c>
      <c r="AV286" s="14">
        <f>[1]Sheet2!W285</f>
        <v>0</v>
      </c>
      <c r="AW286" s="14">
        <f>[1]Sheet2!X285</f>
        <v>0</v>
      </c>
      <c r="AX286" s="14">
        <f>[1]Sheet2!Y285</f>
        <v>0</v>
      </c>
      <c r="AY286" s="16">
        <f>Demand_LP!B$12/31</f>
        <v>866.47279518196865</v>
      </c>
      <c r="AZ286" s="16">
        <f>Demand_LP!C$12/31</f>
        <v>577.62712985938799</v>
      </c>
      <c r="BA286" s="16">
        <f>Demand_LP!D$12/31</f>
        <v>262.18502894954509</v>
      </c>
      <c r="BB286" s="16">
        <f>Demand_LP!E$12/31</f>
        <v>766.03229942100904</v>
      </c>
      <c r="BC286" s="16">
        <f>Demand_LP!F$12/31</f>
        <v>516.10499638130682</v>
      </c>
      <c r="BD286" s="16">
        <f>Demand_LP!G$12/31</f>
        <v>866.47279518196865</v>
      </c>
      <c r="BE286" s="16">
        <f>Demand_LP!H$12/31</f>
        <v>577.62712985938799</v>
      </c>
      <c r="BF286" s="16">
        <f>Demand_LP!I$12/31</f>
        <v>516.10499638130682</v>
      </c>
      <c r="BG286" s="16">
        <f>Demand_LP!J$12/31</f>
        <v>516.10499638130682</v>
      </c>
      <c r="BH286" s="16">
        <f>Demand_LP!K$12/31</f>
        <v>516.10499638130682</v>
      </c>
      <c r="BI286" s="16" t="e">
        <f t="shared" si="133"/>
        <v>#VALUE!</v>
      </c>
      <c r="BJ286" s="16">
        <f t="shared" si="134"/>
        <v>-160875.33540115782</v>
      </c>
      <c r="BK286" s="16">
        <f t="shared" si="135"/>
        <v>-82694.59131513664</v>
      </c>
      <c r="BL286" s="16">
        <f t="shared" si="136"/>
        <v>-212493.79349080138</v>
      </c>
      <c r="BM286" s="16">
        <f t="shared" si="137"/>
        <v>-127237.08745569893</v>
      </c>
      <c r="BN286" s="16">
        <f t="shared" si="138"/>
        <v>-220588.66561745154</v>
      </c>
      <c r="BO286" s="16">
        <f t="shared" si="139"/>
        <v>-163232.9148883376</v>
      </c>
      <c r="BP286" s="16">
        <f t="shared" si="140"/>
        <v>-128348.77137406953</v>
      </c>
      <c r="BQ286" s="16">
        <f t="shared" si="141"/>
        <v>-125338.77137406958</v>
      </c>
      <c r="BR286" s="16">
        <f t="shared" si="142"/>
        <v>-126538.77137406953</v>
      </c>
      <c r="BS286" s="14">
        <f>IF([1]Sheet2!CA285=999999,"NA",[1]Sheet2!CA285)</f>
        <v>89940.228625930627</v>
      </c>
      <c r="BT286" s="14">
        <f>IF([1]Sheet2!CB285=999999,"NA",[1]Sheet2!CB285)</f>
        <v>12</v>
      </c>
      <c r="BU286" s="14">
        <f>IF([1]Sheet2!CC285=999999,"NA",[1]Sheet2!CC285)</f>
        <v>82</v>
      </c>
      <c r="BV286" s="14">
        <f>IF([1]Sheet2!CD285=999999,"NA",[1]Sheet2!CD285)</f>
        <v>82</v>
      </c>
      <c r="BW286" s="14">
        <f>IF([1]Sheet2!CE285=999999,"NA",[1]Sheet2!CE285)</f>
        <v>51</v>
      </c>
      <c r="BX286" s="14">
        <f>IF([1]Sheet2!CF285=999999,"NA",[1]Sheet2!CF285)</f>
        <v>82</v>
      </c>
      <c r="BY286" s="14">
        <f>IF([1]Sheet2!CG285=999999,"NA",[1]Sheet2!CG285)</f>
        <v>0</v>
      </c>
      <c r="BZ286" s="14">
        <f>IF([1]Sheet2!CH285=999999,"NA",[1]Sheet2!CH285)</f>
        <v>82</v>
      </c>
      <c r="CA286" s="14">
        <f>IF([1]Sheet2!CI285=999999,"NA",[1]Sheet2!CI285)</f>
        <v>82</v>
      </c>
      <c r="CB286" s="14">
        <f>IF([1]Sheet2!CJ285=999999,"NA",[1]Sheet2!CJ285)</f>
        <v>82</v>
      </c>
      <c r="CC286" s="14">
        <f>[1]Sheet2!BG285</f>
        <v>0</v>
      </c>
      <c r="CD286" s="14">
        <f>[1]Sheet2!BH285</f>
        <v>0</v>
      </c>
      <c r="CE286" s="14">
        <f>[1]Sheet2!BI285</f>
        <v>0</v>
      </c>
      <c r="CF286" s="14">
        <f>[1]Sheet2!BJ285</f>
        <v>0</v>
      </c>
      <c r="CG286" s="14">
        <f>[1]Sheet2!BK285</f>
        <v>0</v>
      </c>
      <c r="CH286" s="14">
        <f>[1]Sheet2!BL285</f>
        <v>0</v>
      </c>
      <c r="CI286" s="14">
        <f>[1]Sheet2!BM285</f>
        <v>0</v>
      </c>
      <c r="CJ286" s="14">
        <f>[1]Sheet2!BN285</f>
        <v>0</v>
      </c>
      <c r="CK286" s="14">
        <f>[1]Sheet2!BO285</f>
        <v>0</v>
      </c>
      <c r="CL286" s="14">
        <f>[1]Sheet2!BP285</f>
        <v>0</v>
      </c>
      <c r="CM286" s="16">
        <f>Demand_SW!B$12/31</f>
        <v>139.57816377171216</v>
      </c>
      <c r="CN286" s="16">
        <f>Demand_SW!C$12/31</f>
        <v>0</v>
      </c>
      <c r="CO286" s="16">
        <f>Demand_SW!D$12/31</f>
        <v>0</v>
      </c>
      <c r="CP286" s="16">
        <f>Demand_SW!E$12/31</f>
        <v>0</v>
      </c>
      <c r="CQ286" s="16">
        <f>Demand_SW!F$12/31</f>
        <v>0</v>
      </c>
      <c r="CR286" s="16">
        <f>Demand_SW!G$12/31</f>
        <v>139.57816377171216</v>
      </c>
      <c r="CS286" s="16">
        <f>Demand_SW!H$12/31</f>
        <v>0</v>
      </c>
      <c r="CT286" s="16">
        <f>Demand_SW!I$12/31</f>
        <v>0</v>
      </c>
      <c r="CU286" s="16">
        <f>Demand_SW!J$12/31</f>
        <v>0</v>
      </c>
      <c r="CV286" s="16">
        <f>Demand_SW!K$12/31</f>
        <v>0</v>
      </c>
      <c r="CW286" s="16">
        <f t="shared" si="143"/>
        <v>62556.526054590562</v>
      </c>
      <c r="CX286" s="16">
        <f t="shared" si="144"/>
        <v>20683.923076923078</v>
      </c>
      <c r="CY286" s="16">
        <f t="shared" si="145"/>
        <v>0</v>
      </c>
      <c r="CZ286" s="16">
        <f t="shared" si="146"/>
        <v>0</v>
      </c>
      <c r="DA286" s="16">
        <f t="shared" si="147"/>
        <v>0</v>
      </c>
      <c r="DB286" s="16">
        <f t="shared" si="148"/>
        <v>-36972.704714640175</v>
      </c>
      <c r="DC286" s="16">
        <f t="shared" si="149"/>
        <v>20683.923076923078</v>
      </c>
      <c r="DD286" s="16">
        <f t="shared" si="150"/>
        <v>0</v>
      </c>
      <c r="DE286" s="16">
        <f t="shared" si="151"/>
        <v>0</v>
      </c>
      <c r="DF286" s="16">
        <f t="shared" si="152"/>
        <v>0</v>
      </c>
      <c r="DG286" s="14">
        <f>IF([1]Sheet2!DR285=999999,"NA",[1]Sheet2!DR285)</f>
        <v>73103</v>
      </c>
      <c r="DH286" s="14">
        <f>IF([1]Sheet2!DS285=999999,"NA",[1]Sheet2!DS285)</f>
        <v>82</v>
      </c>
      <c r="DI286" s="14">
        <f>IF([1]Sheet2!DT285=999999,"NA",[1]Sheet2!DT285)</f>
        <v>82</v>
      </c>
      <c r="DJ286" s="14" t="str">
        <f>IF([1]Sheet2!DU285=999999,"NA",[1]Sheet2!DU285)</f>
        <v>NA</v>
      </c>
      <c r="DK286" s="14" t="str">
        <f>IF([1]Sheet2!DV285=999999,"NA",[1]Sheet2!DV285)</f>
        <v>NA</v>
      </c>
      <c r="DL286" s="14" t="str">
        <f>IF([1]Sheet2!DW285=999999,"NA",[1]Sheet2!DW285)</f>
        <v>NA</v>
      </c>
      <c r="DM286" s="14">
        <f>IF([1]Sheet2!DX285=999999,"NA",[1]Sheet2!DX285)</f>
        <v>82</v>
      </c>
      <c r="DN286" s="14">
        <f>IF([1]Sheet2!DY285=999999,"NA",[1]Sheet2!DY285)</f>
        <v>82</v>
      </c>
      <c r="DO286" s="14" t="str">
        <f>IF([1]Sheet2!DZ285=999999,"NA",[1]Sheet2!DZ285)</f>
        <v>NA</v>
      </c>
      <c r="DP286" s="14" t="str">
        <f>IF([1]Sheet2!EA285=999999,"NA",[1]Sheet2!EA285)</f>
        <v>NA</v>
      </c>
      <c r="DQ286" s="14">
        <f>[1]Sheet2!CX285</f>
        <v>0</v>
      </c>
      <c r="DR286" s="14">
        <f>[1]Sheet2!CY285</f>
        <v>0</v>
      </c>
      <c r="DS286" s="14">
        <f>[1]Sheet2!CZ285</f>
        <v>0</v>
      </c>
      <c r="DT286" s="14">
        <f>[1]Sheet2!DA285</f>
        <v>0</v>
      </c>
      <c r="DU286" s="14">
        <f>[1]Sheet2!DB285</f>
        <v>0</v>
      </c>
      <c r="DV286" s="14">
        <f>[1]Sheet2!DC285</f>
        <v>0</v>
      </c>
      <c r="DW286" s="14">
        <f>[1]Sheet2!DD285</f>
        <v>0</v>
      </c>
      <c r="DX286" s="14">
        <f>[1]Sheet2!DE285</f>
        <v>0</v>
      </c>
      <c r="DY286" s="14">
        <f>[1]Sheet2!DF285</f>
        <v>0</v>
      </c>
      <c r="DZ286" s="14">
        <f>[1]Sheet2!DG285</f>
        <v>0</v>
      </c>
    </row>
    <row r="287" spans="1:130" x14ac:dyDescent="0.25">
      <c r="A287" s="15">
        <v>43749</v>
      </c>
      <c r="B287" s="1"/>
      <c r="C287" s="1"/>
      <c r="D287" s="1"/>
      <c r="E287" s="14">
        <f>[1]Sheet2!N286</f>
        <v>0</v>
      </c>
      <c r="F287" s="14">
        <f>[1]Sheet2!BE286</f>
        <v>0</v>
      </c>
      <c r="G287" s="14">
        <f>[1]Sheet2!CV286</f>
        <v>279.15632754342431</v>
      </c>
      <c r="H287" s="1"/>
      <c r="I287" s="1"/>
      <c r="J287" s="1"/>
      <c r="K287" s="16">
        <f>Demand_CWRS!B$12/31</f>
        <v>113.31027191894128</v>
      </c>
      <c r="L287" s="16">
        <f>Demand_CWRS!C$12/31</f>
        <v>480.06765922249781</v>
      </c>
      <c r="M287" s="16">
        <f>Demand_CWRS!D$12/31</f>
        <v>0</v>
      </c>
      <c r="N287" s="16">
        <f>Demand_CWRS!E$12/31</f>
        <v>103.22435897435898</v>
      </c>
      <c r="O287" s="16">
        <f>Demand_CWRS!F$12/31</f>
        <v>209.74544820099254</v>
      </c>
      <c r="P287" s="16">
        <f>Demand_CWRS!G$12/31</f>
        <v>113.31027191894128</v>
      </c>
      <c r="Q287" s="16">
        <f>Demand_CWRS!H$12/31</f>
        <v>480.06765922249781</v>
      </c>
      <c r="R287" s="16">
        <f>Demand_CWRS!I$12/31</f>
        <v>209.74544820099254</v>
      </c>
      <c r="S287" s="16">
        <f>Demand_CWRS!J$12/31</f>
        <v>209.74544820099254</v>
      </c>
      <c r="T287" s="16">
        <f>Demand_CWRS!K$12/31</f>
        <v>209.74544820099254</v>
      </c>
      <c r="U287" s="16">
        <f t="shared" si="123"/>
        <v>-37222.409143889432</v>
      </c>
      <c r="V287" s="16">
        <f t="shared" si="124"/>
        <v>-134284.39809760093</v>
      </c>
      <c r="W287" s="16">
        <f t="shared" si="125"/>
        <v>0</v>
      </c>
      <c r="X287" s="16">
        <f t="shared" si="126"/>
        <v>-31390.943216488071</v>
      </c>
      <c r="Y287" s="16">
        <f t="shared" si="127"/>
        <v>-61521.406473338204</v>
      </c>
      <c r="Z287" s="16">
        <f t="shared" si="128"/>
        <v>-36825.476619851026</v>
      </c>
      <c r="AA287" s="16">
        <f t="shared" si="129"/>
        <v>-133784.39809760093</v>
      </c>
      <c r="AB287" s="16">
        <f t="shared" si="130"/>
        <v>-59037.56099256892</v>
      </c>
      <c r="AC287" s="16">
        <f t="shared" si="131"/>
        <v>-59037.560992568913</v>
      </c>
      <c r="AD287" s="16">
        <f t="shared" si="132"/>
        <v>-59737.560992568906</v>
      </c>
      <c r="AE287" s="14">
        <f>IF([1]Sheet2!AJ286=999999,"NA",[1]Sheet2!AJ286)</f>
        <v>0</v>
      </c>
      <c r="AF287" s="14">
        <f>IF([1]Sheet2!AK286=999999,"NA",[1]Sheet2!AK286)</f>
        <v>0</v>
      </c>
      <c r="AG287" s="14" t="str">
        <f>IF([1]Sheet2!AL286=999999,"NA",[1]Sheet2!AL286)</f>
        <v>NA</v>
      </c>
      <c r="AH287" s="14">
        <f>IF([1]Sheet2!AM286=999999,"NA",[1]Sheet2!AM286)</f>
        <v>81</v>
      </c>
      <c r="AI287" s="14">
        <f>IF([1]Sheet2!AN286=999999,"NA",[1]Sheet2!AN286)</f>
        <v>81</v>
      </c>
      <c r="AJ287" s="14">
        <f>IF([1]Sheet2!AO286=999999,"NA",[1]Sheet2!AO286)</f>
        <v>81</v>
      </c>
      <c r="AK287" s="14">
        <f>IF([1]Sheet2!AP286=999999,"NA",[1]Sheet2!AP286)</f>
        <v>0</v>
      </c>
      <c r="AL287" s="14">
        <f>IF([1]Sheet2!AQ286=999999,"NA",[1]Sheet2!AQ286)</f>
        <v>0</v>
      </c>
      <c r="AM287" s="14">
        <f>IF([1]Sheet2!AR286=999999,"NA",[1]Sheet2!AR286)</f>
        <v>81</v>
      </c>
      <c r="AN287" s="14">
        <f>IF([1]Sheet2!AS286=999999,"NA",[1]Sheet2!AS286)</f>
        <v>32</v>
      </c>
      <c r="AO287" s="14">
        <f>[1]Sheet2!P286</f>
        <v>0</v>
      </c>
      <c r="AP287" s="14">
        <f>[1]Sheet2!Q286</f>
        <v>0</v>
      </c>
      <c r="AQ287" s="14">
        <f>[1]Sheet2!R286</f>
        <v>0</v>
      </c>
      <c r="AR287" s="14">
        <f>[1]Sheet2!S286</f>
        <v>0</v>
      </c>
      <c r="AS287" s="14">
        <f>[1]Sheet2!T286</f>
        <v>0</v>
      </c>
      <c r="AT287" s="14">
        <f>[1]Sheet2!U286</f>
        <v>0</v>
      </c>
      <c r="AU287" s="14">
        <f>[1]Sheet2!V286</f>
        <v>0</v>
      </c>
      <c r="AV287" s="14">
        <f>[1]Sheet2!W286</f>
        <v>0</v>
      </c>
      <c r="AW287" s="14">
        <f>[1]Sheet2!X286</f>
        <v>0</v>
      </c>
      <c r="AX287" s="14">
        <f>[1]Sheet2!Y286</f>
        <v>0</v>
      </c>
      <c r="AY287" s="16">
        <f>Demand_LP!B$12/31</f>
        <v>866.47279518196865</v>
      </c>
      <c r="AZ287" s="16">
        <f>Demand_LP!C$12/31</f>
        <v>577.62712985938799</v>
      </c>
      <c r="BA287" s="16">
        <f>Demand_LP!D$12/31</f>
        <v>262.18502894954509</v>
      </c>
      <c r="BB287" s="16">
        <f>Demand_LP!E$12/31</f>
        <v>766.03229942100904</v>
      </c>
      <c r="BC287" s="16">
        <f>Demand_LP!F$12/31</f>
        <v>516.10499638130682</v>
      </c>
      <c r="BD287" s="16">
        <f>Demand_LP!G$12/31</f>
        <v>866.47279518196865</v>
      </c>
      <c r="BE287" s="16">
        <f>Demand_LP!H$12/31</f>
        <v>577.62712985938799</v>
      </c>
      <c r="BF287" s="16">
        <f>Demand_LP!I$12/31</f>
        <v>516.10499638130682</v>
      </c>
      <c r="BG287" s="16">
        <f>Demand_LP!J$12/31</f>
        <v>516.10499638130682</v>
      </c>
      <c r="BH287" s="16">
        <f>Demand_LP!K$12/31</f>
        <v>516.10499638130682</v>
      </c>
      <c r="BI287" s="16" t="e">
        <f t="shared" si="133"/>
        <v>#VALUE!</v>
      </c>
      <c r="BJ287" s="16">
        <f t="shared" si="134"/>
        <v>-161452.9625310172</v>
      </c>
      <c r="BK287" s="16">
        <f t="shared" si="135"/>
        <v>-82956.776344086189</v>
      </c>
      <c r="BL287" s="16">
        <f t="shared" si="136"/>
        <v>-213259.82579022238</v>
      </c>
      <c r="BM287" s="16">
        <f t="shared" si="137"/>
        <v>-127753.19245208024</v>
      </c>
      <c r="BN287" s="16">
        <f t="shared" si="138"/>
        <v>-221455.1384126335</v>
      </c>
      <c r="BO287" s="16">
        <f t="shared" si="139"/>
        <v>-163810.54201819698</v>
      </c>
      <c r="BP287" s="16">
        <f t="shared" si="140"/>
        <v>-128864.87637045085</v>
      </c>
      <c r="BQ287" s="16">
        <f t="shared" si="141"/>
        <v>-125854.87637045089</v>
      </c>
      <c r="BR287" s="16">
        <f t="shared" si="142"/>
        <v>-127054.87637045085</v>
      </c>
      <c r="BS287" s="14">
        <f>IF([1]Sheet2!CA286=999999,"NA",[1]Sheet2!CA286)</f>
        <v>89424.123629549315</v>
      </c>
      <c r="BT287" s="14">
        <f>IF([1]Sheet2!CB286=999999,"NA",[1]Sheet2!CB286)</f>
        <v>11</v>
      </c>
      <c r="BU287" s="14">
        <f>IF([1]Sheet2!CC286=999999,"NA",[1]Sheet2!CC286)</f>
        <v>81</v>
      </c>
      <c r="BV287" s="14">
        <f>IF([1]Sheet2!CD286=999999,"NA",[1]Sheet2!CD286)</f>
        <v>81</v>
      </c>
      <c r="BW287" s="14">
        <f>IF([1]Sheet2!CE286=999999,"NA",[1]Sheet2!CE286)</f>
        <v>50</v>
      </c>
      <c r="BX287" s="14">
        <f>IF([1]Sheet2!CF286=999999,"NA",[1]Sheet2!CF286)</f>
        <v>81</v>
      </c>
      <c r="BY287" s="14">
        <f>IF([1]Sheet2!CG286=999999,"NA",[1]Sheet2!CG286)</f>
        <v>0</v>
      </c>
      <c r="BZ287" s="14">
        <f>IF([1]Sheet2!CH286=999999,"NA",[1]Sheet2!CH286)</f>
        <v>81</v>
      </c>
      <c r="CA287" s="14">
        <f>IF([1]Sheet2!CI286=999999,"NA",[1]Sheet2!CI286)</f>
        <v>81</v>
      </c>
      <c r="CB287" s="14">
        <f>IF([1]Sheet2!CJ286=999999,"NA",[1]Sheet2!CJ286)</f>
        <v>81</v>
      </c>
      <c r="CC287" s="14">
        <f>[1]Sheet2!BG286</f>
        <v>0</v>
      </c>
      <c r="CD287" s="14">
        <f>[1]Sheet2!BH286</f>
        <v>0</v>
      </c>
      <c r="CE287" s="14">
        <f>[1]Sheet2!BI286</f>
        <v>0</v>
      </c>
      <c r="CF287" s="14">
        <f>[1]Sheet2!BJ286</f>
        <v>0</v>
      </c>
      <c r="CG287" s="14">
        <f>[1]Sheet2!BK286</f>
        <v>0</v>
      </c>
      <c r="CH287" s="14">
        <f>[1]Sheet2!BL286</f>
        <v>0</v>
      </c>
      <c r="CI287" s="14">
        <f>[1]Sheet2!BM286</f>
        <v>0</v>
      </c>
      <c r="CJ287" s="14">
        <f>[1]Sheet2!BN286</f>
        <v>0</v>
      </c>
      <c r="CK287" s="14">
        <f>[1]Sheet2!BO286</f>
        <v>0</v>
      </c>
      <c r="CL287" s="14">
        <f>[1]Sheet2!BP286</f>
        <v>0</v>
      </c>
      <c r="CM287" s="16">
        <f>Demand_SW!B$12/31</f>
        <v>139.57816377171216</v>
      </c>
      <c r="CN287" s="16">
        <f>Demand_SW!C$12/31</f>
        <v>0</v>
      </c>
      <c r="CO287" s="16">
        <f>Demand_SW!D$12/31</f>
        <v>0</v>
      </c>
      <c r="CP287" s="16">
        <f>Demand_SW!E$12/31</f>
        <v>0</v>
      </c>
      <c r="CQ287" s="16">
        <f>Demand_SW!F$12/31</f>
        <v>0</v>
      </c>
      <c r="CR287" s="16">
        <f>Demand_SW!G$12/31</f>
        <v>139.57816377171216</v>
      </c>
      <c r="CS287" s="16">
        <f>Demand_SW!H$12/31</f>
        <v>0</v>
      </c>
      <c r="CT287" s="16">
        <f>Demand_SW!I$12/31</f>
        <v>0</v>
      </c>
      <c r="CU287" s="16">
        <f>Demand_SW!J$12/31</f>
        <v>0</v>
      </c>
      <c r="CV287" s="16">
        <f>Demand_SW!K$12/31</f>
        <v>0</v>
      </c>
      <c r="CW287" s="16">
        <f t="shared" si="143"/>
        <v>62416.947890818847</v>
      </c>
      <c r="CX287" s="16">
        <f t="shared" si="144"/>
        <v>20683.923076923078</v>
      </c>
      <c r="CY287" s="16">
        <f t="shared" si="145"/>
        <v>0</v>
      </c>
      <c r="CZ287" s="16">
        <f t="shared" si="146"/>
        <v>0</v>
      </c>
      <c r="DA287" s="16">
        <f t="shared" si="147"/>
        <v>0</v>
      </c>
      <c r="DB287" s="16">
        <f t="shared" si="148"/>
        <v>-37112.28287841189</v>
      </c>
      <c r="DC287" s="16">
        <f t="shared" si="149"/>
        <v>20683.923076923078</v>
      </c>
      <c r="DD287" s="16">
        <f t="shared" si="150"/>
        <v>0</v>
      </c>
      <c r="DE287" s="16">
        <f t="shared" si="151"/>
        <v>0</v>
      </c>
      <c r="DF287" s="16">
        <f t="shared" si="152"/>
        <v>0</v>
      </c>
      <c r="DG287" s="14">
        <f>IF([1]Sheet2!DR286=999999,"NA",[1]Sheet2!DR286)</f>
        <v>73103</v>
      </c>
      <c r="DH287" s="14">
        <f>IF([1]Sheet2!DS286=999999,"NA",[1]Sheet2!DS286)</f>
        <v>81</v>
      </c>
      <c r="DI287" s="14">
        <f>IF([1]Sheet2!DT286=999999,"NA",[1]Sheet2!DT286)</f>
        <v>81</v>
      </c>
      <c r="DJ287" s="14" t="str">
        <f>IF([1]Sheet2!DU286=999999,"NA",[1]Sheet2!DU286)</f>
        <v>NA</v>
      </c>
      <c r="DK287" s="14" t="str">
        <f>IF([1]Sheet2!DV286=999999,"NA",[1]Sheet2!DV286)</f>
        <v>NA</v>
      </c>
      <c r="DL287" s="14" t="str">
        <f>IF([1]Sheet2!DW286=999999,"NA",[1]Sheet2!DW286)</f>
        <v>NA</v>
      </c>
      <c r="DM287" s="14">
        <f>IF([1]Sheet2!DX286=999999,"NA",[1]Sheet2!DX286)</f>
        <v>81</v>
      </c>
      <c r="DN287" s="14">
        <f>IF([1]Sheet2!DY286=999999,"NA",[1]Sheet2!DY286)</f>
        <v>81</v>
      </c>
      <c r="DO287" s="14" t="str">
        <f>IF([1]Sheet2!DZ286=999999,"NA",[1]Sheet2!DZ286)</f>
        <v>NA</v>
      </c>
      <c r="DP287" s="14" t="str">
        <f>IF([1]Sheet2!EA286=999999,"NA",[1]Sheet2!EA286)</f>
        <v>NA</v>
      </c>
      <c r="DQ287" s="14">
        <f>[1]Sheet2!CX286</f>
        <v>0</v>
      </c>
      <c r="DR287" s="14">
        <f>[1]Sheet2!CY286</f>
        <v>0</v>
      </c>
      <c r="DS287" s="14">
        <f>[1]Sheet2!CZ286</f>
        <v>0</v>
      </c>
      <c r="DT287" s="14">
        <f>[1]Sheet2!DA286</f>
        <v>0</v>
      </c>
      <c r="DU287" s="14">
        <f>[1]Sheet2!DB286</f>
        <v>0</v>
      </c>
      <c r="DV287" s="14">
        <f>[1]Sheet2!DC286</f>
        <v>0</v>
      </c>
      <c r="DW287" s="14">
        <f>[1]Sheet2!DD286</f>
        <v>0</v>
      </c>
      <c r="DX287" s="14">
        <f>[1]Sheet2!DE286</f>
        <v>0</v>
      </c>
      <c r="DY287" s="14">
        <f>[1]Sheet2!DF286</f>
        <v>0</v>
      </c>
      <c r="DZ287" s="14">
        <f>[1]Sheet2!DG286</f>
        <v>0</v>
      </c>
    </row>
    <row r="288" spans="1:130" x14ac:dyDescent="0.25">
      <c r="A288" s="15">
        <v>43750</v>
      </c>
      <c r="B288" s="1"/>
      <c r="C288" s="1"/>
      <c r="D288" s="1"/>
      <c r="E288" s="14">
        <f>[1]Sheet2!N287</f>
        <v>0</v>
      </c>
      <c r="F288" s="14">
        <f>[1]Sheet2!BE287</f>
        <v>0</v>
      </c>
      <c r="G288" s="14">
        <f>[1]Sheet2!CV287</f>
        <v>279.15632754342431</v>
      </c>
      <c r="H288" s="1"/>
      <c r="I288" s="1"/>
      <c r="J288" s="1"/>
      <c r="K288" s="16">
        <f>Demand_CWRS!B$12/31</f>
        <v>113.31027191894128</v>
      </c>
      <c r="L288" s="16">
        <f>Demand_CWRS!C$12/31</f>
        <v>480.06765922249781</v>
      </c>
      <c r="M288" s="16">
        <f>Demand_CWRS!D$12/31</f>
        <v>0</v>
      </c>
      <c r="N288" s="16">
        <f>Demand_CWRS!E$12/31</f>
        <v>103.22435897435898</v>
      </c>
      <c r="O288" s="16">
        <f>Demand_CWRS!F$12/31</f>
        <v>209.74544820099254</v>
      </c>
      <c r="P288" s="16">
        <f>Demand_CWRS!G$12/31</f>
        <v>113.31027191894128</v>
      </c>
      <c r="Q288" s="16">
        <f>Demand_CWRS!H$12/31</f>
        <v>480.06765922249781</v>
      </c>
      <c r="R288" s="16">
        <f>Demand_CWRS!I$12/31</f>
        <v>209.74544820099254</v>
      </c>
      <c r="S288" s="16">
        <f>Demand_CWRS!J$12/31</f>
        <v>209.74544820099254</v>
      </c>
      <c r="T288" s="16">
        <f>Demand_CWRS!K$12/31</f>
        <v>209.74544820099254</v>
      </c>
      <c r="U288" s="16">
        <f t="shared" si="123"/>
        <v>-37335.719415808373</v>
      </c>
      <c r="V288" s="16">
        <f t="shared" si="124"/>
        <v>-134764.46575682343</v>
      </c>
      <c r="W288" s="16">
        <f t="shared" si="125"/>
        <v>0</v>
      </c>
      <c r="X288" s="16">
        <f t="shared" si="126"/>
        <v>-31494.16757546243</v>
      </c>
      <c r="Y288" s="16">
        <f t="shared" si="127"/>
        <v>-61731.151921539196</v>
      </c>
      <c r="Z288" s="16">
        <f t="shared" si="128"/>
        <v>-36938.786891769967</v>
      </c>
      <c r="AA288" s="16">
        <f t="shared" si="129"/>
        <v>-134264.46575682343</v>
      </c>
      <c r="AB288" s="16">
        <f t="shared" si="130"/>
        <v>-59247.306440769913</v>
      </c>
      <c r="AC288" s="16">
        <f t="shared" si="131"/>
        <v>-59247.306440769906</v>
      </c>
      <c r="AD288" s="16">
        <f t="shared" si="132"/>
        <v>-59947.306440769898</v>
      </c>
      <c r="AE288" s="14">
        <f>IF([1]Sheet2!AJ287=999999,"NA",[1]Sheet2!AJ287)</f>
        <v>0</v>
      </c>
      <c r="AF288" s="14">
        <f>IF([1]Sheet2!AK287=999999,"NA",[1]Sheet2!AK287)</f>
        <v>0</v>
      </c>
      <c r="AG288" s="14" t="str">
        <f>IF([1]Sheet2!AL287=999999,"NA",[1]Sheet2!AL287)</f>
        <v>NA</v>
      </c>
      <c r="AH288" s="14">
        <f>IF([1]Sheet2!AM287=999999,"NA",[1]Sheet2!AM287)</f>
        <v>80</v>
      </c>
      <c r="AI288" s="14">
        <f>IF([1]Sheet2!AN287=999999,"NA",[1]Sheet2!AN287)</f>
        <v>80</v>
      </c>
      <c r="AJ288" s="14">
        <f>IF([1]Sheet2!AO287=999999,"NA",[1]Sheet2!AO287)</f>
        <v>80</v>
      </c>
      <c r="AK288" s="14">
        <f>IF([1]Sheet2!AP287=999999,"NA",[1]Sheet2!AP287)</f>
        <v>0</v>
      </c>
      <c r="AL288" s="14">
        <f>IF([1]Sheet2!AQ287=999999,"NA",[1]Sheet2!AQ287)</f>
        <v>0</v>
      </c>
      <c r="AM288" s="14">
        <f>IF([1]Sheet2!AR287=999999,"NA",[1]Sheet2!AR287)</f>
        <v>80</v>
      </c>
      <c r="AN288" s="14">
        <f>IF([1]Sheet2!AS287=999999,"NA",[1]Sheet2!AS287)</f>
        <v>31</v>
      </c>
      <c r="AO288" s="14">
        <f>[1]Sheet2!P287</f>
        <v>0</v>
      </c>
      <c r="AP288" s="14">
        <f>[1]Sheet2!Q287</f>
        <v>0</v>
      </c>
      <c r="AQ288" s="14">
        <f>[1]Sheet2!R287</f>
        <v>0</v>
      </c>
      <c r="AR288" s="14">
        <f>[1]Sheet2!S287</f>
        <v>0</v>
      </c>
      <c r="AS288" s="14">
        <f>[1]Sheet2!T287</f>
        <v>0</v>
      </c>
      <c r="AT288" s="14">
        <f>[1]Sheet2!U287</f>
        <v>0</v>
      </c>
      <c r="AU288" s="14">
        <f>[1]Sheet2!V287</f>
        <v>0</v>
      </c>
      <c r="AV288" s="14">
        <f>[1]Sheet2!W287</f>
        <v>0</v>
      </c>
      <c r="AW288" s="14">
        <f>[1]Sheet2!X287</f>
        <v>0</v>
      </c>
      <c r="AX288" s="14">
        <f>[1]Sheet2!Y287</f>
        <v>0</v>
      </c>
      <c r="AY288" s="16">
        <f>Demand_LP!B$12/31</f>
        <v>866.47279518196865</v>
      </c>
      <c r="AZ288" s="16">
        <f>Demand_LP!C$12/31</f>
        <v>577.62712985938799</v>
      </c>
      <c r="BA288" s="16">
        <f>Demand_LP!D$12/31</f>
        <v>262.18502894954509</v>
      </c>
      <c r="BB288" s="16">
        <f>Demand_LP!E$12/31</f>
        <v>766.03229942100904</v>
      </c>
      <c r="BC288" s="16">
        <f>Demand_LP!F$12/31</f>
        <v>516.10499638130682</v>
      </c>
      <c r="BD288" s="16">
        <f>Demand_LP!G$12/31</f>
        <v>866.47279518196865</v>
      </c>
      <c r="BE288" s="16">
        <f>Demand_LP!H$12/31</f>
        <v>577.62712985938799</v>
      </c>
      <c r="BF288" s="16">
        <f>Demand_LP!I$12/31</f>
        <v>516.10499638130682</v>
      </c>
      <c r="BG288" s="16">
        <f>Demand_LP!J$12/31</f>
        <v>516.10499638130682</v>
      </c>
      <c r="BH288" s="16">
        <f>Demand_LP!K$12/31</f>
        <v>516.10499638130682</v>
      </c>
      <c r="BI288" s="16" t="e">
        <f t="shared" si="133"/>
        <v>#VALUE!</v>
      </c>
      <c r="BJ288" s="16">
        <f t="shared" si="134"/>
        <v>-162030.58966087658</v>
      </c>
      <c r="BK288" s="16">
        <f t="shared" si="135"/>
        <v>-83218.961373035738</v>
      </c>
      <c r="BL288" s="16">
        <f t="shared" si="136"/>
        <v>-214025.85808964339</v>
      </c>
      <c r="BM288" s="16">
        <f t="shared" si="137"/>
        <v>-128269.29744846156</v>
      </c>
      <c r="BN288" s="16">
        <f t="shared" si="138"/>
        <v>-222321.61120781547</v>
      </c>
      <c r="BO288" s="16">
        <f t="shared" si="139"/>
        <v>-164388.16914805636</v>
      </c>
      <c r="BP288" s="16">
        <f t="shared" si="140"/>
        <v>-129380.98136683216</v>
      </c>
      <c r="BQ288" s="16">
        <f t="shared" si="141"/>
        <v>-126370.9813668322</v>
      </c>
      <c r="BR288" s="16">
        <f t="shared" si="142"/>
        <v>-127570.98136683216</v>
      </c>
      <c r="BS288" s="14">
        <f>IF([1]Sheet2!CA287=999999,"NA",[1]Sheet2!CA287)</f>
        <v>88908.018633168002</v>
      </c>
      <c r="BT288" s="14">
        <f>IF([1]Sheet2!CB287=999999,"NA",[1]Sheet2!CB287)</f>
        <v>10</v>
      </c>
      <c r="BU288" s="14">
        <f>IF([1]Sheet2!CC287=999999,"NA",[1]Sheet2!CC287)</f>
        <v>80</v>
      </c>
      <c r="BV288" s="14">
        <f>IF([1]Sheet2!CD287=999999,"NA",[1]Sheet2!CD287)</f>
        <v>80</v>
      </c>
      <c r="BW288" s="14">
        <f>IF([1]Sheet2!CE287=999999,"NA",[1]Sheet2!CE287)</f>
        <v>49</v>
      </c>
      <c r="BX288" s="14">
        <f>IF([1]Sheet2!CF287=999999,"NA",[1]Sheet2!CF287)</f>
        <v>80</v>
      </c>
      <c r="BY288" s="14">
        <f>IF([1]Sheet2!CG287=999999,"NA",[1]Sheet2!CG287)</f>
        <v>0</v>
      </c>
      <c r="BZ288" s="14">
        <f>IF([1]Sheet2!CH287=999999,"NA",[1]Sheet2!CH287)</f>
        <v>80</v>
      </c>
      <c r="CA288" s="14">
        <f>IF([1]Sheet2!CI287=999999,"NA",[1]Sheet2!CI287)</f>
        <v>80</v>
      </c>
      <c r="CB288" s="14">
        <f>IF([1]Sheet2!CJ287=999999,"NA",[1]Sheet2!CJ287)</f>
        <v>80</v>
      </c>
      <c r="CC288" s="14">
        <f>[1]Sheet2!BG287</f>
        <v>0</v>
      </c>
      <c r="CD288" s="14">
        <f>[1]Sheet2!BH287</f>
        <v>0</v>
      </c>
      <c r="CE288" s="14">
        <f>[1]Sheet2!BI287</f>
        <v>0</v>
      </c>
      <c r="CF288" s="14">
        <f>[1]Sheet2!BJ287</f>
        <v>0</v>
      </c>
      <c r="CG288" s="14">
        <f>[1]Sheet2!BK287</f>
        <v>0</v>
      </c>
      <c r="CH288" s="14">
        <f>[1]Sheet2!BL287</f>
        <v>0</v>
      </c>
      <c r="CI288" s="14">
        <f>[1]Sheet2!BM287</f>
        <v>0</v>
      </c>
      <c r="CJ288" s="14">
        <f>[1]Sheet2!BN287</f>
        <v>0</v>
      </c>
      <c r="CK288" s="14">
        <f>[1]Sheet2!BO287</f>
        <v>0</v>
      </c>
      <c r="CL288" s="14">
        <f>[1]Sheet2!BP287</f>
        <v>0</v>
      </c>
      <c r="CM288" s="16">
        <f>Demand_SW!B$12/31</f>
        <v>139.57816377171216</v>
      </c>
      <c r="CN288" s="16">
        <f>Demand_SW!C$12/31</f>
        <v>0</v>
      </c>
      <c r="CO288" s="16">
        <f>Demand_SW!D$12/31</f>
        <v>0</v>
      </c>
      <c r="CP288" s="16">
        <f>Demand_SW!E$12/31</f>
        <v>0</v>
      </c>
      <c r="CQ288" s="16">
        <f>Demand_SW!F$12/31</f>
        <v>0</v>
      </c>
      <c r="CR288" s="16">
        <f>Demand_SW!G$12/31</f>
        <v>139.57816377171216</v>
      </c>
      <c r="CS288" s="16">
        <f>Demand_SW!H$12/31</f>
        <v>0</v>
      </c>
      <c r="CT288" s="16">
        <f>Demand_SW!I$12/31</f>
        <v>0</v>
      </c>
      <c r="CU288" s="16">
        <f>Demand_SW!J$12/31</f>
        <v>0</v>
      </c>
      <c r="CV288" s="16">
        <f>Demand_SW!K$12/31</f>
        <v>0</v>
      </c>
      <c r="CW288" s="16">
        <f t="shared" si="143"/>
        <v>62277.369727047131</v>
      </c>
      <c r="CX288" s="16">
        <f t="shared" si="144"/>
        <v>20683.923076923078</v>
      </c>
      <c r="CY288" s="16">
        <f t="shared" si="145"/>
        <v>0</v>
      </c>
      <c r="CZ288" s="16">
        <f t="shared" si="146"/>
        <v>0</v>
      </c>
      <c r="DA288" s="16">
        <f t="shared" si="147"/>
        <v>0</v>
      </c>
      <c r="DB288" s="16">
        <f t="shared" si="148"/>
        <v>-37251.861042183606</v>
      </c>
      <c r="DC288" s="16">
        <f t="shared" si="149"/>
        <v>20683.923076923078</v>
      </c>
      <c r="DD288" s="16">
        <f t="shared" si="150"/>
        <v>0</v>
      </c>
      <c r="DE288" s="16">
        <f t="shared" si="151"/>
        <v>0</v>
      </c>
      <c r="DF288" s="16">
        <f t="shared" si="152"/>
        <v>0</v>
      </c>
      <c r="DG288" s="14">
        <f>IF([1]Sheet2!DR287=999999,"NA",[1]Sheet2!DR287)</f>
        <v>73103</v>
      </c>
      <c r="DH288" s="14">
        <f>IF([1]Sheet2!DS287=999999,"NA",[1]Sheet2!DS287)</f>
        <v>80</v>
      </c>
      <c r="DI288" s="14">
        <f>IF([1]Sheet2!DT287=999999,"NA",[1]Sheet2!DT287)</f>
        <v>80</v>
      </c>
      <c r="DJ288" s="14" t="str">
        <f>IF([1]Sheet2!DU287=999999,"NA",[1]Sheet2!DU287)</f>
        <v>NA</v>
      </c>
      <c r="DK288" s="14" t="str">
        <f>IF([1]Sheet2!DV287=999999,"NA",[1]Sheet2!DV287)</f>
        <v>NA</v>
      </c>
      <c r="DL288" s="14" t="str">
        <f>IF([1]Sheet2!DW287=999999,"NA",[1]Sheet2!DW287)</f>
        <v>NA</v>
      </c>
      <c r="DM288" s="14">
        <f>IF([1]Sheet2!DX287=999999,"NA",[1]Sheet2!DX287)</f>
        <v>80</v>
      </c>
      <c r="DN288" s="14">
        <f>IF([1]Sheet2!DY287=999999,"NA",[1]Sheet2!DY287)</f>
        <v>80</v>
      </c>
      <c r="DO288" s="14" t="str">
        <f>IF([1]Sheet2!DZ287=999999,"NA",[1]Sheet2!DZ287)</f>
        <v>NA</v>
      </c>
      <c r="DP288" s="14" t="str">
        <f>IF([1]Sheet2!EA287=999999,"NA",[1]Sheet2!EA287)</f>
        <v>NA</v>
      </c>
      <c r="DQ288" s="14">
        <f>[1]Sheet2!CX287</f>
        <v>0</v>
      </c>
      <c r="DR288" s="14">
        <f>[1]Sheet2!CY287</f>
        <v>0</v>
      </c>
      <c r="DS288" s="14">
        <f>[1]Sheet2!CZ287</f>
        <v>0</v>
      </c>
      <c r="DT288" s="14">
        <f>[1]Sheet2!DA287</f>
        <v>0</v>
      </c>
      <c r="DU288" s="14">
        <f>[1]Sheet2!DB287</f>
        <v>0</v>
      </c>
      <c r="DV288" s="14">
        <f>[1]Sheet2!DC287</f>
        <v>0</v>
      </c>
      <c r="DW288" s="14">
        <f>[1]Sheet2!DD287</f>
        <v>0</v>
      </c>
      <c r="DX288" s="14">
        <f>[1]Sheet2!DE287</f>
        <v>0</v>
      </c>
      <c r="DY288" s="14">
        <f>[1]Sheet2!DF287</f>
        <v>0</v>
      </c>
      <c r="DZ288" s="14">
        <f>[1]Sheet2!DG287</f>
        <v>0</v>
      </c>
    </row>
    <row r="289" spans="1:130" x14ac:dyDescent="0.25">
      <c r="A289" s="15">
        <v>43751</v>
      </c>
      <c r="B289" s="1"/>
      <c r="C289" s="1"/>
      <c r="D289" s="1"/>
      <c r="E289" s="14">
        <f>[1]Sheet2!N288</f>
        <v>0</v>
      </c>
      <c r="F289" s="14">
        <f>[1]Sheet2!BE288</f>
        <v>0</v>
      </c>
      <c r="G289" s="14">
        <f>[1]Sheet2!CV288</f>
        <v>279.15632754342431</v>
      </c>
      <c r="H289" s="1"/>
      <c r="I289" s="1"/>
      <c r="J289" s="1"/>
      <c r="K289" s="16">
        <f>Demand_CWRS!B$12/31</f>
        <v>113.31027191894128</v>
      </c>
      <c r="L289" s="16">
        <f>Demand_CWRS!C$12/31</f>
        <v>480.06765922249781</v>
      </c>
      <c r="M289" s="16">
        <f>Demand_CWRS!D$12/31</f>
        <v>0</v>
      </c>
      <c r="N289" s="16">
        <f>Demand_CWRS!E$12/31</f>
        <v>103.22435897435898</v>
      </c>
      <c r="O289" s="16">
        <f>Demand_CWRS!F$12/31</f>
        <v>209.74544820099254</v>
      </c>
      <c r="P289" s="16">
        <f>Demand_CWRS!G$12/31</f>
        <v>113.31027191894128</v>
      </c>
      <c r="Q289" s="16">
        <f>Demand_CWRS!H$12/31</f>
        <v>480.06765922249781</v>
      </c>
      <c r="R289" s="16">
        <f>Demand_CWRS!I$12/31</f>
        <v>209.74544820099254</v>
      </c>
      <c r="S289" s="16">
        <f>Demand_CWRS!J$12/31</f>
        <v>209.74544820099254</v>
      </c>
      <c r="T289" s="16">
        <f>Demand_CWRS!K$12/31</f>
        <v>209.74544820099254</v>
      </c>
      <c r="U289" s="16">
        <f t="shared" si="123"/>
        <v>-37449.029687727314</v>
      </c>
      <c r="V289" s="16">
        <f t="shared" si="124"/>
        <v>-135244.53341604592</v>
      </c>
      <c r="W289" s="16">
        <f t="shared" si="125"/>
        <v>0</v>
      </c>
      <c r="X289" s="16">
        <f t="shared" si="126"/>
        <v>-31597.39193443679</v>
      </c>
      <c r="Y289" s="16">
        <f t="shared" si="127"/>
        <v>-61940.897369740189</v>
      </c>
      <c r="Z289" s="16">
        <f t="shared" si="128"/>
        <v>-37052.097163688908</v>
      </c>
      <c r="AA289" s="16">
        <f t="shared" si="129"/>
        <v>-134744.53341604592</v>
      </c>
      <c r="AB289" s="16">
        <f t="shared" si="130"/>
        <v>-59457.051888970906</v>
      </c>
      <c r="AC289" s="16">
        <f t="shared" si="131"/>
        <v>-59457.051888970898</v>
      </c>
      <c r="AD289" s="16">
        <f t="shared" si="132"/>
        <v>-60157.051888970891</v>
      </c>
      <c r="AE289" s="14">
        <f>IF([1]Sheet2!AJ288=999999,"NA",[1]Sheet2!AJ288)</f>
        <v>0</v>
      </c>
      <c r="AF289" s="14">
        <f>IF([1]Sheet2!AK288=999999,"NA",[1]Sheet2!AK288)</f>
        <v>0</v>
      </c>
      <c r="AG289" s="14" t="str">
        <f>IF([1]Sheet2!AL288=999999,"NA",[1]Sheet2!AL288)</f>
        <v>NA</v>
      </c>
      <c r="AH289" s="14">
        <f>IF([1]Sheet2!AM288=999999,"NA",[1]Sheet2!AM288)</f>
        <v>79</v>
      </c>
      <c r="AI289" s="14">
        <f>IF([1]Sheet2!AN288=999999,"NA",[1]Sheet2!AN288)</f>
        <v>79</v>
      </c>
      <c r="AJ289" s="14">
        <f>IF([1]Sheet2!AO288=999999,"NA",[1]Sheet2!AO288)</f>
        <v>79</v>
      </c>
      <c r="AK289" s="14">
        <f>IF([1]Sheet2!AP288=999999,"NA",[1]Sheet2!AP288)</f>
        <v>0</v>
      </c>
      <c r="AL289" s="14">
        <f>IF([1]Sheet2!AQ288=999999,"NA",[1]Sheet2!AQ288)</f>
        <v>0</v>
      </c>
      <c r="AM289" s="14">
        <f>IF([1]Sheet2!AR288=999999,"NA",[1]Sheet2!AR288)</f>
        <v>79</v>
      </c>
      <c r="AN289" s="14">
        <f>IF([1]Sheet2!AS288=999999,"NA",[1]Sheet2!AS288)</f>
        <v>30</v>
      </c>
      <c r="AO289" s="14">
        <f>[1]Sheet2!P288</f>
        <v>0</v>
      </c>
      <c r="AP289" s="14">
        <f>[1]Sheet2!Q288</f>
        <v>0</v>
      </c>
      <c r="AQ289" s="14">
        <f>[1]Sheet2!R288</f>
        <v>0</v>
      </c>
      <c r="AR289" s="14">
        <f>[1]Sheet2!S288</f>
        <v>0</v>
      </c>
      <c r="AS289" s="14">
        <f>[1]Sheet2!T288</f>
        <v>0</v>
      </c>
      <c r="AT289" s="14">
        <f>[1]Sheet2!U288</f>
        <v>0</v>
      </c>
      <c r="AU289" s="14">
        <f>[1]Sheet2!V288</f>
        <v>0</v>
      </c>
      <c r="AV289" s="14">
        <f>[1]Sheet2!W288</f>
        <v>0</v>
      </c>
      <c r="AW289" s="14">
        <f>[1]Sheet2!X288</f>
        <v>0</v>
      </c>
      <c r="AX289" s="14">
        <f>[1]Sheet2!Y288</f>
        <v>0</v>
      </c>
      <c r="AY289" s="16">
        <f>Demand_LP!B$12/31</f>
        <v>866.47279518196865</v>
      </c>
      <c r="AZ289" s="16">
        <f>Demand_LP!C$12/31</f>
        <v>577.62712985938799</v>
      </c>
      <c r="BA289" s="16">
        <f>Demand_LP!D$12/31</f>
        <v>262.18502894954509</v>
      </c>
      <c r="BB289" s="16">
        <f>Demand_LP!E$12/31</f>
        <v>766.03229942100904</v>
      </c>
      <c r="BC289" s="16">
        <f>Demand_LP!F$12/31</f>
        <v>516.10499638130682</v>
      </c>
      <c r="BD289" s="16">
        <f>Demand_LP!G$12/31</f>
        <v>866.47279518196865</v>
      </c>
      <c r="BE289" s="16">
        <f>Demand_LP!H$12/31</f>
        <v>577.62712985938799</v>
      </c>
      <c r="BF289" s="16">
        <f>Demand_LP!I$12/31</f>
        <v>516.10499638130682</v>
      </c>
      <c r="BG289" s="16">
        <f>Demand_LP!J$12/31</f>
        <v>516.10499638130682</v>
      </c>
      <c r="BH289" s="16">
        <f>Demand_LP!K$12/31</f>
        <v>516.10499638130682</v>
      </c>
      <c r="BI289" s="16" t="e">
        <f t="shared" si="133"/>
        <v>#VALUE!</v>
      </c>
      <c r="BJ289" s="16">
        <f t="shared" si="134"/>
        <v>-162608.21679073595</v>
      </c>
      <c r="BK289" s="16">
        <f t="shared" si="135"/>
        <v>-83481.146401985287</v>
      </c>
      <c r="BL289" s="16">
        <f t="shared" si="136"/>
        <v>-214791.89038906439</v>
      </c>
      <c r="BM289" s="16">
        <f t="shared" si="137"/>
        <v>-128785.40244484287</v>
      </c>
      <c r="BN289" s="16">
        <f t="shared" si="138"/>
        <v>-223188.08400299744</v>
      </c>
      <c r="BO289" s="16">
        <f t="shared" si="139"/>
        <v>-164965.79627791574</v>
      </c>
      <c r="BP289" s="16">
        <f t="shared" si="140"/>
        <v>-129897.08636321347</v>
      </c>
      <c r="BQ289" s="16">
        <f t="shared" si="141"/>
        <v>-126887.08636321352</v>
      </c>
      <c r="BR289" s="16">
        <f t="shared" si="142"/>
        <v>-128087.08636321347</v>
      </c>
      <c r="BS289" s="14">
        <f>IF([1]Sheet2!CA288=999999,"NA",[1]Sheet2!CA288)</f>
        <v>88391.913636786689</v>
      </c>
      <c r="BT289" s="14">
        <f>IF([1]Sheet2!CB288=999999,"NA",[1]Sheet2!CB288)</f>
        <v>9</v>
      </c>
      <c r="BU289" s="14">
        <f>IF([1]Sheet2!CC288=999999,"NA",[1]Sheet2!CC288)</f>
        <v>79</v>
      </c>
      <c r="BV289" s="14">
        <f>IF([1]Sheet2!CD288=999999,"NA",[1]Sheet2!CD288)</f>
        <v>79</v>
      </c>
      <c r="BW289" s="14">
        <f>IF([1]Sheet2!CE288=999999,"NA",[1]Sheet2!CE288)</f>
        <v>48</v>
      </c>
      <c r="BX289" s="14">
        <f>IF([1]Sheet2!CF288=999999,"NA",[1]Sheet2!CF288)</f>
        <v>79</v>
      </c>
      <c r="BY289" s="14">
        <f>IF([1]Sheet2!CG288=999999,"NA",[1]Sheet2!CG288)</f>
        <v>0</v>
      </c>
      <c r="BZ289" s="14">
        <f>IF([1]Sheet2!CH288=999999,"NA",[1]Sheet2!CH288)</f>
        <v>79</v>
      </c>
      <c r="CA289" s="14">
        <f>IF([1]Sheet2!CI288=999999,"NA",[1]Sheet2!CI288)</f>
        <v>79</v>
      </c>
      <c r="CB289" s="14">
        <f>IF([1]Sheet2!CJ288=999999,"NA",[1]Sheet2!CJ288)</f>
        <v>79</v>
      </c>
      <c r="CC289" s="14">
        <f>[1]Sheet2!BG288</f>
        <v>0</v>
      </c>
      <c r="CD289" s="14">
        <f>[1]Sheet2!BH288</f>
        <v>0</v>
      </c>
      <c r="CE289" s="14">
        <f>[1]Sheet2!BI288</f>
        <v>0</v>
      </c>
      <c r="CF289" s="14">
        <f>[1]Sheet2!BJ288</f>
        <v>0</v>
      </c>
      <c r="CG289" s="14">
        <f>[1]Sheet2!BK288</f>
        <v>0</v>
      </c>
      <c r="CH289" s="14">
        <f>[1]Sheet2!BL288</f>
        <v>0</v>
      </c>
      <c r="CI289" s="14">
        <f>[1]Sheet2!BM288</f>
        <v>0</v>
      </c>
      <c r="CJ289" s="14">
        <f>[1]Sheet2!BN288</f>
        <v>0</v>
      </c>
      <c r="CK289" s="14">
        <f>[1]Sheet2!BO288</f>
        <v>0</v>
      </c>
      <c r="CL289" s="14">
        <f>[1]Sheet2!BP288</f>
        <v>0</v>
      </c>
      <c r="CM289" s="16">
        <f>Demand_SW!B$12/31</f>
        <v>139.57816377171216</v>
      </c>
      <c r="CN289" s="16">
        <f>Demand_SW!C$12/31</f>
        <v>0</v>
      </c>
      <c r="CO289" s="16">
        <f>Demand_SW!D$12/31</f>
        <v>0</v>
      </c>
      <c r="CP289" s="16">
        <f>Demand_SW!E$12/31</f>
        <v>0</v>
      </c>
      <c r="CQ289" s="16">
        <f>Demand_SW!F$12/31</f>
        <v>0</v>
      </c>
      <c r="CR289" s="16">
        <f>Demand_SW!G$12/31</f>
        <v>139.57816377171216</v>
      </c>
      <c r="CS289" s="16">
        <f>Demand_SW!H$12/31</f>
        <v>0</v>
      </c>
      <c r="CT289" s="16">
        <f>Demand_SW!I$12/31</f>
        <v>0</v>
      </c>
      <c r="CU289" s="16">
        <f>Demand_SW!J$12/31</f>
        <v>0</v>
      </c>
      <c r="CV289" s="16">
        <f>Demand_SW!K$12/31</f>
        <v>0</v>
      </c>
      <c r="CW289" s="16">
        <f t="shared" si="143"/>
        <v>62137.791563275416</v>
      </c>
      <c r="CX289" s="16">
        <f t="shared" si="144"/>
        <v>20683.923076923078</v>
      </c>
      <c r="CY289" s="16">
        <f t="shared" si="145"/>
        <v>0</v>
      </c>
      <c r="CZ289" s="16">
        <f t="shared" si="146"/>
        <v>0</v>
      </c>
      <c r="DA289" s="16">
        <f t="shared" si="147"/>
        <v>0</v>
      </c>
      <c r="DB289" s="16">
        <f t="shared" si="148"/>
        <v>-37391.439205955321</v>
      </c>
      <c r="DC289" s="16">
        <f t="shared" si="149"/>
        <v>20683.923076923078</v>
      </c>
      <c r="DD289" s="16">
        <f t="shared" si="150"/>
        <v>0</v>
      </c>
      <c r="DE289" s="16">
        <f t="shared" si="151"/>
        <v>0</v>
      </c>
      <c r="DF289" s="16">
        <f t="shared" si="152"/>
        <v>0</v>
      </c>
      <c r="DG289" s="14">
        <f>IF([1]Sheet2!DR288=999999,"NA",[1]Sheet2!DR288)</f>
        <v>73103</v>
      </c>
      <c r="DH289" s="14">
        <f>IF([1]Sheet2!DS288=999999,"NA",[1]Sheet2!DS288)</f>
        <v>79</v>
      </c>
      <c r="DI289" s="14">
        <f>IF([1]Sheet2!DT288=999999,"NA",[1]Sheet2!DT288)</f>
        <v>79</v>
      </c>
      <c r="DJ289" s="14" t="str">
        <f>IF([1]Sheet2!DU288=999999,"NA",[1]Sheet2!DU288)</f>
        <v>NA</v>
      </c>
      <c r="DK289" s="14" t="str">
        <f>IF([1]Sheet2!DV288=999999,"NA",[1]Sheet2!DV288)</f>
        <v>NA</v>
      </c>
      <c r="DL289" s="14" t="str">
        <f>IF([1]Sheet2!DW288=999999,"NA",[1]Sheet2!DW288)</f>
        <v>NA</v>
      </c>
      <c r="DM289" s="14">
        <f>IF([1]Sheet2!DX288=999999,"NA",[1]Sheet2!DX288)</f>
        <v>79</v>
      </c>
      <c r="DN289" s="14">
        <f>IF([1]Sheet2!DY288=999999,"NA",[1]Sheet2!DY288)</f>
        <v>79</v>
      </c>
      <c r="DO289" s="14" t="str">
        <f>IF([1]Sheet2!DZ288=999999,"NA",[1]Sheet2!DZ288)</f>
        <v>NA</v>
      </c>
      <c r="DP289" s="14" t="str">
        <f>IF([1]Sheet2!EA288=999999,"NA",[1]Sheet2!EA288)</f>
        <v>NA</v>
      </c>
      <c r="DQ289" s="14">
        <f>[1]Sheet2!CX288</f>
        <v>0</v>
      </c>
      <c r="DR289" s="14">
        <f>[1]Sheet2!CY288</f>
        <v>0</v>
      </c>
      <c r="DS289" s="14">
        <f>[1]Sheet2!CZ288</f>
        <v>0</v>
      </c>
      <c r="DT289" s="14">
        <f>[1]Sheet2!DA288</f>
        <v>0</v>
      </c>
      <c r="DU289" s="14">
        <f>[1]Sheet2!DB288</f>
        <v>0</v>
      </c>
      <c r="DV289" s="14">
        <f>[1]Sheet2!DC288</f>
        <v>0</v>
      </c>
      <c r="DW289" s="14">
        <f>[1]Sheet2!DD288</f>
        <v>0</v>
      </c>
      <c r="DX289" s="14">
        <f>[1]Sheet2!DE288</f>
        <v>0</v>
      </c>
      <c r="DY289" s="14">
        <f>[1]Sheet2!DF288</f>
        <v>0</v>
      </c>
      <c r="DZ289" s="14">
        <f>[1]Sheet2!DG288</f>
        <v>0</v>
      </c>
    </row>
    <row r="290" spans="1:130" x14ac:dyDescent="0.25">
      <c r="A290" s="15">
        <v>43752</v>
      </c>
      <c r="B290" s="1"/>
      <c r="C290" s="1"/>
      <c r="D290" s="1"/>
      <c r="E290" s="14">
        <f>[1]Sheet2!N289</f>
        <v>0</v>
      </c>
      <c r="F290" s="14">
        <f>[1]Sheet2!BE289</f>
        <v>0</v>
      </c>
      <c r="G290" s="14">
        <f>[1]Sheet2!CV289</f>
        <v>279.15632754342431</v>
      </c>
      <c r="H290" s="1"/>
      <c r="I290" s="1"/>
      <c r="J290" s="1"/>
      <c r="K290" s="16">
        <f>Demand_CWRS!B$12/31</f>
        <v>113.31027191894128</v>
      </c>
      <c r="L290" s="16">
        <f>Demand_CWRS!C$12/31</f>
        <v>480.06765922249781</v>
      </c>
      <c r="M290" s="16">
        <f>Demand_CWRS!D$12/31</f>
        <v>0</v>
      </c>
      <c r="N290" s="16">
        <f>Demand_CWRS!E$12/31</f>
        <v>103.22435897435898</v>
      </c>
      <c r="O290" s="16">
        <f>Demand_CWRS!F$12/31</f>
        <v>209.74544820099254</v>
      </c>
      <c r="P290" s="16">
        <f>Demand_CWRS!G$12/31</f>
        <v>113.31027191894128</v>
      </c>
      <c r="Q290" s="16">
        <f>Demand_CWRS!H$12/31</f>
        <v>480.06765922249781</v>
      </c>
      <c r="R290" s="16">
        <f>Demand_CWRS!I$12/31</f>
        <v>209.74544820099254</v>
      </c>
      <c r="S290" s="16">
        <f>Demand_CWRS!J$12/31</f>
        <v>209.74544820099254</v>
      </c>
      <c r="T290" s="16">
        <f>Demand_CWRS!K$12/31</f>
        <v>209.74544820099254</v>
      </c>
      <c r="U290" s="16">
        <f t="shared" si="123"/>
        <v>-37562.339959646255</v>
      </c>
      <c r="V290" s="16">
        <f t="shared" si="124"/>
        <v>-135724.60107526841</v>
      </c>
      <c r="W290" s="16">
        <f t="shared" si="125"/>
        <v>0</v>
      </c>
      <c r="X290" s="16">
        <f t="shared" si="126"/>
        <v>-31700.616293411149</v>
      </c>
      <c r="Y290" s="16">
        <f t="shared" si="127"/>
        <v>-62150.642817941181</v>
      </c>
      <c r="Z290" s="16">
        <f t="shared" si="128"/>
        <v>-37165.407435607849</v>
      </c>
      <c r="AA290" s="16">
        <f t="shared" si="129"/>
        <v>-135224.60107526841</v>
      </c>
      <c r="AB290" s="16">
        <f t="shared" si="130"/>
        <v>-59666.797337171898</v>
      </c>
      <c r="AC290" s="16">
        <f t="shared" si="131"/>
        <v>-59666.797337171891</v>
      </c>
      <c r="AD290" s="16">
        <f t="shared" si="132"/>
        <v>-60366.797337171884</v>
      </c>
      <c r="AE290" s="14">
        <f>IF([1]Sheet2!AJ289=999999,"NA",[1]Sheet2!AJ289)</f>
        <v>0</v>
      </c>
      <c r="AF290" s="14">
        <f>IF([1]Sheet2!AK289=999999,"NA",[1]Sheet2!AK289)</f>
        <v>0</v>
      </c>
      <c r="AG290" s="14" t="str">
        <f>IF([1]Sheet2!AL289=999999,"NA",[1]Sheet2!AL289)</f>
        <v>NA</v>
      </c>
      <c r="AH290" s="14">
        <f>IF([1]Sheet2!AM289=999999,"NA",[1]Sheet2!AM289)</f>
        <v>78</v>
      </c>
      <c r="AI290" s="14">
        <f>IF([1]Sheet2!AN289=999999,"NA",[1]Sheet2!AN289)</f>
        <v>78</v>
      </c>
      <c r="AJ290" s="14">
        <f>IF([1]Sheet2!AO289=999999,"NA",[1]Sheet2!AO289)</f>
        <v>78</v>
      </c>
      <c r="AK290" s="14">
        <f>IF([1]Sheet2!AP289=999999,"NA",[1]Sheet2!AP289)</f>
        <v>0</v>
      </c>
      <c r="AL290" s="14">
        <f>IF([1]Sheet2!AQ289=999999,"NA",[1]Sheet2!AQ289)</f>
        <v>0</v>
      </c>
      <c r="AM290" s="14">
        <f>IF([1]Sheet2!AR289=999999,"NA",[1]Sheet2!AR289)</f>
        <v>78</v>
      </c>
      <c r="AN290" s="14">
        <f>IF([1]Sheet2!AS289=999999,"NA",[1]Sheet2!AS289)</f>
        <v>29</v>
      </c>
      <c r="AO290" s="14">
        <f>[1]Sheet2!P289</f>
        <v>0</v>
      </c>
      <c r="AP290" s="14">
        <f>[1]Sheet2!Q289</f>
        <v>0</v>
      </c>
      <c r="AQ290" s="14">
        <f>[1]Sheet2!R289</f>
        <v>0</v>
      </c>
      <c r="AR290" s="14">
        <f>[1]Sheet2!S289</f>
        <v>0</v>
      </c>
      <c r="AS290" s="14">
        <f>[1]Sheet2!T289</f>
        <v>0</v>
      </c>
      <c r="AT290" s="14">
        <f>[1]Sheet2!U289</f>
        <v>0</v>
      </c>
      <c r="AU290" s="14">
        <f>[1]Sheet2!V289</f>
        <v>0</v>
      </c>
      <c r="AV290" s="14">
        <f>[1]Sheet2!W289</f>
        <v>0</v>
      </c>
      <c r="AW290" s="14">
        <f>[1]Sheet2!X289</f>
        <v>0</v>
      </c>
      <c r="AX290" s="14">
        <f>[1]Sheet2!Y289</f>
        <v>0</v>
      </c>
      <c r="AY290" s="16">
        <f>Demand_LP!B$12/31</f>
        <v>866.47279518196865</v>
      </c>
      <c r="AZ290" s="16">
        <f>Demand_LP!C$12/31</f>
        <v>577.62712985938799</v>
      </c>
      <c r="BA290" s="16">
        <f>Demand_LP!D$12/31</f>
        <v>262.18502894954509</v>
      </c>
      <c r="BB290" s="16">
        <f>Demand_LP!E$12/31</f>
        <v>766.03229942100904</v>
      </c>
      <c r="BC290" s="16">
        <f>Demand_LP!F$12/31</f>
        <v>516.10499638130682</v>
      </c>
      <c r="BD290" s="16">
        <f>Demand_LP!G$12/31</f>
        <v>866.47279518196865</v>
      </c>
      <c r="BE290" s="16">
        <f>Demand_LP!H$12/31</f>
        <v>577.62712985938799</v>
      </c>
      <c r="BF290" s="16">
        <f>Demand_LP!I$12/31</f>
        <v>516.10499638130682</v>
      </c>
      <c r="BG290" s="16">
        <f>Demand_LP!J$12/31</f>
        <v>516.10499638130682</v>
      </c>
      <c r="BH290" s="16">
        <f>Demand_LP!K$12/31</f>
        <v>516.10499638130682</v>
      </c>
      <c r="BI290" s="16" t="e">
        <f t="shared" si="133"/>
        <v>#VALUE!</v>
      </c>
      <c r="BJ290" s="16">
        <f t="shared" si="134"/>
        <v>-163185.84392059533</v>
      </c>
      <c r="BK290" s="16">
        <f t="shared" si="135"/>
        <v>-83743.331430934835</v>
      </c>
      <c r="BL290" s="16">
        <f t="shared" si="136"/>
        <v>-215557.92268848539</v>
      </c>
      <c r="BM290" s="16">
        <f t="shared" si="137"/>
        <v>-129301.50744122418</v>
      </c>
      <c r="BN290" s="16">
        <f t="shared" si="138"/>
        <v>-224054.5567981794</v>
      </c>
      <c r="BO290" s="16">
        <f t="shared" si="139"/>
        <v>-165543.42340777512</v>
      </c>
      <c r="BP290" s="16">
        <f t="shared" si="140"/>
        <v>-130413.19135959478</v>
      </c>
      <c r="BQ290" s="16">
        <f t="shared" si="141"/>
        <v>-127403.19135959483</v>
      </c>
      <c r="BR290" s="16">
        <f t="shared" si="142"/>
        <v>-128603.19135959478</v>
      </c>
      <c r="BS290" s="14">
        <f>IF([1]Sheet2!CA289=999999,"NA",[1]Sheet2!CA289)</f>
        <v>87875.808640405376</v>
      </c>
      <c r="BT290" s="14">
        <f>IF([1]Sheet2!CB289=999999,"NA",[1]Sheet2!CB289)</f>
        <v>8</v>
      </c>
      <c r="BU290" s="14">
        <f>IF([1]Sheet2!CC289=999999,"NA",[1]Sheet2!CC289)</f>
        <v>78</v>
      </c>
      <c r="BV290" s="14">
        <f>IF([1]Sheet2!CD289=999999,"NA",[1]Sheet2!CD289)</f>
        <v>78</v>
      </c>
      <c r="BW290" s="14">
        <f>IF([1]Sheet2!CE289=999999,"NA",[1]Sheet2!CE289)</f>
        <v>47</v>
      </c>
      <c r="BX290" s="14">
        <f>IF([1]Sheet2!CF289=999999,"NA",[1]Sheet2!CF289)</f>
        <v>78</v>
      </c>
      <c r="BY290" s="14">
        <f>IF([1]Sheet2!CG289=999999,"NA",[1]Sheet2!CG289)</f>
        <v>0</v>
      </c>
      <c r="BZ290" s="14">
        <f>IF([1]Sheet2!CH289=999999,"NA",[1]Sheet2!CH289)</f>
        <v>78</v>
      </c>
      <c r="CA290" s="14">
        <f>IF([1]Sheet2!CI289=999999,"NA",[1]Sheet2!CI289)</f>
        <v>78</v>
      </c>
      <c r="CB290" s="14">
        <f>IF([1]Sheet2!CJ289=999999,"NA",[1]Sheet2!CJ289)</f>
        <v>78</v>
      </c>
      <c r="CC290" s="14">
        <f>[1]Sheet2!BG289</f>
        <v>0</v>
      </c>
      <c r="CD290" s="14">
        <f>[1]Sheet2!BH289</f>
        <v>0</v>
      </c>
      <c r="CE290" s="14">
        <f>[1]Sheet2!BI289</f>
        <v>0</v>
      </c>
      <c r="CF290" s="14">
        <f>[1]Sheet2!BJ289</f>
        <v>0</v>
      </c>
      <c r="CG290" s="14">
        <f>[1]Sheet2!BK289</f>
        <v>0</v>
      </c>
      <c r="CH290" s="14">
        <f>[1]Sheet2!BL289</f>
        <v>0</v>
      </c>
      <c r="CI290" s="14">
        <f>[1]Sheet2!BM289</f>
        <v>0</v>
      </c>
      <c r="CJ290" s="14">
        <f>[1]Sheet2!BN289</f>
        <v>0</v>
      </c>
      <c r="CK290" s="14">
        <f>[1]Sheet2!BO289</f>
        <v>0</v>
      </c>
      <c r="CL290" s="14">
        <f>[1]Sheet2!BP289</f>
        <v>0</v>
      </c>
      <c r="CM290" s="16">
        <f>Demand_SW!B$12/31</f>
        <v>139.57816377171216</v>
      </c>
      <c r="CN290" s="16">
        <f>Demand_SW!C$12/31</f>
        <v>0</v>
      </c>
      <c r="CO290" s="16">
        <f>Demand_SW!D$12/31</f>
        <v>0</v>
      </c>
      <c r="CP290" s="16">
        <f>Demand_SW!E$12/31</f>
        <v>0</v>
      </c>
      <c r="CQ290" s="16">
        <f>Demand_SW!F$12/31</f>
        <v>0</v>
      </c>
      <c r="CR290" s="16">
        <f>Demand_SW!G$12/31</f>
        <v>139.57816377171216</v>
      </c>
      <c r="CS290" s="16">
        <f>Demand_SW!H$12/31</f>
        <v>0</v>
      </c>
      <c r="CT290" s="16">
        <f>Demand_SW!I$12/31</f>
        <v>0</v>
      </c>
      <c r="CU290" s="16">
        <f>Demand_SW!J$12/31</f>
        <v>0</v>
      </c>
      <c r="CV290" s="16">
        <f>Demand_SW!K$12/31</f>
        <v>0</v>
      </c>
      <c r="CW290" s="16">
        <f t="shared" si="143"/>
        <v>61998.2133995037</v>
      </c>
      <c r="CX290" s="16">
        <f t="shared" si="144"/>
        <v>20683.923076923078</v>
      </c>
      <c r="CY290" s="16">
        <f t="shared" si="145"/>
        <v>0</v>
      </c>
      <c r="CZ290" s="16">
        <f t="shared" si="146"/>
        <v>0</v>
      </c>
      <c r="DA290" s="16">
        <f t="shared" si="147"/>
        <v>0</v>
      </c>
      <c r="DB290" s="16">
        <f t="shared" si="148"/>
        <v>-37531.017369727037</v>
      </c>
      <c r="DC290" s="16">
        <f t="shared" si="149"/>
        <v>20683.923076923078</v>
      </c>
      <c r="DD290" s="16">
        <f t="shared" si="150"/>
        <v>0</v>
      </c>
      <c r="DE290" s="16">
        <f t="shared" si="151"/>
        <v>0</v>
      </c>
      <c r="DF290" s="16">
        <f t="shared" si="152"/>
        <v>0</v>
      </c>
      <c r="DG290" s="14">
        <f>IF([1]Sheet2!DR289=999999,"NA",[1]Sheet2!DR289)</f>
        <v>73103</v>
      </c>
      <c r="DH290" s="14">
        <f>IF([1]Sheet2!DS289=999999,"NA",[1]Sheet2!DS289)</f>
        <v>78</v>
      </c>
      <c r="DI290" s="14">
        <f>IF([1]Sheet2!DT289=999999,"NA",[1]Sheet2!DT289)</f>
        <v>78</v>
      </c>
      <c r="DJ290" s="14" t="str">
        <f>IF([1]Sheet2!DU289=999999,"NA",[1]Sheet2!DU289)</f>
        <v>NA</v>
      </c>
      <c r="DK290" s="14" t="str">
        <f>IF([1]Sheet2!DV289=999999,"NA",[1]Sheet2!DV289)</f>
        <v>NA</v>
      </c>
      <c r="DL290" s="14" t="str">
        <f>IF([1]Sheet2!DW289=999999,"NA",[1]Sheet2!DW289)</f>
        <v>NA</v>
      </c>
      <c r="DM290" s="14">
        <f>IF([1]Sheet2!DX289=999999,"NA",[1]Sheet2!DX289)</f>
        <v>78</v>
      </c>
      <c r="DN290" s="14">
        <f>IF([1]Sheet2!DY289=999999,"NA",[1]Sheet2!DY289)</f>
        <v>78</v>
      </c>
      <c r="DO290" s="14" t="str">
        <f>IF([1]Sheet2!DZ289=999999,"NA",[1]Sheet2!DZ289)</f>
        <v>NA</v>
      </c>
      <c r="DP290" s="14" t="str">
        <f>IF([1]Sheet2!EA289=999999,"NA",[1]Sheet2!EA289)</f>
        <v>NA</v>
      </c>
      <c r="DQ290" s="14">
        <f>[1]Sheet2!CX289</f>
        <v>0</v>
      </c>
      <c r="DR290" s="14">
        <f>[1]Sheet2!CY289</f>
        <v>0</v>
      </c>
      <c r="DS290" s="14">
        <f>[1]Sheet2!CZ289</f>
        <v>0</v>
      </c>
      <c r="DT290" s="14">
        <f>[1]Sheet2!DA289</f>
        <v>0</v>
      </c>
      <c r="DU290" s="14">
        <f>[1]Sheet2!DB289</f>
        <v>0</v>
      </c>
      <c r="DV290" s="14">
        <f>[1]Sheet2!DC289</f>
        <v>0</v>
      </c>
      <c r="DW290" s="14">
        <f>[1]Sheet2!DD289</f>
        <v>0</v>
      </c>
      <c r="DX290" s="14">
        <f>[1]Sheet2!DE289</f>
        <v>0</v>
      </c>
      <c r="DY290" s="14">
        <f>[1]Sheet2!DF289</f>
        <v>0</v>
      </c>
      <c r="DZ290" s="14">
        <f>[1]Sheet2!DG289</f>
        <v>0</v>
      </c>
    </row>
    <row r="291" spans="1:130" x14ac:dyDescent="0.25">
      <c r="A291" s="15">
        <v>43753</v>
      </c>
      <c r="B291" s="1"/>
      <c r="C291" s="1"/>
      <c r="D291" s="1"/>
      <c r="E291" s="14">
        <f>[1]Sheet2!N290</f>
        <v>0</v>
      </c>
      <c r="F291" s="14">
        <f>[1]Sheet2!BE290</f>
        <v>0</v>
      </c>
      <c r="G291" s="14">
        <f>[1]Sheet2!CV290</f>
        <v>279.15632754342431</v>
      </c>
      <c r="H291" s="1"/>
      <c r="I291" s="1"/>
      <c r="J291" s="1"/>
      <c r="K291" s="16">
        <f>Demand_CWRS!B$12/31</f>
        <v>113.31027191894128</v>
      </c>
      <c r="L291" s="16">
        <f>Demand_CWRS!C$12/31</f>
        <v>480.06765922249781</v>
      </c>
      <c r="M291" s="16">
        <f>Demand_CWRS!D$12/31</f>
        <v>0</v>
      </c>
      <c r="N291" s="16">
        <f>Demand_CWRS!E$12/31</f>
        <v>103.22435897435898</v>
      </c>
      <c r="O291" s="16">
        <f>Demand_CWRS!F$12/31</f>
        <v>209.74544820099254</v>
      </c>
      <c r="P291" s="16">
        <f>Demand_CWRS!G$12/31</f>
        <v>113.31027191894128</v>
      </c>
      <c r="Q291" s="16">
        <f>Demand_CWRS!H$12/31</f>
        <v>480.06765922249781</v>
      </c>
      <c r="R291" s="16">
        <f>Demand_CWRS!I$12/31</f>
        <v>209.74544820099254</v>
      </c>
      <c r="S291" s="16">
        <f>Demand_CWRS!J$12/31</f>
        <v>209.74544820099254</v>
      </c>
      <c r="T291" s="16">
        <f>Demand_CWRS!K$12/31</f>
        <v>209.74544820099254</v>
      </c>
      <c r="U291" s="16">
        <f t="shared" si="123"/>
        <v>-37675.650231565196</v>
      </c>
      <c r="V291" s="16">
        <f t="shared" si="124"/>
        <v>-136204.6687344909</v>
      </c>
      <c r="W291" s="16">
        <f t="shared" si="125"/>
        <v>0</v>
      </c>
      <c r="X291" s="16">
        <f t="shared" si="126"/>
        <v>-31803.840652385508</v>
      </c>
      <c r="Y291" s="16">
        <f t="shared" si="127"/>
        <v>-62360.388266142174</v>
      </c>
      <c r="Z291" s="16">
        <f t="shared" si="128"/>
        <v>-37278.71770752679</v>
      </c>
      <c r="AA291" s="16">
        <f t="shared" si="129"/>
        <v>-135704.6687344909</v>
      </c>
      <c r="AB291" s="16">
        <f t="shared" si="130"/>
        <v>-59876.542785372891</v>
      </c>
      <c r="AC291" s="16">
        <f t="shared" si="131"/>
        <v>-59876.542785372883</v>
      </c>
      <c r="AD291" s="16">
        <f t="shared" si="132"/>
        <v>-60576.542785372876</v>
      </c>
      <c r="AE291" s="14">
        <f>IF([1]Sheet2!AJ290=999999,"NA",[1]Sheet2!AJ290)</f>
        <v>0</v>
      </c>
      <c r="AF291" s="14">
        <f>IF([1]Sheet2!AK290=999999,"NA",[1]Sheet2!AK290)</f>
        <v>0</v>
      </c>
      <c r="AG291" s="14" t="str">
        <f>IF([1]Sheet2!AL290=999999,"NA",[1]Sheet2!AL290)</f>
        <v>NA</v>
      </c>
      <c r="AH291" s="14">
        <f>IF([1]Sheet2!AM290=999999,"NA",[1]Sheet2!AM290)</f>
        <v>77</v>
      </c>
      <c r="AI291" s="14">
        <f>IF([1]Sheet2!AN290=999999,"NA",[1]Sheet2!AN290)</f>
        <v>77</v>
      </c>
      <c r="AJ291" s="14">
        <f>IF([1]Sheet2!AO290=999999,"NA",[1]Sheet2!AO290)</f>
        <v>77</v>
      </c>
      <c r="AK291" s="14">
        <f>IF([1]Sheet2!AP290=999999,"NA",[1]Sheet2!AP290)</f>
        <v>0</v>
      </c>
      <c r="AL291" s="14">
        <f>IF([1]Sheet2!AQ290=999999,"NA",[1]Sheet2!AQ290)</f>
        <v>0</v>
      </c>
      <c r="AM291" s="14">
        <f>IF([1]Sheet2!AR290=999999,"NA",[1]Sheet2!AR290)</f>
        <v>77</v>
      </c>
      <c r="AN291" s="14">
        <f>IF([1]Sheet2!AS290=999999,"NA",[1]Sheet2!AS290)</f>
        <v>28</v>
      </c>
      <c r="AO291" s="14">
        <f>[1]Sheet2!P290</f>
        <v>0</v>
      </c>
      <c r="AP291" s="14">
        <f>[1]Sheet2!Q290</f>
        <v>0</v>
      </c>
      <c r="AQ291" s="14">
        <f>[1]Sheet2!R290</f>
        <v>0</v>
      </c>
      <c r="AR291" s="14">
        <f>[1]Sheet2!S290</f>
        <v>0</v>
      </c>
      <c r="AS291" s="14">
        <f>[1]Sheet2!T290</f>
        <v>0</v>
      </c>
      <c r="AT291" s="14">
        <f>[1]Sheet2!U290</f>
        <v>0</v>
      </c>
      <c r="AU291" s="14">
        <f>[1]Sheet2!V290</f>
        <v>0</v>
      </c>
      <c r="AV291" s="14">
        <f>[1]Sheet2!W290</f>
        <v>0</v>
      </c>
      <c r="AW291" s="14">
        <f>[1]Sheet2!X290</f>
        <v>0</v>
      </c>
      <c r="AX291" s="14">
        <f>[1]Sheet2!Y290</f>
        <v>0</v>
      </c>
      <c r="AY291" s="16">
        <f>Demand_LP!B$12/31</f>
        <v>866.47279518196865</v>
      </c>
      <c r="AZ291" s="16">
        <f>Demand_LP!C$12/31</f>
        <v>577.62712985938799</v>
      </c>
      <c r="BA291" s="16">
        <f>Demand_LP!D$12/31</f>
        <v>262.18502894954509</v>
      </c>
      <c r="BB291" s="16">
        <f>Demand_LP!E$12/31</f>
        <v>766.03229942100904</v>
      </c>
      <c r="BC291" s="16">
        <f>Demand_LP!F$12/31</f>
        <v>516.10499638130682</v>
      </c>
      <c r="BD291" s="16">
        <f>Demand_LP!G$12/31</f>
        <v>866.47279518196865</v>
      </c>
      <c r="BE291" s="16">
        <f>Demand_LP!H$12/31</f>
        <v>577.62712985938799</v>
      </c>
      <c r="BF291" s="16">
        <f>Demand_LP!I$12/31</f>
        <v>516.10499638130682</v>
      </c>
      <c r="BG291" s="16">
        <f>Demand_LP!J$12/31</f>
        <v>516.10499638130682</v>
      </c>
      <c r="BH291" s="16">
        <f>Demand_LP!K$12/31</f>
        <v>516.10499638130682</v>
      </c>
      <c r="BI291" s="16" t="e">
        <f t="shared" si="133"/>
        <v>#VALUE!</v>
      </c>
      <c r="BJ291" s="16">
        <f t="shared" si="134"/>
        <v>-163763.47105045471</v>
      </c>
      <c r="BK291" s="16">
        <f t="shared" si="135"/>
        <v>-84005.516459884384</v>
      </c>
      <c r="BL291" s="16">
        <f t="shared" si="136"/>
        <v>-216323.95498790639</v>
      </c>
      <c r="BM291" s="16">
        <f t="shared" si="137"/>
        <v>-129817.61243760549</v>
      </c>
      <c r="BN291" s="16">
        <f t="shared" si="138"/>
        <v>-224921.02959336137</v>
      </c>
      <c r="BO291" s="16">
        <f t="shared" si="139"/>
        <v>-166121.0505376345</v>
      </c>
      <c r="BP291" s="16">
        <f t="shared" si="140"/>
        <v>-130929.2963559761</v>
      </c>
      <c r="BQ291" s="16">
        <f t="shared" si="141"/>
        <v>-127919.29635597614</v>
      </c>
      <c r="BR291" s="16">
        <f t="shared" si="142"/>
        <v>-129119.2963559761</v>
      </c>
      <c r="BS291" s="14">
        <f>IF([1]Sheet2!CA290=999999,"NA",[1]Sheet2!CA290)</f>
        <v>87359.703644024063</v>
      </c>
      <c r="BT291" s="14">
        <f>IF([1]Sheet2!CB290=999999,"NA",[1]Sheet2!CB290)</f>
        <v>7</v>
      </c>
      <c r="BU291" s="14">
        <f>IF([1]Sheet2!CC290=999999,"NA",[1]Sheet2!CC290)</f>
        <v>77</v>
      </c>
      <c r="BV291" s="14">
        <f>IF([1]Sheet2!CD290=999999,"NA",[1]Sheet2!CD290)</f>
        <v>77</v>
      </c>
      <c r="BW291" s="14">
        <f>IF([1]Sheet2!CE290=999999,"NA",[1]Sheet2!CE290)</f>
        <v>46</v>
      </c>
      <c r="BX291" s="14">
        <f>IF([1]Sheet2!CF290=999999,"NA",[1]Sheet2!CF290)</f>
        <v>77</v>
      </c>
      <c r="BY291" s="14">
        <f>IF([1]Sheet2!CG290=999999,"NA",[1]Sheet2!CG290)</f>
        <v>0</v>
      </c>
      <c r="BZ291" s="14">
        <f>IF([1]Sheet2!CH290=999999,"NA",[1]Sheet2!CH290)</f>
        <v>77</v>
      </c>
      <c r="CA291" s="14">
        <f>IF([1]Sheet2!CI290=999999,"NA",[1]Sheet2!CI290)</f>
        <v>77</v>
      </c>
      <c r="CB291" s="14">
        <f>IF([1]Sheet2!CJ290=999999,"NA",[1]Sheet2!CJ290)</f>
        <v>77</v>
      </c>
      <c r="CC291" s="14">
        <f>[1]Sheet2!BG290</f>
        <v>0</v>
      </c>
      <c r="CD291" s="14">
        <f>[1]Sheet2!BH290</f>
        <v>0</v>
      </c>
      <c r="CE291" s="14">
        <f>[1]Sheet2!BI290</f>
        <v>0</v>
      </c>
      <c r="CF291" s="14">
        <f>[1]Sheet2!BJ290</f>
        <v>0</v>
      </c>
      <c r="CG291" s="14">
        <f>[1]Sheet2!BK290</f>
        <v>0</v>
      </c>
      <c r="CH291" s="14">
        <f>[1]Sheet2!BL290</f>
        <v>0</v>
      </c>
      <c r="CI291" s="14">
        <f>[1]Sheet2!BM290</f>
        <v>0</v>
      </c>
      <c r="CJ291" s="14">
        <f>[1]Sheet2!BN290</f>
        <v>0</v>
      </c>
      <c r="CK291" s="14">
        <f>[1]Sheet2!BO290</f>
        <v>0</v>
      </c>
      <c r="CL291" s="14">
        <f>[1]Sheet2!BP290</f>
        <v>0</v>
      </c>
      <c r="CM291" s="16">
        <f>Demand_SW!B$12/31</f>
        <v>139.57816377171216</v>
      </c>
      <c r="CN291" s="16">
        <f>Demand_SW!C$12/31</f>
        <v>0</v>
      </c>
      <c r="CO291" s="16">
        <f>Demand_SW!D$12/31</f>
        <v>0</v>
      </c>
      <c r="CP291" s="16">
        <f>Demand_SW!E$12/31</f>
        <v>0</v>
      </c>
      <c r="CQ291" s="16">
        <f>Demand_SW!F$12/31</f>
        <v>0</v>
      </c>
      <c r="CR291" s="16">
        <f>Demand_SW!G$12/31</f>
        <v>139.57816377171216</v>
      </c>
      <c r="CS291" s="16">
        <f>Demand_SW!H$12/31</f>
        <v>0</v>
      </c>
      <c r="CT291" s="16">
        <f>Demand_SW!I$12/31</f>
        <v>0</v>
      </c>
      <c r="CU291" s="16">
        <f>Demand_SW!J$12/31</f>
        <v>0</v>
      </c>
      <c r="CV291" s="16">
        <f>Demand_SW!K$12/31</f>
        <v>0</v>
      </c>
      <c r="CW291" s="16">
        <f t="shared" si="143"/>
        <v>61858.635235731985</v>
      </c>
      <c r="CX291" s="16">
        <f t="shared" si="144"/>
        <v>20683.923076923078</v>
      </c>
      <c r="CY291" s="16">
        <f t="shared" si="145"/>
        <v>0</v>
      </c>
      <c r="CZ291" s="16">
        <f t="shared" si="146"/>
        <v>0</v>
      </c>
      <c r="DA291" s="16">
        <f t="shared" si="147"/>
        <v>0</v>
      </c>
      <c r="DB291" s="16">
        <f t="shared" si="148"/>
        <v>-37670.595533498752</v>
      </c>
      <c r="DC291" s="16">
        <f t="shared" si="149"/>
        <v>20683.923076923078</v>
      </c>
      <c r="DD291" s="16">
        <f t="shared" si="150"/>
        <v>0</v>
      </c>
      <c r="DE291" s="16">
        <f t="shared" si="151"/>
        <v>0</v>
      </c>
      <c r="DF291" s="16">
        <f t="shared" si="152"/>
        <v>0</v>
      </c>
      <c r="DG291" s="14">
        <f>IF([1]Sheet2!DR290=999999,"NA",[1]Sheet2!DR290)</f>
        <v>73103</v>
      </c>
      <c r="DH291" s="14">
        <f>IF([1]Sheet2!DS290=999999,"NA",[1]Sheet2!DS290)</f>
        <v>77</v>
      </c>
      <c r="DI291" s="14">
        <f>IF([1]Sheet2!DT290=999999,"NA",[1]Sheet2!DT290)</f>
        <v>77</v>
      </c>
      <c r="DJ291" s="14" t="str">
        <f>IF([1]Sheet2!DU290=999999,"NA",[1]Sheet2!DU290)</f>
        <v>NA</v>
      </c>
      <c r="DK291" s="14" t="str">
        <f>IF([1]Sheet2!DV290=999999,"NA",[1]Sheet2!DV290)</f>
        <v>NA</v>
      </c>
      <c r="DL291" s="14" t="str">
        <f>IF([1]Sheet2!DW290=999999,"NA",[1]Sheet2!DW290)</f>
        <v>NA</v>
      </c>
      <c r="DM291" s="14">
        <f>IF([1]Sheet2!DX290=999999,"NA",[1]Sheet2!DX290)</f>
        <v>77</v>
      </c>
      <c r="DN291" s="14">
        <f>IF([1]Sheet2!DY290=999999,"NA",[1]Sheet2!DY290)</f>
        <v>77</v>
      </c>
      <c r="DO291" s="14" t="str">
        <f>IF([1]Sheet2!DZ290=999999,"NA",[1]Sheet2!DZ290)</f>
        <v>NA</v>
      </c>
      <c r="DP291" s="14" t="str">
        <f>IF([1]Sheet2!EA290=999999,"NA",[1]Sheet2!EA290)</f>
        <v>NA</v>
      </c>
      <c r="DQ291" s="14">
        <f>[1]Sheet2!CX290</f>
        <v>0</v>
      </c>
      <c r="DR291" s="14">
        <f>[1]Sheet2!CY290</f>
        <v>0</v>
      </c>
      <c r="DS291" s="14">
        <f>[1]Sheet2!CZ290</f>
        <v>0</v>
      </c>
      <c r="DT291" s="14">
        <f>[1]Sheet2!DA290</f>
        <v>0</v>
      </c>
      <c r="DU291" s="14">
        <f>[1]Sheet2!DB290</f>
        <v>0</v>
      </c>
      <c r="DV291" s="14">
        <f>[1]Sheet2!DC290</f>
        <v>0</v>
      </c>
      <c r="DW291" s="14">
        <f>[1]Sheet2!DD290</f>
        <v>0</v>
      </c>
      <c r="DX291" s="14">
        <f>[1]Sheet2!DE290</f>
        <v>0</v>
      </c>
      <c r="DY291" s="14">
        <f>[1]Sheet2!DF290</f>
        <v>0</v>
      </c>
      <c r="DZ291" s="14">
        <f>[1]Sheet2!DG290</f>
        <v>0</v>
      </c>
    </row>
    <row r="292" spans="1:130" x14ac:dyDescent="0.25">
      <c r="A292" s="15">
        <v>43754</v>
      </c>
      <c r="B292" s="1"/>
      <c r="C292" s="1"/>
      <c r="D292" s="1"/>
      <c r="E292" s="14">
        <f>[1]Sheet2!N291</f>
        <v>0</v>
      </c>
      <c r="F292" s="14">
        <f>[1]Sheet2!BE291</f>
        <v>0</v>
      </c>
      <c r="G292" s="14">
        <f>[1]Sheet2!CV291</f>
        <v>279.15632754342431</v>
      </c>
      <c r="H292" s="1"/>
      <c r="I292" s="1"/>
      <c r="J292" s="1"/>
      <c r="K292" s="16">
        <f>Demand_CWRS!B$12/31</f>
        <v>113.31027191894128</v>
      </c>
      <c r="L292" s="16">
        <f>Demand_CWRS!C$12/31</f>
        <v>480.06765922249781</v>
      </c>
      <c r="M292" s="16">
        <f>Demand_CWRS!D$12/31</f>
        <v>0</v>
      </c>
      <c r="N292" s="16">
        <f>Demand_CWRS!E$12/31</f>
        <v>103.22435897435898</v>
      </c>
      <c r="O292" s="16">
        <f>Demand_CWRS!F$12/31</f>
        <v>209.74544820099254</v>
      </c>
      <c r="P292" s="16">
        <f>Demand_CWRS!G$12/31</f>
        <v>113.31027191894128</v>
      </c>
      <c r="Q292" s="16">
        <f>Demand_CWRS!H$12/31</f>
        <v>480.06765922249781</v>
      </c>
      <c r="R292" s="16">
        <f>Demand_CWRS!I$12/31</f>
        <v>209.74544820099254</v>
      </c>
      <c r="S292" s="16">
        <f>Demand_CWRS!J$12/31</f>
        <v>209.74544820099254</v>
      </c>
      <c r="T292" s="16">
        <f>Demand_CWRS!K$12/31</f>
        <v>209.74544820099254</v>
      </c>
      <c r="U292" s="16">
        <f t="shared" si="123"/>
        <v>-37788.960503484137</v>
      </c>
      <c r="V292" s="16">
        <f t="shared" si="124"/>
        <v>-136684.73639371339</v>
      </c>
      <c r="W292" s="16">
        <f t="shared" si="125"/>
        <v>0</v>
      </c>
      <c r="X292" s="16">
        <f t="shared" si="126"/>
        <v>-31907.065011359868</v>
      </c>
      <c r="Y292" s="16">
        <f t="shared" si="127"/>
        <v>-62570.133714343167</v>
      </c>
      <c r="Z292" s="16">
        <f t="shared" si="128"/>
        <v>-37392.027979445731</v>
      </c>
      <c r="AA292" s="16">
        <f t="shared" si="129"/>
        <v>-136184.73639371339</v>
      </c>
      <c r="AB292" s="16">
        <f t="shared" si="130"/>
        <v>-60086.288233573883</v>
      </c>
      <c r="AC292" s="16">
        <f t="shared" si="131"/>
        <v>-60086.288233573876</v>
      </c>
      <c r="AD292" s="16">
        <f t="shared" si="132"/>
        <v>-60786.288233573869</v>
      </c>
      <c r="AE292" s="14">
        <f>IF([1]Sheet2!AJ291=999999,"NA",[1]Sheet2!AJ291)</f>
        <v>0</v>
      </c>
      <c r="AF292" s="14">
        <f>IF([1]Sheet2!AK291=999999,"NA",[1]Sheet2!AK291)</f>
        <v>0</v>
      </c>
      <c r="AG292" s="14" t="str">
        <f>IF([1]Sheet2!AL291=999999,"NA",[1]Sheet2!AL291)</f>
        <v>NA</v>
      </c>
      <c r="AH292" s="14">
        <f>IF([1]Sheet2!AM291=999999,"NA",[1]Sheet2!AM291)</f>
        <v>76</v>
      </c>
      <c r="AI292" s="14">
        <f>IF([1]Sheet2!AN291=999999,"NA",[1]Sheet2!AN291)</f>
        <v>76</v>
      </c>
      <c r="AJ292" s="14">
        <f>IF([1]Sheet2!AO291=999999,"NA",[1]Sheet2!AO291)</f>
        <v>76</v>
      </c>
      <c r="AK292" s="14">
        <f>IF([1]Sheet2!AP291=999999,"NA",[1]Sheet2!AP291)</f>
        <v>0</v>
      </c>
      <c r="AL292" s="14">
        <f>IF([1]Sheet2!AQ291=999999,"NA",[1]Sheet2!AQ291)</f>
        <v>0</v>
      </c>
      <c r="AM292" s="14">
        <f>IF([1]Sheet2!AR291=999999,"NA",[1]Sheet2!AR291)</f>
        <v>76</v>
      </c>
      <c r="AN292" s="14">
        <f>IF([1]Sheet2!AS291=999999,"NA",[1]Sheet2!AS291)</f>
        <v>27</v>
      </c>
      <c r="AO292" s="14">
        <f>[1]Sheet2!P291</f>
        <v>0</v>
      </c>
      <c r="AP292" s="14">
        <f>[1]Sheet2!Q291</f>
        <v>0</v>
      </c>
      <c r="AQ292" s="14">
        <f>[1]Sheet2!R291</f>
        <v>0</v>
      </c>
      <c r="AR292" s="14">
        <f>[1]Sheet2!S291</f>
        <v>0</v>
      </c>
      <c r="AS292" s="14">
        <f>[1]Sheet2!T291</f>
        <v>0</v>
      </c>
      <c r="AT292" s="14">
        <f>[1]Sheet2!U291</f>
        <v>0</v>
      </c>
      <c r="AU292" s="14">
        <f>[1]Sheet2!V291</f>
        <v>0</v>
      </c>
      <c r="AV292" s="14">
        <f>[1]Sheet2!W291</f>
        <v>0</v>
      </c>
      <c r="AW292" s="14">
        <f>[1]Sheet2!X291</f>
        <v>0</v>
      </c>
      <c r="AX292" s="14">
        <f>[1]Sheet2!Y291</f>
        <v>0</v>
      </c>
      <c r="AY292" s="16">
        <f>Demand_LP!B$12/31</f>
        <v>866.47279518196865</v>
      </c>
      <c r="AZ292" s="16">
        <f>Demand_LP!C$12/31</f>
        <v>577.62712985938799</v>
      </c>
      <c r="BA292" s="16">
        <f>Demand_LP!D$12/31</f>
        <v>262.18502894954509</v>
      </c>
      <c r="BB292" s="16">
        <f>Demand_LP!E$12/31</f>
        <v>766.03229942100904</v>
      </c>
      <c r="BC292" s="16">
        <f>Demand_LP!F$12/31</f>
        <v>516.10499638130682</v>
      </c>
      <c r="BD292" s="16">
        <f>Demand_LP!G$12/31</f>
        <v>866.47279518196865</v>
      </c>
      <c r="BE292" s="16">
        <f>Demand_LP!H$12/31</f>
        <v>577.62712985938799</v>
      </c>
      <c r="BF292" s="16">
        <f>Demand_LP!I$12/31</f>
        <v>516.10499638130682</v>
      </c>
      <c r="BG292" s="16">
        <f>Demand_LP!J$12/31</f>
        <v>516.10499638130682</v>
      </c>
      <c r="BH292" s="16">
        <f>Demand_LP!K$12/31</f>
        <v>516.10499638130682</v>
      </c>
      <c r="BI292" s="16" t="e">
        <f t="shared" si="133"/>
        <v>#VALUE!</v>
      </c>
      <c r="BJ292" s="16">
        <f t="shared" si="134"/>
        <v>-164341.09818031409</v>
      </c>
      <c r="BK292" s="16">
        <f t="shared" si="135"/>
        <v>-84267.701488833933</v>
      </c>
      <c r="BL292" s="16">
        <f t="shared" si="136"/>
        <v>-217089.98728732739</v>
      </c>
      <c r="BM292" s="16">
        <f t="shared" si="137"/>
        <v>-130333.71743398681</v>
      </c>
      <c r="BN292" s="16">
        <f t="shared" si="138"/>
        <v>-225787.50238854333</v>
      </c>
      <c r="BO292" s="16">
        <f t="shared" si="139"/>
        <v>-166698.67766749387</v>
      </c>
      <c r="BP292" s="16">
        <f t="shared" si="140"/>
        <v>-131445.40135235741</v>
      </c>
      <c r="BQ292" s="16">
        <f t="shared" si="141"/>
        <v>-128435.40135235745</v>
      </c>
      <c r="BR292" s="16">
        <f t="shared" si="142"/>
        <v>-129635.40135235741</v>
      </c>
      <c r="BS292" s="14">
        <f>IF([1]Sheet2!CA291=999999,"NA",[1]Sheet2!CA291)</f>
        <v>86843.59864764275</v>
      </c>
      <c r="BT292" s="14">
        <f>IF([1]Sheet2!CB291=999999,"NA",[1]Sheet2!CB291)</f>
        <v>6</v>
      </c>
      <c r="BU292" s="14">
        <f>IF([1]Sheet2!CC291=999999,"NA",[1]Sheet2!CC291)</f>
        <v>76</v>
      </c>
      <c r="BV292" s="14">
        <f>IF([1]Sheet2!CD291=999999,"NA",[1]Sheet2!CD291)</f>
        <v>76</v>
      </c>
      <c r="BW292" s="14">
        <f>IF([1]Sheet2!CE291=999999,"NA",[1]Sheet2!CE291)</f>
        <v>45</v>
      </c>
      <c r="BX292" s="14">
        <f>IF([1]Sheet2!CF291=999999,"NA",[1]Sheet2!CF291)</f>
        <v>76</v>
      </c>
      <c r="BY292" s="14">
        <f>IF([1]Sheet2!CG291=999999,"NA",[1]Sheet2!CG291)</f>
        <v>0</v>
      </c>
      <c r="BZ292" s="14">
        <f>IF([1]Sheet2!CH291=999999,"NA",[1]Sheet2!CH291)</f>
        <v>76</v>
      </c>
      <c r="CA292" s="14">
        <f>IF([1]Sheet2!CI291=999999,"NA",[1]Sheet2!CI291)</f>
        <v>76</v>
      </c>
      <c r="CB292" s="14">
        <f>IF([1]Sheet2!CJ291=999999,"NA",[1]Sheet2!CJ291)</f>
        <v>76</v>
      </c>
      <c r="CC292" s="14">
        <f>[1]Sheet2!BG291</f>
        <v>0</v>
      </c>
      <c r="CD292" s="14">
        <f>[1]Sheet2!BH291</f>
        <v>0</v>
      </c>
      <c r="CE292" s="14">
        <f>[1]Sheet2!BI291</f>
        <v>0</v>
      </c>
      <c r="CF292" s="14">
        <f>[1]Sheet2!BJ291</f>
        <v>0</v>
      </c>
      <c r="CG292" s="14">
        <f>[1]Sheet2!BK291</f>
        <v>0</v>
      </c>
      <c r="CH292" s="14">
        <f>[1]Sheet2!BL291</f>
        <v>0</v>
      </c>
      <c r="CI292" s="14">
        <f>[1]Sheet2!BM291</f>
        <v>0</v>
      </c>
      <c r="CJ292" s="14">
        <f>[1]Sheet2!BN291</f>
        <v>0</v>
      </c>
      <c r="CK292" s="14">
        <f>[1]Sheet2!BO291</f>
        <v>0</v>
      </c>
      <c r="CL292" s="14">
        <f>[1]Sheet2!BP291</f>
        <v>0</v>
      </c>
      <c r="CM292" s="16">
        <f>Demand_SW!B$12/31</f>
        <v>139.57816377171216</v>
      </c>
      <c r="CN292" s="16">
        <f>Demand_SW!C$12/31</f>
        <v>0</v>
      </c>
      <c r="CO292" s="16">
        <f>Demand_SW!D$12/31</f>
        <v>0</v>
      </c>
      <c r="CP292" s="16">
        <f>Demand_SW!E$12/31</f>
        <v>0</v>
      </c>
      <c r="CQ292" s="16">
        <f>Demand_SW!F$12/31</f>
        <v>0</v>
      </c>
      <c r="CR292" s="16">
        <f>Demand_SW!G$12/31</f>
        <v>139.57816377171216</v>
      </c>
      <c r="CS292" s="16">
        <f>Demand_SW!H$12/31</f>
        <v>0</v>
      </c>
      <c r="CT292" s="16">
        <f>Demand_SW!I$12/31</f>
        <v>0</v>
      </c>
      <c r="CU292" s="16">
        <f>Demand_SW!J$12/31</f>
        <v>0</v>
      </c>
      <c r="CV292" s="16">
        <f>Demand_SW!K$12/31</f>
        <v>0</v>
      </c>
      <c r="CW292" s="16">
        <f t="shared" si="143"/>
        <v>61719.057071960269</v>
      </c>
      <c r="CX292" s="16">
        <f t="shared" si="144"/>
        <v>20683.923076923078</v>
      </c>
      <c r="CY292" s="16">
        <f t="shared" si="145"/>
        <v>0</v>
      </c>
      <c r="CZ292" s="16">
        <f t="shared" si="146"/>
        <v>0</v>
      </c>
      <c r="DA292" s="16">
        <f t="shared" si="147"/>
        <v>0</v>
      </c>
      <c r="DB292" s="16">
        <f t="shared" si="148"/>
        <v>-37810.173697270468</v>
      </c>
      <c r="DC292" s="16">
        <f t="shared" si="149"/>
        <v>20683.923076923078</v>
      </c>
      <c r="DD292" s="16">
        <f t="shared" si="150"/>
        <v>0</v>
      </c>
      <c r="DE292" s="16">
        <f t="shared" si="151"/>
        <v>0</v>
      </c>
      <c r="DF292" s="16">
        <f t="shared" si="152"/>
        <v>0</v>
      </c>
      <c r="DG292" s="14">
        <f>IF([1]Sheet2!DR291=999999,"NA",[1]Sheet2!DR291)</f>
        <v>73103</v>
      </c>
      <c r="DH292" s="14">
        <f>IF([1]Sheet2!DS291=999999,"NA",[1]Sheet2!DS291)</f>
        <v>76</v>
      </c>
      <c r="DI292" s="14">
        <f>IF([1]Sheet2!DT291=999999,"NA",[1]Sheet2!DT291)</f>
        <v>76</v>
      </c>
      <c r="DJ292" s="14" t="str">
        <f>IF([1]Sheet2!DU291=999999,"NA",[1]Sheet2!DU291)</f>
        <v>NA</v>
      </c>
      <c r="DK292" s="14" t="str">
        <f>IF([1]Sheet2!DV291=999999,"NA",[1]Sheet2!DV291)</f>
        <v>NA</v>
      </c>
      <c r="DL292" s="14" t="str">
        <f>IF([1]Sheet2!DW291=999999,"NA",[1]Sheet2!DW291)</f>
        <v>NA</v>
      </c>
      <c r="DM292" s="14">
        <f>IF([1]Sheet2!DX291=999999,"NA",[1]Sheet2!DX291)</f>
        <v>76</v>
      </c>
      <c r="DN292" s="14">
        <f>IF([1]Sheet2!DY291=999999,"NA",[1]Sheet2!DY291)</f>
        <v>76</v>
      </c>
      <c r="DO292" s="14" t="str">
        <f>IF([1]Sheet2!DZ291=999999,"NA",[1]Sheet2!DZ291)</f>
        <v>NA</v>
      </c>
      <c r="DP292" s="14" t="str">
        <f>IF([1]Sheet2!EA291=999999,"NA",[1]Sheet2!EA291)</f>
        <v>NA</v>
      </c>
      <c r="DQ292" s="14">
        <f>[1]Sheet2!CX291</f>
        <v>0</v>
      </c>
      <c r="DR292" s="14">
        <f>[1]Sheet2!CY291</f>
        <v>0</v>
      </c>
      <c r="DS292" s="14">
        <f>[1]Sheet2!CZ291</f>
        <v>0</v>
      </c>
      <c r="DT292" s="14">
        <f>[1]Sheet2!DA291</f>
        <v>0</v>
      </c>
      <c r="DU292" s="14">
        <f>[1]Sheet2!DB291</f>
        <v>0</v>
      </c>
      <c r="DV292" s="14">
        <f>[1]Sheet2!DC291</f>
        <v>0</v>
      </c>
      <c r="DW292" s="14">
        <f>[1]Sheet2!DD291</f>
        <v>0</v>
      </c>
      <c r="DX292" s="14">
        <f>[1]Sheet2!DE291</f>
        <v>0</v>
      </c>
      <c r="DY292" s="14">
        <f>[1]Sheet2!DF291</f>
        <v>0</v>
      </c>
      <c r="DZ292" s="14">
        <f>[1]Sheet2!DG291</f>
        <v>0</v>
      </c>
    </row>
    <row r="293" spans="1:130" x14ac:dyDescent="0.25">
      <c r="A293" s="15">
        <v>43755</v>
      </c>
      <c r="B293" s="1"/>
      <c r="C293" s="1"/>
      <c r="D293" s="1"/>
      <c r="E293" s="14">
        <f>[1]Sheet2!N292</f>
        <v>0</v>
      </c>
      <c r="F293" s="14">
        <f>[1]Sheet2!BE292</f>
        <v>0</v>
      </c>
      <c r="G293" s="14">
        <f>[1]Sheet2!CV292</f>
        <v>279.15632754342431</v>
      </c>
      <c r="H293" s="1"/>
      <c r="I293" s="1"/>
      <c r="J293" s="1"/>
      <c r="K293" s="16">
        <f>Demand_CWRS!B$12/31</f>
        <v>113.31027191894128</v>
      </c>
      <c r="L293" s="16">
        <f>Demand_CWRS!C$12/31</f>
        <v>480.06765922249781</v>
      </c>
      <c r="M293" s="16">
        <f>Demand_CWRS!D$12/31</f>
        <v>0</v>
      </c>
      <c r="N293" s="16">
        <f>Demand_CWRS!E$12/31</f>
        <v>103.22435897435898</v>
      </c>
      <c r="O293" s="16">
        <f>Demand_CWRS!F$12/31</f>
        <v>209.74544820099254</v>
      </c>
      <c r="P293" s="16">
        <f>Demand_CWRS!G$12/31</f>
        <v>113.31027191894128</v>
      </c>
      <c r="Q293" s="16">
        <f>Demand_CWRS!H$12/31</f>
        <v>480.06765922249781</v>
      </c>
      <c r="R293" s="16">
        <f>Demand_CWRS!I$12/31</f>
        <v>209.74544820099254</v>
      </c>
      <c r="S293" s="16">
        <f>Demand_CWRS!J$12/31</f>
        <v>209.74544820099254</v>
      </c>
      <c r="T293" s="16">
        <f>Demand_CWRS!K$12/31</f>
        <v>209.74544820099254</v>
      </c>
      <c r="U293" s="16">
        <f t="shared" si="123"/>
        <v>-37902.270775403078</v>
      </c>
      <c r="V293" s="16">
        <f t="shared" si="124"/>
        <v>-137164.80405293588</v>
      </c>
      <c r="W293" s="16">
        <f t="shared" si="125"/>
        <v>0</v>
      </c>
      <c r="X293" s="16">
        <f t="shared" si="126"/>
        <v>-32010.289370334227</v>
      </c>
      <c r="Y293" s="16">
        <f t="shared" si="127"/>
        <v>-62779.879162544159</v>
      </c>
      <c r="Z293" s="16">
        <f t="shared" si="128"/>
        <v>-37505.338251364672</v>
      </c>
      <c r="AA293" s="16">
        <f t="shared" si="129"/>
        <v>-136664.80405293588</v>
      </c>
      <c r="AB293" s="16">
        <f t="shared" si="130"/>
        <v>-60296.033681774876</v>
      </c>
      <c r="AC293" s="16">
        <f t="shared" si="131"/>
        <v>-60296.033681774868</v>
      </c>
      <c r="AD293" s="16">
        <f t="shared" si="132"/>
        <v>-60996.033681774861</v>
      </c>
      <c r="AE293" s="14">
        <f>IF([1]Sheet2!AJ292=999999,"NA",[1]Sheet2!AJ292)</f>
        <v>0</v>
      </c>
      <c r="AF293" s="14">
        <f>IF([1]Sheet2!AK292=999999,"NA",[1]Sheet2!AK292)</f>
        <v>0</v>
      </c>
      <c r="AG293" s="14" t="str">
        <f>IF([1]Sheet2!AL292=999999,"NA",[1]Sheet2!AL292)</f>
        <v>NA</v>
      </c>
      <c r="AH293" s="14">
        <f>IF([1]Sheet2!AM292=999999,"NA",[1]Sheet2!AM292)</f>
        <v>75</v>
      </c>
      <c r="AI293" s="14">
        <f>IF([1]Sheet2!AN292=999999,"NA",[1]Sheet2!AN292)</f>
        <v>75</v>
      </c>
      <c r="AJ293" s="14">
        <f>IF([1]Sheet2!AO292=999999,"NA",[1]Sheet2!AO292)</f>
        <v>75</v>
      </c>
      <c r="AK293" s="14">
        <f>IF([1]Sheet2!AP292=999999,"NA",[1]Sheet2!AP292)</f>
        <v>0</v>
      </c>
      <c r="AL293" s="14">
        <f>IF([1]Sheet2!AQ292=999999,"NA",[1]Sheet2!AQ292)</f>
        <v>0</v>
      </c>
      <c r="AM293" s="14">
        <f>IF([1]Sheet2!AR292=999999,"NA",[1]Sheet2!AR292)</f>
        <v>75</v>
      </c>
      <c r="AN293" s="14">
        <f>IF([1]Sheet2!AS292=999999,"NA",[1]Sheet2!AS292)</f>
        <v>26</v>
      </c>
      <c r="AO293" s="14">
        <f>[1]Sheet2!P292</f>
        <v>0</v>
      </c>
      <c r="AP293" s="14">
        <f>[1]Sheet2!Q292</f>
        <v>0</v>
      </c>
      <c r="AQ293" s="14">
        <f>[1]Sheet2!R292</f>
        <v>0</v>
      </c>
      <c r="AR293" s="14">
        <f>[1]Sheet2!S292</f>
        <v>0</v>
      </c>
      <c r="AS293" s="14">
        <f>[1]Sheet2!T292</f>
        <v>0</v>
      </c>
      <c r="AT293" s="14">
        <f>[1]Sheet2!U292</f>
        <v>0</v>
      </c>
      <c r="AU293" s="14">
        <f>[1]Sheet2!V292</f>
        <v>0</v>
      </c>
      <c r="AV293" s="14">
        <f>[1]Sheet2!W292</f>
        <v>0</v>
      </c>
      <c r="AW293" s="14">
        <f>[1]Sheet2!X292</f>
        <v>0</v>
      </c>
      <c r="AX293" s="14">
        <f>[1]Sheet2!Y292</f>
        <v>0</v>
      </c>
      <c r="AY293" s="16">
        <f>Demand_LP!B$12/31</f>
        <v>866.47279518196865</v>
      </c>
      <c r="AZ293" s="16">
        <f>Demand_LP!C$12/31</f>
        <v>577.62712985938799</v>
      </c>
      <c r="BA293" s="16">
        <f>Demand_LP!D$12/31</f>
        <v>262.18502894954509</v>
      </c>
      <c r="BB293" s="16">
        <f>Demand_LP!E$12/31</f>
        <v>766.03229942100904</v>
      </c>
      <c r="BC293" s="16">
        <f>Demand_LP!F$12/31</f>
        <v>516.10499638130682</v>
      </c>
      <c r="BD293" s="16">
        <f>Demand_LP!G$12/31</f>
        <v>866.47279518196865</v>
      </c>
      <c r="BE293" s="16">
        <f>Demand_LP!H$12/31</f>
        <v>577.62712985938799</v>
      </c>
      <c r="BF293" s="16">
        <f>Demand_LP!I$12/31</f>
        <v>516.10499638130682</v>
      </c>
      <c r="BG293" s="16">
        <f>Demand_LP!J$12/31</f>
        <v>516.10499638130682</v>
      </c>
      <c r="BH293" s="16">
        <f>Demand_LP!K$12/31</f>
        <v>516.10499638130682</v>
      </c>
      <c r="BI293" s="16" t="e">
        <f t="shared" si="133"/>
        <v>#VALUE!</v>
      </c>
      <c r="BJ293" s="16">
        <f t="shared" si="134"/>
        <v>-164918.72531017347</v>
      </c>
      <c r="BK293" s="16">
        <f t="shared" si="135"/>
        <v>-84529.886517783481</v>
      </c>
      <c r="BL293" s="16">
        <f t="shared" si="136"/>
        <v>-217856.01958674839</v>
      </c>
      <c r="BM293" s="16">
        <f t="shared" si="137"/>
        <v>-130849.82243036812</v>
      </c>
      <c r="BN293" s="16">
        <f t="shared" si="138"/>
        <v>-226653.9751837253</v>
      </c>
      <c r="BO293" s="16">
        <f t="shared" si="139"/>
        <v>-167276.30479735325</v>
      </c>
      <c r="BP293" s="16">
        <f t="shared" si="140"/>
        <v>-131961.50634873871</v>
      </c>
      <c r="BQ293" s="16">
        <f t="shared" si="141"/>
        <v>-128951.50634873877</v>
      </c>
      <c r="BR293" s="16">
        <f t="shared" si="142"/>
        <v>-130151.50634873872</v>
      </c>
      <c r="BS293" s="14">
        <f>IF([1]Sheet2!CA292=999999,"NA",[1]Sheet2!CA292)</f>
        <v>86327.493651261437</v>
      </c>
      <c r="BT293" s="14">
        <f>IF([1]Sheet2!CB292=999999,"NA",[1]Sheet2!CB292)</f>
        <v>5</v>
      </c>
      <c r="BU293" s="14">
        <f>IF([1]Sheet2!CC292=999999,"NA",[1]Sheet2!CC292)</f>
        <v>75</v>
      </c>
      <c r="BV293" s="14">
        <f>IF([1]Sheet2!CD292=999999,"NA",[1]Sheet2!CD292)</f>
        <v>75</v>
      </c>
      <c r="BW293" s="14">
        <f>IF([1]Sheet2!CE292=999999,"NA",[1]Sheet2!CE292)</f>
        <v>44</v>
      </c>
      <c r="BX293" s="14">
        <f>IF([1]Sheet2!CF292=999999,"NA",[1]Sheet2!CF292)</f>
        <v>75</v>
      </c>
      <c r="BY293" s="14">
        <f>IF([1]Sheet2!CG292=999999,"NA",[1]Sheet2!CG292)</f>
        <v>0</v>
      </c>
      <c r="BZ293" s="14">
        <f>IF([1]Sheet2!CH292=999999,"NA",[1]Sheet2!CH292)</f>
        <v>75</v>
      </c>
      <c r="CA293" s="14">
        <f>IF([1]Sheet2!CI292=999999,"NA",[1]Sheet2!CI292)</f>
        <v>75</v>
      </c>
      <c r="CB293" s="14">
        <f>IF([1]Sheet2!CJ292=999999,"NA",[1]Sheet2!CJ292)</f>
        <v>75</v>
      </c>
      <c r="CC293" s="14">
        <f>[1]Sheet2!BG292</f>
        <v>0</v>
      </c>
      <c r="CD293" s="14">
        <f>[1]Sheet2!BH292</f>
        <v>0</v>
      </c>
      <c r="CE293" s="14">
        <f>[1]Sheet2!BI292</f>
        <v>0</v>
      </c>
      <c r="CF293" s="14">
        <f>[1]Sheet2!BJ292</f>
        <v>0</v>
      </c>
      <c r="CG293" s="14">
        <f>[1]Sheet2!BK292</f>
        <v>0</v>
      </c>
      <c r="CH293" s="14">
        <f>[1]Sheet2!BL292</f>
        <v>0</v>
      </c>
      <c r="CI293" s="14">
        <f>[1]Sheet2!BM292</f>
        <v>0</v>
      </c>
      <c r="CJ293" s="14">
        <f>[1]Sheet2!BN292</f>
        <v>0</v>
      </c>
      <c r="CK293" s="14">
        <f>[1]Sheet2!BO292</f>
        <v>0</v>
      </c>
      <c r="CL293" s="14">
        <f>[1]Sheet2!BP292</f>
        <v>0</v>
      </c>
      <c r="CM293" s="16">
        <f>Demand_SW!B$12/31</f>
        <v>139.57816377171216</v>
      </c>
      <c r="CN293" s="16">
        <f>Demand_SW!C$12/31</f>
        <v>0</v>
      </c>
      <c r="CO293" s="16">
        <f>Demand_SW!D$12/31</f>
        <v>0</v>
      </c>
      <c r="CP293" s="16">
        <f>Demand_SW!E$12/31</f>
        <v>0</v>
      </c>
      <c r="CQ293" s="16">
        <f>Demand_SW!F$12/31</f>
        <v>0</v>
      </c>
      <c r="CR293" s="16">
        <f>Demand_SW!G$12/31</f>
        <v>139.57816377171216</v>
      </c>
      <c r="CS293" s="16">
        <f>Demand_SW!H$12/31</f>
        <v>0</v>
      </c>
      <c r="CT293" s="16">
        <f>Demand_SW!I$12/31</f>
        <v>0</v>
      </c>
      <c r="CU293" s="16">
        <f>Demand_SW!J$12/31</f>
        <v>0</v>
      </c>
      <c r="CV293" s="16">
        <f>Demand_SW!K$12/31</f>
        <v>0</v>
      </c>
      <c r="CW293" s="16">
        <f t="shared" si="143"/>
        <v>61579.478908188554</v>
      </c>
      <c r="CX293" s="16">
        <f t="shared" si="144"/>
        <v>20683.923076923078</v>
      </c>
      <c r="CY293" s="16">
        <f t="shared" si="145"/>
        <v>0</v>
      </c>
      <c r="CZ293" s="16">
        <f t="shared" si="146"/>
        <v>0</v>
      </c>
      <c r="DA293" s="16">
        <f t="shared" si="147"/>
        <v>0</v>
      </c>
      <c r="DB293" s="16">
        <f t="shared" si="148"/>
        <v>-37949.751861042183</v>
      </c>
      <c r="DC293" s="16">
        <f t="shared" si="149"/>
        <v>20683.923076923078</v>
      </c>
      <c r="DD293" s="16">
        <f t="shared" si="150"/>
        <v>0</v>
      </c>
      <c r="DE293" s="16">
        <f t="shared" si="151"/>
        <v>0</v>
      </c>
      <c r="DF293" s="16">
        <f t="shared" si="152"/>
        <v>0</v>
      </c>
      <c r="DG293" s="14">
        <f>IF([1]Sheet2!DR292=999999,"NA",[1]Sheet2!DR292)</f>
        <v>73103</v>
      </c>
      <c r="DH293" s="14">
        <f>IF([1]Sheet2!DS292=999999,"NA",[1]Sheet2!DS292)</f>
        <v>75</v>
      </c>
      <c r="DI293" s="14">
        <f>IF([1]Sheet2!DT292=999999,"NA",[1]Sheet2!DT292)</f>
        <v>75</v>
      </c>
      <c r="DJ293" s="14" t="str">
        <f>IF([1]Sheet2!DU292=999999,"NA",[1]Sheet2!DU292)</f>
        <v>NA</v>
      </c>
      <c r="DK293" s="14" t="str">
        <f>IF([1]Sheet2!DV292=999999,"NA",[1]Sheet2!DV292)</f>
        <v>NA</v>
      </c>
      <c r="DL293" s="14" t="str">
        <f>IF([1]Sheet2!DW292=999999,"NA",[1]Sheet2!DW292)</f>
        <v>NA</v>
      </c>
      <c r="DM293" s="14">
        <f>IF([1]Sheet2!DX292=999999,"NA",[1]Sheet2!DX292)</f>
        <v>75</v>
      </c>
      <c r="DN293" s="14">
        <f>IF([1]Sheet2!DY292=999999,"NA",[1]Sheet2!DY292)</f>
        <v>75</v>
      </c>
      <c r="DO293" s="14" t="str">
        <f>IF([1]Sheet2!DZ292=999999,"NA",[1]Sheet2!DZ292)</f>
        <v>NA</v>
      </c>
      <c r="DP293" s="14" t="str">
        <f>IF([1]Sheet2!EA292=999999,"NA",[1]Sheet2!EA292)</f>
        <v>NA</v>
      </c>
      <c r="DQ293" s="14">
        <f>[1]Sheet2!CX292</f>
        <v>0</v>
      </c>
      <c r="DR293" s="14">
        <f>[1]Sheet2!CY292</f>
        <v>0</v>
      </c>
      <c r="DS293" s="14">
        <f>[1]Sheet2!CZ292</f>
        <v>0</v>
      </c>
      <c r="DT293" s="14">
        <f>[1]Sheet2!DA292</f>
        <v>0</v>
      </c>
      <c r="DU293" s="14">
        <f>[1]Sheet2!DB292</f>
        <v>0</v>
      </c>
      <c r="DV293" s="14">
        <f>[1]Sheet2!DC292</f>
        <v>0</v>
      </c>
      <c r="DW293" s="14">
        <f>[1]Sheet2!DD292</f>
        <v>0</v>
      </c>
      <c r="DX293" s="14">
        <f>[1]Sheet2!DE292</f>
        <v>0</v>
      </c>
      <c r="DY293" s="14">
        <f>[1]Sheet2!DF292</f>
        <v>0</v>
      </c>
      <c r="DZ293" s="14">
        <f>[1]Sheet2!DG292</f>
        <v>0</v>
      </c>
    </row>
    <row r="294" spans="1:130" x14ac:dyDescent="0.25">
      <c r="A294" s="15">
        <v>43756</v>
      </c>
      <c r="B294" s="1"/>
      <c r="C294" s="1"/>
      <c r="D294" s="1"/>
      <c r="E294" s="14">
        <f>[1]Sheet2!N293</f>
        <v>0</v>
      </c>
      <c r="F294" s="14">
        <f>[1]Sheet2!BE293</f>
        <v>48000</v>
      </c>
      <c r="G294" s="14">
        <f>[1]Sheet2!CV293</f>
        <v>279.15632754342431</v>
      </c>
      <c r="H294" s="1"/>
      <c r="I294" s="1"/>
      <c r="J294" s="1"/>
      <c r="K294" s="16">
        <f>Demand_CWRS!B$12/31</f>
        <v>113.31027191894128</v>
      </c>
      <c r="L294" s="16">
        <f>Demand_CWRS!C$12/31</f>
        <v>480.06765922249781</v>
      </c>
      <c r="M294" s="16">
        <f>Demand_CWRS!D$12/31</f>
        <v>0</v>
      </c>
      <c r="N294" s="16">
        <f>Demand_CWRS!E$12/31</f>
        <v>103.22435897435898</v>
      </c>
      <c r="O294" s="16">
        <f>Demand_CWRS!F$12/31</f>
        <v>209.74544820099254</v>
      </c>
      <c r="P294" s="16">
        <f>Demand_CWRS!G$12/31</f>
        <v>113.31027191894128</v>
      </c>
      <c r="Q294" s="16">
        <f>Demand_CWRS!H$12/31</f>
        <v>480.06765922249781</v>
      </c>
      <c r="R294" s="16">
        <f>Demand_CWRS!I$12/31</f>
        <v>209.74544820099254</v>
      </c>
      <c r="S294" s="16">
        <f>Demand_CWRS!J$12/31</f>
        <v>209.74544820099254</v>
      </c>
      <c r="T294" s="16">
        <f>Demand_CWRS!K$12/31</f>
        <v>209.74544820099254</v>
      </c>
      <c r="U294" s="16">
        <f t="shared" si="123"/>
        <v>-38015.581047322019</v>
      </c>
      <c r="V294" s="16">
        <f t="shared" si="124"/>
        <v>-137644.87171215838</v>
      </c>
      <c r="W294" s="16">
        <f t="shared" si="125"/>
        <v>0</v>
      </c>
      <c r="X294" s="16">
        <f t="shared" si="126"/>
        <v>-32113.513729308586</v>
      </c>
      <c r="Y294" s="16">
        <f t="shared" si="127"/>
        <v>-62989.624610745152</v>
      </c>
      <c r="Z294" s="16">
        <f t="shared" si="128"/>
        <v>-37618.648523283613</v>
      </c>
      <c r="AA294" s="16">
        <f t="shared" si="129"/>
        <v>-137144.87171215838</v>
      </c>
      <c r="AB294" s="16">
        <f t="shared" si="130"/>
        <v>-60505.779129975868</v>
      </c>
      <c r="AC294" s="16">
        <f t="shared" si="131"/>
        <v>-60505.779129975861</v>
      </c>
      <c r="AD294" s="16">
        <f t="shared" si="132"/>
        <v>-61205.779129975854</v>
      </c>
      <c r="AE294" s="14">
        <f>IF([1]Sheet2!AJ293=999999,"NA",[1]Sheet2!AJ293)</f>
        <v>0</v>
      </c>
      <c r="AF294" s="14">
        <f>IF([1]Sheet2!AK293=999999,"NA",[1]Sheet2!AK293)</f>
        <v>0</v>
      </c>
      <c r="AG294" s="14" t="str">
        <f>IF([1]Sheet2!AL293=999999,"NA",[1]Sheet2!AL293)</f>
        <v>NA</v>
      </c>
      <c r="AH294" s="14">
        <f>IF([1]Sheet2!AM293=999999,"NA",[1]Sheet2!AM293)</f>
        <v>74</v>
      </c>
      <c r="AI294" s="14">
        <f>IF([1]Sheet2!AN293=999999,"NA",[1]Sheet2!AN293)</f>
        <v>74</v>
      </c>
      <c r="AJ294" s="14">
        <f>IF([1]Sheet2!AO293=999999,"NA",[1]Sheet2!AO293)</f>
        <v>74</v>
      </c>
      <c r="AK294" s="14">
        <f>IF([1]Sheet2!AP293=999999,"NA",[1]Sheet2!AP293)</f>
        <v>0</v>
      </c>
      <c r="AL294" s="14">
        <f>IF([1]Sheet2!AQ293=999999,"NA",[1]Sheet2!AQ293)</f>
        <v>0</v>
      </c>
      <c r="AM294" s="14">
        <f>IF([1]Sheet2!AR293=999999,"NA",[1]Sheet2!AR293)</f>
        <v>74</v>
      </c>
      <c r="AN294" s="14">
        <f>IF([1]Sheet2!AS293=999999,"NA",[1]Sheet2!AS293)</f>
        <v>25</v>
      </c>
      <c r="AO294" s="14">
        <f>[1]Sheet2!P293</f>
        <v>0</v>
      </c>
      <c r="AP294" s="14">
        <f>[1]Sheet2!Q293</f>
        <v>0</v>
      </c>
      <c r="AQ294" s="14">
        <f>[1]Sheet2!R293</f>
        <v>0</v>
      </c>
      <c r="AR294" s="14">
        <f>[1]Sheet2!S293</f>
        <v>0</v>
      </c>
      <c r="AS294" s="14">
        <f>[1]Sheet2!T293</f>
        <v>0</v>
      </c>
      <c r="AT294" s="14">
        <f>[1]Sheet2!U293</f>
        <v>0</v>
      </c>
      <c r="AU294" s="14">
        <f>[1]Sheet2!V293</f>
        <v>0</v>
      </c>
      <c r="AV294" s="14">
        <f>[1]Sheet2!W293</f>
        <v>0</v>
      </c>
      <c r="AW294" s="14">
        <f>[1]Sheet2!X293</f>
        <v>0</v>
      </c>
      <c r="AX294" s="14">
        <f>[1]Sheet2!Y293</f>
        <v>0</v>
      </c>
      <c r="AY294" s="16">
        <f>Demand_LP!B$12/31</f>
        <v>866.47279518196865</v>
      </c>
      <c r="AZ294" s="16">
        <f>Demand_LP!C$12/31</f>
        <v>577.62712985938799</v>
      </c>
      <c r="BA294" s="16">
        <f>Demand_LP!D$12/31</f>
        <v>262.18502894954509</v>
      </c>
      <c r="BB294" s="16">
        <f>Demand_LP!E$12/31</f>
        <v>766.03229942100904</v>
      </c>
      <c r="BC294" s="16">
        <f>Demand_LP!F$12/31</f>
        <v>516.10499638130682</v>
      </c>
      <c r="BD294" s="16">
        <f>Demand_LP!G$12/31</f>
        <v>866.47279518196865</v>
      </c>
      <c r="BE294" s="16">
        <f>Demand_LP!H$12/31</f>
        <v>577.62712985938799</v>
      </c>
      <c r="BF294" s="16">
        <f>Demand_LP!I$12/31</f>
        <v>516.10499638130682</v>
      </c>
      <c r="BG294" s="16">
        <f>Demand_LP!J$12/31</f>
        <v>516.10499638130682</v>
      </c>
      <c r="BH294" s="16">
        <f>Demand_LP!K$12/31</f>
        <v>516.10499638130682</v>
      </c>
      <c r="BI294" s="16" t="e">
        <f t="shared" si="133"/>
        <v>#VALUE!</v>
      </c>
      <c r="BJ294" s="16">
        <f t="shared" si="134"/>
        <v>-165496.35244003285</v>
      </c>
      <c r="BK294" s="16">
        <f t="shared" si="135"/>
        <v>-84792.07154673303</v>
      </c>
      <c r="BL294" s="16">
        <f t="shared" si="136"/>
        <v>-218622.05188616939</v>
      </c>
      <c r="BM294" s="16">
        <f t="shared" si="137"/>
        <v>-131365.92742674943</v>
      </c>
      <c r="BN294" s="16">
        <f t="shared" si="138"/>
        <v>-227520.44797890726</v>
      </c>
      <c r="BO294" s="16">
        <f t="shared" si="139"/>
        <v>-167853.93192721263</v>
      </c>
      <c r="BP294" s="16">
        <f t="shared" si="140"/>
        <v>-132477.61134512001</v>
      </c>
      <c r="BQ294" s="16">
        <f t="shared" si="141"/>
        <v>-129467.61134512008</v>
      </c>
      <c r="BR294" s="16">
        <f t="shared" si="142"/>
        <v>-130667.61134512004</v>
      </c>
      <c r="BS294" s="14">
        <f>IF([1]Sheet2!CA293=999999,"NA",[1]Sheet2!CA293)</f>
        <v>85811.388654880124</v>
      </c>
      <c r="BT294" s="14">
        <f>IF([1]Sheet2!CB293=999999,"NA",[1]Sheet2!CB293)</f>
        <v>4</v>
      </c>
      <c r="BU294" s="14">
        <f>IF([1]Sheet2!CC293=999999,"NA",[1]Sheet2!CC293)</f>
        <v>74</v>
      </c>
      <c r="BV294" s="14">
        <f>IF([1]Sheet2!CD293=999999,"NA",[1]Sheet2!CD293)</f>
        <v>74</v>
      </c>
      <c r="BW294" s="14">
        <f>IF([1]Sheet2!CE293=999999,"NA",[1]Sheet2!CE293)</f>
        <v>43</v>
      </c>
      <c r="BX294" s="14">
        <f>IF([1]Sheet2!CF293=999999,"NA",[1]Sheet2!CF293)</f>
        <v>74</v>
      </c>
      <c r="BY294" s="14">
        <f>IF([1]Sheet2!CG293=999999,"NA",[1]Sheet2!CG293)</f>
        <v>0</v>
      </c>
      <c r="BZ294" s="14">
        <f>IF([1]Sheet2!CH293=999999,"NA",[1]Sheet2!CH293)</f>
        <v>74</v>
      </c>
      <c r="CA294" s="14">
        <f>IF([1]Sheet2!CI293=999999,"NA",[1]Sheet2!CI293)</f>
        <v>74</v>
      </c>
      <c r="CB294" s="14">
        <f>IF([1]Sheet2!CJ293=999999,"NA",[1]Sheet2!CJ293)</f>
        <v>74</v>
      </c>
      <c r="CC294" s="14">
        <f>[1]Sheet2!BG293</f>
        <v>0</v>
      </c>
      <c r="CD294" s="14">
        <f>[1]Sheet2!BH293</f>
        <v>0</v>
      </c>
      <c r="CE294" s="14">
        <f>[1]Sheet2!BI293</f>
        <v>0</v>
      </c>
      <c r="CF294" s="14">
        <f>[1]Sheet2!BJ293</f>
        <v>0</v>
      </c>
      <c r="CG294" s="14">
        <f>[1]Sheet2!BK293</f>
        <v>0</v>
      </c>
      <c r="CH294" s="14">
        <f>[1]Sheet2!BL293</f>
        <v>0</v>
      </c>
      <c r="CI294" s="14">
        <f>[1]Sheet2!BM293</f>
        <v>0</v>
      </c>
      <c r="CJ294" s="14">
        <f>[1]Sheet2!BN293</f>
        <v>0</v>
      </c>
      <c r="CK294" s="14">
        <f>[1]Sheet2!BO293</f>
        <v>0</v>
      </c>
      <c r="CL294" s="14">
        <f>[1]Sheet2!BP293</f>
        <v>0</v>
      </c>
      <c r="CM294" s="16">
        <f>Demand_SW!B$12/31</f>
        <v>139.57816377171216</v>
      </c>
      <c r="CN294" s="16">
        <f>Demand_SW!C$12/31</f>
        <v>0</v>
      </c>
      <c r="CO294" s="16">
        <f>Demand_SW!D$12/31</f>
        <v>0</v>
      </c>
      <c r="CP294" s="16">
        <f>Demand_SW!E$12/31</f>
        <v>0</v>
      </c>
      <c r="CQ294" s="16">
        <f>Demand_SW!F$12/31</f>
        <v>0</v>
      </c>
      <c r="CR294" s="16">
        <f>Demand_SW!G$12/31</f>
        <v>139.57816377171216</v>
      </c>
      <c r="CS294" s="16">
        <f>Demand_SW!H$12/31</f>
        <v>0</v>
      </c>
      <c r="CT294" s="16">
        <f>Demand_SW!I$12/31</f>
        <v>0</v>
      </c>
      <c r="CU294" s="16">
        <f>Demand_SW!J$12/31</f>
        <v>0</v>
      </c>
      <c r="CV294" s="16">
        <f>Demand_SW!K$12/31</f>
        <v>0</v>
      </c>
      <c r="CW294" s="16">
        <f t="shared" si="143"/>
        <v>61439.900744416838</v>
      </c>
      <c r="CX294" s="16">
        <f t="shared" si="144"/>
        <v>20683.923076923078</v>
      </c>
      <c r="CY294" s="16">
        <f t="shared" si="145"/>
        <v>0</v>
      </c>
      <c r="CZ294" s="16">
        <f t="shared" si="146"/>
        <v>0</v>
      </c>
      <c r="DA294" s="16">
        <f t="shared" si="147"/>
        <v>0</v>
      </c>
      <c r="DB294" s="16">
        <f t="shared" si="148"/>
        <v>-38089.330024813898</v>
      </c>
      <c r="DC294" s="16">
        <f t="shared" si="149"/>
        <v>20683.923076923078</v>
      </c>
      <c r="DD294" s="16">
        <f t="shared" si="150"/>
        <v>0</v>
      </c>
      <c r="DE294" s="16">
        <f t="shared" si="151"/>
        <v>0</v>
      </c>
      <c r="DF294" s="16">
        <f t="shared" si="152"/>
        <v>0</v>
      </c>
      <c r="DG294" s="14">
        <f>IF([1]Sheet2!DR293=999999,"NA",[1]Sheet2!DR293)</f>
        <v>73103</v>
      </c>
      <c r="DH294" s="14">
        <f>IF([1]Sheet2!DS293=999999,"NA",[1]Sheet2!DS293)</f>
        <v>74</v>
      </c>
      <c r="DI294" s="14">
        <f>IF([1]Sheet2!DT293=999999,"NA",[1]Sheet2!DT293)</f>
        <v>74</v>
      </c>
      <c r="DJ294" s="14" t="str">
        <f>IF([1]Sheet2!DU293=999999,"NA",[1]Sheet2!DU293)</f>
        <v>NA</v>
      </c>
      <c r="DK294" s="14" t="str">
        <f>IF([1]Sheet2!DV293=999999,"NA",[1]Sheet2!DV293)</f>
        <v>NA</v>
      </c>
      <c r="DL294" s="14" t="str">
        <f>IF([1]Sheet2!DW293=999999,"NA",[1]Sheet2!DW293)</f>
        <v>NA</v>
      </c>
      <c r="DM294" s="14">
        <f>IF([1]Sheet2!DX293=999999,"NA",[1]Sheet2!DX293)</f>
        <v>74</v>
      </c>
      <c r="DN294" s="14">
        <f>IF([1]Sheet2!DY293=999999,"NA",[1]Sheet2!DY293)</f>
        <v>74</v>
      </c>
      <c r="DO294" s="14" t="str">
        <f>IF([1]Sheet2!DZ293=999999,"NA",[1]Sheet2!DZ293)</f>
        <v>NA</v>
      </c>
      <c r="DP294" s="14" t="str">
        <f>IF([1]Sheet2!EA293=999999,"NA",[1]Sheet2!EA293)</f>
        <v>NA</v>
      </c>
      <c r="DQ294" s="14">
        <f>[1]Sheet2!CX293</f>
        <v>0</v>
      </c>
      <c r="DR294" s="14">
        <f>[1]Sheet2!CY293</f>
        <v>0</v>
      </c>
      <c r="DS294" s="14">
        <f>[1]Sheet2!CZ293</f>
        <v>0</v>
      </c>
      <c r="DT294" s="14">
        <f>[1]Sheet2!DA293</f>
        <v>0</v>
      </c>
      <c r="DU294" s="14">
        <f>[1]Sheet2!DB293</f>
        <v>0</v>
      </c>
      <c r="DV294" s="14">
        <f>[1]Sheet2!DC293</f>
        <v>0</v>
      </c>
      <c r="DW294" s="14">
        <f>[1]Sheet2!DD293</f>
        <v>0</v>
      </c>
      <c r="DX294" s="14">
        <f>[1]Sheet2!DE293</f>
        <v>0</v>
      </c>
      <c r="DY294" s="14">
        <f>[1]Sheet2!DF293</f>
        <v>0</v>
      </c>
      <c r="DZ294" s="14">
        <f>[1]Sheet2!DG293</f>
        <v>0</v>
      </c>
    </row>
    <row r="295" spans="1:130" x14ac:dyDescent="0.25">
      <c r="A295" s="15">
        <v>43757</v>
      </c>
      <c r="B295" s="1"/>
      <c r="C295" s="1"/>
      <c r="D295" s="1"/>
      <c r="E295" s="14">
        <f>[1]Sheet2!N294</f>
        <v>0</v>
      </c>
      <c r="F295" s="14">
        <f>[1]Sheet2!BE294</f>
        <v>0</v>
      </c>
      <c r="G295" s="14">
        <f>[1]Sheet2!CV294</f>
        <v>279.15632754342431</v>
      </c>
      <c r="H295" s="1"/>
      <c r="I295" s="1"/>
      <c r="J295" s="1"/>
      <c r="K295" s="16">
        <f>Demand_CWRS!B$12/31</f>
        <v>113.31027191894128</v>
      </c>
      <c r="L295" s="16">
        <f>Demand_CWRS!C$12/31</f>
        <v>480.06765922249781</v>
      </c>
      <c r="M295" s="16">
        <f>Demand_CWRS!D$12/31</f>
        <v>0</v>
      </c>
      <c r="N295" s="16">
        <f>Demand_CWRS!E$12/31</f>
        <v>103.22435897435898</v>
      </c>
      <c r="O295" s="16">
        <f>Demand_CWRS!F$12/31</f>
        <v>209.74544820099254</v>
      </c>
      <c r="P295" s="16">
        <f>Demand_CWRS!G$12/31</f>
        <v>113.31027191894128</v>
      </c>
      <c r="Q295" s="16">
        <f>Demand_CWRS!H$12/31</f>
        <v>480.06765922249781</v>
      </c>
      <c r="R295" s="16">
        <f>Demand_CWRS!I$12/31</f>
        <v>209.74544820099254</v>
      </c>
      <c r="S295" s="16">
        <f>Demand_CWRS!J$12/31</f>
        <v>209.74544820099254</v>
      </c>
      <c r="T295" s="16">
        <f>Demand_CWRS!K$12/31</f>
        <v>209.74544820099254</v>
      </c>
      <c r="U295" s="16">
        <f t="shared" si="123"/>
        <v>-38128.89131924096</v>
      </c>
      <c r="V295" s="16">
        <f t="shared" si="124"/>
        <v>-138124.93937138087</v>
      </c>
      <c r="W295" s="16">
        <f t="shared" si="125"/>
        <v>0</v>
      </c>
      <c r="X295" s="16">
        <f t="shared" si="126"/>
        <v>-32216.738088282946</v>
      </c>
      <c r="Y295" s="16">
        <f t="shared" si="127"/>
        <v>-63199.370058946144</v>
      </c>
      <c r="Z295" s="16">
        <f t="shared" si="128"/>
        <v>-37731.958795202554</v>
      </c>
      <c r="AA295" s="16">
        <f t="shared" si="129"/>
        <v>-137624.93937138087</v>
      </c>
      <c r="AB295" s="16">
        <f t="shared" si="130"/>
        <v>-60715.524578176861</v>
      </c>
      <c r="AC295" s="16">
        <f t="shared" si="131"/>
        <v>-60715.524578176854</v>
      </c>
      <c r="AD295" s="16">
        <f t="shared" si="132"/>
        <v>-61415.524578176846</v>
      </c>
      <c r="AE295" s="14">
        <f>IF([1]Sheet2!AJ294=999999,"NA",[1]Sheet2!AJ294)</f>
        <v>0</v>
      </c>
      <c r="AF295" s="14">
        <f>IF([1]Sheet2!AK294=999999,"NA",[1]Sheet2!AK294)</f>
        <v>0</v>
      </c>
      <c r="AG295" s="14" t="str">
        <f>IF([1]Sheet2!AL294=999999,"NA",[1]Sheet2!AL294)</f>
        <v>NA</v>
      </c>
      <c r="AH295" s="14">
        <f>IF([1]Sheet2!AM294=999999,"NA",[1]Sheet2!AM294)</f>
        <v>73</v>
      </c>
      <c r="AI295" s="14">
        <f>IF([1]Sheet2!AN294=999999,"NA",[1]Sheet2!AN294)</f>
        <v>73</v>
      </c>
      <c r="AJ295" s="14">
        <f>IF([1]Sheet2!AO294=999999,"NA",[1]Sheet2!AO294)</f>
        <v>73</v>
      </c>
      <c r="AK295" s="14">
        <f>IF([1]Sheet2!AP294=999999,"NA",[1]Sheet2!AP294)</f>
        <v>0</v>
      </c>
      <c r="AL295" s="14">
        <f>IF([1]Sheet2!AQ294=999999,"NA",[1]Sheet2!AQ294)</f>
        <v>0</v>
      </c>
      <c r="AM295" s="14">
        <f>IF([1]Sheet2!AR294=999999,"NA",[1]Sheet2!AR294)</f>
        <v>73</v>
      </c>
      <c r="AN295" s="14">
        <f>IF([1]Sheet2!AS294=999999,"NA",[1]Sheet2!AS294)</f>
        <v>24</v>
      </c>
      <c r="AO295" s="14">
        <f>[1]Sheet2!P294</f>
        <v>0</v>
      </c>
      <c r="AP295" s="14">
        <f>[1]Sheet2!Q294</f>
        <v>0</v>
      </c>
      <c r="AQ295" s="14">
        <f>[1]Sheet2!R294</f>
        <v>0</v>
      </c>
      <c r="AR295" s="14">
        <f>[1]Sheet2!S294</f>
        <v>0</v>
      </c>
      <c r="AS295" s="14">
        <f>[1]Sheet2!T294</f>
        <v>0</v>
      </c>
      <c r="AT295" s="14">
        <f>[1]Sheet2!U294</f>
        <v>0</v>
      </c>
      <c r="AU295" s="14">
        <f>[1]Sheet2!V294</f>
        <v>0</v>
      </c>
      <c r="AV295" s="14">
        <f>[1]Sheet2!W294</f>
        <v>0</v>
      </c>
      <c r="AW295" s="14">
        <f>[1]Sheet2!X294</f>
        <v>0</v>
      </c>
      <c r="AX295" s="14">
        <f>[1]Sheet2!Y294</f>
        <v>0</v>
      </c>
      <c r="AY295" s="16">
        <f>Demand_LP!B$12/31</f>
        <v>866.47279518196865</v>
      </c>
      <c r="AZ295" s="16">
        <f>Demand_LP!C$12/31</f>
        <v>577.62712985938799</v>
      </c>
      <c r="BA295" s="16">
        <f>Demand_LP!D$12/31</f>
        <v>262.18502894954509</v>
      </c>
      <c r="BB295" s="16">
        <f>Demand_LP!E$12/31</f>
        <v>766.03229942100904</v>
      </c>
      <c r="BC295" s="16">
        <f>Demand_LP!F$12/31</f>
        <v>516.10499638130682</v>
      </c>
      <c r="BD295" s="16">
        <f>Demand_LP!G$12/31</f>
        <v>866.47279518196865</v>
      </c>
      <c r="BE295" s="16">
        <f>Demand_LP!H$12/31</f>
        <v>577.62712985938799</v>
      </c>
      <c r="BF295" s="16">
        <f>Demand_LP!I$12/31</f>
        <v>516.10499638130682</v>
      </c>
      <c r="BG295" s="16">
        <f>Demand_LP!J$12/31</f>
        <v>516.10499638130682</v>
      </c>
      <c r="BH295" s="16">
        <f>Demand_LP!K$12/31</f>
        <v>516.10499638130682</v>
      </c>
      <c r="BI295" s="16" t="e">
        <f t="shared" si="133"/>
        <v>#VALUE!</v>
      </c>
      <c r="BJ295" s="16">
        <f t="shared" si="134"/>
        <v>-166073.97956989222</v>
      </c>
      <c r="BK295" s="16">
        <f t="shared" si="135"/>
        <v>-85054.256575682579</v>
      </c>
      <c r="BL295" s="16">
        <f t="shared" si="136"/>
        <v>-219388.08418559039</v>
      </c>
      <c r="BM295" s="16">
        <f t="shared" si="137"/>
        <v>-131882.03242313073</v>
      </c>
      <c r="BN295" s="16">
        <f t="shared" si="138"/>
        <v>-228386.92077408923</v>
      </c>
      <c r="BO295" s="16">
        <f t="shared" si="139"/>
        <v>-168431.55905707201</v>
      </c>
      <c r="BP295" s="16">
        <f t="shared" si="140"/>
        <v>-132993.71634150131</v>
      </c>
      <c r="BQ295" s="16">
        <f t="shared" si="141"/>
        <v>-129983.71634150139</v>
      </c>
      <c r="BR295" s="16">
        <f t="shared" si="142"/>
        <v>-131183.71634150133</v>
      </c>
      <c r="BS295" s="14">
        <f>IF([1]Sheet2!CA294=999999,"NA",[1]Sheet2!CA294)</f>
        <v>85295.283658498811</v>
      </c>
      <c r="BT295" s="14">
        <f>IF([1]Sheet2!CB294=999999,"NA",[1]Sheet2!CB294)</f>
        <v>3</v>
      </c>
      <c r="BU295" s="14">
        <f>IF([1]Sheet2!CC294=999999,"NA",[1]Sheet2!CC294)</f>
        <v>73</v>
      </c>
      <c r="BV295" s="14">
        <f>IF([1]Sheet2!CD294=999999,"NA",[1]Sheet2!CD294)</f>
        <v>73</v>
      </c>
      <c r="BW295" s="14">
        <f>IF([1]Sheet2!CE294=999999,"NA",[1]Sheet2!CE294)</f>
        <v>42</v>
      </c>
      <c r="BX295" s="14">
        <f>IF([1]Sheet2!CF294=999999,"NA",[1]Sheet2!CF294)</f>
        <v>73</v>
      </c>
      <c r="BY295" s="14">
        <f>IF([1]Sheet2!CG294=999999,"NA",[1]Sheet2!CG294)</f>
        <v>0</v>
      </c>
      <c r="BZ295" s="14">
        <f>IF([1]Sheet2!CH294=999999,"NA",[1]Sheet2!CH294)</f>
        <v>73</v>
      </c>
      <c r="CA295" s="14">
        <f>IF([1]Sheet2!CI294=999999,"NA",[1]Sheet2!CI294)</f>
        <v>73</v>
      </c>
      <c r="CB295" s="14">
        <f>IF([1]Sheet2!CJ294=999999,"NA",[1]Sheet2!CJ294)</f>
        <v>73</v>
      </c>
      <c r="CC295" s="14">
        <f>[1]Sheet2!BG294</f>
        <v>0</v>
      </c>
      <c r="CD295" s="14">
        <f>[1]Sheet2!BH294</f>
        <v>0</v>
      </c>
      <c r="CE295" s="14">
        <f>[1]Sheet2!BI294</f>
        <v>0</v>
      </c>
      <c r="CF295" s="14">
        <f>[1]Sheet2!BJ294</f>
        <v>0</v>
      </c>
      <c r="CG295" s="14">
        <f>[1]Sheet2!BK294</f>
        <v>0</v>
      </c>
      <c r="CH295" s="14">
        <f>[1]Sheet2!BL294</f>
        <v>0</v>
      </c>
      <c r="CI295" s="14">
        <f>[1]Sheet2!BM294</f>
        <v>0</v>
      </c>
      <c r="CJ295" s="14">
        <f>[1]Sheet2!BN294</f>
        <v>0</v>
      </c>
      <c r="CK295" s="14">
        <f>[1]Sheet2!BO294</f>
        <v>0</v>
      </c>
      <c r="CL295" s="14">
        <f>[1]Sheet2!BP294</f>
        <v>0</v>
      </c>
      <c r="CM295" s="16">
        <f>Demand_SW!B$12/31</f>
        <v>139.57816377171216</v>
      </c>
      <c r="CN295" s="16">
        <f>Demand_SW!C$12/31</f>
        <v>0</v>
      </c>
      <c r="CO295" s="16">
        <f>Demand_SW!D$12/31</f>
        <v>0</v>
      </c>
      <c r="CP295" s="16">
        <f>Demand_SW!E$12/31</f>
        <v>0</v>
      </c>
      <c r="CQ295" s="16">
        <f>Demand_SW!F$12/31</f>
        <v>0</v>
      </c>
      <c r="CR295" s="16">
        <f>Demand_SW!G$12/31</f>
        <v>139.57816377171216</v>
      </c>
      <c r="CS295" s="16">
        <f>Demand_SW!H$12/31</f>
        <v>0</v>
      </c>
      <c r="CT295" s="16">
        <f>Demand_SW!I$12/31</f>
        <v>0</v>
      </c>
      <c r="CU295" s="16">
        <f>Demand_SW!J$12/31</f>
        <v>0</v>
      </c>
      <c r="CV295" s="16">
        <f>Demand_SW!K$12/31</f>
        <v>0</v>
      </c>
      <c r="CW295" s="16">
        <f t="shared" si="143"/>
        <v>61300.322580645123</v>
      </c>
      <c r="CX295" s="16">
        <f t="shared" si="144"/>
        <v>20683.923076923078</v>
      </c>
      <c r="CY295" s="16">
        <f t="shared" si="145"/>
        <v>0</v>
      </c>
      <c r="CZ295" s="16">
        <f t="shared" si="146"/>
        <v>0</v>
      </c>
      <c r="DA295" s="16">
        <f t="shared" si="147"/>
        <v>0</v>
      </c>
      <c r="DB295" s="16">
        <f t="shared" si="148"/>
        <v>-38228.908188585614</v>
      </c>
      <c r="DC295" s="16">
        <f t="shared" si="149"/>
        <v>20683.923076923078</v>
      </c>
      <c r="DD295" s="16">
        <f t="shared" si="150"/>
        <v>0</v>
      </c>
      <c r="DE295" s="16">
        <f t="shared" si="151"/>
        <v>0</v>
      </c>
      <c r="DF295" s="16">
        <f t="shared" si="152"/>
        <v>0</v>
      </c>
      <c r="DG295" s="14">
        <f>IF([1]Sheet2!DR294=999999,"NA",[1]Sheet2!DR294)</f>
        <v>73103</v>
      </c>
      <c r="DH295" s="14">
        <f>IF([1]Sheet2!DS294=999999,"NA",[1]Sheet2!DS294)</f>
        <v>73</v>
      </c>
      <c r="DI295" s="14">
        <f>IF([1]Sheet2!DT294=999999,"NA",[1]Sheet2!DT294)</f>
        <v>73</v>
      </c>
      <c r="DJ295" s="14" t="str">
        <f>IF([1]Sheet2!DU294=999999,"NA",[1]Sheet2!DU294)</f>
        <v>NA</v>
      </c>
      <c r="DK295" s="14" t="str">
        <f>IF([1]Sheet2!DV294=999999,"NA",[1]Sheet2!DV294)</f>
        <v>NA</v>
      </c>
      <c r="DL295" s="14" t="str">
        <f>IF([1]Sheet2!DW294=999999,"NA",[1]Sheet2!DW294)</f>
        <v>NA</v>
      </c>
      <c r="DM295" s="14">
        <f>IF([1]Sheet2!DX294=999999,"NA",[1]Sheet2!DX294)</f>
        <v>73</v>
      </c>
      <c r="DN295" s="14">
        <f>IF([1]Sheet2!DY294=999999,"NA",[1]Sheet2!DY294)</f>
        <v>73</v>
      </c>
      <c r="DO295" s="14" t="str">
        <f>IF([1]Sheet2!DZ294=999999,"NA",[1]Sheet2!DZ294)</f>
        <v>NA</v>
      </c>
      <c r="DP295" s="14" t="str">
        <f>IF([1]Sheet2!EA294=999999,"NA",[1]Sheet2!EA294)</f>
        <v>NA</v>
      </c>
      <c r="DQ295" s="14">
        <f>[1]Sheet2!CX294</f>
        <v>0</v>
      </c>
      <c r="DR295" s="14">
        <f>[1]Sheet2!CY294</f>
        <v>0</v>
      </c>
      <c r="DS295" s="14">
        <f>[1]Sheet2!CZ294</f>
        <v>0</v>
      </c>
      <c r="DT295" s="14">
        <f>[1]Sheet2!DA294</f>
        <v>0</v>
      </c>
      <c r="DU295" s="14">
        <f>[1]Sheet2!DB294</f>
        <v>0</v>
      </c>
      <c r="DV295" s="14">
        <f>[1]Sheet2!DC294</f>
        <v>0</v>
      </c>
      <c r="DW295" s="14">
        <f>[1]Sheet2!DD294</f>
        <v>0</v>
      </c>
      <c r="DX295" s="14">
        <f>[1]Sheet2!DE294</f>
        <v>0</v>
      </c>
      <c r="DY295" s="14">
        <f>[1]Sheet2!DF294</f>
        <v>0</v>
      </c>
      <c r="DZ295" s="14">
        <f>[1]Sheet2!DG294</f>
        <v>0</v>
      </c>
    </row>
    <row r="296" spans="1:130" x14ac:dyDescent="0.25">
      <c r="A296" s="15">
        <v>43758</v>
      </c>
      <c r="B296" s="1"/>
      <c r="C296" s="1"/>
      <c r="D296" s="1"/>
      <c r="E296" s="14">
        <f>[1]Sheet2!N295</f>
        <v>0</v>
      </c>
      <c r="F296" s="14">
        <f>[1]Sheet2!BE295</f>
        <v>0</v>
      </c>
      <c r="G296" s="14">
        <f>[1]Sheet2!CV295</f>
        <v>279.15632754342431</v>
      </c>
      <c r="H296" s="1"/>
      <c r="I296" s="1"/>
      <c r="J296" s="1"/>
      <c r="K296" s="16">
        <f>Demand_CWRS!B$12/31</f>
        <v>113.31027191894128</v>
      </c>
      <c r="L296" s="16">
        <f>Demand_CWRS!C$12/31</f>
        <v>480.06765922249781</v>
      </c>
      <c r="M296" s="16">
        <f>Demand_CWRS!D$12/31</f>
        <v>0</v>
      </c>
      <c r="N296" s="16">
        <f>Demand_CWRS!E$12/31</f>
        <v>103.22435897435898</v>
      </c>
      <c r="O296" s="16">
        <f>Demand_CWRS!F$12/31</f>
        <v>209.74544820099254</v>
      </c>
      <c r="P296" s="16">
        <f>Demand_CWRS!G$12/31</f>
        <v>113.31027191894128</v>
      </c>
      <c r="Q296" s="16">
        <f>Demand_CWRS!H$12/31</f>
        <v>480.06765922249781</v>
      </c>
      <c r="R296" s="16">
        <f>Demand_CWRS!I$12/31</f>
        <v>209.74544820099254</v>
      </c>
      <c r="S296" s="16">
        <f>Demand_CWRS!J$12/31</f>
        <v>209.74544820099254</v>
      </c>
      <c r="T296" s="16">
        <f>Demand_CWRS!K$12/31</f>
        <v>209.74544820099254</v>
      </c>
      <c r="U296" s="16">
        <f t="shared" si="123"/>
        <v>-38242.201591159901</v>
      </c>
      <c r="V296" s="16">
        <f t="shared" si="124"/>
        <v>-138605.00703060336</v>
      </c>
      <c r="W296" s="16">
        <f t="shared" si="125"/>
        <v>0</v>
      </c>
      <c r="X296" s="16">
        <f t="shared" si="126"/>
        <v>-32319.962447257305</v>
      </c>
      <c r="Y296" s="16">
        <f t="shared" si="127"/>
        <v>-63409.115507147137</v>
      </c>
      <c r="Z296" s="16">
        <f t="shared" si="128"/>
        <v>-37845.269067121495</v>
      </c>
      <c r="AA296" s="16">
        <f t="shared" si="129"/>
        <v>-138105.00703060336</v>
      </c>
      <c r="AB296" s="16">
        <f t="shared" si="130"/>
        <v>-60925.270026377853</v>
      </c>
      <c r="AC296" s="16">
        <f t="shared" si="131"/>
        <v>-60925.270026377846</v>
      </c>
      <c r="AD296" s="16">
        <f t="shared" si="132"/>
        <v>-61625.270026377839</v>
      </c>
      <c r="AE296" s="14">
        <f>IF([1]Sheet2!AJ295=999999,"NA",[1]Sheet2!AJ295)</f>
        <v>0</v>
      </c>
      <c r="AF296" s="14">
        <f>IF([1]Sheet2!AK295=999999,"NA",[1]Sheet2!AK295)</f>
        <v>0</v>
      </c>
      <c r="AG296" s="14" t="str">
        <f>IF([1]Sheet2!AL295=999999,"NA",[1]Sheet2!AL295)</f>
        <v>NA</v>
      </c>
      <c r="AH296" s="14">
        <f>IF([1]Sheet2!AM295=999999,"NA",[1]Sheet2!AM295)</f>
        <v>72</v>
      </c>
      <c r="AI296" s="14">
        <f>IF([1]Sheet2!AN295=999999,"NA",[1]Sheet2!AN295)</f>
        <v>72</v>
      </c>
      <c r="AJ296" s="14">
        <f>IF([1]Sheet2!AO295=999999,"NA",[1]Sheet2!AO295)</f>
        <v>72</v>
      </c>
      <c r="AK296" s="14">
        <f>IF([1]Sheet2!AP295=999999,"NA",[1]Sheet2!AP295)</f>
        <v>0</v>
      </c>
      <c r="AL296" s="14">
        <f>IF([1]Sheet2!AQ295=999999,"NA",[1]Sheet2!AQ295)</f>
        <v>0</v>
      </c>
      <c r="AM296" s="14">
        <f>IF([1]Sheet2!AR295=999999,"NA",[1]Sheet2!AR295)</f>
        <v>72</v>
      </c>
      <c r="AN296" s="14">
        <f>IF([1]Sheet2!AS295=999999,"NA",[1]Sheet2!AS295)</f>
        <v>23</v>
      </c>
      <c r="AO296" s="14">
        <f>[1]Sheet2!P295</f>
        <v>0</v>
      </c>
      <c r="AP296" s="14">
        <f>[1]Sheet2!Q295</f>
        <v>0</v>
      </c>
      <c r="AQ296" s="14">
        <f>[1]Sheet2!R295</f>
        <v>0</v>
      </c>
      <c r="AR296" s="14">
        <f>[1]Sheet2!S295</f>
        <v>0</v>
      </c>
      <c r="AS296" s="14">
        <f>[1]Sheet2!T295</f>
        <v>0</v>
      </c>
      <c r="AT296" s="14">
        <f>[1]Sheet2!U295</f>
        <v>0</v>
      </c>
      <c r="AU296" s="14">
        <f>[1]Sheet2!V295</f>
        <v>0</v>
      </c>
      <c r="AV296" s="14">
        <f>[1]Sheet2!W295</f>
        <v>0</v>
      </c>
      <c r="AW296" s="14">
        <f>[1]Sheet2!X295</f>
        <v>0</v>
      </c>
      <c r="AX296" s="14">
        <f>[1]Sheet2!Y295</f>
        <v>0</v>
      </c>
      <c r="AY296" s="16">
        <f>Demand_LP!B$12/31</f>
        <v>866.47279518196865</v>
      </c>
      <c r="AZ296" s="16">
        <f>Demand_LP!C$12/31</f>
        <v>577.62712985938799</v>
      </c>
      <c r="BA296" s="16">
        <f>Demand_LP!D$12/31</f>
        <v>262.18502894954509</v>
      </c>
      <c r="BB296" s="16">
        <f>Demand_LP!E$12/31</f>
        <v>766.03229942100904</v>
      </c>
      <c r="BC296" s="16">
        <f>Demand_LP!F$12/31</f>
        <v>516.10499638130682</v>
      </c>
      <c r="BD296" s="16">
        <f>Demand_LP!G$12/31</f>
        <v>866.47279518196865</v>
      </c>
      <c r="BE296" s="16">
        <f>Demand_LP!H$12/31</f>
        <v>577.62712985938799</v>
      </c>
      <c r="BF296" s="16">
        <f>Demand_LP!I$12/31</f>
        <v>516.10499638130682</v>
      </c>
      <c r="BG296" s="16">
        <f>Demand_LP!J$12/31</f>
        <v>516.10499638130682</v>
      </c>
      <c r="BH296" s="16">
        <f>Demand_LP!K$12/31</f>
        <v>516.10499638130682</v>
      </c>
      <c r="BI296" s="16" t="e">
        <f t="shared" si="133"/>
        <v>#VALUE!</v>
      </c>
      <c r="BJ296" s="16">
        <f t="shared" si="134"/>
        <v>-166651.6066997516</v>
      </c>
      <c r="BK296" s="16">
        <f t="shared" si="135"/>
        <v>-85316.441604632128</v>
      </c>
      <c r="BL296" s="16">
        <f t="shared" si="136"/>
        <v>-220154.11648501139</v>
      </c>
      <c r="BM296" s="16">
        <f t="shared" si="137"/>
        <v>-132398.13741951203</v>
      </c>
      <c r="BN296" s="16">
        <f t="shared" si="138"/>
        <v>-229253.3935692712</v>
      </c>
      <c r="BO296" s="16">
        <f t="shared" si="139"/>
        <v>-169009.18618693139</v>
      </c>
      <c r="BP296" s="16">
        <f t="shared" si="140"/>
        <v>-133509.8213378826</v>
      </c>
      <c r="BQ296" s="16">
        <f t="shared" si="141"/>
        <v>-130499.82133788271</v>
      </c>
      <c r="BR296" s="16">
        <f t="shared" si="142"/>
        <v>-131699.82133788263</v>
      </c>
      <c r="BS296" s="14">
        <f>IF([1]Sheet2!CA295=999999,"NA",[1]Sheet2!CA295)</f>
        <v>84779.178662117498</v>
      </c>
      <c r="BT296" s="14">
        <f>IF([1]Sheet2!CB295=999999,"NA",[1]Sheet2!CB295)</f>
        <v>2</v>
      </c>
      <c r="BU296" s="14">
        <f>IF([1]Sheet2!CC295=999999,"NA",[1]Sheet2!CC295)</f>
        <v>72</v>
      </c>
      <c r="BV296" s="14">
        <f>IF([1]Sheet2!CD295=999999,"NA",[1]Sheet2!CD295)</f>
        <v>72</v>
      </c>
      <c r="BW296" s="14">
        <f>IF([1]Sheet2!CE295=999999,"NA",[1]Sheet2!CE295)</f>
        <v>41</v>
      </c>
      <c r="BX296" s="14">
        <f>IF([1]Sheet2!CF295=999999,"NA",[1]Sheet2!CF295)</f>
        <v>72</v>
      </c>
      <c r="BY296" s="14">
        <f>IF([1]Sheet2!CG295=999999,"NA",[1]Sheet2!CG295)</f>
        <v>0</v>
      </c>
      <c r="BZ296" s="14">
        <f>IF([1]Sheet2!CH295=999999,"NA",[1]Sheet2!CH295)</f>
        <v>72</v>
      </c>
      <c r="CA296" s="14">
        <f>IF([1]Sheet2!CI295=999999,"NA",[1]Sheet2!CI295)</f>
        <v>72</v>
      </c>
      <c r="CB296" s="14">
        <f>IF([1]Sheet2!CJ295=999999,"NA",[1]Sheet2!CJ295)</f>
        <v>72</v>
      </c>
      <c r="CC296" s="14">
        <f>[1]Sheet2!BG295</f>
        <v>0</v>
      </c>
      <c r="CD296" s="14">
        <f>[1]Sheet2!BH295</f>
        <v>0</v>
      </c>
      <c r="CE296" s="14">
        <f>[1]Sheet2!BI295</f>
        <v>0</v>
      </c>
      <c r="CF296" s="14">
        <f>[1]Sheet2!BJ295</f>
        <v>0</v>
      </c>
      <c r="CG296" s="14">
        <f>[1]Sheet2!BK295</f>
        <v>0</v>
      </c>
      <c r="CH296" s="14">
        <f>[1]Sheet2!BL295</f>
        <v>0</v>
      </c>
      <c r="CI296" s="14">
        <f>[1]Sheet2!BM295</f>
        <v>0</v>
      </c>
      <c r="CJ296" s="14">
        <f>[1]Sheet2!BN295</f>
        <v>0</v>
      </c>
      <c r="CK296" s="14">
        <f>[1]Sheet2!BO295</f>
        <v>0</v>
      </c>
      <c r="CL296" s="14">
        <f>[1]Sheet2!BP295</f>
        <v>0</v>
      </c>
      <c r="CM296" s="16">
        <f>Demand_SW!B$12/31</f>
        <v>139.57816377171216</v>
      </c>
      <c r="CN296" s="16">
        <f>Demand_SW!C$12/31</f>
        <v>0</v>
      </c>
      <c r="CO296" s="16">
        <f>Demand_SW!D$12/31</f>
        <v>0</v>
      </c>
      <c r="CP296" s="16">
        <f>Demand_SW!E$12/31</f>
        <v>0</v>
      </c>
      <c r="CQ296" s="16">
        <f>Demand_SW!F$12/31</f>
        <v>0</v>
      </c>
      <c r="CR296" s="16">
        <f>Demand_SW!G$12/31</f>
        <v>139.57816377171216</v>
      </c>
      <c r="CS296" s="16">
        <f>Demand_SW!H$12/31</f>
        <v>0</v>
      </c>
      <c r="CT296" s="16">
        <f>Demand_SW!I$12/31</f>
        <v>0</v>
      </c>
      <c r="CU296" s="16">
        <f>Demand_SW!J$12/31</f>
        <v>0</v>
      </c>
      <c r="CV296" s="16">
        <f>Demand_SW!K$12/31</f>
        <v>0</v>
      </c>
      <c r="CW296" s="16">
        <f t="shared" si="143"/>
        <v>61160.744416873407</v>
      </c>
      <c r="CX296" s="16">
        <f t="shared" si="144"/>
        <v>20683.923076923078</v>
      </c>
      <c r="CY296" s="16">
        <f t="shared" si="145"/>
        <v>0</v>
      </c>
      <c r="CZ296" s="16">
        <f t="shared" si="146"/>
        <v>0</v>
      </c>
      <c r="DA296" s="16">
        <f t="shared" si="147"/>
        <v>0</v>
      </c>
      <c r="DB296" s="16">
        <f t="shared" si="148"/>
        <v>-38368.486352357329</v>
      </c>
      <c r="DC296" s="16">
        <f t="shared" si="149"/>
        <v>20683.923076923078</v>
      </c>
      <c r="DD296" s="16">
        <f t="shared" si="150"/>
        <v>0</v>
      </c>
      <c r="DE296" s="16">
        <f t="shared" si="151"/>
        <v>0</v>
      </c>
      <c r="DF296" s="16">
        <f t="shared" si="152"/>
        <v>0</v>
      </c>
      <c r="DG296" s="14">
        <f>IF([1]Sheet2!DR295=999999,"NA",[1]Sheet2!DR295)</f>
        <v>73103</v>
      </c>
      <c r="DH296" s="14">
        <f>IF([1]Sheet2!DS295=999999,"NA",[1]Sheet2!DS295)</f>
        <v>72</v>
      </c>
      <c r="DI296" s="14">
        <f>IF([1]Sheet2!DT295=999999,"NA",[1]Sheet2!DT295)</f>
        <v>72</v>
      </c>
      <c r="DJ296" s="14" t="str">
        <f>IF([1]Sheet2!DU295=999999,"NA",[1]Sheet2!DU295)</f>
        <v>NA</v>
      </c>
      <c r="DK296" s="14" t="str">
        <f>IF([1]Sheet2!DV295=999999,"NA",[1]Sheet2!DV295)</f>
        <v>NA</v>
      </c>
      <c r="DL296" s="14" t="str">
        <f>IF([1]Sheet2!DW295=999999,"NA",[1]Sheet2!DW295)</f>
        <v>NA</v>
      </c>
      <c r="DM296" s="14">
        <f>IF([1]Sheet2!DX295=999999,"NA",[1]Sheet2!DX295)</f>
        <v>72</v>
      </c>
      <c r="DN296" s="14">
        <f>IF([1]Sheet2!DY295=999999,"NA",[1]Sheet2!DY295)</f>
        <v>72</v>
      </c>
      <c r="DO296" s="14" t="str">
        <f>IF([1]Sheet2!DZ295=999999,"NA",[1]Sheet2!DZ295)</f>
        <v>NA</v>
      </c>
      <c r="DP296" s="14" t="str">
        <f>IF([1]Sheet2!EA295=999999,"NA",[1]Sheet2!EA295)</f>
        <v>NA</v>
      </c>
      <c r="DQ296" s="14">
        <f>[1]Sheet2!CX295</f>
        <v>0</v>
      </c>
      <c r="DR296" s="14">
        <f>[1]Sheet2!CY295</f>
        <v>0</v>
      </c>
      <c r="DS296" s="14">
        <f>[1]Sheet2!CZ295</f>
        <v>0</v>
      </c>
      <c r="DT296" s="14">
        <f>[1]Sheet2!DA295</f>
        <v>0</v>
      </c>
      <c r="DU296" s="14">
        <f>[1]Sheet2!DB295</f>
        <v>0</v>
      </c>
      <c r="DV296" s="14">
        <f>[1]Sheet2!DC295</f>
        <v>0</v>
      </c>
      <c r="DW296" s="14">
        <f>[1]Sheet2!DD295</f>
        <v>0</v>
      </c>
      <c r="DX296" s="14">
        <f>[1]Sheet2!DE295</f>
        <v>0</v>
      </c>
      <c r="DY296" s="14">
        <f>[1]Sheet2!DF295</f>
        <v>0</v>
      </c>
      <c r="DZ296" s="14">
        <f>[1]Sheet2!DG295</f>
        <v>0</v>
      </c>
    </row>
    <row r="297" spans="1:130" x14ac:dyDescent="0.25">
      <c r="A297" s="15">
        <v>43759</v>
      </c>
      <c r="B297" s="1"/>
      <c r="C297" s="1"/>
      <c r="D297" s="1"/>
      <c r="E297" s="14">
        <f>[1]Sheet2!N296</f>
        <v>48000</v>
      </c>
      <c r="F297" s="14">
        <f>[1]Sheet2!BE296</f>
        <v>0</v>
      </c>
      <c r="G297" s="14">
        <f>[1]Sheet2!CV296</f>
        <v>279.15632754342431</v>
      </c>
      <c r="H297" s="1"/>
      <c r="I297" s="1"/>
      <c r="J297" s="1"/>
      <c r="K297" s="16">
        <f>Demand_CWRS!B$12/31</f>
        <v>113.31027191894128</v>
      </c>
      <c r="L297" s="16">
        <f>Demand_CWRS!C$12/31</f>
        <v>480.06765922249781</v>
      </c>
      <c r="M297" s="16">
        <f>Demand_CWRS!D$12/31</f>
        <v>0</v>
      </c>
      <c r="N297" s="16">
        <f>Demand_CWRS!E$12/31</f>
        <v>103.22435897435898</v>
      </c>
      <c r="O297" s="16">
        <f>Demand_CWRS!F$12/31</f>
        <v>209.74544820099254</v>
      </c>
      <c r="P297" s="16">
        <f>Demand_CWRS!G$12/31</f>
        <v>113.31027191894128</v>
      </c>
      <c r="Q297" s="16">
        <f>Demand_CWRS!H$12/31</f>
        <v>480.06765922249781</v>
      </c>
      <c r="R297" s="16">
        <f>Demand_CWRS!I$12/31</f>
        <v>209.74544820099254</v>
      </c>
      <c r="S297" s="16">
        <f>Demand_CWRS!J$12/31</f>
        <v>209.74544820099254</v>
      </c>
      <c r="T297" s="16">
        <f>Demand_CWRS!K$12/31</f>
        <v>209.74544820099254</v>
      </c>
      <c r="U297" s="16">
        <f t="shared" si="123"/>
        <v>-38355.511863078842</v>
      </c>
      <c r="V297" s="16">
        <f t="shared" si="124"/>
        <v>-139085.07468982585</v>
      </c>
      <c r="W297" s="16">
        <f t="shared" si="125"/>
        <v>0</v>
      </c>
      <c r="X297" s="16">
        <f t="shared" si="126"/>
        <v>-32423.186806231664</v>
      </c>
      <c r="Y297" s="16">
        <f t="shared" si="127"/>
        <v>-63618.860955348129</v>
      </c>
      <c r="Z297" s="16">
        <f t="shared" si="128"/>
        <v>-37958.579339040436</v>
      </c>
      <c r="AA297" s="16">
        <f t="shared" si="129"/>
        <v>-138585.07468982585</v>
      </c>
      <c r="AB297" s="16">
        <f t="shared" si="130"/>
        <v>-61135.015474578846</v>
      </c>
      <c r="AC297" s="16">
        <f t="shared" si="131"/>
        <v>-61135.015474578839</v>
      </c>
      <c r="AD297" s="16">
        <f t="shared" si="132"/>
        <v>-61835.015474578831</v>
      </c>
      <c r="AE297" s="14">
        <f>IF([1]Sheet2!AJ296=999999,"NA",[1]Sheet2!AJ296)</f>
        <v>0</v>
      </c>
      <c r="AF297" s="14">
        <f>IF([1]Sheet2!AK296=999999,"NA",[1]Sheet2!AK296)</f>
        <v>0</v>
      </c>
      <c r="AG297" s="14" t="str">
        <f>IF([1]Sheet2!AL296=999999,"NA",[1]Sheet2!AL296)</f>
        <v>NA</v>
      </c>
      <c r="AH297" s="14">
        <f>IF([1]Sheet2!AM296=999999,"NA",[1]Sheet2!AM296)</f>
        <v>71</v>
      </c>
      <c r="AI297" s="14">
        <f>IF([1]Sheet2!AN296=999999,"NA",[1]Sheet2!AN296)</f>
        <v>71</v>
      </c>
      <c r="AJ297" s="14">
        <f>IF([1]Sheet2!AO296=999999,"NA",[1]Sheet2!AO296)</f>
        <v>71</v>
      </c>
      <c r="AK297" s="14">
        <f>IF([1]Sheet2!AP296=999999,"NA",[1]Sheet2!AP296)</f>
        <v>0</v>
      </c>
      <c r="AL297" s="14">
        <f>IF([1]Sheet2!AQ296=999999,"NA",[1]Sheet2!AQ296)</f>
        <v>0</v>
      </c>
      <c r="AM297" s="14">
        <f>IF([1]Sheet2!AR296=999999,"NA",[1]Sheet2!AR296)</f>
        <v>71</v>
      </c>
      <c r="AN297" s="14">
        <f>IF([1]Sheet2!AS296=999999,"NA",[1]Sheet2!AS296)</f>
        <v>22</v>
      </c>
      <c r="AO297" s="14">
        <f>[1]Sheet2!P296</f>
        <v>0</v>
      </c>
      <c r="AP297" s="14">
        <f>[1]Sheet2!Q296</f>
        <v>0</v>
      </c>
      <c r="AQ297" s="14">
        <f>[1]Sheet2!R296</f>
        <v>0</v>
      </c>
      <c r="AR297" s="14">
        <f>[1]Sheet2!S296</f>
        <v>0</v>
      </c>
      <c r="AS297" s="14">
        <f>[1]Sheet2!T296</f>
        <v>0</v>
      </c>
      <c r="AT297" s="14">
        <f>[1]Sheet2!U296</f>
        <v>0</v>
      </c>
      <c r="AU297" s="14">
        <f>[1]Sheet2!V296</f>
        <v>0</v>
      </c>
      <c r="AV297" s="14">
        <f>[1]Sheet2!W296</f>
        <v>0</v>
      </c>
      <c r="AW297" s="14">
        <f>[1]Sheet2!X296</f>
        <v>0</v>
      </c>
      <c r="AX297" s="14">
        <f>[1]Sheet2!Y296</f>
        <v>0</v>
      </c>
      <c r="AY297" s="16">
        <f>Demand_LP!B$12/31</f>
        <v>866.47279518196865</v>
      </c>
      <c r="AZ297" s="16">
        <f>Demand_LP!C$12/31</f>
        <v>577.62712985938799</v>
      </c>
      <c r="BA297" s="16">
        <f>Demand_LP!D$12/31</f>
        <v>262.18502894954509</v>
      </c>
      <c r="BB297" s="16">
        <f>Demand_LP!E$12/31</f>
        <v>766.03229942100904</v>
      </c>
      <c r="BC297" s="16">
        <f>Demand_LP!F$12/31</f>
        <v>516.10499638130682</v>
      </c>
      <c r="BD297" s="16">
        <f>Demand_LP!G$12/31</f>
        <v>866.47279518196865</v>
      </c>
      <c r="BE297" s="16">
        <f>Demand_LP!H$12/31</f>
        <v>577.62712985938799</v>
      </c>
      <c r="BF297" s="16">
        <f>Demand_LP!I$12/31</f>
        <v>516.10499638130682</v>
      </c>
      <c r="BG297" s="16">
        <f>Demand_LP!J$12/31</f>
        <v>516.10499638130682</v>
      </c>
      <c r="BH297" s="16">
        <f>Demand_LP!K$12/31</f>
        <v>516.10499638130682</v>
      </c>
      <c r="BI297" s="16" t="e">
        <f t="shared" si="133"/>
        <v>#VALUE!</v>
      </c>
      <c r="BJ297" s="16">
        <f t="shared" si="134"/>
        <v>-167229.23382961098</v>
      </c>
      <c r="BK297" s="16">
        <f t="shared" si="135"/>
        <v>-85578.626633581676</v>
      </c>
      <c r="BL297" s="16">
        <f t="shared" si="136"/>
        <v>-220920.14878443239</v>
      </c>
      <c r="BM297" s="16">
        <f t="shared" si="137"/>
        <v>-132914.24241589333</v>
      </c>
      <c r="BN297" s="16">
        <f t="shared" si="138"/>
        <v>-230119.86636445316</v>
      </c>
      <c r="BO297" s="16">
        <f t="shared" si="139"/>
        <v>-169586.81331679077</v>
      </c>
      <c r="BP297" s="16">
        <f t="shared" si="140"/>
        <v>-134025.9263342639</v>
      </c>
      <c r="BQ297" s="16">
        <f t="shared" si="141"/>
        <v>-131015.92633426402</v>
      </c>
      <c r="BR297" s="16">
        <f t="shared" si="142"/>
        <v>-132215.92633426393</v>
      </c>
      <c r="BS297" s="14">
        <f>IF([1]Sheet2!CA296=999999,"NA",[1]Sheet2!CA296)</f>
        <v>84263.073665736185</v>
      </c>
      <c r="BT297" s="14">
        <f>IF([1]Sheet2!CB296=999999,"NA",[1]Sheet2!CB296)</f>
        <v>1</v>
      </c>
      <c r="BU297" s="14">
        <f>IF([1]Sheet2!CC296=999999,"NA",[1]Sheet2!CC296)</f>
        <v>71</v>
      </c>
      <c r="BV297" s="14">
        <f>IF([1]Sheet2!CD296=999999,"NA",[1]Sheet2!CD296)</f>
        <v>71</v>
      </c>
      <c r="BW297" s="14">
        <f>IF([1]Sheet2!CE296=999999,"NA",[1]Sheet2!CE296)</f>
        <v>40</v>
      </c>
      <c r="BX297" s="14">
        <f>IF([1]Sheet2!CF296=999999,"NA",[1]Sheet2!CF296)</f>
        <v>71</v>
      </c>
      <c r="BY297" s="14">
        <f>IF([1]Sheet2!CG296=999999,"NA",[1]Sheet2!CG296)</f>
        <v>0</v>
      </c>
      <c r="BZ297" s="14">
        <f>IF([1]Sheet2!CH296=999999,"NA",[1]Sheet2!CH296)</f>
        <v>71</v>
      </c>
      <c r="CA297" s="14">
        <f>IF([1]Sheet2!CI296=999999,"NA",[1]Sheet2!CI296)</f>
        <v>71</v>
      </c>
      <c r="CB297" s="14">
        <f>IF([1]Sheet2!CJ296=999999,"NA",[1]Sheet2!CJ296)</f>
        <v>71</v>
      </c>
      <c r="CC297" s="14">
        <f>[1]Sheet2!BG296</f>
        <v>0</v>
      </c>
      <c r="CD297" s="14">
        <f>[1]Sheet2!BH296</f>
        <v>0</v>
      </c>
      <c r="CE297" s="14">
        <f>[1]Sheet2!BI296</f>
        <v>0</v>
      </c>
      <c r="CF297" s="14">
        <f>[1]Sheet2!BJ296</f>
        <v>0</v>
      </c>
      <c r="CG297" s="14">
        <f>[1]Sheet2!BK296</f>
        <v>0</v>
      </c>
      <c r="CH297" s="14">
        <f>[1]Sheet2!BL296</f>
        <v>0</v>
      </c>
      <c r="CI297" s="14">
        <f>[1]Sheet2!BM296</f>
        <v>0</v>
      </c>
      <c r="CJ297" s="14">
        <f>[1]Sheet2!BN296</f>
        <v>0</v>
      </c>
      <c r="CK297" s="14">
        <f>[1]Sheet2!BO296</f>
        <v>0</v>
      </c>
      <c r="CL297" s="14">
        <f>[1]Sheet2!BP296</f>
        <v>0</v>
      </c>
      <c r="CM297" s="16">
        <f>Demand_SW!B$12/31</f>
        <v>139.57816377171216</v>
      </c>
      <c r="CN297" s="16">
        <f>Demand_SW!C$12/31</f>
        <v>0</v>
      </c>
      <c r="CO297" s="16">
        <f>Demand_SW!D$12/31</f>
        <v>0</v>
      </c>
      <c r="CP297" s="16">
        <f>Demand_SW!E$12/31</f>
        <v>0</v>
      </c>
      <c r="CQ297" s="16">
        <f>Demand_SW!F$12/31</f>
        <v>0</v>
      </c>
      <c r="CR297" s="16">
        <f>Demand_SW!G$12/31</f>
        <v>139.57816377171216</v>
      </c>
      <c r="CS297" s="16">
        <f>Demand_SW!H$12/31</f>
        <v>0</v>
      </c>
      <c r="CT297" s="16">
        <f>Demand_SW!I$12/31</f>
        <v>0</v>
      </c>
      <c r="CU297" s="16">
        <f>Demand_SW!J$12/31</f>
        <v>0</v>
      </c>
      <c r="CV297" s="16">
        <f>Demand_SW!K$12/31</f>
        <v>0</v>
      </c>
      <c r="CW297" s="16">
        <f t="shared" si="143"/>
        <v>61021.166253101692</v>
      </c>
      <c r="CX297" s="16">
        <f t="shared" si="144"/>
        <v>20683.923076923078</v>
      </c>
      <c r="CY297" s="16">
        <f t="shared" si="145"/>
        <v>0</v>
      </c>
      <c r="CZ297" s="16">
        <f t="shared" si="146"/>
        <v>0</v>
      </c>
      <c r="DA297" s="16">
        <f t="shared" si="147"/>
        <v>0</v>
      </c>
      <c r="DB297" s="16">
        <f t="shared" si="148"/>
        <v>-38508.064516129045</v>
      </c>
      <c r="DC297" s="16">
        <f t="shared" si="149"/>
        <v>20683.923076923078</v>
      </c>
      <c r="DD297" s="16">
        <f t="shared" si="150"/>
        <v>0</v>
      </c>
      <c r="DE297" s="16">
        <f t="shared" si="151"/>
        <v>0</v>
      </c>
      <c r="DF297" s="16">
        <f t="shared" si="152"/>
        <v>0</v>
      </c>
      <c r="DG297" s="14">
        <f>IF([1]Sheet2!DR296=999999,"NA",[1]Sheet2!DR296)</f>
        <v>73103</v>
      </c>
      <c r="DH297" s="14">
        <f>IF([1]Sheet2!DS296=999999,"NA",[1]Sheet2!DS296)</f>
        <v>71</v>
      </c>
      <c r="DI297" s="14">
        <f>IF([1]Sheet2!DT296=999999,"NA",[1]Sheet2!DT296)</f>
        <v>71</v>
      </c>
      <c r="DJ297" s="14" t="str">
        <f>IF([1]Sheet2!DU296=999999,"NA",[1]Sheet2!DU296)</f>
        <v>NA</v>
      </c>
      <c r="DK297" s="14" t="str">
        <f>IF([1]Sheet2!DV296=999999,"NA",[1]Sheet2!DV296)</f>
        <v>NA</v>
      </c>
      <c r="DL297" s="14" t="str">
        <f>IF([1]Sheet2!DW296=999999,"NA",[1]Sheet2!DW296)</f>
        <v>NA</v>
      </c>
      <c r="DM297" s="14">
        <f>IF([1]Sheet2!DX296=999999,"NA",[1]Sheet2!DX296)</f>
        <v>71</v>
      </c>
      <c r="DN297" s="14">
        <f>IF([1]Sheet2!DY296=999999,"NA",[1]Sheet2!DY296)</f>
        <v>71</v>
      </c>
      <c r="DO297" s="14" t="str">
        <f>IF([1]Sheet2!DZ296=999999,"NA",[1]Sheet2!DZ296)</f>
        <v>NA</v>
      </c>
      <c r="DP297" s="14" t="str">
        <f>IF([1]Sheet2!EA296=999999,"NA",[1]Sheet2!EA296)</f>
        <v>NA</v>
      </c>
      <c r="DQ297" s="14">
        <f>[1]Sheet2!CX296</f>
        <v>0</v>
      </c>
      <c r="DR297" s="14">
        <f>[1]Sheet2!CY296</f>
        <v>0</v>
      </c>
      <c r="DS297" s="14">
        <f>[1]Sheet2!CZ296</f>
        <v>0</v>
      </c>
      <c r="DT297" s="14">
        <f>[1]Sheet2!DA296</f>
        <v>0</v>
      </c>
      <c r="DU297" s="14">
        <f>[1]Sheet2!DB296</f>
        <v>0</v>
      </c>
      <c r="DV297" s="14">
        <f>[1]Sheet2!DC296</f>
        <v>0</v>
      </c>
      <c r="DW297" s="14">
        <f>[1]Sheet2!DD296</f>
        <v>0</v>
      </c>
      <c r="DX297" s="14">
        <f>[1]Sheet2!DE296</f>
        <v>0</v>
      </c>
      <c r="DY297" s="14">
        <f>[1]Sheet2!DF296</f>
        <v>0</v>
      </c>
      <c r="DZ297" s="14">
        <f>[1]Sheet2!DG296</f>
        <v>0</v>
      </c>
    </row>
    <row r="298" spans="1:130" x14ac:dyDescent="0.25">
      <c r="A298" s="15">
        <v>43760</v>
      </c>
      <c r="B298" s="1"/>
      <c r="C298" s="1"/>
      <c r="D298" s="1"/>
      <c r="E298" s="14">
        <f>[1]Sheet2!N297</f>
        <v>0</v>
      </c>
      <c r="F298" s="14">
        <f>[1]Sheet2!BE297</f>
        <v>0</v>
      </c>
      <c r="G298" s="14">
        <f>[1]Sheet2!CV297</f>
        <v>279.15632754342431</v>
      </c>
      <c r="H298" s="1"/>
      <c r="I298" s="1"/>
      <c r="J298" s="1"/>
      <c r="K298" s="16">
        <f>Demand_CWRS!B$12/31</f>
        <v>113.31027191894128</v>
      </c>
      <c r="L298" s="16">
        <f>Demand_CWRS!C$12/31</f>
        <v>480.06765922249781</v>
      </c>
      <c r="M298" s="16">
        <f>Demand_CWRS!D$12/31</f>
        <v>0</v>
      </c>
      <c r="N298" s="16">
        <f>Demand_CWRS!E$12/31</f>
        <v>103.22435897435898</v>
      </c>
      <c r="O298" s="16">
        <f>Demand_CWRS!F$12/31</f>
        <v>209.74544820099254</v>
      </c>
      <c r="P298" s="16">
        <f>Demand_CWRS!G$12/31</f>
        <v>113.31027191894128</v>
      </c>
      <c r="Q298" s="16">
        <f>Demand_CWRS!H$12/31</f>
        <v>480.06765922249781</v>
      </c>
      <c r="R298" s="16">
        <f>Demand_CWRS!I$12/31</f>
        <v>209.74544820099254</v>
      </c>
      <c r="S298" s="16">
        <f>Demand_CWRS!J$12/31</f>
        <v>209.74544820099254</v>
      </c>
      <c r="T298" s="16">
        <f>Demand_CWRS!K$12/31</f>
        <v>209.74544820099254</v>
      </c>
      <c r="U298" s="16">
        <f t="shared" si="123"/>
        <v>-38468.822134997783</v>
      </c>
      <c r="V298" s="16">
        <f t="shared" si="124"/>
        <v>-139565.14234904834</v>
      </c>
      <c r="W298" s="16">
        <f t="shared" si="125"/>
        <v>0</v>
      </c>
      <c r="X298" s="16">
        <f t="shared" si="126"/>
        <v>-32526.411165206024</v>
      </c>
      <c r="Y298" s="16">
        <f t="shared" si="127"/>
        <v>-63828.606403549122</v>
      </c>
      <c r="Z298" s="16">
        <f t="shared" si="128"/>
        <v>-38071.889610959377</v>
      </c>
      <c r="AA298" s="16">
        <f t="shared" si="129"/>
        <v>-139065.14234904834</v>
      </c>
      <c r="AB298" s="16">
        <f t="shared" si="130"/>
        <v>-61344.760922779838</v>
      </c>
      <c r="AC298" s="16">
        <f t="shared" si="131"/>
        <v>-61344.760922779831</v>
      </c>
      <c r="AD298" s="16">
        <f t="shared" si="132"/>
        <v>-62044.760922779824</v>
      </c>
      <c r="AE298" s="14">
        <f>IF([1]Sheet2!AJ297=999999,"NA",[1]Sheet2!AJ297)</f>
        <v>0</v>
      </c>
      <c r="AF298" s="14">
        <f>IF([1]Sheet2!AK297=999999,"NA",[1]Sheet2!AK297)</f>
        <v>0</v>
      </c>
      <c r="AG298" s="14" t="str">
        <f>IF([1]Sheet2!AL297=999999,"NA",[1]Sheet2!AL297)</f>
        <v>NA</v>
      </c>
      <c r="AH298" s="14">
        <f>IF([1]Sheet2!AM297=999999,"NA",[1]Sheet2!AM297)</f>
        <v>70</v>
      </c>
      <c r="AI298" s="14">
        <f>IF([1]Sheet2!AN297=999999,"NA",[1]Sheet2!AN297)</f>
        <v>70</v>
      </c>
      <c r="AJ298" s="14">
        <f>IF([1]Sheet2!AO297=999999,"NA",[1]Sheet2!AO297)</f>
        <v>70</v>
      </c>
      <c r="AK298" s="14">
        <f>IF([1]Sheet2!AP297=999999,"NA",[1]Sheet2!AP297)</f>
        <v>0</v>
      </c>
      <c r="AL298" s="14">
        <f>IF([1]Sheet2!AQ297=999999,"NA",[1]Sheet2!AQ297)</f>
        <v>0</v>
      </c>
      <c r="AM298" s="14">
        <f>IF([1]Sheet2!AR297=999999,"NA",[1]Sheet2!AR297)</f>
        <v>70</v>
      </c>
      <c r="AN298" s="14">
        <f>IF([1]Sheet2!AS297=999999,"NA",[1]Sheet2!AS297)</f>
        <v>21</v>
      </c>
      <c r="AO298" s="14">
        <f>[1]Sheet2!P297</f>
        <v>0</v>
      </c>
      <c r="AP298" s="14">
        <f>[1]Sheet2!Q297</f>
        <v>0</v>
      </c>
      <c r="AQ298" s="14">
        <f>[1]Sheet2!R297</f>
        <v>0</v>
      </c>
      <c r="AR298" s="14">
        <f>[1]Sheet2!S297</f>
        <v>0</v>
      </c>
      <c r="AS298" s="14">
        <f>[1]Sheet2!T297</f>
        <v>0</v>
      </c>
      <c r="AT298" s="14">
        <f>[1]Sheet2!U297</f>
        <v>0</v>
      </c>
      <c r="AU298" s="14">
        <f>[1]Sheet2!V297</f>
        <v>0</v>
      </c>
      <c r="AV298" s="14">
        <f>[1]Sheet2!W297</f>
        <v>0</v>
      </c>
      <c r="AW298" s="14">
        <f>[1]Sheet2!X297</f>
        <v>0</v>
      </c>
      <c r="AX298" s="14">
        <f>[1]Sheet2!Y297</f>
        <v>0</v>
      </c>
      <c r="AY298" s="16">
        <f>Demand_LP!B$12/31</f>
        <v>866.47279518196865</v>
      </c>
      <c r="AZ298" s="16">
        <f>Demand_LP!C$12/31</f>
        <v>577.62712985938799</v>
      </c>
      <c r="BA298" s="16">
        <f>Demand_LP!D$12/31</f>
        <v>262.18502894954509</v>
      </c>
      <c r="BB298" s="16">
        <f>Demand_LP!E$12/31</f>
        <v>766.03229942100904</v>
      </c>
      <c r="BC298" s="16">
        <f>Demand_LP!F$12/31</f>
        <v>516.10499638130682</v>
      </c>
      <c r="BD298" s="16">
        <f>Demand_LP!G$12/31</f>
        <v>866.47279518196865</v>
      </c>
      <c r="BE298" s="16">
        <f>Demand_LP!H$12/31</f>
        <v>577.62712985938799</v>
      </c>
      <c r="BF298" s="16">
        <f>Demand_LP!I$12/31</f>
        <v>516.10499638130682</v>
      </c>
      <c r="BG298" s="16">
        <f>Demand_LP!J$12/31</f>
        <v>516.10499638130682</v>
      </c>
      <c r="BH298" s="16">
        <f>Demand_LP!K$12/31</f>
        <v>516.10499638130682</v>
      </c>
      <c r="BI298" s="16" t="e">
        <f t="shared" si="133"/>
        <v>#VALUE!</v>
      </c>
      <c r="BJ298" s="16">
        <f t="shared" si="134"/>
        <v>-167806.86095947036</v>
      </c>
      <c r="BK298" s="16">
        <f t="shared" si="135"/>
        <v>-85840.811662531225</v>
      </c>
      <c r="BL298" s="16">
        <f t="shared" si="136"/>
        <v>-221686.18108385339</v>
      </c>
      <c r="BM298" s="16">
        <f t="shared" si="137"/>
        <v>-133430.34741227463</v>
      </c>
      <c r="BN298" s="16">
        <f t="shared" si="138"/>
        <v>-230986.33915963513</v>
      </c>
      <c r="BO298" s="16">
        <f t="shared" si="139"/>
        <v>-170164.44044665014</v>
      </c>
      <c r="BP298" s="16">
        <f t="shared" si="140"/>
        <v>-134542.0313306452</v>
      </c>
      <c r="BQ298" s="16">
        <f t="shared" si="141"/>
        <v>-131532.03133064532</v>
      </c>
      <c r="BR298" s="16">
        <f t="shared" si="142"/>
        <v>-132732.03133064523</v>
      </c>
      <c r="BS298" s="14">
        <f>IF([1]Sheet2!CA297=999999,"NA",[1]Sheet2!CA297)</f>
        <v>83746.968669354872</v>
      </c>
      <c r="BT298" s="14">
        <f>IF([1]Sheet2!CB297=999999,"NA",[1]Sheet2!CB297)</f>
        <v>0</v>
      </c>
      <c r="BU298" s="14">
        <f>IF([1]Sheet2!CC297=999999,"NA",[1]Sheet2!CC297)</f>
        <v>70</v>
      </c>
      <c r="BV298" s="14">
        <f>IF([1]Sheet2!CD297=999999,"NA",[1]Sheet2!CD297)</f>
        <v>70</v>
      </c>
      <c r="BW298" s="14">
        <f>IF([1]Sheet2!CE297=999999,"NA",[1]Sheet2!CE297)</f>
        <v>39</v>
      </c>
      <c r="BX298" s="14">
        <f>IF([1]Sheet2!CF297=999999,"NA",[1]Sheet2!CF297)</f>
        <v>70</v>
      </c>
      <c r="BY298" s="14">
        <f>IF([1]Sheet2!CG297=999999,"NA",[1]Sheet2!CG297)</f>
        <v>0</v>
      </c>
      <c r="BZ298" s="14">
        <f>IF([1]Sheet2!CH297=999999,"NA",[1]Sheet2!CH297)</f>
        <v>70</v>
      </c>
      <c r="CA298" s="14">
        <f>IF([1]Sheet2!CI297=999999,"NA",[1]Sheet2!CI297)</f>
        <v>70</v>
      </c>
      <c r="CB298" s="14">
        <f>IF([1]Sheet2!CJ297=999999,"NA",[1]Sheet2!CJ297)</f>
        <v>70</v>
      </c>
      <c r="CC298" s="14">
        <f>[1]Sheet2!BG297</f>
        <v>0</v>
      </c>
      <c r="CD298" s="14">
        <f>[1]Sheet2!BH297</f>
        <v>0</v>
      </c>
      <c r="CE298" s="14">
        <f>[1]Sheet2!BI297</f>
        <v>0</v>
      </c>
      <c r="CF298" s="14">
        <f>[1]Sheet2!BJ297</f>
        <v>0</v>
      </c>
      <c r="CG298" s="14">
        <f>[1]Sheet2!BK297</f>
        <v>0</v>
      </c>
      <c r="CH298" s="14">
        <f>[1]Sheet2!BL297</f>
        <v>0</v>
      </c>
      <c r="CI298" s="14">
        <f>[1]Sheet2!BM297</f>
        <v>0</v>
      </c>
      <c r="CJ298" s="14">
        <f>[1]Sheet2!BN297</f>
        <v>0</v>
      </c>
      <c r="CK298" s="14">
        <f>[1]Sheet2!BO297</f>
        <v>0</v>
      </c>
      <c r="CL298" s="14">
        <f>[1]Sheet2!BP297</f>
        <v>0</v>
      </c>
      <c r="CM298" s="16">
        <f>Demand_SW!B$12/31</f>
        <v>139.57816377171216</v>
      </c>
      <c r="CN298" s="16">
        <f>Demand_SW!C$12/31</f>
        <v>0</v>
      </c>
      <c r="CO298" s="16">
        <f>Demand_SW!D$12/31</f>
        <v>0</v>
      </c>
      <c r="CP298" s="16">
        <f>Demand_SW!E$12/31</f>
        <v>0</v>
      </c>
      <c r="CQ298" s="16">
        <f>Demand_SW!F$12/31</f>
        <v>0</v>
      </c>
      <c r="CR298" s="16">
        <f>Demand_SW!G$12/31</f>
        <v>139.57816377171216</v>
      </c>
      <c r="CS298" s="16">
        <f>Demand_SW!H$12/31</f>
        <v>0</v>
      </c>
      <c r="CT298" s="16">
        <f>Demand_SW!I$12/31</f>
        <v>0</v>
      </c>
      <c r="CU298" s="16">
        <f>Demand_SW!J$12/31</f>
        <v>0</v>
      </c>
      <c r="CV298" s="16">
        <f>Demand_SW!K$12/31</f>
        <v>0</v>
      </c>
      <c r="CW298" s="16">
        <f t="shared" si="143"/>
        <v>60881.588089329976</v>
      </c>
      <c r="CX298" s="16">
        <f t="shared" si="144"/>
        <v>20683.923076923078</v>
      </c>
      <c r="CY298" s="16">
        <f t="shared" si="145"/>
        <v>0</v>
      </c>
      <c r="CZ298" s="16">
        <f t="shared" si="146"/>
        <v>0</v>
      </c>
      <c r="DA298" s="16">
        <f t="shared" si="147"/>
        <v>0</v>
      </c>
      <c r="DB298" s="16">
        <f t="shared" si="148"/>
        <v>-38647.64267990076</v>
      </c>
      <c r="DC298" s="16">
        <f t="shared" si="149"/>
        <v>20683.923076923078</v>
      </c>
      <c r="DD298" s="16">
        <f t="shared" si="150"/>
        <v>0</v>
      </c>
      <c r="DE298" s="16">
        <f t="shared" si="151"/>
        <v>0</v>
      </c>
      <c r="DF298" s="16">
        <f t="shared" si="152"/>
        <v>0</v>
      </c>
      <c r="DG298" s="14">
        <f>IF([1]Sheet2!DR297=999999,"NA",[1]Sheet2!DR297)</f>
        <v>73103</v>
      </c>
      <c r="DH298" s="14">
        <f>IF([1]Sheet2!DS297=999999,"NA",[1]Sheet2!DS297)</f>
        <v>70</v>
      </c>
      <c r="DI298" s="14">
        <f>IF([1]Sheet2!DT297=999999,"NA",[1]Sheet2!DT297)</f>
        <v>70</v>
      </c>
      <c r="DJ298" s="14" t="str">
        <f>IF([1]Sheet2!DU297=999999,"NA",[1]Sheet2!DU297)</f>
        <v>NA</v>
      </c>
      <c r="DK298" s="14" t="str">
        <f>IF([1]Sheet2!DV297=999999,"NA",[1]Sheet2!DV297)</f>
        <v>NA</v>
      </c>
      <c r="DL298" s="14" t="str">
        <f>IF([1]Sheet2!DW297=999999,"NA",[1]Sheet2!DW297)</f>
        <v>NA</v>
      </c>
      <c r="DM298" s="14">
        <f>IF([1]Sheet2!DX297=999999,"NA",[1]Sheet2!DX297)</f>
        <v>70</v>
      </c>
      <c r="DN298" s="14">
        <f>IF([1]Sheet2!DY297=999999,"NA",[1]Sheet2!DY297)</f>
        <v>70</v>
      </c>
      <c r="DO298" s="14" t="str">
        <f>IF([1]Sheet2!DZ297=999999,"NA",[1]Sheet2!DZ297)</f>
        <v>NA</v>
      </c>
      <c r="DP298" s="14" t="str">
        <f>IF([1]Sheet2!EA297=999999,"NA",[1]Sheet2!EA297)</f>
        <v>NA</v>
      </c>
      <c r="DQ298" s="14">
        <f>[1]Sheet2!CX297</f>
        <v>0</v>
      </c>
      <c r="DR298" s="14">
        <f>[1]Sheet2!CY297</f>
        <v>0</v>
      </c>
      <c r="DS298" s="14">
        <f>[1]Sheet2!CZ297</f>
        <v>0</v>
      </c>
      <c r="DT298" s="14">
        <f>[1]Sheet2!DA297</f>
        <v>0</v>
      </c>
      <c r="DU298" s="14">
        <f>[1]Sheet2!DB297</f>
        <v>0</v>
      </c>
      <c r="DV298" s="14">
        <f>[1]Sheet2!DC297</f>
        <v>0</v>
      </c>
      <c r="DW298" s="14">
        <f>[1]Sheet2!DD297</f>
        <v>0</v>
      </c>
      <c r="DX298" s="14">
        <f>[1]Sheet2!DE297</f>
        <v>0</v>
      </c>
      <c r="DY298" s="14">
        <f>[1]Sheet2!DF297</f>
        <v>0</v>
      </c>
      <c r="DZ298" s="14">
        <f>[1]Sheet2!DG297</f>
        <v>0</v>
      </c>
    </row>
    <row r="299" spans="1:130" x14ac:dyDescent="0.25">
      <c r="A299" s="15">
        <v>43761</v>
      </c>
      <c r="B299" s="1"/>
      <c r="C299" s="1"/>
      <c r="D299" s="1"/>
      <c r="E299" s="14">
        <f>[1]Sheet2!N298</f>
        <v>0</v>
      </c>
      <c r="F299" s="14">
        <f>[1]Sheet2!BE298</f>
        <v>0</v>
      </c>
      <c r="G299" s="14">
        <f>[1]Sheet2!CV298</f>
        <v>279.15632754342431</v>
      </c>
      <c r="H299" s="1"/>
      <c r="I299" s="1"/>
      <c r="J299" s="1"/>
      <c r="K299" s="16">
        <f>Demand_CWRS!B$12/31</f>
        <v>113.31027191894128</v>
      </c>
      <c r="L299" s="16">
        <f>Demand_CWRS!C$12/31</f>
        <v>480.06765922249781</v>
      </c>
      <c r="M299" s="16">
        <f>Demand_CWRS!D$12/31</f>
        <v>0</v>
      </c>
      <c r="N299" s="16">
        <f>Demand_CWRS!E$12/31</f>
        <v>103.22435897435898</v>
      </c>
      <c r="O299" s="16">
        <f>Demand_CWRS!F$12/31</f>
        <v>209.74544820099254</v>
      </c>
      <c r="P299" s="16">
        <f>Demand_CWRS!G$12/31</f>
        <v>113.31027191894128</v>
      </c>
      <c r="Q299" s="16">
        <f>Demand_CWRS!H$12/31</f>
        <v>480.06765922249781</v>
      </c>
      <c r="R299" s="16">
        <f>Demand_CWRS!I$12/31</f>
        <v>209.74544820099254</v>
      </c>
      <c r="S299" s="16">
        <f>Demand_CWRS!J$12/31</f>
        <v>209.74544820099254</v>
      </c>
      <c r="T299" s="16">
        <f>Demand_CWRS!K$12/31</f>
        <v>209.74544820099254</v>
      </c>
      <c r="U299" s="16">
        <f t="shared" si="123"/>
        <v>-38582.132406916724</v>
      </c>
      <c r="V299" s="16">
        <f t="shared" si="124"/>
        <v>-140045.21000827083</v>
      </c>
      <c r="W299" s="16">
        <f t="shared" si="125"/>
        <v>0</v>
      </c>
      <c r="X299" s="16">
        <f t="shared" si="126"/>
        <v>-32629.635524180383</v>
      </c>
      <c r="Y299" s="16">
        <f t="shared" si="127"/>
        <v>-64038.351851750114</v>
      </c>
      <c r="Z299" s="16">
        <f t="shared" si="128"/>
        <v>-38185.199882878318</v>
      </c>
      <c r="AA299" s="16">
        <f t="shared" si="129"/>
        <v>-139545.21000827083</v>
      </c>
      <c r="AB299" s="16">
        <f t="shared" si="130"/>
        <v>-61554.506370980831</v>
      </c>
      <c r="AC299" s="16">
        <f t="shared" si="131"/>
        <v>-61554.506370980824</v>
      </c>
      <c r="AD299" s="16">
        <f t="shared" si="132"/>
        <v>-62254.506370980816</v>
      </c>
      <c r="AE299" s="14">
        <f>IF([1]Sheet2!AJ298=999999,"NA",[1]Sheet2!AJ298)</f>
        <v>0</v>
      </c>
      <c r="AF299" s="14">
        <f>IF([1]Sheet2!AK298=999999,"NA",[1]Sheet2!AK298)</f>
        <v>0</v>
      </c>
      <c r="AG299" s="14" t="str">
        <f>IF([1]Sheet2!AL298=999999,"NA",[1]Sheet2!AL298)</f>
        <v>NA</v>
      </c>
      <c r="AH299" s="14">
        <f>IF([1]Sheet2!AM298=999999,"NA",[1]Sheet2!AM298)</f>
        <v>69</v>
      </c>
      <c r="AI299" s="14">
        <f>IF([1]Sheet2!AN298=999999,"NA",[1]Sheet2!AN298)</f>
        <v>69</v>
      </c>
      <c r="AJ299" s="14">
        <f>IF([1]Sheet2!AO298=999999,"NA",[1]Sheet2!AO298)</f>
        <v>69</v>
      </c>
      <c r="AK299" s="14">
        <f>IF([1]Sheet2!AP298=999999,"NA",[1]Sheet2!AP298)</f>
        <v>0</v>
      </c>
      <c r="AL299" s="14">
        <f>IF([1]Sheet2!AQ298=999999,"NA",[1]Sheet2!AQ298)</f>
        <v>0</v>
      </c>
      <c r="AM299" s="14">
        <f>IF([1]Sheet2!AR298=999999,"NA",[1]Sheet2!AR298)</f>
        <v>69</v>
      </c>
      <c r="AN299" s="14">
        <f>IF([1]Sheet2!AS298=999999,"NA",[1]Sheet2!AS298)</f>
        <v>20</v>
      </c>
      <c r="AO299" s="14">
        <f>[1]Sheet2!P298</f>
        <v>0</v>
      </c>
      <c r="AP299" s="14">
        <f>[1]Sheet2!Q298</f>
        <v>0</v>
      </c>
      <c r="AQ299" s="14">
        <f>[1]Sheet2!R298</f>
        <v>0</v>
      </c>
      <c r="AR299" s="14">
        <f>[1]Sheet2!S298</f>
        <v>0</v>
      </c>
      <c r="AS299" s="14">
        <f>[1]Sheet2!T298</f>
        <v>0</v>
      </c>
      <c r="AT299" s="14">
        <f>[1]Sheet2!U298</f>
        <v>0</v>
      </c>
      <c r="AU299" s="14">
        <f>[1]Sheet2!V298</f>
        <v>0</v>
      </c>
      <c r="AV299" s="14">
        <f>[1]Sheet2!W298</f>
        <v>0</v>
      </c>
      <c r="AW299" s="14">
        <f>[1]Sheet2!X298</f>
        <v>0</v>
      </c>
      <c r="AX299" s="14">
        <f>[1]Sheet2!Y298</f>
        <v>0</v>
      </c>
      <c r="AY299" s="16">
        <f>Demand_LP!B$12/31</f>
        <v>866.47279518196865</v>
      </c>
      <c r="AZ299" s="16">
        <f>Demand_LP!C$12/31</f>
        <v>577.62712985938799</v>
      </c>
      <c r="BA299" s="16">
        <f>Demand_LP!D$12/31</f>
        <v>262.18502894954509</v>
      </c>
      <c r="BB299" s="16">
        <f>Demand_LP!E$12/31</f>
        <v>766.03229942100904</v>
      </c>
      <c r="BC299" s="16">
        <f>Demand_LP!F$12/31</f>
        <v>516.10499638130682</v>
      </c>
      <c r="BD299" s="16">
        <f>Demand_LP!G$12/31</f>
        <v>866.47279518196865</v>
      </c>
      <c r="BE299" s="16">
        <f>Demand_LP!H$12/31</f>
        <v>577.62712985938799</v>
      </c>
      <c r="BF299" s="16">
        <f>Demand_LP!I$12/31</f>
        <v>516.10499638130682</v>
      </c>
      <c r="BG299" s="16">
        <f>Demand_LP!J$12/31</f>
        <v>516.10499638130682</v>
      </c>
      <c r="BH299" s="16">
        <f>Demand_LP!K$12/31</f>
        <v>516.10499638130682</v>
      </c>
      <c r="BI299" s="16" t="e">
        <f t="shared" si="133"/>
        <v>#VALUE!</v>
      </c>
      <c r="BJ299" s="16">
        <f t="shared" si="134"/>
        <v>-168384.48808932974</v>
      </c>
      <c r="BK299" s="16">
        <f t="shared" si="135"/>
        <v>-86102.996691480774</v>
      </c>
      <c r="BL299" s="16">
        <f t="shared" si="136"/>
        <v>-222452.21338327439</v>
      </c>
      <c r="BM299" s="16">
        <f t="shared" si="137"/>
        <v>-133946.45240865592</v>
      </c>
      <c r="BN299" s="16">
        <f t="shared" si="138"/>
        <v>-231852.81195481709</v>
      </c>
      <c r="BO299" s="16">
        <f t="shared" si="139"/>
        <v>-170742.06757650952</v>
      </c>
      <c r="BP299" s="16">
        <f t="shared" si="140"/>
        <v>-135058.1363270265</v>
      </c>
      <c r="BQ299" s="16">
        <f t="shared" si="141"/>
        <v>-132048.13632702662</v>
      </c>
      <c r="BR299" s="16">
        <f t="shared" si="142"/>
        <v>-133248.13632702653</v>
      </c>
      <c r="BS299" s="14">
        <f>IF([1]Sheet2!CA298=999999,"NA",[1]Sheet2!CA298)</f>
        <v>83230.863672973559</v>
      </c>
      <c r="BT299" s="14">
        <f>IF([1]Sheet2!CB298=999999,"NA",[1]Sheet2!CB298)</f>
        <v>0</v>
      </c>
      <c r="BU299" s="14">
        <f>IF([1]Sheet2!CC298=999999,"NA",[1]Sheet2!CC298)</f>
        <v>69</v>
      </c>
      <c r="BV299" s="14">
        <f>IF([1]Sheet2!CD298=999999,"NA",[1]Sheet2!CD298)</f>
        <v>69</v>
      </c>
      <c r="BW299" s="14">
        <f>IF([1]Sheet2!CE298=999999,"NA",[1]Sheet2!CE298)</f>
        <v>38</v>
      </c>
      <c r="BX299" s="14">
        <f>IF([1]Sheet2!CF298=999999,"NA",[1]Sheet2!CF298)</f>
        <v>69</v>
      </c>
      <c r="BY299" s="14">
        <f>IF([1]Sheet2!CG298=999999,"NA",[1]Sheet2!CG298)</f>
        <v>0</v>
      </c>
      <c r="BZ299" s="14">
        <f>IF([1]Sheet2!CH298=999999,"NA",[1]Sheet2!CH298)</f>
        <v>69</v>
      </c>
      <c r="CA299" s="14">
        <f>IF([1]Sheet2!CI298=999999,"NA",[1]Sheet2!CI298)</f>
        <v>69</v>
      </c>
      <c r="CB299" s="14">
        <f>IF([1]Sheet2!CJ298=999999,"NA",[1]Sheet2!CJ298)</f>
        <v>69</v>
      </c>
      <c r="CC299" s="14">
        <f>[1]Sheet2!BG298</f>
        <v>0</v>
      </c>
      <c r="CD299" s="14">
        <f>[1]Sheet2!BH298</f>
        <v>0</v>
      </c>
      <c r="CE299" s="14">
        <f>[1]Sheet2!BI298</f>
        <v>0</v>
      </c>
      <c r="CF299" s="14">
        <f>[1]Sheet2!BJ298</f>
        <v>0</v>
      </c>
      <c r="CG299" s="14">
        <f>[1]Sheet2!BK298</f>
        <v>0</v>
      </c>
      <c r="CH299" s="14">
        <f>[1]Sheet2!BL298</f>
        <v>0</v>
      </c>
      <c r="CI299" s="14">
        <f>[1]Sheet2!BM298</f>
        <v>0</v>
      </c>
      <c r="CJ299" s="14">
        <f>[1]Sheet2!BN298</f>
        <v>0</v>
      </c>
      <c r="CK299" s="14">
        <f>[1]Sheet2!BO298</f>
        <v>0</v>
      </c>
      <c r="CL299" s="14">
        <f>[1]Sheet2!BP298</f>
        <v>0</v>
      </c>
      <c r="CM299" s="16">
        <f>Demand_SW!B$12/31</f>
        <v>139.57816377171216</v>
      </c>
      <c r="CN299" s="16">
        <f>Demand_SW!C$12/31</f>
        <v>0</v>
      </c>
      <c r="CO299" s="16">
        <f>Demand_SW!D$12/31</f>
        <v>0</v>
      </c>
      <c r="CP299" s="16">
        <f>Demand_SW!E$12/31</f>
        <v>0</v>
      </c>
      <c r="CQ299" s="16">
        <f>Demand_SW!F$12/31</f>
        <v>0</v>
      </c>
      <c r="CR299" s="16">
        <f>Demand_SW!G$12/31</f>
        <v>139.57816377171216</v>
      </c>
      <c r="CS299" s="16">
        <f>Demand_SW!H$12/31</f>
        <v>0</v>
      </c>
      <c r="CT299" s="16">
        <f>Demand_SW!I$12/31</f>
        <v>0</v>
      </c>
      <c r="CU299" s="16">
        <f>Demand_SW!J$12/31</f>
        <v>0</v>
      </c>
      <c r="CV299" s="16">
        <f>Demand_SW!K$12/31</f>
        <v>0</v>
      </c>
      <c r="CW299" s="16">
        <f t="shared" si="143"/>
        <v>60742.009925558261</v>
      </c>
      <c r="CX299" s="16">
        <f t="shared" si="144"/>
        <v>20683.923076923078</v>
      </c>
      <c r="CY299" s="16">
        <f t="shared" si="145"/>
        <v>0</v>
      </c>
      <c r="CZ299" s="16">
        <f t="shared" si="146"/>
        <v>0</v>
      </c>
      <c r="DA299" s="16">
        <f t="shared" si="147"/>
        <v>0</v>
      </c>
      <c r="DB299" s="16">
        <f t="shared" si="148"/>
        <v>-38787.220843672476</v>
      </c>
      <c r="DC299" s="16">
        <f t="shared" si="149"/>
        <v>20683.923076923078</v>
      </c>
      <c r="DD299" s="16">
        <f t="shared" si="150"/>
        <v>0</v>
      </c>
      <c r="DE299" s="16">
        <f t="shared" si="151"/>
        <v>0</v>
      </c>
      <c r="DF299" s="16">
        <f t="shared" si="152"/>
        <v>0</v>
      </c>
      <c r="DG299" s="14">
        <f>IF([1]Sheet2!DR298=999999,"NA",[1]Sheet2!DR298)</f>
        <v>73103</v>
      </c>
      <c r="DH299" s="14">
        <f>IF([1]Sheet2!DS298=999999,"NA",[1]Sheet2!DS298)</f>
        <v>69</v>
      </c>
      <c r="DI299" s="14">
        <f>IF([1]Sheet2!DT298=999999,"NA",[1]Sheet2!DT298)</f>
        <v>69</v>
      </c>
      <c r="DJ299" s="14" t="str">
        <f>IF([1]Sheet2!DU298=999999,"NA",[1]Sheet2!DU298)</f>
        <v>NA</v>
      </c>
      <c r="DK299" s="14" t="str">
        <f>IF([1]Sheet2!DV298=999999,"NA",[1]Sheet2!DV298)</f>
        <v>NA</v>
      </c>
      <c r="DL299" s="14" t="str">
        <f>IF([1]Sheet2!DW298=999999,"NA",[1]Sheet2!DW298)</f>
        <v>NA</v>
      </c>
      <c r="DM299" s="14">
        <f>IF([1]Sheet2!DX298=999999,"NA",[1]Sheet2!DX298)</f>
        <v>69</v>
      </c>
      <c r="DN299" s="14">
        <f>IF([1]Sheet2!DY298=999999,"NA",[1]Sheet2!DY298)</f>
        <v>69</v>
      </c>
      <c r="DO299" s="14" t="str">
        <f>IF([1]Sheet2!DZ298=999999,"NA",[1]Sheet2!DZ298)</f>
        <v>NA</v>
      </c>
      <c r="DP299" s="14" t="str">
        <f>IF([1]Sheet2!EA298=999999,"NA",[1]Sheet2!EA298)</f>
        <v>NA</v>
      </c>
      <c r="DQ299" s="14">
        <f>[1]Sheet2!CX298</f>
        <v>0</v>
      </c>
      <c r="DR299" s="14">
        <f>[1]Sheet2!CY298</f>
        <v>0</v>
      </c>
      <c r="DS299" s="14">
        <f>[1]Sheet2!CZ298</f>
        <v>0</v>
      </c>
      <c r="DT299" s="14">
        <f>[1]Sheet2!DA298</f>
        <v>0</v>
      </c>
      <c r="DU299" s="14">
        <f>[1]Sheet2!DB298</f>
        <v>0</v>
      </c>
      <c r="DV299" s="14">
        <f>[1]Sheet2!DC298</f>
        <v>0</v>
      </c>
      <c r="DW299" s="14">
        <f>[1]Sheet2!DD298</f>
        <v>0</v>
      </c>
      <c r="DX299" s="14">
        <f>[1]Sheet2!DE298</f>
        <v>0</v>
      </c>
      <c r="DY299" s="14">
        <f>[1]Sheet2!DF298</f>
        <v>0</v>
      </c>
      <c r="DZ299" s="14">
        <f>[1]Sheet2!DG298</f>
        <v>0</v>
      </c>
    </row>
    <row r="300" spans="1:130" x14ac:dyDescent="0.25">
      <c r="A300" s="15">
        <v>43762</v>
      </c>
      <c r="B300" s="1"/>
      <c r="C300" s="1"/>
      <c r="D300" s="1"/>
      <c r="E300" s="14">
        <f>[1]Sheet2!N299</f>
        <v>0</v>
      </c>
      <c r="F300" s="14">
        <f>[1]Sheet2!BE299</f>
        <v>0</v>
      </c>
      <c r="G300" s="14">
        <f>[1]Sheet2!CV299</f>
        <v>279.15632754342431</v>
      </c>
      <c r="H300" s="1"/>
      <c r="I300" s="1"/>
      <c r="J300" s="1"/>
      <c r="K300" s="16">
        <f>Demand_CWRS!B$12/31</f>
        <v>113.31027191894128</v>
      </c>
      <c r="L300" s="16">
        <f>Demand_CWRS!C$12/31</f>
        <v>480.06765922249781</v>
      </c>
      <c r="M300" s="16">
        <f>Demand_CWRS!D$12/31</f>
        <v>0</v>
      </c>
      <c r="N300" s="16">
        <f>Demand_CWRS!E$12/31</f>
        <v>103.22435897435898</v>
      </c>
      <c r="O300" s="16">
        <f>Demand_CWRS!F$12/31</f>
        <v>209.74544820099254</v>
      </c>
      <c r="P300" s="16">
        <f>Demand_CWRS!G$12/31</f>
        <v>113.31027191894128</v>
      </c>
      <c r="Q300" s="16">
        <f>Demand_CWRS!H$12/31</f>
        <v>480.06765922249781</v>
      </c>
      <c r="R300" s="16">
        <f>Demand_CWRS!I$12/31</f>
        <v>209.74544820099254</v>
      </c>
      <c r="S300" s="16">
        <f>Demand_CWRS!J$12/31</f>
        <v>209.74544820099254</v>
      </c>
      <c r="T300" s="16">
        <f>Demand_CWRS!K$12/31</f>
        <v>209.74544820099254</v>
      </c>
      <c r="U300" s="16">
        <f t="shared" si="123"/>
        <v>-38695.442678835665</v>
      </c>
      <c r="V300" s="16">
        <f t="shared" si="124"/>
        <v>-140525.27766749333</v>
      </c>
      <c r="W300" s="16">
        <f t="shared" si="125"/>
        <v>0</v>
      </c>
      <c r="X300" s="16">
        <f t="shared" si="126"/>
        <v>-32732.859883154742</v>
      </c>
      <c r="Y300" s="16">
        <f t="shared" si="127"/>
        <v>-64248.097299951107</v>
      </c>
      <c r="Z300" s="16">
        <f t="shared" si="128"/>
        <v>-38298.510154797259</v>
      </c>
      <c r="AA300" s="16">
        <f t="shared" si="129"/>
        <v>-140025.27766749333</v>
      </c>
      <c r="AB300" s="16">
        <f t="shared" si="130"/>
        <v>-61764.251819181824</v>
      </c>
      <c r="AC300" s="16">
        <f t="shared" si="131"/>
        <v>-61764.251819181816</v>
      </c>
      <c r="AD300" s="16">
        <f t="shared" si="132"/>
        <v>-62464.251819181809</v>
      </c>
      <c r="AE300" s="14">
        <f>IF([1]Sheet2!AJ299=999999,"NA",[1]Sheet2!AJ299)</f>
        <v>0</v>
      </c>
      <c r="AF300" s="14">
        <f>IF([1]Sheet2!AK299=999999,"NA",[1]Sheet2!AK299)</f>
        <v>0</v>
      </c>
      <c r="AG300" s="14" t="str">
        <f>IF([1]Sheet2!AL299=999999,"NA",[1]Sheet2!AL299)</f>
        <v>NA</v>
      </c>
      <c r="AH300" s="14">
        <f>IF([1]Sheet2!AM299=999999,"NA",[1]Sheet2!AM299)</f>
        <v>68</v>
      </c>
      <c r="AI300" s="14">
        <f>IF([1]Sheet2!AN299=999999,"NA",[1]Sheet2!AN299)</f>
        <v>68</v>
      </c>
      <c r="AJ300" s="14">
        <f>IF([1]Sheet2!AO299=999999,"NA",[1]Sheet2!AO299)</f>
        <v>68</v>
      </c>
      <c r="AK300" s="14">
        <f>IF([1]Sheet2!AP299=999999,"NA",[1]Sheet2!AP299)</f>
        <v>0</v>
      </c>
      <c r="AL300" s="14">
        <f>IF([1]Sheet2!AQ299=999999,"NA",[1]Sheet2!AQ299)</f>
        <v>0</v>
      </c>
      <c r="AM300" s="14">
        <f>IF([1]Sheet2!AR299=999999,"NA",[1]Sheet2!AR299)</f>
        <v>68</v>
      </c>
      <c r="AN300" s="14">
        <f>IF([1]Sheet2!AS299=999999,"NA",[1]Sheet2!AS299)</f>
        <v>19</v>
      </c>
      <c r="AO300" s="14">
        <f>[1]Sheet2!P299</f>
        <v>0</v>
      </c>
      <c r="AP300" s="14">
        <f>[1]Sheet2!Q299</f>
        <v>0</v>
      </c>
      <c r="AQ300" s="14">
        <f>[1]Sheet2!R299</f>
        <v>0</v>
      </c>
      <c r="AR300" s="14">
        <f>[1]Sheet2!S299</f>
        <v>0</v>
      </c>
      <c r="AS300" s="14">
        <f>[1]Sheet2!T299</f>
        <v>0</v>
      </c>
      <c r="AT300" s="14">
        <f>[1]Sheet2!U299</f>
        <v>0</v>
      </c>
      <c r="AU300" s="14">
        <f>[1]Sheet2!V299</f>
        <v>0</v>
      </c>
      <c r="AV300" s="14">
        <f>[1]Sheet2!W299</f>
        <v>0</v>
      </c>
      <c r="AW300" s="14">
        <f>[1]Sheet2!X299</f>
        <v>0</v>
      </c>
      <c r="AX300" s="14">
        <f>[1]Sheet2!Y299</f>
        <v>0</v>
      </c>
      <c r="AY300" s="16">
        <f>Demand_LP!B$12/31</f>
        <v>866.47279518196865</v>
      </c>
      <c r="AZ300" s="16">
        <f>Demand_LP!C$12/31</f>
        <v>577.62712985938799</v>
      </c>
      <c r="BA300" s="16">
        <f>Demand_LP!D$12/31</f>
        <v>262.18502894954509</v>
      </c>
      <c r="BB300" s="16">
        <f>Demand_LP!E$12/31</f>
        <v>766.03229942100904</v>
      </c>
      <c r="BC300" s="16">
        <f>Demand_LP!F$12/31</f>
        <v>516.10499638130682</v>
      </c>
      <c r="BD300" s="16">
        <f>Demand_LP!G$12/31</f>
        <v>866.47279518196865</v>
      </c>
      <c r="BE300" s="16">
        <f>Demand_LP!H$12/31</f>
        <v>577.62712985938799</v>
      </c>
      <c r="BF300" s="16">
        <f>Demand_LP!I$12/31</f>
        <v>516.10499638130682</v>
      </c>
      <c r="BG300" s="16">
        <f>Demand_LP!J$12/31</f>
        <v>516.10499638130682</v>
      </c>
      <c r="BH300" s="16">
        <f>Demand_LP!K$12/31</f>
        <v>516.10499638130682</v>
      </c>
      <c r="BI300" s="16" t="e">
        <f t="shared" si="133"/>
        <v>#VALUE!</v>
      </c>
      <c r="BJ300" s="16">
        <f t="shared" si="134"/>
        <v>-168962.11521918912</v>
      </c>
      <c r="BK300" s="16">
        <f t="shared" si="135"/>
        <v>-86365.181720430322</v>
      </c>
      <c r="BL300" s="16">
        <f t="shared" si="136"/>
        <v>-223218.24568269539</v>
      </c>
      <c r="BM300" s="16">
        <f t="shared" si="137"/>
        <v>-134462.55740503722</v>
      </c>
      <c r="BN300" s="16">
        <f t="shared" si="138"/>
        <v>-232719.28474999906</v>
      </c>
      <c r="BO300" s="16">
        <f t="shared" si="139"/>
        <v>-171319.6947063689</v>
      </c>
      <c r="BP300" s="16">
        <f t="shared" si="140"/>
        <v>-135574.2413234078</v>
      </c>
      <c r="BQ300" s="16">
        <f t="shared" si="141"/>
        <v>-132564.24132340791</v>
      </c>
      <c r="BR300" s="16">
        <f t="shared" si="142"/>
        <v>-133764.24132340783</v>
      </c>
      <c r="BS300" s="14">
        <f>IF([1]Sheet2!CA299=999999,"NA",[1]Sheet2!CA299)</f>
        <v>82714.758676592246</v>
      </c>
      <c r="BT300" s="14">
        <f>IF([1]Sheet2!CB299=999999,"NA",[1]Sheet2!CB299)</f>
        <v>0</v>
      </c>
      <c r="BU300" s="14">
        <f>IF([1]Sheet2!CC299=999999,"NA",[1]Sheet2!CC299)</f>
        <v>68</v>
      </c>
      <c r="BV300" s="14">
        <f>IF([1]Sheet2!CD299=999999,"NA",[1]Sheet2!CD299)</f>
        <v>68</v>
      </c>
      <c r="BW300" s="14">
        <f>IF([1]Sheet2!CE299=999999,"NA",[1]Sheet2!CE299)</f>
        <v>37</v>
      </c>
      <c r="BX300" s="14">
        <f>IF([1]Sheet2!CF299=999999,"NA",[1]Sheet2!CF299)</f>
        <v>68</v>
      </c>
      <c r="BY300" s="14">
        <f>IF([1]Sheet2!CG299=999999,"NA",[1]Sheet2!CG299)</f>
        <v>0</v>
      </c>
      <c r="BZ300" s="14">
        <f>IF([1]Sheet2!CH299=999999,"NA",[1]Sheet2!CH299)</f>
        <v>68</v>
      </c>
      <c r="CA300" s="14">
        <f>IF([1]Sheet2!CI299=999999,"NA",[1]Sheet2!CI299)</f>
        <v>68</v>
      </c>
      <c r="CB300" s="14">
        <f>IF([1]Sheet2!CJ299=999999,"NA",[1]Sheet2!CJ299)</f>
        <v>68</v>
      </c>
      <c r="CC300" s="14">
        <f>[1]Sheet2!BG299</f>
        <v>0</v>
      </c>
      <c r="CD300" s="14">
        <f>[1]Sheet2!BH299</f>
        <v>0</v>
      </c>
      <c r="CE300" s="14">
        <f>[1]Sheet2!BI299</f>
        <v>0</v>
      </c>
      <c r="CF300" s="14">
        <f>[1]Sheet2!BJ299</f>
        <v>0</v>
      </c>
      <c r="CG300" s="14">
        <f>[1]Sheet2!BK299</f>
        <v>0</v>
      </c>
      <c r="CH300" s="14">
        <f>[1]Sheet2!BL299</f>
        <v>0</v>
      </c>
      <c r="CI300" s="14">
        <f>[1]Sheet2!BM299</f>
        <v>0</v>
      </c>
      <c r="CJ300" s="14">
        <f>[1]Sheet2!BN299</f>
        <v>0</v>
      </c>
      <c r="CK300" s="14">
        <f>[1]Sheet2!BO299</f>
        <v>0</v>
      </c>
      <c r="CL300" s="14">
        <f>[1]Sheet2!BP299</f>
        <v>0</v>
      </c>
      <c r="CM300" s="16">
        <f>Demand_SW!B$12/31</f>
        <v>139.57816377171216</v>
      </c>
      <c r="CN300" s="16">
        <f>Demand_SW!C$12/31</f>
        <v>0</v>
      </c>
      <c r="CO300" s="16">
        <f>Demand_SW!D$12/31</f>
        <v>0</v>
      </c>
      <c r="CP300" s="16">
        <f>Demand_SW!E$12/31</f>
        <v>0</v>
      </c>
      <c r="CQ300" s="16">
        <f>Demand_SW!F$12/31</f>
        <v>0</v>
      </c>
      <c r="CR300" s="16">
        <f>Demand_SW!G$12/31</f>
        <v>139.57816377171216</v>
      </c>
      <c r="CS300" s="16">
        <f>Demand_SW!H$12/31</f>
        <v>0</v>
      </c>
      <c r="CT300" s="16">
        <f>Demand_SW!I$12/31</f>
        <v>0</v>
      </c>
      <c r="CU300" s="16">
        <f>Demand_SW!J$12/31</f>
        <v>0</v>
      </c>
      <c r="CV300" s="16">
        <f>Demand_SW!K$12/31</f>
        <v>0</v>
      </c>
      <c r="CW300" s="16">
        <f t="shared" si="143"/>
        <v>60602.431761786545</v>
      </c>
      <c r="CX300" s="16">
        <f t="shared" si="144"/>
        <v>20683.923076923078</v>
      </c>
      <c r="CY300" s="16">
        <f t="shared" si="145"/>
        <v>0</v>
      </c>
      <c r="CZ300" s="16">
        <f t="shared" si="146"/>
        <v>0</v>
      </c>
      <c r="DA300" s="16">
        <f t="shared" si="147"/>
        <v>0</v>
      </c>
      <c r="DB300" s="16">
        <f t="shared" si="148"/>
        <v>-38926.799007444191</v>
      </c>
      <c r="DC300" s="16">
        <f t="shared" si="149"/>
        <v>20683.923076923078</v>
      </c>
      <c r="DD300" s="16">
        <f t="shared" si="150"/>
        <v>0</v>
      </c>
      <c r="DE300" s="16">
        <f t="shared" si="151"/>
        <v>0</v>
      </c>
      <c r="DF300" s="16">
        <f t="shared" si="152"/>
        <v>0</v>
      </c>
      <c r="DG300" s="14">
        <f>IF([1]Sheet2!DR299=999999,"NA",[1]Sheet2!DR299)</f>
        <v>73103</v>
      </c>
      <c r="DH300" s="14">
        <f>IF([1]Sheet2!DS299=999999,"NA",[1]Sheet2!DS299)</f>
        <v>68</v>
      </c>
      <c r="DI300" s="14">
        <f>IF([1]Sheet2!DT299=999999,"NA",[1]Sheet2!DT299)</f>
        <v>68</v>
      </c>
      <c r="DJ300" s="14" t="str">
        <f>IF([1]Sheet2!DU299=999999,"NA",[1]Sheet2!DU299)</f>
        <v>NA</v>
      </c>
      <c r="DK300" s="14" t="str">
        <f>IF([1]Sheet2!DV299=999999,"NA",[1]Sheet2!DV299)</f>
        <v>NA</v>
      </c>
      <c r="DL300" s="14" t="str">
        <f>IF([1]Sheet2!DW299=999999,"NA",[1]Sheet2!DW299)</f>
        <v>NA</v>
      </c>
      <c r="DM300" s="14">
        <f>IF([1]Sheet2!DX299=999999,"NA",[1]Sheet2!DX299)</f>
        <v>68</v>
      </c>
      <c r="DN300" s="14">
        <f>IF([1]Sheet2!DY299=999999,"NA",[1]Sheet2!DY299)</f>
        <v>68</v>
      </c>
      <c r="DO300" s="14" t="str">
        <f>IF([1]Sheet2!DZ299=999999,"NA",[1]Sheet2!DZ299)</f>
        <v>NA</v>
      </c>
      <c r="DP300" s="14" t="str">
        <f>IF([1]Sheet2!EA299=999999,"NA",[1]Sheet2!EA299)</f>
        <v>NA</v>
      </c>
      <c r="DQ300" s="14">
        <f>[1]Sheet2!CX299</f>
        <v>0</v>
      </c>
      <c r="DR300" s="14">
        <f>[1]Sheet2!CY299</f>
        <v>0</v>
      </c>
      <c r="DS300" s="14">
        <f>[1]Sheet2!CZ299</f>
        <v>0</v>
      </c>
      <c r="DT300" s="14">
        <f>[1]Sheet2!DA299</f>
        <v>0</v>
      </c>
      <c r="DU300" s="14">
        <f>[1]Sheet2!DB299</f>
        <v>0</v>
      </c>
      <c r="DV300" s="14">
        <f>[1]Sheet2!DC299</f>
        <v>0</v>
      </c>
      <c r="DW300" s="14">
        <f>[1]Sheet2!DD299</f>
        <v>0</v>
      </c>
      <c r="DX300" s="14">
        <f>[1]Sheet2!DE299</f>
        <v>0</v>
      </c>
      <c r="DY300" s="14">
        <f>[1]Sheet2!DF299</f>
        <v>0</v>
      </c>
      <c r="DZ300" s="14">
        <f>[1]Sheet2!DG299</f>
        <v>0</v>
      </c>
    </row>
    <row r="301" spans="1:130" x14ac:dyDescent="0.25">
      <c r="A301" s="15">
        <v>43763</v>
      </c>
      <c r="B301" s="1"/>
      <c r="C301" s="1"/>
      <c r="D301" s="1"/>
      <c r="E301" s="14">
        <f>[1]Sheet2!N300</f>
        <v>0</v>
      </c>
      <c r="F301" s="14">
        <f>[1]Sheet2!BE300</f>
        <v>0</v>
      </c>
      <c r="G301" s="14">
        <f>[1]Sheet2!CV300</f>
        <v>279.15632754342431</v>
      </c>
      <c r="H301" s="1"/>
      <c r="I301" s="1"/>
      <c r="J301" s="1"/>
      <c r="K301" s="16">
        <f>Demand_CWRS!B$12/31</f>
        <v>113.31027191894128</v>
      </c>
      <c r="L301" s="16">
        <f>Demand_CWRS!C$12/31</f>
        <v>480.06765922249781</v>
      </c>
      <c r="M301" s="16">
        <f>Demand_CWRS!D$12/31</f>
        <v>0</v>
      </c>
      <c r="N301" s="16">
        <f>Demand_CWRS!E$12/31</f>
        <v>103.22435897435898</v>
      </c>
      <c r="O301" s="16">
        <f>Demand_CWRS!F$12/31</f>
        <v>209.74544820099254</v>
      </c>
      <c r="P301" s="16">
        <f>Demand_CWRS!G$12/31</f>
        <v>113.31027191894128</v>
      </c>
      <c r="Q301" s="16">
        <f>Demand_CWRS!H$12/31</f>
        <v>480.06765922249781</v>
      </c>
      <c r="R301" s="16">
        <f>Demand_CWRS!I$12/31</f>
        <v>209.74544820099254</v>
      </c>
      <c r="S301" s="16">
        <f>Demand_CWRS!J$12/31</f>
        <v>209.74544820099254</v>
      </c>
      <c r="T301" s="16">
        <f>Demand_CWRS!K$12/31</f>
        <v>209.74544820099254</v>
      </c>
      <c r="U301" s="16">
        <f t="shared" si="123"/>
        <v>-38808.752950754606</v>
      </c>
      <c r="V301" s="16">
        <f t="shared" si="124"/>
        <v>-141005.34532671582</v>
      </c>
      <c r="W301" s="16">
        <f t="shared" si="125"/>
        <v>0</v>
      </c>
      <c r="X301" s="16">
        <f t="shared" si="126"/>
        <v>-32836.084242129102</v>
      </c>
      <c r="Y301" s="16">
        <f t="shared" si="127"/>
        <v>-64457.842748152099</v>
      </c>
      <c r="Z301" s="16">
        <f t="shared" si="128"/>
        <v>-38411.8204267162</v>
      </c>
      <c r="AA301" s="16">
        <f t="shared" si="129"/>
        <v>-140505.34532671582</v>
      </c>
      <c r="AB301" s="16">
        <f t="shared" si="130"/>
        <v>-61973.997267382816</v>
      </c>
      <c r="AC301" s="16">
        <f t="shared" si="131"/>
        <v>-61973.997267382809</v>
      </c>
      <c r="AD301" s="16">
        <f t="shared" si="132"/>
        <v>-62673.997267382802</v>
      </c>
      <c r="AE301" s="14">
        <f>IF([1]Sheet2!AJ300=999999,"NA",[1]Sheet2!AJ300)</f>
        <v>0</v>
      </c>
      <c r="AF301" s="14">
        <f>IF([1]Sheet2!AK300=999999,"NA",[1]Sheet2!AK300)</f>
        <v>0</v>
      </c>
      <c r="AG301" s="14" t="str">
        <f>IF([1]Sheet2!AL300=999999,"NA",[1]Sheet2!AL300)</f>
        <v>NA</v>
      </c>
      <c r="AH301" s="14">
        <f>IF([1]Sheet2!AM300=999999,"NA",[1]Sheet2!AM300)</f>
        <v>67</v>
      </c>
      <c r="AI301" s="14">
        <f>IF([1]Sheet2!AN300=999999,"NA",[1]Sheet2!AN300)</f>
        <v>67</v>
      </c>
      <c r="AJ301" s="14">
        <f>IF([1]Sheet2!AO300=999999,"NA",[1]Sheet2!AO300)</f>
        <v>67</v>
      </c>
      <c r="AK301" s="14">
        <f>IF([1]Sheet2!AP300=999999,"NA",[1]Sheet2!AP300)</f>
        <v>0</v>
      </c>
      <c r="AL301" s="14">
        <f>IF([1]Sheet2!AQ300=999999,"NA",[1]Sheet2!AQ300)</f>
        <v>0</v>
      </c>
      <c r="AM301" s="14">
        <f>IF([1]Sheet2!AR300=999999,"NA",[1]Sheet2!AR300)</f>
        <v>67</v>
      </c>
      <c r="AN301" s="14">
        <f>IF([1]Sheet2!AS300=999999,"NA",[1]Sheet2!AS300)</f>
        <v>18</v>
      </c>
      <c r="AO301" s="14">
        <f>[1]Sheet2!P300</f>
        <v>0</v>
      </c>
      <c r="AP301" s="14">
        <f>[1]Sheet2!Q300</f>
        <v>0</v>
      </c>
      <c r="AQ301" s="14">
        <f>[1]Sheet2!R300</f>
        <v>0</v>
      </c>
      <c r="AR301" s="14">
        <f>[1]Sheet2!S300</f>
        <v>0</v>
      </c>
      <c r="AS301" s="14">
        <f>[1]Sheet2!T300</f>
        <v>0</v>
      </c>
      <c r="AT301" s="14">
        <f>[1]Sheet2!U300</f>
        <v>0</v>
      </c>
      <c r="AU301" s="14">
        <f>[1]Sheet2!V300</f>
        <v>0</v>
      </c>
      <c r="AV301" s="14">
        <f>[1]Sheet2!W300</f>
        <v>0</v>
      </c>
      <c r="AW301" s="14">
        <f>[1]Sheet2!X300</f>
        <v>0</v>
      </c>
      <c r="AX301" s="14">
        <f>[1]Sheet2!Y300</f>
        <v>0</v>
      </c>
      <c r="AY301" s="16">
        <f>Demand_LP!B$12/31</f>
        <v>866.47279518196865</v>
      </c>
      <c r="AZ301" s="16">
        <f>Demand_LP!C$12/31</f>
        <v>577.62712985938799</v>
      </c>
      <c r="BA301" s="16">
        <f>Demand_LP!D$12/31</f>
        <v>262.18502894954509</v>
      </c>
      <c r="BB301" s="16">
        <f>Demand_LP!E$12/31</f>
        <v>766.03229942100904</v>
      </c>
      <c r="BC301" s="16">
        <f>Demand_LP!F$12/31</f>
        <v>516.10499638130682</v>
      </c>
      <c r="BD301" s="16">
        <f>Demand_LP!G$12/31</f>
        <v>866.47279518196865</v>
      </c>
      <c r="BE301" s="16">
        <f>Demand_LP!H$12/31</f>
        <v>577.62712985938799</v>
      </c>
      <c r="BF301" s="16">
        <f>Demand_LP!I$12/31</f>
        <v>516.10499638130682</v>
      </c>
      <c r="BG301" s="16">
        <f>Demand_LP!J$12/31</f>
        <v>516.10499638130682</v>
      </c>
      <c r="BH301" s="16">
        <f>Demand_LP!K$12/31</f>
        <v>516.10499638130682</v>
      </c>
      <c r="BI301" s="16" t="e">
        <f t="shared" si="133"/>
        <v>#VALUE!</v>
      </c>
      <c r="BJ301" s="16">
        <f t="shared" si="134"/>
        <v>-169539.74234904849</v>
      </c>
      <c r="BK301" s="16">
        <f t="shared" si="135"/>
        <v>-86627.366749379871</v>
      </c>
      <c r="BL301" s="16">
        <f t="shared" si="136"/>
        <v>-223984.27798211639</v>
      </c>
      <c r="BM301" s="16">
        <f t="shared" si="137"/>
        <v>-134978.66240141852</v>
      </c>
      <c r="BN301" s="16">
        <f t="shared" si="138"/>
        <v>-233585.75754518103</v>
      </c>
      <c r="BO301" s="16">
        <f t="shared" si="139"/>
        <v>-171897.32183622828</v>
      </c>
      <c r="BP301" s="16">
        <f t="shared" si="140"/>
        <v>-136090.3463197891</v>
      </c>
      <c r="BQ301" s="16">
        <f t="shared" si="141"/>
        <v>-133080.34631978921</v>
      </c>
      <c r="BR301" s="16">
        <f t="shared" si="142"/>
        <v>-134280.34631978913</v>
      </c>
      <c r="BS301" s="14">
        <f>IF([1]Sheet2!CA300=999999,"NA",[1]Sheet2!CA300)</f>
        <v>82198.653680210933</v>
      </c>
      <c r="BT301" s="14">
        <f>IF([1]Sheet2!CB300=999999,"NA",[1]Sheet2!CB300)</f>
        <v>0</v>
      </c>
      <c r="BU301" s="14">
        <f>IF([1]Sheet2!CC300=999999,"NA",[1]Sheet2!CC300)</f>
        <v>67</v>
      </c>
      <c r="BV301" s="14">
        <f>IF([1]Sheet2!CD300=999999,"NA",[1]Sheet2!CD300)</f>
        <v>67</v>
      </c>
      <c r="BW301" s="14">
        <f>IF([1]Sheet2!CE300=999999,"NA",[1]Sheet2!CE300)</f>
        <v>36</v>
      </c>
      <c r="BX301" s="14">
        <f>IF([1]Sheet2!CF300=999999,"NA",[1]Sheet2!CF300)</f>
        <v>67</v>
      </c>
      <c r="BY301" s="14">
        <f>IF([1]Sheet2!CG300=999999,"NA",[1]Sheet2!CG300)</f>
        <v>0</v>
      </c>
      <c r="BZ301" s="14">
        <f>IF([1]Sheet2!CH300=999999,"NA",[1]Sheet2!CH300)</f>
        <v>67</v>
      </c>
      <c r="CA301" s="14">
        <f>IF([1]Sheet2!CI300=999999,"NA",[1]Sheet2!CI300)</f>
        <v>67</v>
      </c>
      <c r="CB301" s="14">
        <f>IF([1]Sheet2!CJ300=999999,"NA",[1]Sheet2!CJ300)</f>
        <v>67</v>
      </c>
      <c r="CC301" s="14">
        <f>[1]Sheet2!BG300</f>
        <v>0</v>
      </c>
      <c r="CD301" s="14">
        <f>[1]Sheet2!BH300</f>
        <v>0</v>
      </c>
      <c r="CE301" s="14">
        <f>[1]Sheet2!BI300</f>
        <v>0</v>
      </c>
      <c r="CF301" s="14">
        <f>[1]Sheet2!BJ300</f>
        <v>0</v>
      </c>
      <c r="CG301" s="14">
        <f>[1]Sheet2!BK300</f>
        <v>0</v>
      </c>
      <c r="CH301" s="14">
        <f>[1]Sheet2!BL300</f>
        <v>0</v>
      </c>
      <c r="CI301" s="14">
        <f>[1]Sheet2!BM300</f>
        <v>0</v>
      </c>
      <c r="CJ301" s="14">
        <f>[1]Sheet2!BN300</f>
        <v>0</v>
      </c>
      <c r="CK301" s="14">
        <f>[1]Sheet2!BO300</f>
        <v>0</v>
      </c>
      <c r="CL301" s="14">
        <f>[1]Sheet2!BP300</f>
        <v>0</v>
      </c>
      <c r="CM301" s="16">
        <f>Demand_SW!B$12/31</f>
        <v>139.57816377171216</v>
      </c>
      <c r="CN301" s="16">
        <f>Demand_SW!C$12/31</f>
        <v>0</v>
      </c>
      <c r="CO301" s="16">
        <f>Demand_SW!D$12/31</f>
        <v>0</v>
      </c>
      <c r="CP301" s="16">
        <f>Demand_SW!E$12/31</f>
        <v>0</v>
      </c>
      <c r="CQ301" s="16">
        <f>Demand_SW!F$12/31</f>
        <v>0</v>
      </c>
      <c r="CR301" s="16">
        <f>Demand_SW!G$12/31</f>
        <v>139.57816377171216</v>
      </c>
      <c r="CS301" s="16">
        <f>Demand_SW!H$12/31</f>
        <v>0</v>
      </c>
      <c r="CT301" s="16">
        <f>Demand_SW!I$12/31</f>
        <v>0</v>
      </c>
      <c r="CU301" s="16">
        <f>Demand_SW!J$12/31</f>
        <v>0</v>
      </c>
      <c r="CV301" s="16">
        <f>Demand_SW!K$12/31</f>
        <v>0</v>
      </c>
      <c r="CW301" s="16">
        <f t="shared" si="143"/>
        <v>60462.85359801483</v>
      </c>
      <c r="CX301" s="16">
        <f t="shared" si="144"/>
        <v>20683.923076923078</v>
      </c>
      <c r="CY301" s="16">
        <f t="shared" si="145"/>
        <v>0</v>
      </c>
      <c r="CZ301" s="16">
        <f t="shared" si="146"/>
        <v>0</v>
      </c>
      <c r="DA301" s="16">
        <f t="shared" si="147"/>
        <v>0</v>
      </c>
      <c r="DB301" s="16">
        <f t="shared" si="148"/>
        <v>-39066.377171215907</v>
      </c>
      <c r="DC301" s="16">
        <f t="shared" si="149"/>
        <v>20683.923076923078</v>
      </c>
      <c r="DD301" s="16">
        <f t="shared" si="150"/>
        <v>0</v>
      </c>
      <c r="DE301" s="16">
        <f t="shared" si="151"/>
        <v>0</v>
      </c>
      <c r="DF301" s="16">
        <f t="shared" si="152"/>
        <v>0</v>
      </c>
      <c r="DG301" s="14">
        <f>IF([1]Sheet2!DR300=999999,"NA",[1]Sheet2!DR300)</f>
        <v>73103</v>
      </c>
      <c r="DH301" s="14">
        <f>IF([1]Sheet2!DS300=999999,"NA",[1]Sheet2!DS300)</f>
        <v>67</v>
      </c>
      <c r="DI301" s="14">
        <f>IF([1]Sheet2!DT300=999999,"NA",[1]Sheet2!DT300)</f>
        <v>67</v>
      </c>
      <c r="DJ301" s="14" t="str">
        <f>IF([1]Sheet2!DU300=999999,"NA",[1]Sheet2!DU300)</f>
        <v>NA</v>
      </c>
      <c r="DK301" s="14" t="str">
        <f>IF([1]Sheet2!DV300=999999,"NA",[1]Sheet2!DV300)</f>
        <v>NA</v>
      </c>
      <c r="DL301" s="14" t="str">
        <f>IF([1]Sheet2!DW300=999999,"NA",[1]Sheet2!DW300)</f>
        <v>NA</v>
      </c>
      <c r="DM301" s="14">
        <f>IF([1]Sheet2!DX300=999999,"NA",[1]Sheet2!DX300)</f>
        <v>67</v>
      </c>
      <c r="DN301" s="14">
        <f>IF([1]Sheet2!DY300=999999,"NA",[1]Sheet2!DY300)</f>
        <v>67</v>
      </c>
      <c r="DO301" s="14" t="str">
        <f>IF([1]Sheet2!DZ300=999999,"NA",[1]Sheet2!DZ300)</f>
        <v>NA</v>
      </c>
      <c r="DP301" s="14" t="str">
        <f>IF([1]Sheet2!EA300=999999,"NA",[1]Sheet2!EA300)</f>
        <v>NA</v>
      </c>
      <c r="DQ301" s="14">
        <f>[1]Sheet2!CX300</f>
        <v>0</v>
      </c>
      <c r="DR301" s="14">
        <f>[1]Sheet2!CY300</f>
        <v>0</v>
      </c>
      <c r="DS301" s="14">
        <f>[1]Sheet2!CZ300</f>
        <v>0</v>
      </c>
      <c r="DT301" s="14">
        <f>[1]Sheet2!DA300</f>
        <v>0</v>
      </c>
      <c r="DU301" s="14">
        <f>[1]Sheet2!DB300</f>
        <v>0</v>
      </c>
      <c r="DV301" s="14">
        <f>[1]Sheet2!DC300</f>
        <v>0</v>
      </c>
      <c r="DW301" s="14">
        <f>[1]Sheet2!DD300</f>
        <v>0</v>
      </c>
      <c r="DX301" s="14">
        <f>[1]Sheet2!DE300</f>
        <v>0</v>
      </c>
      <c r="DY301" s="14">
        <f>[1]Sheet2!DF300</f>
        <v>0</v>
      </c>
      <c r="DZ301" s="14">
        <f>[1]Sheet2!DG300</f>
        <v>0</v>
      </c>
    </row>
    <row r="302" spans="1:130" x14ac:dyDescent="0.25">
      <c r="A302" s="15">
        <v>43764</v>
      </c>
      <c r="B302" s="1"/>
      <c r="C302" s="1"/>
      <c r="D302" s="1"/>
      <c r="E302" s="14">
        <f>[1]Sheet2!N301</f>
        <v>0</v>
      </c>
      <c r="F302" s="14">
        <f>[1]Sheet2!BE301</f>
        <v>48000</v>
      </c>
      <c r="G302" s="14">
        <f>[1]Sheet2!CV301</f>
        <v>279.15632754342431</v>
      </c>
      <c r="H302" s="1"/>
      <c r="I302" s="1"/>
      <c r="J302" s="1"/>
      <c r="K302" s="16">
        <f>Demand_CWRS!B$12/31</f>
        <v>113.31027191894128</v>
      </c>
      <c r="L302" s="16">
        <f>Demand_CWRS!C$12/31</f>
        <v>480.06765922249781</v>
      </c>
      <c r="M302" s="16">
        <f>Demand_CWRS!D$12/31</f>
        <v>0</v>
      </c>
      <c r="N302" s="16">
        <f>Demand_CWRS!E$12/31</f>
        <v>103.22435897435898</v>
      </c>
      <c r="O302" s="16">
        <f>Demand_CWRS!F$12/31</f>
        <v>209.74544820099254</v>
      </c>
      <c r="P302" s="16">
        <f>Demand_CWRS!G$12/31</f>
        <v>113.31027191894128</v>
      </c>
      <c r="Q302" s="16">
        <f>Demand_CWRS!H$12/31</f>
        <v>480.06765922249781</v>
      </c>
      <c r="R302" s="16">
        <f>Demand_CWRS!I$12/31</f>
        <v>209.74544820099254</v>
      </c>
      <c r="S302" s="16">
        <f>Demand_CWRS!J$12/31</f>
        <v>209.74544820099254</v>
      </c>
      <c r="T302" s="16">
        <f>Demand_CWRS!K$12/31</f>
        <v>209.74544820099254</v>
      </c>
      <c r="U302" s="16">
        <f t="shared" si="123"/>
        <v>-38922.063222673547</v>
      </c>
      <c r="V302" s="16">
        <f t="shared" si="124"/>
        <v>-141485.41298593831</v>
      </c>
      <c r="W302" s="16">
        <f t="shared" si="125"/>
        <v>0</v>
      </c>
      <c r="X302" s="16">
        <f t="shared" si="126"/>
        <v>-32939.308601103461</v>
      </c>
      <c r="Y302" s="16">
        <f t="shared" si="127"/>
        <v>-64667.588196353092</v>
      </c>
      <c r="Z302" s="16">
        <f t="shared" si="128"/>
        <v>-38525.130698635141</v>
      </c>
      <c r="AA302" s="16">
        <f t="shared" si="129"/>
        <v>-140985.41298593831</v>
      </c>
      <c r="AB302" s="16">
        <f t="shared" si="130"/>
        <v>-62183.742715583809</v>
      </c>
      <c r="AC302" s="16">
        <f t="shared" si="131"/>
        <v>-62183.742715583801</v>
      </c>
      <c r="AD302" s="16">
        <f t="shared" si="132"/>
        <v>-62883.742715583794</v>
      </c>
      <c r="AE302" s="14">
        <f>IF([1]Sheet2!AJ301=999999,"NA",[1]Sheet2!AJ301)</f>
        <v>0</v>
      </c>
      <c r="AF302" s="14">
        <f>IF([1]Sheet2!AK301=999999,"NA",[1]Sheet2!AK301)</f>
        <v>0</v>
      </c>
      <c r="AG302" s="14" t="str">
        <f>IF([1]Sheet2!AL301=999999,"NA",[1]Sheet2!AL301)</f>
        <v>NA</v>
      </c>
      <c r="AH302" s="14">
        <f>IF([1]Sheet2!AM301=999999,"NA",[1]Sheet2!AM301)</f>
        <v>66</v>
      </c>
      <c r="AI302" s="14">
        <f>IF([1]Sheet2!AN301=999999,"NA",[1]Sheet2!AN301)</f>
        <v>66</v>
      </c>
      <c r="AJ302" s="14">
        <f>IF([1]Sheet2!AO301=999999,"NA",[1]Sheet2!AO301)</f>
        <v>66</v>
      </c>
      <c r="AK302" s="14">
        <f>IF([1]Sheet2!AP301=999999,"NA",[1]Sheet2!AP301)</f>
        <v>0</v>
      </c>
      <c r="AL302" s="14">
        <f>IF([1]Sheet2!AQ301=999999,"NA",[1]Sheet2!AQ301)</f>
        <v>0</v>
      </c>
      <c r="AM302" s="14">
        <f>IF([1]Sheet2!AR301=999999,"NA",[1]Sheet2!AR301)</f>
        <v>66</v>
      </c>
      <c r="AN302" s="14">
        <f>IF([1]Sheet2!AS301=999999,"NA",[1]Sheet2!AS301)</f>
        <v>17</v>
      </c>
      <c r="AO302" s="14">
        <f>[1]Sheet2!P301</f>
        <v>0</v>
      </c>
      <c r="AP302" s="14">
        <f>[1]Sheet2!Q301</f>
        <v>0</v>
      </c>
      <c r="AQ302" s="14">
        <f>[1]Sheet2!R301</f>
        <v>0</v>
      </c>
      <c r="AR302" s="14">
        <f>[1]Sheet2!S301</f>
        <v>0</v>
      </c>
      <c r="AS302" s="14">
        <f>[1]Sheet2!T301</f>
        <v>0</v>
      </c>
      <c r="AT302" s="14">
        <f>[1]Sheet2!U301</f>
        <v>0</v>
      </c>
      <c r="AU302" s="14">
        <f>[1]Sheet2!V301</f>
        <v>0</v>
      </c>
      <c r="AV302" s="14">
        <f>[1]Sheet2!W301</f>
        <v>0</v>
      </c>
      <c r="AW302" s="14">
        <f>[1]Sheet2!X301</f>
        <v>0</v>
      </c>
      <c r="AX302" s="14">
        <f>[1]Sheet2!Y301</f>
        <v>0</v>
      </c>
      <c r="AY302" s="16">
        <f>Demand_LP!B$12/31</f>
        <v>866.47279518196865</v>
      </c>
      <c r="AZ302" s="16">
        <f>Demand_LP!C$12/31</f>
        <v>577.62712985938799</v>
      </c>
      <c r="BA302" s="16">
        <f>Demand_LP!D$12/31</f>
        <v>262.18502894954509</v>
      </c>
      <c r="BB302" s="16">
        <f>Demand_LP!E$12/31</f>
        <v>766.03229942100904</v>
      </c>
      <c r="BC302" s="16">
        <f>Demand_LP!F$12/31</f>
        <v>516.10499638130682</v>
      </c>
      <c r="BD302" s="16">
        <f>Demand_LP!G$12/31</f>
        <v>866.47279518196865</v>
      </c>
      <c r="BE302" s="16">
        <f>Demand_LP!H$12/31</f>
        <v>577.62712985938799</v>
      </c>
      <c r="BF302" s="16">
        <f>Demand_LP!I$12/31</f>
        <v>516.10499638130682</v>
      </c>
      <c r="BG302" s="16">
        <f>Demand_LP!J$12/31</f>
        <v>516.10499638130682</v>
      </c>
      <c r="BH302" s="16">
        <f>Demand_LP!K$12/31</f>
        <v>516.10499638130682</v>
      </c>
      <c r="BI302" s="16" t="e">
        <f t="shared" si="133"/>
        <v>#VALUE!</v>
      </c>
      <c r="BJ302" s="16">
        <f t="shared" si="134"/>
        <v>-170117.36947890787</v>
      </c>
      <c r="BK302" s="16">
        <f t="shared" si="135"/>
        <v>-86889.55177832942</v>
      </c>
      <c r="BL302" s="16">
        <f t="shared" si="136"/>
        <v>-224750.31028153739</v>
      </c>
      <c r="BM302" s="16">
        <f t="shared" si="137"/>
        <v>-135494.76739779982</v>
      </c>
      <c r="BN302" s="16">
        <f t="shared" si="138"/>
        <v>-234452.23034036299</v>
      </c>
      <c r="BO302" s="16">
        <f t="shared" si="139"/>
        <v>-172474.94896608766</v>
      </c>
      <c r="BP302" s="16">
        <f t="shared" si="140"/>
        <v>-136606.45131617039</v>
      </c>
      <c r="BQ302" s="16">
        <f t="shared" si="141"/>
        <v>-133596.45131617051</v>
      </c>
      <c r="BR302" s="16">
        <f t="shared" si="142"/>
        <v>-134796.45131617042</v>
      </c>
      <c r="BS302" s="14">
        <f>IF([1]Sheet2!CA301=999999,"NA",[1]Sheet2!CA301)</f>
        <v>81682.54868382962</v>
      </c>
      <c r="BT302" s="14">
        <f>IF([1]Sheet2!CB301=999999,"NA",[1]Sheet2!CB301)</f>
        <v>0</v>
      </c>
      <c r="BU302" s="14">
        <f>IF([1]Sheet2!CC301=999999,"NA",[1]Sheet2!CC301)</f>
        <v>66</v>
      </c>
      <c r="BV302" s="14">
        <f>IF([1]Sheet2!CD301=999999,"NA",[1]Sheet2!CD301)</f>
        <v>66</v>
      </c>
      <c r="BW302" s="14">
        <f>IF([1]Sheet2!CE301=999999,"NA",[1]Sheet2!CE301)</f>
        <v>35</v>
      </c>
      <c r="BX302" s="14">
        <f>IF([1]Sheet2!CF301=999999,"NA",[1]Sheet2!CF301)</f>
        <v>66</v>
      </c>
      <c r="BY302" s="14">
        <f>IF([1]Sheet2!CG301=999999,"NA",[1]Sheet2!CG301)</f>
        <v>0</v>
      </c>
      <c r="BZ302" s="14">
        <f>IF([1]Sheet2!CH301=999999,"NA",[1]Sheet2!CH301)</f>
        <v>66</v>
      </c>
      <c r="CA302" s="14">
        <f>IF([1]Sheet2!CI301=999999,"NA",[1]Sheet2!CI301)</f>
        <v>66</v>
      </c>
      <c r="CB302" s="14">
        <f>IF([1]Sheet2!CJ301=999999,"NA",[1]Sheet2!CJ301)</f>
        <v>66</v>
      </c>
      <c r="CC302" s="14">
        <f>[1]Sheet2!BG301</f>
        <v>0</v>
      </c>
      <c r="CD302" s="14">
        <f>[1]Sheet2!BH301</f>
        <v>0</v>
      </c>
      <c r="CE302" s="14">
        <f>[1]Sheet2!BI301</f>
        <v>0</v>
      </c>
      <c r="CF302" s="14">
        <f>[1]Sheet2!BJ301</f>
        <v>0</v>
      </c>
      <c r="CG302" s="14">
        <f>[1]Sheet2!BK301</f>
        <v>0</v>
      </c>
      <c r="CH302" s="14">
        <f>[1]Sheet2!BL301</f>
        <v>0</v>
      </c>
      <c r="CI302" s="14">
        <f>[1]Sheet2!BM301</f>
        <v>0</v>
      </c>
      <c r="CJ302" s="14">
        <f>[1]Sheet2!BN301</f>
        <v>0</v>
      </c>
      <c r="CK302" s="14">
        <f>[1]Sheet2!BO301</f>
        <v>0</v>
      </c>
      <c r="CL302" s="14">
        <f>[1]Sheet2!BP301</f>
        <v>0</v>
      </c>
      <c r="CM302" s="16">
        <f>Demand_SW!B$12/31</f>
        <v>139.57816377171216</v>
      </c>
      <c r="CN302" s="16">
        <f>Demand_SW!C$12/31</f>
        <v>0</v>
      </c>
      <c r="CO302" s="16">
        <f>Demand_SW!D$12/31</f>
        <v>0</v>
      </c>
      <c r="CP302" s="16">
        <f>Demand_SW!E$12/31</f>
        <v>0</v>
      </c>
      <c r="CQ302" s="16">
        <f>Demand_SW!F$12/31</f>
        <v>0</v>
      </c>
      <c r="CR302" s="16">
        <f>Demand_SW!G$12/31</f>
        <v>139.57816377171216</v>
      </c>
      <c r="CS302" s="16">
        <f>Demand_SW!H$12/31</f>
        <v>0</v>
      </c>
      <c r="CT302" s="16">
        <f>Demand_SW!I$12/31</f>
        <v>0</v>
      </c>
      <c r="CU302" s="16">
        <f>Demand_SW!J$12/31</f>
        <v>0</v>
      </c>
      <c r="CV302" s="16">
        <f>Demand_SW!K$12/31</f>
        <v>0</v>
      </c>
      <c r="CW302" s="16">
        <f t="shared" si="143"/>
        <v>60323.275434243114</v>
      </c>
      <c r="CX302" s="16">
        <f t="shared" si="144"/>
        <v>20683.923076923078</v>
      </c>
      <c r="CY302" s="16">
        <f t="shared" si="145"/>
        <v>0</v>
      </c>
      <c r="CZ302" s="16">
        <f t="shared" si="146"/>
        <v>0</v>
      </c>
      <c r="DA302" s="16">
        <f t="shared" si="147"/>
        <v>0</v>
      </c>
      <c r="DB302" s="16">
        <f t="shared" si="148"/>
        <v>-39205.955334987622</v>
      </c>
      <c r="DC302" s="16">
        <f t="shared" si="149"/>
        <v>20683.923076923078</v>
      </c>
      <c r="DD302" s="16">
        <f t="shared" si="150"/>
        <v>0</v>
      </c>
      <c r="DE302" s="16">
        <f t="shared" si="151"/>
        <v>0</v>
      </c>
      <c r="DF302" s="16">
        <f t="shared" si="152"/>
        <v>0</v>
      </c>
      <c r="DG302" s="14">
        <f>IF([1]Sheet2!DR301=999999,"NA",[1]Sheet2!DR301)</f>
        <v>73103</v>
      </c>
      <c r="DH302" s="14">
        <f>IF([1]Sheet2!DS301=999999,"NA",[1]Sheet2!DS301)</f>
        <v>66</v>
      </c>
      <c r="DI302" s="14">
        <f>IF([1]Sheet2!DT301=999999,"NA",[1]Sheet2!DT301)</f>
        <v>66</v>
      </c>
      <c r="DJ302" s="14" t="str">
        <f>IF([1]Sheet2!DU301=999999,"NA",[1]Sheet2!DU301)</f>
        <v>NA</v>
      </c>
      <c r="DK302" s="14" t="str">
        <f>IF([1]Sheet2!DV301=999999,"NA",[1]Sheet2!DV301)</f>
        <v>NA</v>
      </c>
      <c r="DL302" s="14" t="str">
        <f>IF([1]Sheet2!DW301=999999,"NA",[1]Sheet2!DW301)</f>
        <v>NA</v>
      </c>
      <c r="DM302" s="14">
        <f>IF([1]Sheet2!DX301=999999,"NA",[1]Sheet2!DX301)</f>
        <v>66</v>
      </c>
      <c r="DN302" s="14">
        <f>IF([1]Sheet2!DY301=999999,"NA",[1]Sheet2!DY301)</f>
        <v>66</v>
      </c>
      <c r="DO302" s="14" t="str">
        <f>IF([1]Sheet2!DZ301=999999,"NA",[1]Sheet2!DZ301)</f>
        <v>NA</v>
      </c>
      <c r="DP302" s="14" t="str">
        <f>IF([1]Sheet2!EA301=999999,"NA",[1]Sheet2!EA301)</f>
        <v>NA</v>
      </c>
      <c r="DQ302" s="14">
        <f>[1]Sheet2!CX301</f>
        <v>0</v>
      </c>
      <c r="DR302" s="14">
        <f>[1]Sheet2!CY301</f>
        <v>0</v>
      </c>
      <c r="DS302" s="14">
        <f>[1]Sheet2!CZ301</f>
        <v>0</v>
      </c>
      <c r="DT302" s="14">
        <f>[1]Sheet2!DA301</f>
        <v>0</v>
      </c>
      <c r="DU302" s="14">
        <f>[1]Sheet2!DB301</f>
        <v>0</v>
      </c>
      <c r="DV302" s="14">
        <f>[1]Sheet2!DC301</f>
        <v>0</v>
      </c>
      <c r="DW302" s="14">
        <f>[1]Sheet2!DD301</f>
        <v>0</v>
      </c>
      <c r="DX302" s="14">
        <f>[1]Sheet2!DE301</f>
        <v>0</v>
      </c>
      <c r="DY302" s="14">
        <f>[1]Sheet2!DF301</f>
        <v>0</v>
      </c>
      <c r="DZ302" s="14">
        <f>[1]Sheet2!DG301</f>
        <v>0</v>
      </c>
    </row>
    <row r="303" spans="1:130" x14ac:dyDescent="0.25">
      <c r="A303" s="15">
        <v>43765</v>
      </c>
      <c r="B303" s="1"/>
      <c r="C303" s="1"/>
      <c r="D303" s="1"/>
      <c r="E303" s="14">
        <f>[1]Sheet2!N302</f>
        <v>0</v>
      </c>
      <c r="F303" s="14">
        <f>[1]Sheet2!BE302</f>
        <v>0</v>
      </c>
      <c r="G303" s="14">
        <f>[1]Sheet2!CV302</f>
        <v>279.15632754342431</v>
      </c>
      <c r="H303" s="1"/>
      <c r="I303" s="1"/>
      <c r="J303" s="1"/>
      <c r="K303" s="16">
        <f>Demand_CWRS!B$12/31</f>
        <v>113.31027191894128</v>
      </c>
      <c r="L303" s="16">
        <f>Demand_CWRS!C$12/31</f>
        <v>480.06765922249781</v>
      </c>
      <c r="M303" s="16">
        <f>Demand_CWRS!D$12/31</f>
        <v>0</v>
      </c>
      <c r="N303" s="16">
        <f>Demand_CWRS!E$12/31</f>
        <v>103.22435897435898</v>
      </c>
      <c r="O303" s="16">
        <f>Demand_CWRS!F$12/31</f>
        <v>209.74544820099254</v>
      </c>
      <c r="P303" s="16">
        <f>Demand_CWRS!G$12/31</f>
        <v>113.31027191894128</v>
      </c>
      <c r="Q303" s="16">
        <f>Demand_CWRS!H$12/31</f>
        <v>480.06765922249781</v>
      </c>
      <c r="R303" s="16">
        <f>Demand_CWRS!I$12/31</f>
        <v>209.74544820099254</v>
      </c>
      <c r="S303" s="16">
        <f>Demand_CWRS!J$12/31</f>
        <v>209.74544820099254</v>
      </c>
      <c r="T303" s="16">
        <f>Demand_CWRS!K$12/31</f>
        <v>209.74544820099254</v>
      </c>
      <c r="U303" s="16">
        <f t="shared" si="123"/>
        <v>-39035.373494592488</v>
      </c>
      <c r="V303" s="16">
        <f t="shared" si="124"/>
        <v>-141965.4806451608</v>
      </c>
      <c r="W303" s="16">
        <f t="shared" si="125"/>
        <v>0</v>
      </c>
      <c r="X303" s="16">
        <f t="shared" si="126"/>
        <v>-33042.53296007782</v>
      </c>
      <c r="Y303" s="16">
        <f t="shared" si="127"/>
        <v>-64877.333644554084</v>
      </c>
      <c r="Z303" s="16">
        <f t="shared" si="128"/>
        <v>-38638.440970554082</v>
      </c>
      <c r="AA303" s="16">
        <f t="shared" si="129"/>
        <v>-141465.4806451608</v>
      </c>
      <c r="AB303" s="16">
        <f t="shared" si="130"/>
        <v>-62393.488163784801</v>
      </c>
      <c r="AC303" s="16">
        <f t="shared" si="131"/>
        <v>-62393.488163784794</v>
      </c>
      <c r="AD303" s="16">
        <f t="shared" si="132"/>
        <v>-63093.488163784787</v>
      </c>
      <c r="AE303" s="14">
        <f>IF([1]Sheet2!AJ302=999999,"NA",[1]Sheet2!AJ302)</f>
        <v>0</v>
      </c>
      <c r="AF303" s="14">
        <f>IF([1]Sheet2!AK302=999999,"NA",[1]Sheet2!AK302)</f>
        <v>0</v>
      </c>
      <c r="AG303" s="14" t="str">
        <f>IF([1]Sheet2!AL302=999999,"NA",[1]Sheet2!AL302)</f>
        <v>NA</v>
      </c>
      <c r="AH303" s="14">
        <f>IF([1]Sheet2!AM302=999999,"NA",[1]Sheet2!AM302)</f>
        <v>65</v>
      </c>
      <c r="AI303" s="14">
        <f>IF([1]Sheet2!AN302=999999,"NA",[1]Sheet2!AN302)</f>
        <v>65</v>
      </c>
      <c r="AJ303" s="14">
        <f>IF([1]Sheet2!AO302=999999,"NA",[1]Sheet2!AO302)</f>
        <v>65</v>
      </c>
      <c r="AK303" s="14">
        <f>IF([1]Sheet2!AP302=999999,"NA",[1]Sheet2!AP302)</f>
        <v>0</v>
      </c>
      <c r="AL303" s="14">
        <f>IF([1]Sheet2!AQ302=999999,"NA",[1]Sheet2!AQ302)</f>
        <v>0</v>
      </c>
      <c r="AM303" s="14">
        <f>IF([1]Sheet2!AR302=999999,"NA",[1]Sheet2!AR302)</f>
        <v>65</v>
      </c>
      <c r="AN303" s="14">
        <f>IF([1]Sheet2!AS302=999999,"NA",[1]Sheet2!AS302)</f>
        <v>16</v>
      </c>
      <c r="AO303" s="14">
        <f>[1]Sheet2!P302</f>
        <v>0</v>
      </c>
      <c r="AP303" s="14">
        <f>[1]Sheet2!Q302</f>
        <v>0</v>
      </c>
      <c r="AQ303" s="14">
        <f>[1]Sheet2!R302</f>
        <v>0</v>
      </c>
      <c r="AR303" s="14">
        <f>[1]Sheet2!S302</f>
        <v>0</v>
      </c>
      <c r="AS303" s="14">
        <f>[1]Sheet2!T302</f>
        <v>0</v>
      </c>
      <c r="AT303" s="14">
        <f>[1]Sheet2!U302</f>
        <v>0</v>
      </c>
      <c r="AU303" s="14">
        <f>[1]Sheet2!V302</f>
        <v>0</v>
      </c>
      <c r="AV303" s="14">
        <f>[1]Sheet2!W302</f>
        <v>0</v>
      </c>
      <c r="AW303" s="14">
        <f>[1]Sheet2!X302</f>
        <v>0</v>
      </c>
      <c r="AX303" s="14">
        <f>[1]Sheet2!Y302</f>
        <v>0</v>
      </c>
      <c r="AY303" s="16">
        <f>Demand_LP!B$12/31</f>
        <v>866.47279518196865</v>
      </c>
      <c r="AZ303" s="16">
        <f>Demand_LP!C$12/31</f>
        <v>577.62712985938799</v>
      </c>
      <c r="BA303" s="16">
        <f>Demand_LP!D$12/31</f>
        <v>262.18502894954509</v>
      </c>
      <c r="BB303" s="16">
        <f>Demand_LP!E$12/31</f>
        <v>766.03229942100904</v>
      </c>
      <c r="BC303" s="16">
        <f>Demand_LP!F$12/31</f>
        <v>516.10499638130682</v>
      </c>
      <c r="BD303" s="16">
        <f>Demand_LP!G$12/31</f>
        <v>866.47279518196865</v>
      </c>
      <c r="BE303" s="16">
        <f>Demand_LP!H$12/31</f>
        <v>577.62712985938799</v>
      </c>
      <c r="BF303" s="16">
        <f>Demand_LP!I$12/31</f>
        <v>516.10499638130682</v>
      </c>
      <c r="BG303" s="16">
        <f>Demand_LP!J$12/31</f>
        <v>516.10499638130682</v>
      </c>
      <c r="BH303" s="16">
        <f>Demand_LP!K$12/31</f>
        <v>516.10499638130682</v>
      </c>
      <c r="BI303" s="16" t="e">
        <f t="shared" si="133"/>
        <v>#VALUE!</v>
      </c>
      <c r="BJ303" s="16">
        <f t="shared" si="134"/>
        <v>-170694.99660876725</v>
      </c>
      <c r="BK303" s="16">
        <f t="shared" si="135"/>
        <v>-87151.736807278969</v>
      </c>
      <c r="BL303" s="16">
        <f t="shared" si="136"/>
        <v>-225516.34258095839</v>
      </c>
      <c r="BM303" s="16">
        <f t="shared" si="137"/>
        <v>-136010.87239418112</v>
      </c>
      <c r="BN303" s="16">
        <f t="shared" si="138"/>
        <v>-235318.70313554496</v>
      </c>
      <c r="BO303" s="16">
        <f t="shared" si="139"/>
        <v>-173052.57609594704</v>
      </c>
      <c r="BP303" s="16">
        <f t="shared" si="140"/>
        <v>-137122.55631255169</v>
      </c>
      <c r="BQ303" s="16">
        <f t="shared" si="141"/>
        <v>-134112.55631255181</v>
      </c>
      <c r="BR303" s="16">
        <f t="shared" si="142"/>
        <v>-135312.55631255172</v>
      </c>
      <c r="BS303" s="14">
        <f>IF([1]Sheet2!CA302=999999,"NA",[1]Sheet2!CA302)</f>
        <v>81166.443687448307</v>
      </c>
      <c r="BT303" s="14">
        <f>IF([1]Sheet2!CB302=999999,"NA",[1]Sheet2!CB302)</f>
        <v>0</v>
      </c>
      <c r="BU303" s="14">
        <f>IF([1]Sheet2!CC302=999999,"NA",[1]Sheet2!CC302)</f>
        <v>65</v>
      </c>
      <c r="BV303" s="14">
        <f>IF([1]Sheet2!CD302=999999,"NA",[1]Sheet2!CD302)</f>
        <v>65</v>
      </c>
      <c r="BW303" s="14">
        <f>IF([1]Sheet2!CE302=999999,"NA",[1]Sheet2!CE302)</f>
        <v>34</v>
      </c>
      <c r="BX303" s="14">
        <f>IF([1]Sheet2!CF302=999999,"NA",[1]Sheet2!CF302)</f>
        <v>65</v>
      </c>
      <c r="BY303" s="14">
        <f>IF([1]Sheet2!CG302=999999,"NA",[1]Sheet2!CG302)</f>
        <v>0</v>
      </c>
      <c r="BZ303" s="14">
        <f>IF([1]Sheet2!CH302=999999,"NA",[1]Sheet2!CH302)</f>
        <v>65</v>
      </c>
      <c r="CA303" s="14">
        <f>IF([1]Sheet2!CI302=999999,"NA",[1]Sheet2!CI302)</f>
        <v>65</v>
      </c>
      <c r="CB303" s="14">
        <f>IF([1]Sheet2!CJ302=999999,"NA",[1]Sheet2!CJ302)</f>
        <v>65</v>
      </c>
      <c r="CC303" s="14">
        <f>[1]Sheet2!BG302</f>
        <v>0</v>
      </c>
      <c r="CD303" s="14">
        <f>[1]Sheet2!BH302</f>
        <v>0</v>
      </c>
      <c r="CE303" s="14">
        <f>[1]Sheet2!BI302</f>
        <v>0</v>
      </c>
      <c r="CF303" s="14">
        <f>[1]Sheet2!BJ302</f>
        <v>0</v>
      </c>
      <c r="CG303" s="14">
        <f>[1]Sheet2!BK302</f>
        <v>0</v>
      </c>
      <c r="CH303" s="14">
        <f>[1]Sheet2!BL302</f>
        <v>0</v>
      </c>
      <c r="CI303" s="14">
        <f>[1]Sheet2!BM302</f>
        <v>0</v>
      </c>
      <c r="CJ303" s="14">
        <f>[1]Sheet2!BN302</f>
        <v>0</v>
      </c>
      <c r="CK303" s="14">
        <f>[1]Sheet2!BO302</f>
        <v>0</v>
      </c>
      <c r="CL303" s="14">
        <f>[1]Sheet2!BP302</f>
        <v>0</v>
      </c>
      <c r="CM303" s="16">
        <f>Demand_SW!B$12/31</f>
        <v>139.57816377171216</v>
      </c>
      <c r="CN303" s="16">
        <f>Demand_SW!C$12/31</f>
        <v>0</v>
      </c>
      <c r="CO303" s="16">
        <f>Demand_SW!D$12/31</f>
        <v>0</v>
      </c>
      <c r="CP303" s="16">
        <f>Demand_SW!E$12/31</f>
        <v>0</v>
      </c>
      <c r="CQ303" s="16">
        <f>Demand_SW!F$12/31</f>
        <v>0</v>
      </c>
      <c r="CR303" s="16">
        <f>Demand_SW!G$12/31</f>
        <v>139.57816377171216</v>
      </c>
      <c r="CS303" s="16">
        <f>Demand_SW!H$12/31</f>
        <v>0</v>
      </c>
      <c r="CT303" s="16">
        <f>Demand_SW!I$12/31</f>
        <v>0</v>
      </c>
      <c r="CU303" s="16">
        <f>Demand_SW!J$12/31</f>
        <v>0</v>
      </c>
      <c r="CV303" s="16">
        <f>Demand_SW!K$12/31</f>
        <v>0</v>
      </c>
      <c r="CW303" s="16">
        <f t="shared" si="143"/>
        <v>60183.697270471399</v>
      </c>
      <c r="CX303" s="16">
        <f t="shared" si="144"/>
        <v>20683.923076923078</v>
      </c>
      <c r="CY303" s="16">
        <f t="shared" si="145"/>
        <v>0</v>
      </c>
      <c r="CZ303" s="16">
        <f t="shared" si="146"/>
        <v>0</v>
      </c>
      <c r="DA303" s="16">
        <f t="shared" si="147"/>
        <v>0</v>
      </c>
      <c r="DB303" s="16">
        <f t="shared" si="148"/>
        <v>-39345.533498759338</v>
      </c>
      <c r="DC303" s="16">
        <f t="shared" si="149"/>
        <v>20683.923076923078</v>
      </c>
      <c r="DD303" s="16">
        <f t="shared" si="150"/>
        <v>0</v>
      </c>
      <c r="DE303" s="16">
        <f t="shared" si="151"/>
        <v>0</v>
      </c>
      <c r="DF303" s="16">
        <f t="shared" si="152"/>
        <v>0</v>
      </c>
      <c r="DG303" s="14">
        <f>IF([1]Sheet2!DR302=999999,"NA",[1]Sheet2!DR302)</f>
        <v>73103</v>
      </c>
      <c r="DH303" s="14">
        <f>IF([1]Sheet2!DS302=999999,"NA",[1]Sheet2!DS302)</f>
        <v>65</v>
      </c>
      <c r="DI303" s="14">
        <f>IF([1]Sheet2!DT302=999999,"NA",[1]Sheet2!DT302)</f>
        <v>65</v>
      </c>
      <c r="DJ303" s="14" t="str">
        <f>IF([1]Sheet2!DU302=999999,"NA",[1]Sheet2!DU302)</f>
        <v>NA</v>
      </c>
      <c r="DK303" s="14" t="str">
        <f>IF([1]Sheet2!DV302=999999,"NA",[1]Sheet2!DV302)</f>
        <v>NA</v>
      </c>
      <c r="DL303" s="14" t="str">
        <f>IF([1]Sheet2!DW302=999999,"NA",[1]Sheet2!DW302)</f>
        <v>NA</v>
      </c>
      <c r="DM303" s="14">
        <f>IF([1]Sheet2!DX302=999999,"NA",[1]Sheet2!DX302)</f>
        <v>65</v>
      </c>
      <c r="DN303" s="14">
        <f>IF([1]Sheet2!DY302=999999,"NA",[1]Sheet2!DY302)</f>
        <v>65</v>
      </c>
      <c r="DO303" s="14" t="str">
        <f>IF([1]Sheet2!DZ302=999999,"NA",[1]Sheet2!DZ302)</f>
        <v>NA</v>
      </c>
      <c r="DP303" s="14" t="str">
        <f>IF([1]Sheet2!EA302=999999,"NA",[1]Sheet2!EA302)</f>
        <v>NA</v>
      </c>
      <c r="DQ303" s="14">
        <f>[1]Sheet2!CX302</f>
        <v>0</v>
      </c>
      <c r="DR303" s="14">
        <f>[1]Sheet2!CY302</f>
        <v>0</v>
      </c>
      <c r="DS303" s="14">
        <f>[1]Sheet2!CZ302</f>
        <v>0</v>
      </c>
      <c r="DT303" s="14">
        <f>[1]Sheet2!DA302</f>
        <v>0</v>
      </c>
      <c r="DU303" s="14">
        <f>[1]Sheet2!DB302</f>
        <v>0</v>
      </c>
      <c r="DV303" s="14">
        <f>[1]Sheet2!DC302</f>
        <v>0</v>
      </c>
      <c r="DW303" s="14">
        <f>[1]Sheet2!DD302</f>
        <v>0</v>
      </c>
      <c r="DX303" s="14">
        <f>[1]Sheet2!DE302</f>
        <v>0</v>
      </c>
      <c r="DY303" s="14">
        <f>[1]Sheet2!DF302</f>
        <v>0</v>
      </c>
      <c r="DZ303" s="14">
        <f>[1]Sheet2!DG302</f>
        <v>0</v>
      </c>
    </row>
    <row r="304" spans="1:130" x14ac:dyDescent="0.25">
      <c r="A304" s="15">
        <v>43766</v>
      </c>
      <c r="B304" s="1"/>
      <c r="C304" s="1"/>
      <c r="D304" s="1"/>
      <c r="E304" s="14">
        <f>[1]Sheet2!N303</f>
        <v>0</v>
      </c>
      <c r="F304" s="14">
        <f>[1]Sheet2!BE303</f>
        <v>0</v>
      </c>
      <c r="G304" s="14">
        <f>[1]Sheet2!CV303</f>
        <v>279.15632754342431</v>
      </c>
      <c r="H304" s="1"/>
      <c r="I304" s="1"/>
      <c r="J304" s="1"/>
      <c r="K304" s="16">
        <f>Demand_CWRS!B$12/31</f>
        <v>113.31027191894128</v>
      </c>
      <c r="L304" s="16">
        <f>Demand_CWRS!C$12/31</f>
        <v>480.06765922249781</v>
      </c>
      <c r="M304" s="16">
        <f>Demand_CWRS!D$12/31</f>
        <v>0</v>
      </c>
      <c r="N304" s="16">
        <f>Demand_CWRS!E$12/31</f>
        <v>103.22435897435898</v>
      </c>
      <c r="O304" s="16">
        <f>Demand_CWRS!F$12/31</f>
        <v>209.74544820099254</v>
      </c>
      <c r="P304" s="16">
        <f>Demand_CWRS!G$12/31</f>
        <v>113.31027191894128</v>
      </c>
      <c r="Q304" s="16">
        <f>Demand_CWRS!H$12/31</f>
        <v>480.06765922249781</v>
      </c>
      <c r="R304" s="16">
        <f>Demand_CWRS!I$12/31</f>
        <v>209.74544820099254</v>
      </c>
      <c r="S304" s="16">
        <f>Demand_CWRS!J$12/31</f>
        <v>209.74544820099254</v>
      </c>
      <c r="T304" s="16">
        <f>Demand_CWRS!K$12/31</f>
        <v>209.74544820099254</v>
      </c>
      <c r="U304" s="16">
        <f t="shared" si="123"/>
        <v>-39148.683766511429</v>
      </c>
      <c r="V304" s="16">
        <f t="shared" si="124"/>
        <v>-142445.54830438329</v>
      </c>
      <c r="W304" s="16">
        <f t="shared" si="125"/>
        <v>0</v>
      </c>
      <c r="X304" s="16">
        <f t="shared" si="126"/>
        <v>-33145.75731905218</v>
      </c>
      <c r="Y304" s="16">
        <f t="shared" si="127"/>
        <v>-65087.079092755077</v>
      </c>
      <c r="Z304" s="16">
        <f t="shared" si="128"/>
        <v>-38751.751242473023</v>
      </c>
      <c r="AA304" s="16">
        <f t="shared" si="129"/>
        <v>-141945.54830438329</v>
      </c>
      <c r="AB304" s="16">
        <f t="shared" si="130"/>
        <v>-62603.233611985794</v>
      </c>
      <c r="AC304" s="16">
        <f t="shared" si="131"/>
        <v>-62603.233611985786</v>
      </c>
      <c r="AD304" s="16">
        <f t="shared" si="132"/>
        <v>-63303.233611985779</v>
      </c>
      <c r="AE304" s="14">
        <f>IF([1]Sheet2!AJ303=999999,"NA",[1]Sheet2!AJ303)</f>
        <v>0</v>
      </c>
      <c r="AF304" s="14">
        <f>IF([1]Sheet2!AK303=999999,"NA",[1]Sheet2!AK303)</f>
        <v>0</v>
      </c>
      <c r="AG304" s="14" t="str">
        <f>IF([1]Sheet2!AL303=999999,"NA",[1]Sheet2!AL303)</f>
        <v>NA</v>
      </c>
      <c r="AH304" s="14">
        <f>IF([1]Sheet2!AM303=999999,"NA",[1]Sheet2!AM303)</f>
        <v>64</v>
      </c>
      <c r="AI304" s="14">
        <f>IF([1]Sheet2!AN303=999999,"NA",[1]Sheet2!AN303)</f>
        <v>64</v>
      </c>
      <c r="AJ304" s="14">
        <f>IF([1]Sheet2!AO303=999999,"NA",[1]Sheet2!AO303)</f>
        <v>64</v>
      </c>
      <c r="AK304" s="14">
        <f>IF([1]Sheet2!AP303=999999,"NA",[1]Sheet2!AP303)</f>
        <v>0</v>
      </c>
      <c r="AL304" s="14">
        <f>IF([1]Sheet2!AQ303=999999,"NA",[1]Sheet2!AQ303)</f>
        <v>0</v>
      </c>
      <c r="AM304" s="14">
        <f>IF([1]Sheet2!AR303=999999,"NA",[1]Sheet2!AR303)</f>
        <v>64</v>
      </c>
      <c r="AN304" s="14">
        <f>IF([1]Sheet2!AS303=999999,"NA",[1]Sheet2!AS303)</f>
        <v>15</v>
      </c>
      <c r="AO304" s="14">
        <f>[1]Sheet2!P303</f>
        <v>0</v>
      </c>
      <c r="AP304" s="14">
        <f>[1]Sheet2!Q303</f>
        <v>0</v>
      </c>
      <c r="AQ304" s="14">
        <f>[1]Sheet2!R303</f>
        <v>0</v>
      </c>
      <c r="AR304" s="14">
        <f>[1]Sheet2!S303</f>
        <v>0</v>
      </c>
      <c r="AS304" s="14">
        <f>[1]Sheet2!T303</f>
        <v>0</v>
      </c>
      <c r="AT304" s="14">
        <f>[1]Sheet2!U303</f>
        <v>0</v>
      </c>
      <c r="AU304" s="14">
        <f>[1]Sheet2!V303</f>
        <v>0</v>
      </c>
      <c r="AV304" s="14">
        <f>[1]Sheet2!W303</f>
        <v>0</v>
      </c>
      <c r="AW304" s="14">
        <f>[1]Sheet2!X303</f>
        <v>0</v>
      </c>
      <c r="AX304" s="14">
        <f>[1]Sheet2!Y303</f>
        <v>0</v>
      </c>
      <c r="AY304" s="16">
        <f>Demand_LP!B$12/31</f>
        <v>866.47279518196865</v>
      </c>
      <c r="AZ304" s="16">
        <f>Demand_LP!C$12/31</f>
        <v>577.62712985938799</v>
      </c>
      <c r="BA304" s="16">
        <f>Demand_LP!D$12/31</f>
        <v>262.18502894954509</v>
      </c>
      <c r="BB304" s="16">
        <f>Demand_LP!E$12/31</f>
        <v>766.03229942100904</v>
      </c>
      <c r="BC304" s="16">
        <f>Demand_LP!F$12/31</f>
        <v>516.10499638130682</v>
      </c>
      <c r="BD304" s="16">
        <f>Demand_LP!G$12/31</f>
        <v>866.47279518196865</v>
      </c>
      <c r="BE304" s="16">
        <f>Demand_LP!H$12/31</f>
        <v>577.62712985938799</v>
      </c>
      <c r="BF304" s="16">
        <f>Demand_LP!I$12/31</f>
        <v>516.10499638130682</v>
      </c>
      <c r="BG304" s="16">
        <f>Demand_LP!J$12/31</f>
        <v>516.10499638130682</v>
      </c>
      <c r="BH304" s="16">
        <f>Demand_LP!K$12/31</f>
        <v>516.10499638130682</v>
      </c>
      <c r="BI304" s="16" t="e">
        <f t="shared" si="133"/>
        <v>#VALUE!</v>
      </c>
      <c r="BJ304" s="16">
        <f t="shared" si="134"/>
        <v>-171272.62373862663</v>
      </c>
      <c r="BK304" s="16">
        <f t="shared" si="135"/>
        <v>-87413.921836228517</v>
      </c>
      <c r="BL304" s="16">
        <f t="shared" si="136"/>
        <v>-226282.37488037939</v>
      </c>
      <c r="BM304" s="16">
        <f t="shared" si="137"/>
        <v>-136526.97739056242</v>
      </c>
      <c r="BN304" s="16">
        <f t="shared" si="138"/>
        <v>-236185.17593072692</v>
      </c>
      <c r="BO304" s="16">
        <f t="shared" si="139"/>
        <v>-173630.20322580641</v>
      </c>
      <c r="BP304" s="16">
        <f t="shared" si="140"/>
        <v>-137638.66130893299</v>
      </c>
      <c r="BQ304" s="16">
        <f t="shared" si="141"/>
        <v>-134628.66130893311</v>
      </c>
      <c r="BR304" s="16">
        <f t="shared" si="142"/>
        <v>-135828.66130893302</v>
      </c>
      <c r="BS304" s="14">
        <f>IF([1]Sheet2!CA303=999999,"NA",[1]Sheet2!CA303)</f>
        <v>80650.338691066994</v>
      </c>
      <c r="BT304" s="14">
        <f>IF([1]Sheet2!CB303=999999,"NA",[1]Sheet2!CB303)</f>
        <v>0</v>
      </c>
      <c r="BU304" s="14">
        <f>IF([1]Sheet2!CC303=999999,"NA",[1]Sheet2!CC303)</f>
        <v>64</v>
      </c>
      <c r="BV304" s="14">
        <f>IF([1]Sheet2!CD303=999999,"NA",[1]Sheet2!CD303)</f>
        <v>64</v>
      </c>
      <c r="BW304" s="14">
        <f>IF([1]Sheet2!CE303=999999,"NA",[1]Sheet2!CE303)</f>
        <v>33</v>
      </c>
      <c r="BX304" s="14">
        <f>IF([1]Sheet2!CF303=999999,"NA",[1]Sheet2!CF303)</f>
        <v>64</v>
      </c>
      <c r="BY304" s="14">
        <f>IF([1]Sheet2!CG303=999999,"NA",[1]Sheet2!CG303)</f>
        <v>0</v>
      </c>
      <c r="BZ304" s="14">
        <f>IF([1]Sheet2!CH303=999999,"NA",[1]Sheet2!CH303)</f>
        <v>64</v>
      </c>
      <c r="CA304" s="14">
        <f>IF([1]Sheet2!CI303=999999,"NA",[1]Sheet2!CI303)</f>
        <v>64</v>
      </c>
      <c r="CB304" s="14">
        <f>IF([1]Sheet2!CJ303=999999,"NA",[1]Sheet2!CJ303)</f>
        <v>64</v>
      </c>
      <c r="CC304" s="14">
        <f>[1]Sheet2!BG303</f>
        <v>0</v>
      </c>
      <c r="CD304" s="14">
        <f>[1]Sheet2!BH303</f>
        <v>0</v>
      </c>
      <c r="CE304" s="14">
        <f>[1]Sheet2!BI303</f>
        <v>0</v>
      </c>
      <c r="CF304" s="14">
        <f>[1]Sheet2!BJ303</f>
        <v>0</v>
      </c>
      <c r="CG304" s="14">
        <f>[1]Sheet2!BK303</f>
        <v>0</v>
      </c>
      <c r="CH304" s="14">
        <f>[1]Sheet2!BL303</f>
        <v>0</v>
      </c>
      <c r="CI304" s="14">
        <f>[1]Sheet2!BM303</f>
        <v>0</v>
      </c>
      <c r="CJ304" s="14">
        <f>[1]Sheet2!BN303</f>
        <v>0</v>
      </c>
      <c r="CK304" s="14">
        <f>[1]Sheet2!BO303</f>
        <v>0</v>
      </c>
      <c r="CL304" s="14">
        <f>[1]Sheet2!BP303</f>
        <v>0</v>
      </c>
      <c r="CM304" s="16">
        <f>Demand_SW!B$12/31</f>
        <v>139.57816377171216</v>
      </c>
      <c r="CN304" s="16">
        <f>Demand_SW!C$12/31</f>
        <v>0</v>
      </c>
      <c r="CO304" s="16">
        <f>Demand_SW!D$12/31</f>
        <v>0</v>
      </c>
      <c r="CP304" s="16">
        <f>Demand_SW!E$12/31</f>
        <v>0</v>
      </c>
      <c r="CQ304" s="16">
        <f>Demand_SW!F$12/31</f>
        <v>0</v>
      </c>
      <c r="CR304" s="16">
        <f>Demand_SW!G$12/31</f>
        <v>139.57816377171216</v>
      </c>
      <c r="CS304" s="16">
        <f>Demand_SW!H$12/31</f>
        <v>0</v>
      </c>
      <c r="CT304" s="16">
        <f>Demand_SW!I$12/31</f>
        <v>0</v>
      </c>
      <c r="CU304" s="16">
        <f>Demand_SW!J$12/31</f>
        <v>0</v>
      </c>
      <c r="CV304" s="16">
        <f>Demand_SW!K$12/31</f>
        <v>0</v>
      </c>
      <c r="CW304" s="16">
        <f t="shared" si="143"/>
        <v>60044.119106699683</v>
      </c>
      <c r="CX304" s="16">
        <f t="shared" si="144"/>
        <v>20683.923076923078</v>
      </c>
      <c r="CY304" s="16">
        <f t="shared" si="145"/>
        <v>0</v>
      </c>
      <c r="CZ304" s="16">
        <f t="shared" si="146"/>
        <v>0</v>
      </c>
      <c r="DA304" s="16">
        <f t="shared" si="147"/>
        <v>0</v>
      </c>
      <c r="DB304" s="16">
        <f t="shared" si="148"/>
        <v>-39485.111662531053</v>
      </c>
      <c r="DC304" s="16">
        <f t="shared" si="149"/>
        <v>20683.923076923078</v>
      </c>
      <c r="DD304" s="16">
        <f t="shared" si="150"/>
        <v>0</v>
      </c>
      <c r="DE304" s="16">
        <f t="shared" si="151"/>
        <v>0</v>
      </c>
      <c r="DF304" s="16">
        <f t="shared" si="152"/>
        <v>0</v>
      </c>
      <c r="DG304" s="14">
        <f>IF([1]Sheet2!DR303=999999,"NA",[1]Sheet2!DR303)</f>
        <v>73103</v>
      </c>
      <c r="DH304" s="14">
        <f>IF([1]Sheet2!DS303=999999,"NA",[1]Sheet2!DS303)</f>
        <v>64</v>
      </c>
      <c r="DI304" s="14">
        <f>IF([1]Sheet2!DT303=999999,"NA",[1]Sheet2!DT303)</f>
        <v>64</v>
      </c>
      <c r="DJ304" s="14" t="str">
        <f>IF([1]Sheet2!DU303=999999,"NA",[1]Sheet2!DU303)</f>
        <v>NA</v>
      </c>
      <c r="DK304" s="14" t="str">
        <f>IF([1]Sheet2!DV303=999999,"NA",[1]Sheet2!DV303)</f>
        <v>NA</v>
      </c>
      <c r="DL304" s="14" t="str">
        <f>IF([1]Sheet2!DW303=999999,"NA",[1]Sheet2!DW303)</f>
        <v>NA</v>
      </c>
      <c r="DM304" s="14">
        <f>IF([1]Sheet2!DX303=999999,"NA",[1]Sheet2!DX303)</f>
        <v>64</v>
      </c>
      <c r="DN304" s="14">
        <f>IF([1]Sheet2!DY303=999999,"NA",[1]Sheet2!DY303)</f>
        <v>64</v>
      </c>
      <c r="DO304" s="14" t="str">
        <f>IF([1]Sheet2!DZ303=999999,"NA",[1]Sheet2!DZ303)</f>
        <v>NA</v>
      </c>
      <c r="DP304" s="14" t="str">
        <f>IF([1]Sheet2!EA303=999999,"NA",[1]Sheet2!EA303)</f>
        <v>NA</v>
      </c>
      <c r="DQ304" s="14">
        <f>[1]Sheet2!CX303</f>
        <v>0</v>
      </c>
      <c r="DR304" s="14">
        <f>[1]Sheet2!CY303</f>
        <v>0</v>
      </c>
      <c r="DS304" s="14">
        <f>[1]Sheet2!CZ303</f>
        <v>0</v>
      </c>
      <c r="DT304" s="14">
        <f>[1]Sheet2!DA303</f>
        <v>0</v>
      </c>
      <c r="DU304" s="14">
        <f>[1]Sheet2!DB303</f>
        <v>0</v>
      </c>
      <c r="DV304" s="14">
        <f>[1]Sheet2!DC303</f>
        <v>0</v>
      </c>
      <c r="DW304" s="14">
        <f>[1]Sheet2!DD303</f>
        <v>0</v>
      </c>
      <c r="DX304" s="14">
        <f>[1]Sheet2!DE303</f>
        <v>0</v>
      </c>
      <c r="DY304" s="14">
        <f>[1]Sheet2!DF303</f>
        <v>0</v>
      </c>
      <c r="DZ304" s="14">
        <f>[1]Sheet2!DG303</f>
        <v>0</v>
      </c>
    </row>
    <row r="305" spans="1:130" x14ac:dyDescent="0.25">
      <c r="A305" s="15">
        <v>43767</v>
      </c>
      <c r="B305" s="1"/>
      <c r="C305" s="1"/>
      <c r="D305" s="1"/>
      <c r="E305" s="14">
        <f>[1]Sheet2!N304</f>
        <v>0</v>
      </c>
      <c r="F305" s="14">
        <f>[1]Sheet2!BE304</f>
        <v>0</v>
      </c>
      <c r="G305" s="14">
        <f>[1]Sheet2!CV304</f>
        <v>279.15632754342431</v>
      </c>
      <c r="H305" s="1"/>
      <c r="I305" s="1"/>
      <c r="J305" s="1"/>
      <c r="K305" s="16">
        <f>Demand_CWRS!B$12/31</f>
        <v>113.31027191894128</v>
      </c>
      <c r="L305" s="16">
        <f>Demand_CWRS!C$12/31</f>
        <v>480.06765922249781</v>
      </c>
      <c r="M305" s="16">
        <f>Demand_CWRS!D$12/31</f>
        <v>0</v>
      </c>
      <c r="N305" s="16">
        <f>Demand_CWRS!E$12/31</f>
        <v>103.22435897435898</v>
      </c>
      <c r="O305" s="16">
        <f>Demand_CWRS!F$12/31</f>
        <v>209.74544820099254</v>
      </c>
      <c r="P305" s="16">
        <f>Demand_CWRS!G$12/31</f>
        <v>113.31027191894128</v>
      </c>
      <c r="Q305" s="16">
        <f>Demand_CWRS!H$12/31</f>
        <v>480.06765922249781</v>
      </c>
      <c r="R305" s="16">
        <f>Demand_CWRS!I$12/31</f>
        <v>209.74544820099254</v>
      </c>
      <c r="S305" s="16">
        <f>Demand_CWRS!J$12/31</f>
        <v>209.74544820099254</v>
      </c>
      <c r="T305" s="16">
        <f>Demand_CWRS!K$12/31</f>
        <v>209.74544820099254</v>
      </c>
      <c r="U305" s="16">
        <f t="shared" si="123"/>
        <v>-39261.99403843037</v>
      </c>
      <c r="V305" s="16">
        <f t="shared" si="124"/>
        <v>-142925.61596360579</v>
      </c>
      <c r="W305" s="16">
        <f t="shared" si="125"/>
        <v>0</v>
      </c>
      <c r="X305" s="16">
        <f t="shared" si="126"/>
        <v>-33248.981678026539</v>
      </c>
      <c r="Y305" s="16">
        <f t="shared" si="127"/>
        <v>-65296.82454095607</v>
      </c>
      <c r="Z305" s="16">
        <f t="shared" si="128"/>
        <v>-38865.061514391964</v>
      </c>
      <c r="AA305" s="16">
        <f t="shared" si="129"/>
        <v>-142425.61596360579</v>
      </c>
      <c r="AB305" s="16">
        <f t="shared" si="130"/>
        <v>-62812.979060186786</v>
      </c>
      <c r="AC305" s="16">
        <f t="shared" si="131"/>
        <v>-62812.979060186779</v>
      </c>
      <c r="AD305" s="16">
        <f t="shared" si="132"/>
        <v>-63512.979060186772</v>
      </c>
      <c r="AE305" s="14">
        <f>IF([1]Sheet2!AJ304=999999,"NA",[1]Sheet2!AJ304)</f>
        <v>0</v>
      </c>
      <c r="AF305" s="14">
        <f>IF([1]Sheet2!AK304=999999,"NA",[1]Sheet2!AK304)</f>
        <v>0</v>
      </c>
      <c r="AG305" s="14" t="str">
        <f>IF([1]Sheet2!AL304=999999,"NA",[1]Sheet2!AL304)</f>
        <v>NA</v>
      </c>
      <c r="AH305" s="14">
        <f>IF([1]Sheet2!AM304=999999,"NA",[1]Sheet2!AM304)</f>
        <v>63</v>
      </c>
      <c r="AI305" s="14">
        <f>IF([1]Sheet2!AN304=999999,"NA",[1]Sheet2!AN304)</f>
        <v>63</v>
      </c>
      <c r="AJ305" s="14">
        <f>IF([1]Sheet2!AO304=999999,"NA",[1]Sheet2!AO304)</f>
        <v>63</v>
      </c>
      <c r="AK305" s="14">
        <f>IF([1]Sheet2!AP304=999999,"NA",[1]Sheet2!AP304)</f>
        <v>0</v>
      </c>
      <c r="AL305" s="14">
        <f>IF([1]Sheet2!AQ304=999999,"NA",[1]Sheet2!AQ304)</f>
        <v>0</v>
      </c>
      <c r="AM305" s="14">
        <f>IF([1]Sheet2!AR304=999999,"NA",[1]Sheet2!AR304)</f>
        <v>63</v>
      </c>
      <c r="AN305" s="14">
        <f>IF([1]Sheet2!AS304=999999,"NA",[1]Sheet2!AS304)</f>
        <v>14</v>
      </c>
      <c r="AO305" s="14">
        <f>[1]Sheet2!P304</f>
        <v>0</v>
      </c>
      <c r="AP305" s="14">
        <f>[1]Sheet2!Q304</f>
        <v>0</v>
      </c>
      <c r="AQ305" s="14">
        <f>[1]Sheet2!R304</f>
        <v>0</v>
      </c>
      <c r="AR305" s="14">
        <f>[1]Sheet2!S304</f>
        <v>0</v>
      </c>
      <c r="AS305" s="14">
        <f>[1]Sheet2!T304</f>
        <v>0</v>
      </c>
      <c r="AT305" s="14">
        <f>[1]Sheet2!U304</f>
        <v>0</v>
      </c>
      <c r="AU305" s="14">
        <f>[1]Sheet2!V304</f>
        <v>0</v>
      </c>
      <c r="AV305" s="14">
        <f>[1]Sheet2!W304</f>
        <v>0</v>
      </c>
      <c r="AW305" s="14">
        <f>[1]Sheet2!X304</f>
        <v>0</v>
      </c>
      <c r="AX305" s="14">
        <f>[1]Sheet2!Y304</f>
        <v>0</v>
      </c>
      <c r="AY305" s="16">
        <f>Demand_LP!B$12/31</f>
        <v>866.47279518196865</v>
      </c>
      <c r="AZ305" s="16">
        <f>Demand_LP!C$12/31</f>
        <v>577.62712985938799</v>
      </c>
      <c r="BA305" s="16">
        <f>Demand_LP!D$12/31</f>
        <v>262.18502894954509</v>
      </c>
      <c r="BB305" s="16">
        <f>Demand_LP!E$12/31</f>
        <v>766.03229942100904</v>
      </c>
      <c r="BC305" s="16">
        <f>Demand_LP!F$12/31</f>
        <v>516.10499638130682</v>
      </c>
      <c r="BD305" s="16">
        <f>Demand_LP!G$12/31</f>
        <v>866.47279518196865</v>
      </c>
      <c r="BE305" s="16">
        <f>Demand_LP!H$12/31</f>
        <v>577.62712985938799</v>
      </c>
      <c r="BF305" s="16">
        <f>Demand_LP!I$12/31</f>
        <v>516.10499638130682</v>
      </c>
      <c r="BG305" s="16">
        <f>Demand_LP!J$12/31</f>
        <v>516.10499638130682</v>
      </c>
      <c r="BH305" s="16">
        <f>Demand_LP!K$12/31</f>
        <v>516.10499638130682</v>
      </c>
      <c r="BI305" s="16" t="e">
        <f t="shared" si="133"/>
        <v>#VALUE!</v>
      </c>
      <c r="BJ305" s="16">
        <f t="shared" si="134"/>
        <v>-171850.25086848601</v>
      </c>
      <c r="BK305" s="16">
        <f t="shared" si="135"/>
        <v>-87676.106865178066</v>
      </c>
      <c r="BL305" s="16">
        <f t="shared" si="136"/>
        <v>-227048.40717980039</v>
      </c>
      <c r="BM305" s="16">
        <f t="shared" si="137"/>
        <v>-137043.08238694372</v>
      </c>
      <c r="BN305" s="16">
        <f t="shared" si="138"/>
        <v>-237051.64872590889</v>
      </c>
      <c r="BO305" s="16">
        <f t="shared" si="139"/>
        <v>-174207.83035566579</v>
      </c>
      <c r="BP305" s="16">
        <f t="shared" si="140"/>
        <v>-138154.76630531429</v>
      </c>
      <c r="BQ305" s="16">
        <f t="shared" si="141"/>
        <v>-135144.76630531441</v>
      </c>
      <c r="BR305" s="16">
        <f t="shared" si="142"/>
        <v>-136344.76630531432</v>
      </c>
      <c r="BS305" s="14">
        <f>IF([1]Sheet2!CA304=999999,"NA",[1]Sheet2!CA304)</f>
        <v>80134.233694685681</v>
      </c>
      <c r="BT305" s="14">
        <f>IF([1]Sheet2!CB304=999999,"NA",[1]Sheet2!CB304)</f>
        <v>0</v>
      </c>
      <c r="BU305" s="14">
        <f>IF([1]Sheet2!CC304=999999,"NA",[1]Sheet2!CC304)</f>
        <v>63</v>
      </c>
      <c r="BV305" s="14">
        <f>IF([1]Sheet2!CD304=999999,"NA",[1]Sheet2!CD304)</f>
        <v>63</v>
      </c>
      <c r="BW305" s="14">
        <f>IF([1]Sheet2!CE304=999999,"NA",[1]Sheet2!CE304)</f>
        <v>32</v>
      </c>
      <c r="BX305" s="14">
        <f>IF([1]Sheet2!CF304=999999,"NA",[1]Sheet2!CF304)</f>
        <v>63</v>
      </c>
      <c r="BY305" s="14">
        <f>IF([1]Sheet2!CG304=999999,"NA",[1]Sheet2!CG304)</f>
        <v>0</v>
      </c>
      <c r="BZ305" s="14">
        <f>IF([1]Sheet2!CH304=999999,"NA",[1]Sheet2!CH304)</f>
        <v>63</v>
      </c>
      <c r="CA305" s="14">
        <f>IF([1]Sheet2!CI304=999999,"NA",[1]Sheet2!CI304)</f>
        <v>63</v>
      </c>
      <c r="CB305" s="14">
        <f>IF([1]Sheet2!CJ304=999999,"NA",[1]Sheet2!CJ304)</f>
        <v>63</v>
      </c>
      <c r="CC305" s="14">
        <f>[1]Sheet2!BG304</f>
        <v>0</v>
      </c>
      <c r="CD305" s="14">
        <f>[1]Sheet2!BH304</f>
        <v>0</v>
      </c>
      <c r="CE305" s="14">
        <f>[1]Sheet2!BI304</f>
        <v>0</v>
      </c>
      <c r="CF305" s="14">
        <f>[1]Sheet2!BJ304</f>
        <v>0</v>
      </c>
      <c r="CG305" s="14">
        <f>[1]Sheet2!BK304</f>
        <v>0</v>
      </c>
      <c r="CH305" s="14">
        <f>[1]Sheet2!BL304</f>
        <v>0</v>
      </c>
      <c r="CI305" s="14">
        <f>[1]Sheet2!BM304</f>
        <v>0</v>
      </c>
      <c r="CJ305" s="14">
        <f>[1]Sheet2!BN304</f>
        <v>0</v>
      </c>
      <c r="CK305" s="14">
        <f>[1]Sheet2!BO304</f>
        <v>0</v>
      </c>
      <c r="CL305" s="14">
        <f>[1]Sheet2!BP304</f>
        <v>0</v>
      </c>
      <c r="CM305" s="16">
        <f>Demand_SW!B$12/31</f>
        <v>139.57816377171216</v>
      </c>
      <c r="CN305" s="16">
        <f>Demand_SW!C$12/31</f>
        <v>0</v>
      </c>
      <c r="CO305" s="16">
        <f>Demand_SW!D$12/31</f>
        <v>0</v>
      </c>
      <c r="CP305" s="16">
        <f>Demand_SW!E$12/31</f>
        <v>0</v>
      </c>
      <c r="CQ305" s="16">
        <f>Demand_SW!F$12/31</f>
        <v>0</v>
      </c>
      <c r="CR305" s="16">
        <f>Demand_SW!G$12/31</f>
        <v>139.57816377171216</v>
      </c>
      <c r="CS305" s="16">
        <f>Demand_SW!H$12/31</f>
        <v>0</v>
      </c>
      <c r="CT305" s="16">
        <f>Demand_SW!I$12/31</f>
        <v>0</v>
      </c>
      <c r="CU305" s="16">
        <f>Demand_SW!J$12/31</f>
        <v>0</v>
      </c>
      <c r="CV305" s="16">
        <f>Demand_SW!K$12/31</f>
        <v>0</v>
      </c>
      <c r="CW305" s="16">
        <f t="shared" si="143"/>
        <v>59904.540942927968</v>
      </c>
      <c r="CX305" s="16">
        <f t="shared" si="144"/>
        <v>20683.923076923078</v>
      </c>
      <c r="CY305" s="16">
        <f t="shared" si="145"/>
        <v>0</v>
      </c>
      <c r="CZ305" s="16">
        <f t="shared" si="146"/>
        <v>0</v>
      </c>
      <c r="DA305" s="16">
        <f t="shared" si="147"/>
        <v>0</v>
      </c>
      <c r="DB305" s="16">
        <f t="shared" si="148"/>
        <v>-39624.689826302769</v>
      </c>
      <c r="DC305" s="16">
        <f t="shared" si="149"/>
        <v>20683.923076923078</v>
      </c>
      <c r="DD305" s="16">
        <f t="shared" si="150"/>
        <v>0</v>
      </c>
      <c r="DE305" s="16">
        <f t="shared" si="151"/>
        <v>0</v>
      </c>
      <c r="DF305" s="16">
        <f t="shared" si="152"/>
        <v>0</v>
      </c>
      <c r="DG305" s="14">
        <f>IF([1]Sheet2!DR304=999999,"NA",[1]Sheet2!DR304)</f>
        <v>73103</v>
      </c>
      <c r="DH305" s="14">
        <f>IF([1]Sheet2!DS304=999999,"NA",[1]Sheet2!DS304)</f>
        <v>63</v>
      </c>
      <c r="DI305" s="14">
        <f>IF([1]Sheet2!DT304=999999,"NA",[1]Sheet2!DT304)</f>
        <v>63</v>
      </c>
      <c r="DJ305" s="14" t="str">
        <f>IF([1]Sheet2!DU304=999999,"NA",[1]Sheet2!DU304)</f>
        <v>NA</v>
      </c>
      <c r="DK305" s="14" t="str">
        <f>IF([1]Sheet2!DV304=999999,"NA",[1]Sheet2!DV304)</f>
        <v>NA</v>
      </c>
      <c r="DL305" s="14" t="str">
        <f>IF([1]Sheet2!DW304=999999,"NA",[1]Sheet2!DW304)</f>
        <v>NA</v>
      </c>
      <c r="DM305" s="14">
        <f>IF([1]Sheet2!DX304=999999,"NA",[1]Sheet2!DX304)</f>
        <v>63</v>
      </c>
      <c r="DN305" s="14">
        <f>IF([1]Sheet2!DY304=999999,"NA",[1]Sheet2!DY304)</f>
        <v>63</v>
      </c>
      <c r="DO305" s="14" t="str">
        <f>IF([1]Sheet2!DZ304=999999,"NA",[1]Sheet2!DZ304)</f>
        <v>NA</v>
      </c>
      <c r="DP305" s="14" t="str">
        <f>IF([1]Sheet2!EA304=999999,"NA",[1]Sheet2!EA304)</f>
        <v>NA</v>
      </c>
      <c r="DQ305" s="14">
        <f>[1]Sheet2!CX304</f>
        <v>0</v>
      </c>
      <c r="DR305" s="14">
        <f>[1]Sheet2!CY304</f>
        <v>0</v>
      </c>
      <c r="DS305" s="14">
        <f>[1]Sheet2!CZ304</f>
        <v>0</v>
      </c>
      <c r="DT305" s="14">
        <f>[1]Sheet2!DA304</f>
        <v>0</v>
      </c>
      <c r="DU305" s="14">
        <f>[1]Sheet2!DB304</f>
        <v>0</v>
      </c>
      <c r="DV305" s="14">
        <f>[1]Sheet2!DC304</f>
        <v>0</v>
      </c>
      <c r="DW305" s="14">
        <f>[1]Sheet2!DD304</f>
        <v>0</v>
      </c>
      <c r="DX305" s="14">
        <f>[1]Sheet2!DE304</f>
        <v>0</v>
      </c>
      <c r="DY305" s="14">
        <f>[1]Sheet2!DF304</f>
        <v>0</v>
      </c>
      <c r="DZ305" s="14">
        <f>[1]Sheet2!DG304</f>
        <v>0</v>
      </c>
    </row>
    <row r="306" spans="1:130" x14ac:dyDescent="0.25">
      <c r="A306" s="15">
        <v>43768</v>
      </c>
      <c r="B306" s="1"/>
      <c r="C306" s="1"/>
      <c r="D306" s="1"/>
      <c r="E306" s="14">
        <f>[1]Sheet2!N305</f>
        <v>0</v>
      </c>
      <c r="F306" s="14">
        <f>[1]Sheet2!BE305</f>
        <v>0</v>
      </c>
      <c r="G306" s="14">
        <f>[1]Sheet2!CV305</f>
        <v>279.15632754342431</v>
      </c>
      <c r="H306" s="1"/>
      <c r="I306" s="1"/>
      <c r="J306" s="1"/>
      <c r="K306" s="16">
        <f>Demand_CWRS!B$12/31</f>
        <v>113.31027191894128</v>
      </c>
      <c r="L306" s="16">
        <f>Demand_CWRS!C$12/31</f>
        <v>480.06765922249781</v>
      </c>
      <c r="M306" s="16">
        <f>Demand_CWRS!D$12/31</f>
        <v>0</v>
      </c>
      <c r="N306" s="16">
        <f>Demand_CWRS!E$12/31</f>
        <v>103.22435897435898</v>
      </c>
      <c r="O306" s="16">
        <f>Demand_CWRS!F$12/31</f>
        <v>209.74544820099254</v>
      </c>
      <c r="P306" s="16">
        <f>Demand_CWRS!G$12/31</f>
        <v>113.31027191894128</v>
      </c>
      <c r="Q306" s="16">
        <f>Demand_CWRS!H$12/31</f>
        <v>480.06765922249781</v>
      </c>
      <c r="R306" s="16">
        <f>Demand_CWRS!I$12/31</f>
        <v>209.74544820099254</v>
      </c>
      <c r="S306" s="16">
        <f>Demand_CWRS!J$12/31</f>
        <v>209.74544820099254</v>
      </c>
      <c r="T306" s="16">
        <f>Demand_CWRS!K$12/31</f>
        <v>209.74544820099254</v>
      </c>
      <c r="U306" s="16">
        <f t="shared" si="123"/>
        <v>-39375.304310349311</v>
      </c>
      <c r="V306" s="16">
        <f t="shared" si="124"/>
        <v>-143405.68362282828</v>
      </c>
      <c r="W306" s="16">
        <f t="shared" si="125"/>
        <v>0</v>
      </c>
      <c r="X306" s="16">
        <f t="shared" si="126"/>
        <v>-33352.206037000899</v>
      </c>
      <c r="Y306" s="16">
        <f t="shared" si="127"/>
        <v>-65506.569989157062</v>
      </c>
      <c r="Z306" s="16">
        <f t="shared" si="128"/>
        <v>-38978.371786310905</v>
      </c>
      <c r="AA306" s="16">
        <f t="shared" si="129"/>
        <v>-142905.68362282828</v>
      </c>
      <c r="AB306" s="16">
        <f t="shared" si="130"/>
        <v>-63022.724508387779</v>
      </c>
      <c r="AC306" s="16">
        <f t="shared" si="131"/>
        <v>-63022.724508387771</v>
      </c>
      <c r="AD306" s="16">
        <f t="shared" si="132"/>
        <v>-63722.724508387764</v>
      </c>
      <c r="AE306" s="14">
        <f>IF([1]Sheet2!AJ305=999999,"NA",[1]Sheet2!AJ305)</f>
        <v>0</v>
      </c>
      <c r="AF306" s="14">
        <f>IF([1]Sheet2!AK305=999999,"NA",[1]Sheet2!AK305)</f>
        <v>0</v>
      </c>
      <c r="AG306" s="14" t="str">
        <f>IF([1]Sheet2!AL305=999999,"NA",[1]Sheet2!AL305)</f>
        <v>NA</v>
      </c>
      <c r="AH306" s="14">
        <f>IF([1]Sheet2!AM305=999999,"NA",[1]Sheet2!AM305)</f>
        <v>62</v>
      </c>
      <c r="AI306" s="14">
        <f>IF([1]Sheet2!AN305=999999,"NA",[1]Sheet2!AN305)</f>
        <v>62</v>
      </c>
      <c r="AJ306" s="14">
        <f>IF([1]Sheet2!AO305=999999,"NA",[1]Sheet2!AO305)</f>
        <v>62</v>
      </c>
      <c r="AK306" s="14">
        <f>IF([1]Sheet2!AP305=999999,"NA",[1]Sheet2!AP305)</f>
        <v>0</v>
      </c>
      <c r="AL306" s="14">
        <f>IF([1]Sheet2!AQ305=999999,"NA",[1]Sheet2!AQ305)</f>
        <v>0</v>
      </c>
      <c r="AM306" s="14">
        <f>IF([1]Sheet2!AR305=999999,"NA",[1]Sheet2!AR305)</f>
        <v>62</v>
      </c>
      <c r="AN306" s="14">
        <f>IF([1]Sheet2!AS305=999999,"NA",[1]Sheet2!AS305)</f>
        <v>13</v>
      </c>
      <c r="AO306" s="14">
        <f>[1]Sheet2!P305</f>
        <v>0</v>
      </c>
      <c r="AP306" s="14">
        <f>[1]Sheet2!Q305</f>
        <v>0</v>
      </c>
      <c r="AQ306" s="14">
        <f>[1]Sheet2!R305</f>
        <v>0</v>
      </c>
      <c r="AR306" s="14">
        <f>[1]Sheet2!S305</f>
        <v>0</v>
      </c>
      <c r="AS306" s="14">
        <f>[1]Sheet2!T305</f>
        <v>0</v>
      </c>
      <c r="AT306" s="14">
        <f>[1]Sheet2!U305</f>
        <v>0</v>
      </c>
      <c r="AU306" s="14">
        <f>[1]Sheet2!V305</f>
        <v>0</v>
      </c>
      <c r="AV306" s="14">
        <f>[1]Sheet2!W305</f>
        <v>0</v>
      </c>
      <c r="AW306" s="14">
        <f>[1]Sheet2!X305</f>
        <v>0</v>
      </c>
      <c r="AX306" s="14">
        <f>[1]Sheet2!Y305</f>
        <v>0</v>
      </c>
      <c r="AY306" s="16">
        <f>Demand_LP!B$12/31</f>
        <v>866.47279518196865</v>
      </c>
      <c r="AZ306" s="16">
        <f>Demand_LP!C$12/31</f>
        <v>577.62712985938799</v>
      </c>
      <c r="BA306" s="16">
        <f>Demand_LP!D$12/31</f>
        <v>262.18502894954509</v>
      </c>
      <c r="BB306" s="16">
        <f>Demand_LP!E$12/31</f>
        <v>766.03229942100904</v>
      </c>
      <c r="BC306" s="16">
        <f>Demand_LP!F$12/31</f>
        <v>516.10499638130682</v>
      </c>
      <c r="BD306" s="16">
        <f>Demand_LP!G$12/31</f>
        <v>866.47279518196865</v>
      </c>
      <c r="BE306" s="16">
        <f>Demand_LP!H$12/31</f>
        <v>577.62712985938799</v>
      </c>
      <c r="BF306" s="16">
        <f>Demand_LP!I$12/31</f>
        <v>516.10499638130682</v>
      </c>
      <c r="BG306" s="16">
        <f>Demand_LP!J$12/31</f>
        <v>516.10499638130682</v>
      </c>
      <c r="BH306" s="16">
        <f>Demand_LP!K$12/31</f>
        <v>516.10499638130682</v>
      </c>
      <c r="BI306" s="16" t="e">
        <f t="shared" si="133"/>
        <v>#VALUE!</v>
      </c>
      <c r="BJ306" s="16">
        <f t="shared" si="134"/>
        <v>-172427.87799834539</v>
      </c>
      <c r="BK306" s="16">
        <f t="shared" si="135"/>
        <v>-87938.291894127615</v>
      </c>
      <c r="BL306" s="16">
        <f t="shared" si="136"/>
        <v>-227814.43947922139</v>
      </c>
      <c r="BM306" s="16">
        <f t="shared" si="137"/>
        <v>-137559.18738332501</v>
      </c>
      <c r="BN306" s="16">
        <f t="shared" si="138"/>
        <v>-237918.12152109086</v>
      </c>
      <c r="BO306" s="16">
        <f t="shared" si="139"/>
        <v>-174785.45748552517</v>
      </c>
      <c r="BP306" s="16">
        <f t="shared" si="140"/>
        <v>-138670.87130169559</v>
      </c>
      <c r="BQ306" s="16">
        <f t="shared" si="141"/>
        <v>-135660.8713016957</v>
      </c>
      <c r="BR306" s="16">
        <f t="shared" si="142"/>
        <v>-136860.87130169562</v>
      </c>
      <c r="BS306" s="14">
        <f>IF([1]Sheet2!CA305=999999,"NA",[1]Sheet2!CA305)</f>
        <v>79618.128698304368</v>
      </c>
      <c r="BT306" s="14">
        <f>IF([1]Sheet2!CB305=999999,"NA",[1]Sheet2!CB305)</f>
        <v>0</v>
      </c>
      <c r="BU306" s="14">
        <f>IF([1]Sheet2!CC305=999999,"NA",[1]Sheet2!CC305)</f>
        <v>62</v>
      </c>
      <c r="BV306" s="14">
        <f>IF([1]Sheet2!CD305=999999,"NA",[1]Sheet2!CD305)</f>
        <v>62</v>
      </c>
      <c r="BW306" s="14">
        <f>IF([1]Sheet2!CE305=999999,"NA",[1]Sheet2!CE305)</f>
        <v>31</v>
      </c>
      <c r="BX306" s="14">
        <f>IF([1]Sheet2!CF305=999999,"NA",[1]Sheet2!CF305)</f>
        <v>62</v>
      </c>
      <c r="BY306" s="14">
        <f>IF([1]Sheet2!CG305=999999,"NA",[1]Sheet2!CG305)</f>
        <v>0</v>
      </c>
      <c r="BZ306" s="14">
        <f>IF([1]Sheet2!CH305=999999,"NA",[1]Sheet2!CH305)</f>
        <v>62</v>
      </c>
      <c r="CA306" s="14">
        <f>IF([1]Sheet2!CI305=999999,"NA",[1]Sheet2!CI305)</f>
        <v>62</v>
      </c>
      <c r="CB306" s="14">
        <f>IF([1]Sheet2!CJ305=999999,"NA",[1]Sheet2!CJ305)</f>
        <v>62</v>
      </c>
      <c r="CC306" s="14">
        <f>[1]Sheet2!BG305</f>
        <v>0</v>
      </c>
      <c r="CD306" s="14">
        <f>[1]Sheet2!BH305</f>
        <v>0</v>
      </c>
      <c r="CE306" s="14">
        <f>[1]Sheet2!BI305</f>
        <v>0</v>
      </c>
      <c r="CF306" s="14">
        <f>[1]Sheet2!BJ305</f>
        <v>0</v>
      </c>
      <c r="CG306" s="14">
        <f>[1]Sheet2!BK305</f>
        <v>0</v>
      </c>
      <c r="CH306" s="14">
        <f>[1]Sheet2!BL305</f>
        <v>0</v>
      </c>
      <c r="CI306" s="14">
        <f>[1]Sheet2!BM305</f>
        <v>0</v>
      </c>
      <c r="CJ306" s="14">
        <f>[1]Sheet2!BN305</f>
        <v>0</v>
      </c>
      <c r="CK306" s="14">
        <f>[1]Sheet2!BO305</f>
        <v>0</v>
      </c>
      <c r="CL306" s="14">
        <f>[1]Sheet2!BP305</f>
        <v>0</v>
      </c>
      <c r="CM306" s="16">
        <f>Demand_SW!B$12/31</f>
        <v>139.57816377171216</v>
      </c>
      <c r="CN306" s="16">
        <f>Demand_SW!C$12/31</f>
        <v>0</v>
      </c>
      <c r="CO306" s="16">
        <f>Demand_SW!D$12/31</f>
        <v>0</v>
      </c>
      <c r="CP306" s="16">
        <f>Demand_SW!E$12/31</f>
        <v>0</v>
      </c>
      <c r="CQ306" s="16">
        <f>Demand_SW!F$12/31</f>
        <v>0</v>
      </c>
      <c r="CR306" s="16">
        <f>Demand_SW!G$12/31</f>
        <v>139.57816377171216</v>
      </c>
      <c r="CS306" s="16">
        <f>Demand_SW!H$12/31</f>
        <v>0</v>
      </c>
      <c r="CT306" s="16">
        <f>Demand_SW!I$12/31</f>
        <v>0</v>
      </c>
      <c r="CU306" s="16">
        <f>Demand_SW!J$12/31</f>
        <v>0</v>
      </c>
      <c r="CV306" s="16">
        <f>Demand_SW!K$12/31</f>
        <v>0</v>
      </c>
      <c r="CW306" s="16">
        <f t="shared" si="143"/>
        <v>59764.962779156253</v>
      </c>
      <c r="CX306" s="16">
        <f t="shared" si="144"/>
        <v>20683.923076923078</v>
      </c>
      <c r="CY306" s="16">
        <f t="shared" si="145"/>
        <v>0</v>
      </c>
      <c r="CZ306" s="16">
        <f t="shared" si="146"/>
        <v>0</v>
      </c>
      <c r="DA306" s="16">
        <f t="shared" si="147"/>
        <v>0</v>
      </c>
      <c r="DB306" s="16">
        <f t="shared" si="148"/>
        <v>-39764.267990074484</v>
      </c>
      <c r="DC306" s="16">
        <f t="shared" si="149"/>
        <v>20683.923076923078</v>
      </c>
      <c r="DD306" s="16">
        <f t="shared" si="150"/>
        <v>0</v>
      </c>
      <c r="DE306" s="16">
        <f t="shared" si="151"/>
        <v>0</v>
      </c>
      <c r="DF306" s="16">
        <f t="shared" si="152"/>
        <v>0</v>
      </c>
      <c r="DG306" s="14">
        <f>IF([1]Sheet2!DR305=999999,"NA",[1]Sheet2!DR305)</f>
        <v>73103</v>
      </c>
      <c r="DH306" s="14">
        <f>IF([1]Sheet2!DS305=999999,"NA",[1]Sheet2!DS305)</f>
        <v>62</v>
      </c>
      <c r="DI306" s="14">
        <f>IF([1]Sheet2!DT305=999999,"NA",[1]Sheet2!DT305)</f>
        <v>62</v>
      </c>
      <c r="DJ306" s="14" t="str">
        <f>IF([1]Sheet2!DU305=999999,"NA",[1]Sheet2!DU305)</f>
        <v>NA</v>
      </c>
      <c r="DK306" s="14" t="str">
        <f>IF([1]Sheet2!DV305=999999,"NA",[1]Sheet2!DV305)</f>
        <v>NA</v>
      </c>
      <c r="DL306" s="14" t="str">
        <f>IF([1]Sheet2!DW305=999999,"NA",[1]Sheet2!DW305)</f>
        <v>NA</v>
      </c>
      <c r="DM306" s="14">
        <f>IF([1]Sheet2!DX305=999999,"NA",[1]Sheet2!DX305)</f>
        <v>62</v>
      </c>
      <c r="DN306" s="14">
        <f>IF([1]Sheet2!DY305=999999,"NA",[1]Sheet2!DY305)</f>
        <v>62</v>
      </c>
      <c r="DO306" s="14" t="str">
        <f>IF([1]Sheet2!DZ305=999999,"NA",[1]Sheet2!DZ305)</f>
        <v>NA</v>
      </c>
      <c r="DP306" s="14" t="str">
        <f>IF([1]Sheet2!EA305=999999,"NA",[1]Sheet2!EA305)</f>
        <v>NA</v>
      </c>
      <c r="DQ306" s="14">
        <f>[1]Sheet2!CX305</f>
        <v>0</v>
      </c>
      <c r="DR306" s="14">
        <f>[1]Sheet2!CY305</f>
        <v>0</v>
      </c>
      <c r="DS306" s="14">
        <f>[1]Sheet2!CZ305</f>
        <v>0</v>
      </c>
      <c r="DT306" s="14">
        <f>[1]Sheet2!DA305</f>
        <v>0</v>
      </c>
      <c r="DU306" s="14">
        <f>[1]Sheet2!DB305</f>
        <v>0</v>
      </c>
      <c r="DV306" s="14">
        <f>[1]Sheet2!DC305</f>
        <v>0</v>
      </c>
      <c r="DW306" s="14">
        <f>[1]Sheet2!DD305</f>
        <v>0</v>
      </c>
      <c r="DX306" s="14">
        <f>[1]Sheet2!DE305</f>
        <v>0</v>
      </c>
      <c r="DY306" s="14">
        <f>[1]Sheet2!DF305</f>
        <v>0</v>
      </c>
      <c r="DZ306" s="14">
        <f>[1]Sheet2!DG305</f>
        <v>0</v>
      </c>
    </row>
    <row r="307" spans="1:130" x14ac:dyDescent="0.25">
      <c r="A307" s="15">
        <v>43769</v>
      </c>
      <c r="B307" s="1"/>
      <c r="C307" s="1"/>
      <c r="D307" s="1"/>
      <c r="E307" s="14">
        <f>[1]Sheet2!N306</f>
        <v>0</v>
      </c>
      <c r="F307" s="14">
        <f>[1]Sheet2!BE306</f>
        <v>0</v>
      </c>
      <c r="G307" s="14">
        <f>[1]Sheet2!CV306</f>
        <v>279.15632754342431</v>
      </c>
      <c r="H307" s="1"/>
      <c r="I307" s="1"/>
      <c r="J307" s="1"/>
      <c r="K307" s="16">
        <f>Demand_CWRS!B$12/31</f>
        <v>113.31027191894128</v>
      </c>
      <c r="L307" s="16">
        <f>Demand_CWRS!C$12/31</f>
        <v>480.06765922249781</v>
      </c>
      <c r="M307" s="16">
        <f>Demand_CWRS!D$12/31</f>
        <v>0</v>
      </c>
      <c r="N307" s="16">
        <f>Demand_CWRS!E$12/31</f>
        <v>103.22435897435898</v>
      </c>
      <c r="O307" s="16">
        <f>Demand_CWRS!F$12/31</f>
        <v>209.74544820099254</v>
      </c>
      <c r="P307" s="16">
        <f>Demand_CWRS!G$12/31</f>
        <v>113.31027191894128</v>
      </c>
      <c r="Q307" s="16">
        <f>Demand_CWRS!H$12/31</f>
        <v>480.06765922249781</v>
      </c>
      <c r="R307" s="16">
        <f>Demand_CWRS!I$12/31</f>
        <v>209.74544820099254</v>
      </c>
      <c r="S307" s="16">
        <f>Demand_CWRS!J$12/31</f>
        <v>209.74544820099254</v>
      </c>
      <c r="T307" s="16">
        <f>Demand_CWRS!K$12/31</f>
        <v>209.74544820099254</v>
      </c>
      <c r="U307" s="16">
        <f t="shared" si="123"/>
        <v>-39488.614582268252</v>
      </c>
      <c r="V307" s="16">
        <f t="shared" si="124"/>
        <v>-143885.75128205077</v>
      </c>
      <c r="W307" s="16">
        <f t="shared" si="125"/>
        <v>0</v>
      </c>
      <c r="X307" s="16">
        <f t="shared" si="126"/>
        <v>-33455.430395975258</v>
      </c>
      <c r="Y307" s="16">
        <f t="shared" si="127"/>
        <v>-65716.315437358047</v>
      </c>
      <c r="Z307" s="16">
        <f t="shared" si="128"/>
        <v>-39091.682058229846</v>
      </c>
      <c r="AA307" s="16">
        <f t="shared" si="129"/>
        <v>-143385.75128205077</v>
      </c>
      <c r="AB307" s="16">
        <f t="shared" si="130"/>
        <v>-63232.469956588771</v>
      </c>
      <c r="AC307" s="16">
        <f t="shared" si="131"/>
        <v>-63232.469956588764</v>
      </c>
      <c r="AD307" s="16">
        <f t="shared" si="132"/>
        <v>-63932.469956588757</v>
      </c>
      <c r="AE307" s="14">
        <f>IF([1]Sheet2!AJ306=999999,"NA",[1]Sheet2!AJ306)</f>
        <v>0</v>
      </c>
      <c r="AF307" s="14">
        <f>IF([1]Sheet2!AK306=999999,"NA",[1]Sheet2!AK306)</f>
        <v>0</v>
      </c>
      <c r="AG307" s="14" t="str">
        <f>IF([1]Sheet2!AL306=999999,"NA",[1]Sheet2!AL306)</f>
        <v>NA</v>
      </c>
      <c r="AH307" s="14">
        <f>IF([1]Sheet2!AM306=999999,"NA",[1]Sheet2!AM306)</f>
        <v>61</v>
      </c>
      <c r="AI307" s="14">
        <f>IF([1]Sheet2!AN306=999999,"NA",[1]Sheet2!AN306)</f>
        <v>61</v>
      </c>
      <c r="AJ307" s="14">
        <f>IF([1]Sheet2!AO306=999999,"NA",[1]Sheet2!AO306)</f>
        <v>61</v>
      </c>
      <c r="AK307" s="14">
        <f>IF([1]Sheet2!AP306=999999,"NA",[1]Sheet2!AP306)</f>
        <v>0</v>
      </c>
      <c r="AL307" s="14">
        <f>IF([1]Sheet2!AQ306=999999,"NA",[1]Sheet2!AQ306)</f>
        <v>0</v>
      </c>
      <c r="AM307" s="14">
        <f>IF([1]Sheet2!AR306=999999,"NA",[1]Sheet2!AR306)</f>
        <v>61</v>
      </c>
      <c r="AN307" s="14">
        <f>IF([1]Sheet2!AS306=999999,"NA",[1]Sheet2!AS306)</f>
        <v>12</v>
      </c>
      <c r="AO307" s="14">
        <f>[1]Sheet2!P306</f>
        <v>0</v>
      </c>
      <c r="AP307" s="14">
        <f>[1]Sheet2!Q306</f>
        <v>0</v>
      </c>
      <c r="AQ307" s="14">
        <f>[1]Sheet2!R306</f>
        <v>0</v>
      </c>
      <c r="AR307" s="14">
        <f>[1]Sheet2!S306</f>
        <v>0</v>
      </c>
      <c r="AS307" s="14">
        <f>[1]Sheet2!T306</f>
        <v>0</v>
      </c>
      <c r="AT307" s="14">
        <f>[1]Sheet2!U306</f>
        <v>0</v>
      </c>
      <c r="AU307" s="14">
        <f>[1]Sheet2!V306</f>
        <v>0</v>
      </c>
      <c r="AV307" s="14">
        <f>[1]Sheet2!W306</f>
        <v>0</v>
      </c>
      <c r="AW307" s="14">
        <f>[1]Sheet2!X306</f>
        <v>0</v>
      </c>
      <c r="AX307" s="14">
        <f>[1]Sheet2!Y306</f>
        <v>0</v>
      </c>
      <c r="AY307" s="16">
        <f>Demand_LP!B$12/31</f>
        <v>866.47279518196865</v>
      </c>
      <c r="AZ307" s="16">
        <f>Demand_LP!C$12/31</f>
        <v>577.62712985938799</v>
      </c>
      <c r="BA307" s="16">
        <f>Demand_LP!D$12/31</f>
        <v>262.18502894954509</v>
      </c>
      <c r="BB307" s="16">
        <f>Demand_LP!E$12/31</f>
        <v>766.03229942100904</v>
      </c>
      <c r="BC307" s="16">
        <f>Demand_LP!F$12/31</f>
        <v>516.10499638130682</v>
      </c>
      <c r="BD307" s="16">
        <f>Demand_LP!G$12/31</f>
        <v>866.47279518196865</v>
      </c>
      <c r="BE307" s="16">
        <f>Demand_LP!H$12/31</f>
        <v>577.62712985938799</v>
      </c>
      <c r="BF307" s="16">
        <f>Demand_LP!I$12/31</f>
        <v>516.10499638130682</v>
      </c>
      <c r="BG307" s="16">
        <f>Demand_LP!J$12/31</f>
        <v>516.10499638130682</v>
      </c>
      <c r="BH307" s="16">
        <f>Demand_LP!K$12/31</f>
        <v>516.10499638130682</v>
      </c>
      <c r="BI307" s="16" t="e">
        <f t="shared" si="133"/>
        <v>#VALUE!</v>
      </c>
      <c r="BJ307" s="16">
        <f t="shared" si="134"/>
        <v>-173005.50512820476</v>
      </c>
      <c r="BK307" s="16">
        <f t="shared" si="135"/>
        <v>-88200.476923077164</v>
      </c>
      <c r="BL307" s="16">
        <f t="shared" si="136"/>
        <v>-228580.47177864239</v>
      </c>
      <c r="BM307" s="16">
        <f t="shared" si="137"/>
        <v>-138075.29237970631</v>
      </c>
      <c r="BN307" s="16">
        <f t="shared" si="138"/>
        <v>-238784.59431627282</v>
      </c>
      <c r="BO307" s="16">
        <f t="shared" si="139"/>
        <v>-175363.08461538455</v>
      </c>
      <c r="BP307" s="16">
        <f t="shared" si="140"/>
        <v>-139186.97629807689</v>
      </c>
      <c r="BQ307" s="16">
        <f t="shared" si="141"/>
        <v>-136176.976298077</v>
      </c>
      <c r="BR307" s="16">
        <f t="shared" si="142"/>
        <v>-137376.97629807692</v>
      </c>
      <c r="BS307" s="14">
        <f>IF([1]Sheet2!CA306=999999,"NA",[1]Sheet2!CA306)</f>
        <v>79102.023701923055</v>
      </c>
      <c r="BT307" s="14">
        <f>IF([1]Sheet2!CB306=999999,"NA",[1]Sheet2!CB306)</f>
        <v>0</v>
      </c>
      <c r="BU307" s="14">
        <f>IF([1]Sheet2!CC306=999999,"NA",[1]Sheet2!CC306)</f>
        <v>61</v>
      </c>
      <c r="BV307" s="14">
        <f>IF([1]Sheet2!CD306=999999,"NA",[1]Sheet2!CD306)</f>
        <v>61</v>
      </c>
      <c r="BW307" s="14">
        <f>IF([1]Sheet2!CE306=999999,"NA",[1]Sheet2!CE306)</f>
        <v>30</v>
      </c>
      <c r="BX307" s="14">
        <f>IF([1]Sheet2!CF306=999999,"NA",[1]Sheet2!CF306)</f>
        <v>61</v>
      </c>
      <c r="BY307" s="14">
        <f>IF([1]Sheet2!CG306=999999,"NA",[1]Sheet2!CG306)</f>
        <v>0</v>
      </c>
      <c r="BZ307" s="14">
        <f>IF([1]Sheet2!CH306=999999,"NA",[1]Sheet2!CH306)</f>
        <v>61</v>
      </c>
      <c r="CA307" s="14">
        <f>IF([1]Sheet2!CI306=999999,"NA",[1]Sheet2!CI306)</f>
        <v>61</v>
      </c>
      <c r="CB307" s="14">
        <f>IF([1]Sheet2!CJ306=999999,"NA",[1]Sheet2!CJ306)</f>
        <v>61</v>
      </c>
      <c r="CC307" s="14">
        <f>[1]Sheet2!BG306</f>
        <v>0</v>
      </c>
      <c r="CD307" s="14">
        <f>[1]Sheet2!BH306</f>
        <v>0</v>
      </c>
      <c r="CE307" s="14">
        <f>[1]Sheet2!BI306</f>
        <v>0</v>
      </c>
      <c r="CF307" s="14">
        <f>[1]Sheet2!BJ306</f>
        <v>0</v>
      </c>
      <c r="CG307" s="14">
        <f>[1]Sheet2!BK306</f>
        <v>0</v>
      </c>
      <c r="CH307" s="14">
        <f>[1]Sheet2!BL306</f>
        <v>0</v>
      </c>
      <c r="CI307" s="14">
        <f>[1]Sheet2!BM306</f>
        <v>0</v>
      </c>
      <c r="CJ307" s="14">
        <f>[1]Sheet2!BN306</f>
        <v>0</v>
      </c>
      <c r="CK307" s="14">
        <f>[1]Sheet2!BO306</f>
        <v>0</v>
      </c>
      <c r="CL307" s="14">
        <f>[1]Sheet2!BP306</f>
        <v>0</v>
      </c>
      <c r="CM307" s="16">
        <f>Demand_SW!B$12/31</f>
        <v>139.57816377171216</v>
      </c>
      <c r="CN307" s="16">
        <f>Demand_SW!C$12/31</f>
        <v>0</v>
      </c>
      <c r="CO307" s="16">
        <f>Demand_SW!D$12/31</f>
        <v>0</v>
      </c>
      <c r="CP307" s="16">
        <f>Demand_SW!E$12/31</f>
        <v>0</v>
      </c>
      <c r="CQ307" s="16">
        <f>Demand_SW!F$12/31</f>
        <v>0</v>
      </c>
      <c r="CR307" s="16">
        <f>Demand_SW!G$12/31</f>
        <v>139.57816377171216</v>
      </c>
      <c r="CS307" s="16">
        <f>Demand_SW!H$12/31</f>
        <v>0</v>
      </c>
      <c r="CT307" s="16">
        <f>Demand_SW!I$12/31</f>
        <v>0</v>
      </c>
      <c r="CU307" s="16">
        <f>Demand_SW!J$12/31</f>
        <v>0</v>
      </c>
      <c r="CV307" s="16">
        <f>Demand_SW!K$12/31</f>
        <v>0</v>
      </c>
      <c r="CW307" s="16">
        <f t="shared" si="143"/>
        <v>59625.384615384537</v>
      </c>
      <c r="CX307" s="16">
        <f t="shared" si="144"/>
        <v>20683.923076923078</v>
      </c>
      <c r="CY307" s="16">
        <f t="shared" si="145"/>
        <v>0</v>
      </c>
      <c r="CZ307" s="16">
        <f t="shared" si="146"/>
        <v>0</v>
      </c>
      <c r="DA307" s="16">
        <f t="shared" si="147"/>
        <v>0</v>
      </c>
      <c r="DB307" s="16">
        <f t="shared" si="148"/>
        <v>-39903.8461538462</v>
      </c>
      <c r="DC307" s="16">
        <f t="shared" si="149"/>
        <v>20683.923076923078</v>
      </c>
      <c r="DD307" s="16">
        <f t="shared" si="150"/>
        <v>0</v>
      </c>
      <c r="DE307" s="16">
        <f t="shared" si="151"/>
        <v>0</v>
      </c>
      <c r="DF307" s="16">
        <f t="shared" si="152"/>
        <v>0</v>
      </c>
      <c r="DG307" s="14">
        <f>IF([1]Sheet2!DR306=999999,"NA",[1]Sheet2!DR306)</f>
        <v>73103</v>
      </c>
      <c r="DH307" s="14">
        <f>IF([1]Sheet2!DS306=999999,"NA",[1]Sheet2!DS306)</f>
        <v>61</v>
      </c>
      <c r="DI307" s="14">
        <f>IF([1]Sheet2!DT306=999999,"NA",[1]Sheet2!DT306)</f>
        <v>61</v>
      </c>
      <c r="DJ307" s="14" t="str">
        <f>IF([1]Sheet2!DU306=999999,"NA",[1]Sheet2!DU306)</f>
        <v>NA</v>
      </c>
      <c r="DK307" s="14" t="str">
        <f>IF([1]Sheet2!DV306=999999,"NA",[1]Sheet2!DV306)</f>
        <v>NA</v>
      </c>
      <c r="DL307" s="14" t="str">
        <f>IF([1]Sheet2!DW306=999999,"NA",[1]Sheet2!DW306)</f>
        <v>NA</v>
      </c>
      <c r="DM307" s="14">
        <f>IF([1]Sheet2!DX306=999999,"NA",[1]Sheet2!DX306)</f>
        <v>61</v>
      </c>
      <c r="DN307" s="14">
        <f>IF([1]Sheet2!DY306=999999,"NA",[1]Sheet2!DY306)</f>
        <v>61</v>
      </c>
      <c r="DO307" s="14" t="str">
        <f>IF([1]Sheet2!DZ306=999999,"NA",[1]Sheet2!DZ306)</f>
        <v>NA</v>
      </c>
      <c r="DP307" s="14" t="str">
        <f>IF([1]Sheet2!EA306=999999,"NA",[1]Sheet2!EA306)</f>
        <v>NA</v>
      </c>
      <c r="DQ307" s="14">
        <f>[1]Sheet2!CX306</f>
        <v>0</v>
      </c>
      <c r="DR307" s="14">
        <f>[1]Sheet2!CY306</f>
        <v>0</v>
      </c>
      <c r="DS307" s="14">
        <f>[1]Sheet2!CZ306</f>
        <v>0</v>
      </c>
      <c r="DT307" s="14">
        <f>[1]Sheet2!DA306</f>
        <v>0</v>
      </c>
      <c r="DU307" s="14">
        <f>[1]Sheet2!DB306</f>
        <v>0</v>
      </c>
      <c r="DV307" s="14">
        <f>[1]Sheet2!DC306</f>
        <v>0</v>
      </c>
      <c r="DW307" s="14">
        <f>[1]Sheet2!DD306</f>
        <v>0</v>
      </c>
      <c r="DX307" s="14">
        <f>[1]Sheet2!DE306</f>
        <v>0</v>
      </c>
      <c r="DY307" s="14">
        <f>[1]Sheet2!DF306</f>
        <v>0</v>
      </c>
      <c r="DZ307" s="14">
        <f>[1]Sheet2!DG306</f>
        <v>0</v>
      </c>
    </row>
    <row r="308" spans="1:130" x14ac:dyDescent="0.25">
      <c r="A308" s="15">
        <v>43770</v>
      </c>
      <c r="B308" s="1"/>
      <c r="C308" s="1"/>
      <c r="D308" s="1"/>
      <c r="E308" s="14">
        <f>[1]Sheet2!N307</f>
        <v>0</v>
      </c>
      <c r="F308" s="14">
        <f>[1]Sheet2!BE307</f>
        <v>0</v>
      </c>
      <c r="G308" s="14">
        <f>[1]Sheet2!CV307</f>
        <v>288.46153846153851</v>
      </c>
      <c r="H308" s="1"/>
      <c r="I308" s="1"/>
      <c r="J308" s="1"/>
      <c r="K308" s="16">
        <f>Demand_CWRS!B$13/30</f>
        <v>111.92954594017094</v>
      </c>
      <c r="L308" s="16">
        <f>Demand_CWRS!C$13/30</f>
        <v>550.01145299145287</v>
      </c>
      <c r="M308" s="16">
        <f>Demand_CWRS!D$13/30</f>
        <v>0</v>
      </c>
      <c r="N308" s="16">
        <f>Demand_CWRS!E$13/30</f>
        <v>105.42606837606837</v>
      </c>
      <c r="O308" s="16">
        <f>Demand_CWRS!F$13/30</f>
        <v>220.33041399572647</v>
      </c>
      <c r="P308" s="16">
        <f>Demand_CWRS!G$13/30</f>
        <v>111.92954594017094</v>
      </c>
      <c r="Q308" s="16">
        <f>Demand_CWRS!H$13/30</f>
        <v>550.01145299145287</v>
      </c>
      <c r="R308" s="16">
        <f>Demand_CWRS!I$13/30</f>
        <v>220.33041399572647</v>
      </c>
      <c r="S308" s="16">
        <f>Demand_CWRS!J$13/30</f>
        <v>220.33041399572647</v>
      </c>
      <c r="T308" s="16">
        <f>Demand_CWRS!K$13/30</f>
        <v>220.33041399572647</v>
      </c>
      <c r="U308" s="16">
        <f t="shared" si="123"/>
        <v>-39600.544128208421</v>
      </c>
      <c r="V308" s="16">
        <f t="shared" si="124"/>
        <v>-144435.76273504223</v>
      </c>
      <c r="W308" s="16">
        <f t="shared" si="125"/>
        <v>0</v>
      </c>
      <c r="X308" s="16">
        <f t="shared" si="126"/>
        <v>-33560.856464351324</v>
      </c>
      <c r="Y308" s="16">
        <f t="shared" si="127"/>
        <v>-65936.64585135378</v>
      </c>
      <c r="Z308" s="16">
        <f t="shared" si="128"/>
        <v>-39203.611604170015</v>
      </c>
      <c r="AA308" s="16">
        <f t="shared" si="129"/>
        <v>-143935.76273504223</v>
      </c>
      <c r="AB308" s="16">
        <f t="shared" si="130"/>
        <v>-63452.800370584497</v>
      </c>
      <c r="AC308" s="16">
        <f t="shared" si="131"/>
        <v>-63452.800370584489</v>
      </c>
      <c r="AD308" s="16">
        <f t="shared" si="132"/>
        <v>-64152.800370584482</v>
      </c>
      <c r="AE308" s="14">
        <f>IF([1]Sheet2!AJ307=999999,"NA",[1]Sheet2!AJ307)</f>
        <v>0</v>
      </c>
      <c r="AF308" s="14">
        <f>IF([1]Sheet2!AK307=999999,"NA",[1]Sheet2!AK307)</f>
        <v>0</v>
      </c>
      <c r="AG308" s="14" t="str">
        <f>IF([1]Sheet2!AL307=999999,"NA",[1]Sheet2!AL307)</f>
        <v>NA</v>
      </c>
      <c r="AH308" s="14">
        <f>IF([1]Sheet2!AM307=999999,"NA",[1]Sheet2!AM307)</f>
        <v>60</v>
      </c>
      <c r="AI308" s="14">
        <f>IF([1]Sheet2!AN307=999999,"NA",[1]Sheet2!AN307)</f>
        <v>60</v>
      </c>
      <c r="AJ308" s="14">
        <f>IF([1]Sheet2!AO307=999999,"NA",[1]Sheet2!AO307)</f>
        <v>60</v>
      </c>
      <c r="AK308" s="14">
        <f>IF([1]Sheet2!AP307=999999,"NA",[1]Sheet2!AP307)</f>
        <v>0</v>
      </c>
      <c r="AL308" s="14">
        <f>IF([1]Sheet2!AQ307=999999,"NA",[1]Sheet2!AQ307)</f>
        <v>0</v>
      </c>
      <c r="AM308" s="14">
        <f>IF([1]Sheet2!AR307=999999,"NA",[1]Sheet2!AR307)</f>
        <v>60</v>
      </c>
      <c r="AN308" s="14">
        <f>IF([1]Sheet2!AS307=999999,"NA",[1]Sheet2!AS307)</f>
        <v>11</v>
      </c>
      <c r="AO308" s="14">
        <f>[1]Sheet2!P307</f>
        <v>0</v>
      </c>
      <c r="AP308" s="14">
        <f>[1]Sheet2!Q307</f>
        <v>0</v>
      </c>
      <c r="AQ308" s="14">
        <f>[1]Sheet2!R307</f>
        <v>0</v>
      </c>
      <c r="AR308" s="14">
        <f>[1]Sheet2!S307</f>
        <v>0</v>
      </c>
      <c r="AS308" s="14">
        <f>[1]Sheet2!T307</f>
        <v>0</v>
      </c>
      <c r="AT308" s="14">
        <f>[1]Sheet2!U307</f>
        <v>0</v>
      </c>
      <c r="AU308" s="14">
        <f>[1]Sheet2!V307</f>
        <v>0</v>
      </c>
      <c r="AV308" s="14">
        <f>[1]Sheet2!W307</f>
        <v>0</v>
      </c>
      <c r="AW308" s="14">
        <f>[1]Sheet2!X307</f>
        <v>0</v>
      </c>
      <c r="AX308" s="14">
        <f>[1]Sheet2!Y307</f>
        <v>0</v>
      </c>
      <c r="AY308" s="16">
        <f>Demand_LP!B$13/30</f>
        <v>849.16414262820524</v>
      </c>
      <c r="AZ308" s="16">
        <f>Demand_LP!C$13/30</f>
        <v>632.84239316239314</v>
      </c>
      <c r="BA308" s="16">
        <f>Demand_LP!D$13/30</f>
        <v>269.64247863247863</v>
      </c>
      <c r="BB308" s="16">
        <f>Demand_LP!E$13/30</f>
        <v>815.03102564102551</v>
      </c>
      <c r="BC308" s="16">
        <f>Demand_LP!F$13/30</f>
        <v>536.05500267094021</v>
      </c>
      <c r="BD308" s="16">
        <f>Demand_LP!G$13/30</f>
        <v>849.16414262820524</v>
      </c>
      <c r="BE308" s="16">
        <f>Demand_LP!H$13/30</f>
        <v>632.84239316239314</v>
      </c>
      <c r="BF308" s="16">
        <f>Demand_LP!I$13/30</f>
        <v>536.05500267094021</v>
      </c>
      <c r="BG308" s="16">
        <f>Demand_LP!J$13/30</f>
        <v>536.05500267094021</v>
      </c>
      <c r="BH308" s="16">
        <f>Demand_LP!K$13/30</f>
        <v>536.05500267094021</v>
      </c>
      <c r="BI308" s="16" t="e">
        <f t="shared" si="133"/>
        <v>#VALUE!</v>
      </c>
      <c r="BJ308" s="16">
        <f t="shared" si="134"/>
        <v>-173638.34752136716</v>
      </c>
      <c r="BK308" s="16">
        <f t="shared" si="135"/>
        <v>-88470.119401709642</v>
      </c>
      <c r="BL308" s="16">
        <f t="shared" si="136"/>
        <v>-229395.5028042834</v>
      </c>
      <c r="BM308" s="16">
        <f t="shared" si="137"/>
        <v>-138611.34738237725</v>
      </c>
      <c r="BN308" s="16">
        <f t="shared" si="138"/>
        <v>-239633.75845890102</v>
      </c>
      <c r="BO308" s="16">
        <f t="shared" si="139"/>
        <v>-175995.92700854695</v>
      </c>
      <c r="BP308" s="16">
        <f t="shared" si="140"/>
        <v>-139723.03130074783</v>
      </c>
      <c r="BQ308" s="16">
        <f t="shared" si="141"/>
        <v>-136713.03130074794</v>
      </c>
      <c r="BR308" s="16">
        <f t="shared" si="142"/>
        <v>-137913.03130074785</v>
      </c>
      <c r="BS308" s="14">
        <f>IF([1]Sheet2!CA307=999999,"NA",[1]Sheet2!CA307)</f>
        <v>78565.968699252116</v>
      </c>
      <c r="BT308" s="14">
        <f>IF([1]Sheet2!CB307=999999,"NA",[1]Sheet2!CB307)</f>
        <v>0</v>
      </c>
      <c r="BU308" s="14">
        <f>IF([1]Sheet2!CC307=999999,"NA",[1]Sheet2!CC307)</f>
        <v>60</v>
      </c>
      <c r="BV308" s="14">
        <f>IF([1]Sheet2!CD307=999999,"NA",[1]Sheet2!CD307)</f>
        <v>60</v>
      </c>
      <c r="BW308" s="14">
        <f>IF([1]Sheet2!CE307=999999,"NA",[1]Sheet2!CE307)</f>
        <v>29</v>
      </c>
      <c r="BX308" s="14">
        <f>IF([1]Sheet2!CF307=999999,"NA",[1]Sheet2!CF307)</f>
        <v>60</v>
      </c>
      <c r="BY308" s="14">
        <f>IF([1]Sheet2!CG307=999999,"NA",[1]Sheet2!CG307)</f>
        <v>0</v>
      </c>
      <c r="BZ308" s="14">
        <f>IF([1]Sheet2!CH307=999999,"NA",[1]Sheet2!CH307)</f>
        <v>60</v>
      </c>
      <c r="CA308" s="14">
        <f>IF([1]Sheet2!CI307=999999,"NA",[1]Sheet2!CI307)</f>
        <v>60</v>
      </c>
      <c r="CB308" s="14">
        <f>IF([1]Sheet2!CJ307=999999,"NA",[1]Sheet2!CJ307)</f>
        <v>60</v>
      </c>
      <c r="CC308" s="14">
        <f>[1]Sheet2!BG307</f>
        <v>0</v>
      </c>
      <c r="CD308" s="14">
        <f>[1]Sheet2!BH307</f>
        <v>0</v>
      </c>
      <c r="CE308" s="14">
        <f>[1]Sheet2!BI307</f>
        <v>0</v>
      </c>
      <c r="CF308" s="14">
        <f>[1]Sheet2!BJ307</f>
        <v>0</v>
      </c>
      <c r="CG308" s="14">
        <f>[1]Sheet2!BK307</f>
        <v>0</v>
      </c>
      <c r="CH308" s="14">
        <f>[1]Sheet2!BL307</f>
        <v>0</v>
      </c>
      <c r="CI308" s="14">
        <f>[1]Sheet2!BM307</f>
        <v>0</v>
      </c>
      <c r="CJ308" s="14">
        <f>[1]Sheet2!BN307</f>
        <v>0</v>
      </c>
      <c r="CK308" s="14">
        <f>[1]Sheet2!BO307</f>
        <v>0</v>
      </c>
      <c r="CL308" s="14">
        <f>[1]Sheet2!BP307</f>
        <v>0</v>
      </c>
      <c r="CM308" s="16">
        <f>Demand_SW!B$13/30</f>
        <v>144.23076923076923</v>
      </c>
      <c r="CN308" s="16">
        <f>Demand_SW!C$13/30</f>
        <v>0</v>
      </c>
      <c r="CO308" s="16">
        <f>Demand_SW!D$13/30</f>
        <v>0</v>
      </c>
      <c r="CP308" s="16">
        <f>Demand_SW!E$13/30</f>
        <v>0</v>
      </c>
      <c r="CQ308" s="16">
        <f>Demand_SW!F$13/30</f>
        <v>0</v>
      </c>
      <c r="CR308" s="16">
        <f>Demand_SW!G$13/30</f>
        <v>144.23076923076923</v>
      </c>
      <c r="CS308" s="16">
        <f>Demand_SW!H$13/30</f>
        <v>0</v>
      </c>
      <c r="CT308" s="16">
        <f>Demand_SW!I$13/30</f>
        <v>0</v>
      </c>
      <c r="CU308" s="16">
        <f>Demand_SW!J$13/30</f>
        <v>0</v>
      </c>
      <c r="CV308" s="16">
        <f>Demand_SW!K$13/30</f>
        <v>0</v>
      </c>
      <c r="CW308" s="16">
        <f t="shared" si="143"/>
        <v>59481.153846153771</v>
      </c>
      <c r="CX308" s="16">
        <f t="shared" si="144"/>
        <v>20683.923076923078</v>
      </c>
      <c r="CY308" s="16">
        <f t="shared" si="145"/>
        <v>0</v>
      </c>
      <c r="CZ308" s="16">
        <f t="shared" si="146"/>
        <v>0</v>
      </c>
      <c r="DA308" s="16">
        <f t="shared" si="147"/>
        <v>0</v>
      </c>
      <c r="DB308" s="16">
        <f t="shared" si="148"/>
        <v>-40048.076923076966</v>
      </c>
      <c r="DC308" s="16">
        <f t="shared" si="149"/>
        <v>20683.923076923078</v>
      </c>
      <c r="DD308" s="16">
        <f t="shared" si="150"/>
        <v>0</v>
      </c>
      <c r="DE308" s="16">
        <f t="shared" si="151"/>
        <v>0</v>
      </c>
      <c r="DF308" s="16">
        <f t="shared" si="152"/>
        <v>0</v>
      </c>
      <c r="DG308" s="14">
        <f>IF([1]Sheet2!DR307=999999,"NA",[1]Sheet2!DR307)</f>
        <v>73103</v>
      </c>
      <c r="DH308" s="14">
        <f>IF([1]Sheet2!DS307=999999,"NA",[1]Sheet2!DS307)</f>
        <v>60</v>
      </c>
      <c r="DI308" s="14">
        <f>IF([1]Sheet2!DT307=999999,"NA",[1]Sheet2!DT307)</f>
        <v>60</v>
      </c>
      <c r="DJ308" s="14" t="str">
        <f>IF([1]Sheet2!DU307=999999,"NA",[1]Sheet2!DU307)</f>
        <v>NA</v>
      </c>
      <c r="DK308" s="14" t="str">
        <f>IF([1]Sheet2!DV307=999999,"NA",[1]Sheet2!DV307)</f>
        <v>NA</v>
      </c>
      <c r="DL308" s="14" t="str">
        <f>IF([1]Sheet2!DW307=999999,"NA",[1]Sheet2!DW307)</f>
        <v>NA</v>
      </c>
      <c r="DM308" s="14">
        <f>IF([1]Sheet2!DX307=999999,"NA",[1]Sheet2!DX307)</f>
        <v>60</v>
      </c>
      <c r="DN308" s="14">
        <f>IF([1]Sheet2!DY307=999999,"NA",[1]Sheet2!DY307)</f>
        <v>60</v>
      </c>
      <c r="DO308" s="14" t="str">
        <f>IF([1]Sheet2!DZ307=999999,"NA",[1]Sheet2!DZ307)</f>
        <v>NA</v>
      </c>
      <c r="DP308" s="14" t="str">
        <f>IF([1]Sheet2!EA307=999999,"NA",[1]Sheet2!EA307)</f>
        <v>NA</v>
      </c>
      <c r="DQ308" s="14">
        <f>[1]Sheet2!CX307</f>
        <v>0</v>
      </c>
      <c r="DR308" s="14">
        <f>[1]Sheet2!CY307</f>
        <v>0</v>
      </c>
      <c r="DS308" s="14">
        <f>[1]Sheet2!CZ307</f>
        <v>0</v>
      </c>
      <c r="DT308" s="14">
        <f>[1]Sheet2!DA307</f>
        <v>0</v>
      </c>
      <c r="DU308" s="14">
        <f>[1]Sheet2!DB307</f>
        <v>0</v>
      </c>
      <c r="DV308" s="14">
        <f>[1]Sheet2!DC307</f>
        <v>0</v>
      </c>
      <c r="DW308" s="14">
        <f>[1]Sheet2!DD307</f>
        <v>0</v>
      </c>
      <c r="DX308" s="14">
        <f>[1]Sheet2!DE307</f>
        <v>0</v>
      </c>
      <c r="DY308" s="14">
        <f>[1]Sheet2!DF307</f>
        <v>0</v>
      </c>
      <c r="DZ308" s="14">
        <f>[1]Sheet2!DG307</f>
        <v>0</v>
      </c>
    </row>
    <row r="309" spans="1:130" x14ac:dyDescent="0.25">
      <c r="A309" s="15">
        <v>43771</v>
      </c>
      <c r="B309" s="1"/>
      <c r="C309" s="1"/>
      <c r="D309" s="1"/>
      <c r="E309" s="14">
        <f>[1]Sheet2!N308</f>
        <v>0</v>
      </c>
      <c r="F309" s="14">
        <f>[1]Sheet2!BE308</f>
        <v>48000</v>
      </c>
      <c r="G309" s="14">
        <f>[1]Sheet2!CV308</f>
        <v>288.46153846153851</v>
      </c>
      <c r="H309" s="1"/>
      <c r="I309" s="1"/>
      <c r="J309" s="1"/>
      <c r="K309" s="16">
        <f>Demand_CWRS!B$13/30</f>
        <v>111.92954594017094</v>
      </c>
      <c r="L309" s="16">
        <f>Demand_CWRS!C$13/30</f>
        <v>550.01145299145287</v>
      </c>
      <c r="M309" s="16">
        <f>Demand_CWRS!D$13/30</f>
        <v>0</v>
      </c>
      <c r="N309" s="16">
        <f>Demand_CWRS!E$13/30</f>
        <v>105.42606837606837</v>
      </c>
      <c r="O309" s="16">
        <f>Demand_CWRS!F$13/30</f>
        <v>220.33041399572647</v>
      </c>
      <c r="P309" s="16">
        <f>Demand_CWRS!G$13/30</f>
        <v>111.92954594017094</v>
      </c>
      <c r="Q309" s="16">
        <f>Demand_CWRS!H$13/30</f>
        <v>550.01145299145287</v>
      </c>
      <c r="R309" s="16">
        <f>Demand_CWRS!I$13/30</f>
        <v>220.33041399572647</v>
      </c>
      <c r="S309" s="16">
        <f>Demand_CWRS!J$13/30</f>
        <v>220.33041399572647</v>
      </c>
      <c r="T309" s="16">
        <f>Demand_CWRS!K$13/30</f>
        <v>220.33041399572647</v>
      </c>
      <c r="U309" s="16">
        <f t="shared" si="123"/>
        <v>-39712.47367414859</v>
      </c>
      <c r="V309" s="16">
        <f t="shared" si="124"/>
        <v>-144985.77418803368</v>
      </c>
      <c r="W309" s="16">
        <f t="shared" si="125"/>
        <v>0</v>
      </c>
      <c r="X309" s="16">
        <f t="shared" si="126"/>
        <v>-33666.282532727389</v>
      </c>
      <c r="Y309" s="16">
        <f t="shared" si="127"/>
        <v>-66156.976265349513</v>
      </c>
      <c r="Z309" s="16">
        <f t="shared" si="128"/>
        <v>-39315.541150110184</v>
      </c>
      <c r="AA309" s="16">
        <f t="shared" si="129"/>
        <v>-144485.77418803368</v>
      </c>
      <c r="AB309" s="16">
        <f t="shared" si="130"/>
        <v>-63673.130784580222</v>
      </c>
      <c r="AC309" s="16">
        <f t="shared" si="131"/>
        <v>-63673.130784580215</v>
      </c>
      <c r="AD309" s="16">
        <f t="shared" si="132"/>
        <v>-64373.130784580208</v>
      </c>
      <c r="AE309" s="14">
        <f>IF([1]Sheet2!AJ308=999999,"NA",[1]Sheet2!AJ308)</f>
        <v>0</v>
      </c>
      <c r="AF309" s="14">
        <f>IF([1]Sheet2!AK308=999999,"NA",[1]Sheet2!AK308)</f>
        <v>0</v>
      </c>
      <c r="AG309" s="14" t="str">
        <f>IF([1]Sheet2!AL308=999999,"NA",[1]Sheet2!AL308)</f>
        <v>NA</v>
      </c>
      <c r="AH309" s="14">
        <f>IF([1]Sheet2!AM308=999999,"NA",[1]Sheet2!AM308)</f>
        <v>59</v>
      </c>
      <c r="AI309" s="14">
        <f>IF([1]Sheet2!AN308=999999,"NA",[1]Sheet2!AN308)</f>
        <v>59</v>
      </c>
      <c r="AJ309" s="14">
        <f>IF([1]Sheet2!AO308=999999,"NA",[1]Sheet2!AO308)</f>
        <v>59</v>
      </c>
      <c r="AK309" s="14">
        <f>IF([1]Sheet2!AP308=999999,"NA",[1]Sheet2!AP308)</f>
        <v>0</v>
      </c>
      <c r="AL309" s="14">
        <f>IF([1]Sheet2!AQ308=999999,"NA",[1]Sheet2!AQ308)</f>
        <v>0</v>
      </c>
      <c r="AM309" s="14">
        <f>IF([1]Sheet2!AR308=999999,"NA",[1]Sheet2!AR308)</f>
        <v>59</v>
      </c>
      <c r="AN309" s="14">
        <f>IF([1]Sheet2!AS308=999999,"NA",[1]Sheet2!AS308)</f>
        <v>10</v>
      </c>
      <c r="AO309" s="14">
        <f>[1]Sheet2!P308</f>
        <v>0</v>
      </c>
      <c r="AP309" s="14">
        <f>[1]Sheet2!Q308</f>
        <v>0</v>
      </c>
      <c r="AQ309" s="14">
        <f>[1]Sheet2!R308</f>
        <v>0</v>
      </c>
      <c r="AR309" s="14">
        <f>[1]Sheet2!S308</f>
        <v>0</v>
      </c>
      <c r="AS309" s="14">
        <f>[1]Sheet2!T308</f>
        <v>0</v>
      </c>
      <c r="AT309" s="14">
        <f>[1]Sheet2!U308</f>
        <v>0</v>
      </c>
      <c r="AU309" s="14">
        <f>[1]Sheet2!V308</f>
        <v>0</v>
      </c>
      <c r="AV309" s="14">
        <f>[1]Sheet2!W308</f>
        <v>0</v>
      </c>
      <c r="AW309" s="14">
        <f>[1]Sheet2!X308</f>
        <v>0</v>
      </c>
      <c r="AX309" s="14">
        <f>[1]Sheet2!Y308</f>
        <v>0</v>
      </c>
      <c r="AY309" s="16">
        <f>Demand_LP!B$13/30</f>
        <v>849.16414262820524</v>
      </c>
      <c r="AZ309" s="16">
        <f>Demand_LP!C$13/30</f>
        <v>632.84239316239314</v>
      </c>
      <c r="BA309" s="16">
        <f>Demand_LP!D$13/30</f>
        <v>269.64247863247863</v>
      </c>
      <c r="BB309" s="16">
        <f>Demand_LP!E$13/30</f>
        <v>815.03102564102551</v>
      </c>
      <c r="BC309" s="16">
        <f>Demand_LP!F$13/30</f>
        <v>536.05500267094021</v>
      </c>
      <c r="BD309" s="16">
        <f>Demand_LP!G$13/30</f>
        <v>849.16414262820524</v>
      </c>
      <c r="BE309" s="16">
        <f>Demand_LP!H$13/30</f>
        <v>632.84239316239314</v>
      </c>
      <c r="BF309" s="16">
        <f>Demand_LP!I$13/30</f>
        <v>536.05500267094021</v>
      </c>
      <c r="BG309" s="16">
        <f>Demand_LP!J$13/30</f>
        <v>536.05500267094021</v>
      </c>
      <c r="BH309" s="16">
        <f>Demand_LP!K$13/30</f>
        <v>536.05500267094021</v>
      </c>
      <c r="BI309" s="16" t="e">
        <f t="shared" si="133"/>
        <v>#VALUE!</v>
      </c>
      <c r="BJ309" s="16">
        <f t="shared" si="134"/>
        <v>-174271.18991452956</v>
      </c>
      <c r="BK309" s="16">
        <f t="shared" si="135"/>
        <v>-88739.761880342121</v>
      </c>
      <c r="BL309" s="16">
        <f t="shared" si="136"/>
        <v>-230210.53382992442</v>
      </c>
      <c r="BM309" s="16">
        <f t="shared" si="137"/>
        <v>-139147.40238504819</v>
      </c>
      <c r="BN309" s="16">
        <f t="shared" si="138"/>
        <v>-240482.92260152922</v>
      </c>
      <c r="BO309" s="16">
        <f t="shared" si="139"/>
        <v>-176628.76940170935</v>
      </c>
      <c r="BP309" s="16">
        <f t="shared" si="140"/>
        <v>-140259.08630341876</v>
      </c>
      <c r="BQ309" s="16">
        <f t="shared" si="141"/>
        <v>-137249.08630341888</v>
      </c>
      <c r="BR309" s="16">
        <f t="shared" si="142"/>
        <v>-138449.08630341879</v>
      </c>
      <c r="BS309" s="14">
        <f>IF([1]Sheet2!CA308=999999,"NA",[1]Sheet2!CA308)</f>
        <v>78029.913696581178</v>
      </c>
      <c r="BT309" s="14">
        <f>IF([1]Sheet2!CB308=999999,"NA",[1]Sheet2!CB308)</f>
        <v>0</v>
      </c>
      <c r="BU309" s="14">
        <f>IF([1]Sheet2!CC308=999999,"NA",[1]Sheet2!CC308)</f>
        <v>59</v>
      </c>
      <c r="BV309" s="14">
        <f>IF([1]Sheet2!CD308=999999,"NA",[1]Sheet2!CD308)</f>
        <v>59</v>
      </c>
      <c r="BW309" s="14">
        <f>IF([1]Sheet2!CE308=999999,"NA",[1]Sheet2!CE308)</f>
        <v>28</v>
      </c>
      <c r="BX309" s="14">
        <f>IF([1]Sheet2!CF308=999999,"NA",[1]Sheet2!CF308)</f>
        <v>59</v>
      </c>
      <c r="BY309" s="14">
        <f>IF([1]Sheet2!CG308=999999,"NA",[1]Sheet2!CG308)</f>
        <v>0</v>
      </c>
      <c r="BZ309" s="14">
        <f>IF([1]Sheet2!CH308=999999,"NA",[1]Sheet2!CH308)</f>
        <v>59</v>
      </c>
      <c r="CA309" s="14">
        <f>IF([1]Sheet2!CI308=999999,"NA",[1]Sheet2!CI308)</f>
        <v>59</v>
      </c>
      <c r="CB309" s="14">
        <f>IF([1]Sheet2!CJ308=999999,"NA",[1]Sheet2!CJ308)</f>
        <v>59</v>
      </c>
      <c r="CC309" s="14">
        <f>[1]Sheet2!BG308</f>
        <v>0</v>
      </c>
      <c r="CD309" s="14">
        <f>[1]Sheet2!BH308</f>
        <v>0</v>
      </c>
      <c r="CE309" s="14">
        <f>[1]Sheet2!BI308</f>
        <v>0</v>
      </c>
      <c r="CF309" s="14">
        <f>[1]Sheet2!BJ308</f>
        <v>0</v>
      </c>
      <c r="CG309" s="14">
        <f>[1]Sheet2!BK308</f>
        <v>0</v>
      </c>
      <c r="CH309" s="14">
        <f>[1]Sheet2!BL308</f>
        <v>0</v>
      </c>
      <c r="CI309" s="14">
        <f>[1]Sheet2!BM308</f>
        <v>0</v>
      </c>
      <c r="CJ309" s="14">
        <f>[1]Sheet2!BN308</f>
        <v>0</v>
      </c>
      <c r="CK309" s="14">
        <f>[1]Sheet2!BO308</f>
        <v>0</v>
      </c>
      <c r="CL309" s="14">
        <f>[1]Sheet2!BP308</f>
        <v>0</v>
      </c>
      <c r="CM309" s="16">
        <f>Demand_SW!B$13/30</f>
        <v>144.23076923076923</v>
      </c>
      <c r="CN309" s="16">
        <f>Demand_SW!C$13/30</f>
        <v>0</v>
      </c>
      <c r="CO309" s="16">
        <f>Demand_SW!D$13/30</f>
        <v>0</v>
      </c>
      <c r="CP309" s="16">
        <f>Demand_SW!E$13/30</f>
        <v>0</v>
      </c>
      <c r="CQ309" s="16">
        <f>Demand_SW!F$13/30</f>
        <v>0</v>
      </c>
      <c r="CR309" s="16">
        <f>Demand_SW!G$13/30</f>
        <v>144.23076923076923</v>
      </c>
      <c r="CS309" s="16">
        <f>Demand_SW!H$13/30</f>
        <v>0</v>
      </c>
      <c r="CT309" s="16">
        <f>Demand_SW!I$13/30</f>
        <v>0</v>
      </c>
      <c r="CU309" s="16">
        <f>Demand_SW!J$13/30</f>
        <v>0</v>
      </c>
      <c r="CV309" s="16">
        <f>Demand_SW!K$13/30</f>
        <v>0</v>
      </c>
      <c r="CW309" s="16">
        <f t="shared" si="143"/>
        <v>59336.923076923005</v>
      </c>
      <c r="CX309" s="16">
        <f t="shared" si="144"/>
        <v>20683.923076923078</v>
      </c>
      <c r="CY309" s="16">
        <f t="shared" si="145"/>
        <v>0</v>
      </c>
      <c r="CZ309" s="16">
        <f t="shared" si="146"/>
        <v>0</v>
      </c>
      <c r="DA309" s="16">
        <f t="shared" si="147"/>
        <v>0</v>
      </c>
      <c r="DB309" s="16">
        <f t="shared" si="148"/>
        <v>-40192.307692307731</v>
      </c>
      <c r="DC309" s="16">
        <f t="shared" si="149"/>
        <v>20683.923076923078</v>
      </c>
      <c r="DD309" s="16">
        <f t="shared" si="150"/>
        <v>0</v>
      </c>
      <c r="DE309" s="16">
        <f t="shared" si="151"/>
        <v>0</v>
      </c>
      <c r="DF309" s="16">
        <f t="shared" si="152"/>
        <v>0</v>
      </c>
      <c r="DG309" s="14">
        <f>IF([1]Sheet2!DR308=999999,"NA",[1]Sheet2!DR308)</f>
        <v>73103</v>
      </c>
      <c r="DH309" s="14">
        <f>IF([1]Sheet2!DS308=999999,"NA",[1]Sheet2!DS308)</f>
        <v>59</v>
      </c>
      <c r="DI309" s="14">
        <f>IF([1]Sheet2!DT308=999999,"NA",[1]Sheet2!DT308)</f>
        <v>59</v>
      </c>
      <c r="DJ309" s="14" t="str">
        <f>IF([1]Sheet2!DU308=999999,"NA",[1]Sheet2!DU308)</f>
        <v>NA</v>
      </c>
      <c r="DK309" s="14" t="str">
        <f>IF([1]Sheet2!DV308=999999,"NA",[1]Sheet2!DV308)</f>
        <v>NA</v>
      </c>
      <c r="DL309" s="14" t="str">
        <f>IF([1]Sheet2!DW308=999999,"NA",[1]Sheet2!DW308)</f>
        <v>NA</v>
      </c>
      <c r="DM309" s="14">
        <f>IF([1]Sheet2!DX308=999999,"NA",[1]Sheet2!DX308)</f>
        <v>59</v>
      </c>
      <c r="DN309" s="14">
        <f>IF([1]Sheet2!DY308=999999,"NA",[1]Sheet2!DY308)</f>
        <v>59</v>
      </c>
      <c r="DO309" s="14" t="str">
        <f>IF([1]Sheet2!DZ308=999999,"NA",[1]Sheet2!DZ308)</f>
        <v>NA</v>
      </c>
      <c r="DP309" s="14" t="str">
        <f>IF([1]Sheet2!EA308=999999,"NA",[1]Sheet2!EA308)</f>
        <v>NA</v>
      </c>
      <c r="DQ309" s="14">
        <f>[1]Sheet2!CX308</f>
        <v>0</v>
      </c>
      <c r="DR309" s="14">
        <f>[1]Sheet2!CY308</f>
        <v>0</v>
      </c>
      <c r="DS309" s="14">
        <f>[1]Sheet2!CZ308</f>
        <v>0</v>
      </c>
      <c r="DT309" s="14">
        <f>[1]Sheet2!DA308</f>
        <v>0</v>
      </c>
      <c r="DU309" s="14">
        <f>[1]Sheet2!DB308</f>
        <v>0</v>
      </c>
      <c r="DV309" s="14">
        <f>[1]Sheet2!DC308</f>
        <v>0</v>
      </c>
      <c r="DW309" s="14">
        <f>[1]Sheet2!DD308</f>
        <v>0</v>
      </c>
      <c r="DX309" s="14">
        <f>[1]Sheet2!DE308</f>
        <v>0</v>
      </c>
      <c r="DY309" s="14">
        <f>[1]Sheet2!DF308</f>
        <v>0</v>
      </c>
      <c r="DZ309" s="14">
        <f>[1]Sheet2!DG308</f>
        <v>0</v>
      </c>
    </row>
    <row r="310" spans="1:130" x14ac:dyDescent="0.25">
      <c r="A310" s="15">
        <v>43772</v>
      </c>
      <c r="B310" s="1"/>
      <c r="C310" s="1"/>
      <c r="D310" s="1"/>
      <c r="E310" s="14">
        <f>[1]Sheet2!N309</f>
        <v>0</v>
      </c>
      <c r="F310" s="14">
        <f>[1]Sheet2!BE309</f>
        <v>0</v>
      </c>
      <c r="G310" s="14">
        <f>[1]Sheet2!CV309</f>
        <v>288.46153846153851</v>
      </c>
      <c r="H310" s="1"/>
      <c r="I310" s="1"/>
      <c r="J310" s="1"/>
      <c r="K310" s="16">
        <f>Demand_CWRS!B$13/30</f>
        <v>111.92954594017094</v>
      </c>
      <c r="L310" s="16">
        <f>Demand_CWRS!C$13/30</f>
        <v>550.01145299145287</v>
      </c>
      <c r="M310" s="16">
        <f>Demand_CWRS!D$13/30</f>
        <v>0</v>
      </c>
      <c r="N310" s="16">
        <f>Demand_CWRS!E$13/30</f>
        <v>105.42606837606837</v>
      </c>
      <c r="O310" s="16">
        <f>Demand_CWRS!F$13/30</f>
        <v>220.33041399572647</v>
      </c>
      <c r="P310" s="16">
        <f>Demand_CWRS!G$13/30</f>
        <v>111.92954594017094</v>
      </c>
      <c r="Q310" s="16">
        <f>Demand_CWRS!H$13/30</f>
        <v>550.01145299145287</v>
      </c>
      <c r="R310" s="16">
        <f>Demand_CWRS!I$13/30</f>
        <v>220.33041399572647</v>
      </c>
      <c r="S310" s="16">
        <f>Demand_CWRS!J$13/30</f>
        <v>220.33041399572647</v>
      </c>
      <c r="T310" s="16">
        <f>Demand_CWRS!K$13/30</f>
        <v>220.33041399572647</v>
      </c>
      <c r="U310" s="16">
        <f t="shared" si="123"/>
        <v>-39824.40322008876</v>
      </c>
      <c r="V310" s="16">
        <f t="shared" si="124"/>
        <v>-145535.78564102514</v>
      </c>
      <c r="W310" s="16">
        <f t="shared" si="125"/>
        <v>0</v>
      </c>
      <c r="X310" s="16">
        <f t="shared" si="126"/>
        <v>-33771.708601103455</v>
      </c>
      <c r="Y310" s="16">
        <f t="shared" si="127"/>
        <v>-66377.306679345245</v>
      </c>
      <c r="Z310" s="16">
        <f t="shared" si="128"/>
        <v>-39427.470696050354</v>
      </c>
      <c r="AA310" s="16">
        <f t="shared" si="129"/>
        <v>-145035.78564102514</v>
      </c>
      <c r="AB310" s="16">
        <f t="shared" si="130"/>
        <v>-63893.461198575947</v>
      </c>
      <c r="AC310" s="16">
        <f t="shared" si="131"/>
        <v>-63893.46119857594</v>
      </c>
      <c r="AD310" s="16">
        <f t="shared" si="132"/>
        <v>-64593.461198575933</v>
      </c>
      <c r="AE310" s="14">
        <f>IF([1]Sheet2!AJ309=999999,"NA",[1]Sheet2!AJ309)</f>
        <v>0</v>
      </c>
      <c r="AF310" s="14">
        <f>IF([1]Sheet2!AK309=999999,"NA",[1]Sheet2!AK309)</f>
        <v>0</v>
      </c>
      <c r="AG310" s="14" t="str">
        <f>IF([1]Sheet2!AL309=999999,"NA",[1]Sheet2!AL309)</f>
        <v>NA</v>
      </c>
      <c r="AH310" s="14">
        <f>IF([1]Sheet2!AM309=999999,"NA",[1]Sheet2!AM309)</f>
        <v>58</v>
      </c>
      <c r="AI310" s="14">
        <f>IF([1]Sheet2!AN309=999999,"NA",[1]Sheet2!AN309)</f>
        <v>58</v>
      </c>
      <c r="AJ310" s="14">
        <f>IF([1]Sheet2!AO309=999999,"NA",[1]Sheet2!AO309)</f>
        <v>58</v>
      </c>
      <c r="AK310" s="14">
        <f>IF([1]Sheet2!AP309=999999,"NA",[1]Sheet2!AP309)</f>
        <v>0</v>
      </c>
      <c r="AL310" s="14">
        <f>IF([1]Sheet2!AQ309=999999,"NA",[1]Sheet2!AQ309)</f>
        <v>0</v>
      </c>
      <c r="AM310" s="14">
        <f>IF([1]Sheet2!AR309=999999,"NA",[1]Sheet2!AR309)</f>
        <v>58</v>
      </c>
      <c r="AN310" s="14">
        <f>IF([1]Sheet2!AS309=999999,"NA",[1]Sheet2!AS309)</f>
        <v>9</v>
      </c>
      <c r="AO310" s="14">
        <f>[1]Sheet2!P309</f>
        <v>0</v>
      </c>
      <c r="AP310" s="14">
        <f>[1]Sheet2!Q309</f>
        <v>0</v>
      </c>
      <c r="AQ310" s="14">
        <f>[1]Sheet2!R309</f>
        <v>0</v>
      </c>
      <c r="AR310" s="14">
        <f>[1]Sheet2!S309</f>
        <v>0</v>
      </c>
      <c r="AS310" s="14">
        <f>[1]Sheet2!T309</f>
        <v>0</v>
      </c>
      <c r="AT310" s="14">
        <f>[1]Sheet2!U309</f>
        <v>0</v>
      </c>
      <c r="AU310" s="14">
        <f>[1]Sheet2!V309</f>
        <v>0</v>
      </c>
      <c r="AV310" s="14">
        <f>[1]Sheet2!W309</f>
        <v>0</v>
      </c>
      <c r="AW310" s="14">
        <f>[1]Sheet2!X309</f>
        <v>0</v>
      </c>
      <c r="AX310" s="14">
        <f>[1]Sheet2!Y309</f>
        <v>0</v>
      </c>
      <c r="AY310" s="16">
        <f>Demand_LP!B$13/30</f>
        <v>849.16414262820524</v>
      </c>
      <c r="AZ310" s="16">
        <f>Demand_LP!C$13/30</f>
        <v>632.84239316239314</v>
      </c>
      <c r="BA310" s="16">
        <f>Demand_LP!D$13/30</f>
        <v>269.64247863247863</v>
      </c>
      <c r="BB310" s="16">
        <f>Demand_LP!E$13/30</f>
        <v>815.03102564102551</v>
      </c>
      <c r="BC310" s="16">
        <f>Demand_LP!F$13/30</f>
        <v>536.05500267094021</v>
      </c>
      <c r="BD310" s="16">
        <f>Demand_LP!G$13/30</f>
        <v>849.16414262820524</v>
      </c>
      <c r="BE310" s="16">
        <f>Demand_LP!H$13/30</f>
        <v>632.84239316239314</v>
      </c>
      <c r="BF310" s="16">
        <f>Demand_LP!I$13/30</f>
        <v>536.05500267094021</v>
      </c>
      <c r="BG310" s="16">
        <f>Demand_LP!J$13/30</f>
        <v>536.05500267094021</v>
      </c>
      <c r="BH310" s="16">
        <f>Demand_LP!K$13/30</f>
        <v>536.05500267094021</v>
      </c>
      <c r="BI310" s="16" t="e">
        <f t="shared" si="133"/>
        <v>#VALUE!</v>
      </c>
      <c r="BJ310" s="16">
        <f t="shared" si="134"/>
        <v>-174904.03230769196</v>
      </c>
      <c r="BK310" s="16">
        <f t="shared" si="135"/>
        <v>-89009.4043589746</v>
      </c>
      <c r="BL310" s="16">
        <f t="shared" si="136"/>
        <v>-231025.56485556543</v>
      </c>
      <c r="BM310" s="16">
        <f t="shared" si="137"/>
        <v>-139683.45738771913</v>
      </c>
      <c r="BN310" s="16">
        <f t="shared" si="138"/>
        <v>-241332.08674415742</v>
      </c>
      <c r="BO310" s="16">
        <f t="shared" si="139"/>
        <v>-177261.61179487174</v>
      </c>
      <c r="BP310" s="16">
        <f t="shared" si="140"/>
        <v>-140795.1413060897</v>
      </c>
      <c r="BQ310" s="16">
        <f t="shared" si="141"/>
        <v>-137785.14130608982</v>
      </c>
      <c r="BR310" s="16">
        <f t="shared" si="142"/>
        <v>-138985.14130608973</v>
      </c>
      <c r="BS310" s="14">
        <f>IF([1]Sheet2!CA309=999999,"NA",[1]Sheet2!CA309)</f>
        <v>77493.858693910239</v>
      </c>
      <c r="BT310" s="14">
        <f>IF([1]Sheet2!CB309=999999,"NA",[1]Sheet2!CB309)</f>
        <v>0</v>
      </c>
      <c r="BU310" s="14">
        <f>IF([1]Sheet2!CC309=999999,"NA",[1]Sheet2!CC309)</f>
        <v>58</v>
      </c>
      <c r="BV310" s="14">
        <f>IF([1]Sheet2!CD309=999999,"NA",[1]Sheet2!CD309)</f>
        <v>58</v>
      </c>
      <c r="BW310" s="14">
        <f>IF([1]Sheet2!CE309=999999,"NA",[1]Sheet2!CE309)</f>
        <v>27</v>
      </c>
      <c r="BX310" s="14">
        <f>IF([1]Sheet2!CF309=999999,"NA",[1]Sheet2!CF309)</f>
        <v>58</v>
      </c>
      <c r="BY310" s="14">
        <f>IF([1]Sheet2!CG309=999999,"NA",[1]Sheet2!CG309)</f>
        <v>0</v>
      </c>
      <c r="BZ310" s="14">
        <f>IF([1]Sheet2!CH309=999999,"NA",[1]Sheet2!CH309)</f>
        <v>58</v>
      </c>
      <c r="CA310" s="14">
        <f>IF([1]Sheet2!CI309=999999,"NA",[1]Sheet2!CI309)</f>
        <v>58</v>
      </c>
      <c r="CB310" s="14">
        <f>IF([1]Sheet2!CJ309=999999,"NA",[1]Sheet2!CJ309)</f>
        <v>58</v>
      </c>
      <c r="CC310" s="14">
        <f>[1]Sheet2!BG309</f>
        <v>0</v>
      </c>
      <c r="CD310" s="14">
        <f>[1]Sheet2!BH309</f>
        <v>0</v>
      </c>
      <c r="CE310" s="14">
        <f>[1]Sheet2!BI309</f>
        <v>0</v>
      </c>
      <c r="CF310" s="14">
        <f>[1]Sheet2!BJ309</f>
        <v>0</v>
      </c>
      <c r="CG310" s="14">
        <f>[1]Sheet2!BK309</f>
        <v>0</v>
      </c>
      <c r="CH310" s="14">
        <f>[1]Sheet2!BL309</f>
        <v>0</v>
      </c>
      <c r="CI310" s="14">
        <f>[1]Sheet2!BM309</f>
        <v>0</v>
      </c>
      <c r="CJ310" s="14">
        <f>[1]Sheet2!BN309</f>
        <v>0</v>
      </c>
      <c r="CK310" s="14">
        <f>[1]Sheet2!BO309</f>
        <v>0</v>
      </c>
      <c r="CL310" s="14">
        <f>[1]Sheet2!BP309</f>
        <v>0</v>
      </c>
      <c r="CM310" s="16">
        <f>Demand_SW!B$13/30</f>
        <v>144.23076923076923</v>
      </c>
      <c r="CN310" s="16">
        <f>Demand_SW!C$13/30</f>
        <v>0</v>
      </c>
      <c r="CO310" s="16">
        <f>Demand_SW!D$13/30</f>
        <v>0</v>
      </c>
      <c r="CP310" s="16">
        <f>Demand_SW!E$13/30</f>
        <v>0</v>
      </c>
      <c r="CQ310" s="16">
        <f>Demand_SW!F$13/30</f>
        <v>0</v>
      </c>
      <c r="CR310" s="16">
        <f>Demand_SW!G$13/30</f>
        <v>144.23076923076923</v>
      </c>
      <c r="CS310" s="16">
        <f>Demand_SW!H$13/30</f>
        <v>0</v>
      </c>
      <c r="CT310" s="16">
        <f>Demand_SW!I$13/30</f>
        <v>0</v>
      </c>
      <c r="CU310" s="16">
        <f>Demand_SW!J$13/30</f>
        <v>0</v>
      </c>
      <c r="CV310" s="16">
        <f>Demand_SW!K$13/30</f>
        <v>0</v>
      </c>
      <c r="CW310" s="16">
        <f t="shared" si="143"/>
        <v>59192.692307692239</v>
      </c>
      <c r="CX310" s="16">
        <f t="shared" si="144"/>
        <v>20683.923076923078</v>
      </c>
      <c r="CY310" s="16">
        <f t="shared" si="145"/>
        <v>0</v>
      </c>
      <c r="CZ310" s="16">
        <f t="shared" si="146"/>
        <v>0</v>
      </c>
      <c r="DA310" s="16">
        <f t="shared" si="147"/>
        <v>0</v>
      </c>
      <c r="DB310" s="16">
        <f t="shared" si="148"/>
        <v>-40336.538461538497</v>
      </c>
      <c r="DC310" s="16">
        <f t="shared" si="149"/>
        <v>20683.923076923078</v>
      </c>
      <c r="DD310" s="16">
        <f t="shared" si="150"/>
        <v>0</v>
      </c>
      <c r="DE310" s="16">
        <f t="shared" si="151"/>
        <v>0</v>
      </c>
      <c r="DF310" s="16">
        <f t="shared" si="152"/>
        <v>0</v>
      </c>
      <c r="DG310" s="14">
        <f>IF([1]Sheet2!DR309=999999,"NA",[1]Sheet2!DR309)</f>
        <v>73103</v>
      </c>
      <c r="DH310" s="14">
        <f>IF([1]Sheet2!DS309=999999,"NA",[1]Sheet2!DS309)</f>
        <v>58</v>
      </c>
      <c r="DI310" s="14">
        <f>IF([1]Sheet2!DT309=999999,"NA",[1]Sheet2!DT309)</f>
        <v>58</v>
      </c>
      <c r="DJ310" s="14" t="str">
        <f>IF([1]Sheet2!DU309=999999,"NA",[1]Sheet2!DU309)</f>
        <v>NA</v>
      </c>
      <c r="DK310" s="14" t="str">
        <f>IF([1]Sheet2!DV309=999999,"NA",[1]Sheet2!DV309)</f>
        <v>NA</v>
      </c>
      <c r="DL310" s="14" t="str">
        <f>IF([1]Sheet2!DW309=999999,"NA",[1]Sheet2!DW309)</f>
        <v>NA</v>
      </c>
      <c r="DM310" s="14">
        <f>IF([1]Sheet2!DX309=999999,"NA",[1]Sheet2!DX309)</f>
        <v>58</v>
      </c>
      <c r="DN310" s="14">
        <f>IF([1]Sheet2!DY309=999999,"NA",[1]Sheet2!DY309)</f>
        <v>58</v>
      </c>
      <c r="DO310" s="14" t="str">
        <f>IF([1]Sheet2!DZ309=999999,"NA",[1]Sheet2!DZ309)</f>
        <v>NA</v>
      </c>
      <c r="DP310" s="14" t="str">
        <f>IF([1]Sheet2!EA309=999999,"NA",[1]Sheet2!EA309)</f>
        <v>NA</v>
      </c>
      <c r="DQ310" s="14">
        <f>[1]Sheet2!CX309</f>
        <v>0</v>
      </c>
      <c r="DR310" s="14">
        <f>[1]Sheet2!CY309</f>
        <v>0</v>
      </c>
      <c r="DS310" s="14">
        <f>[1]Sheet2!CZ309</f>
        <v>0</v>
      </c>
      <c r="DT310" s="14">
        <f>[1]Sheet2!DA309</f>
        <v>0</v>
      </c>
      <c r="DU310" s="14">
        <f>[1]Sheet2!DB309</f>
        <v>0</v>
      </c>
      <c r="DV310" s="14">
        <f>[1]Sheet2!DC309</f>
        <v>0</v>
      </c>
      <c r="DW310" s="14">
        <f>[1]Sheet2!DD309</f>
        <v>0</v>
      </c>
      <c r="DX310" s="14">
        <f>[1]Sheet2!DE309</f>
        <v>0</v>
      </c>
      <c r="DY310" s="14">
        <f>[1]Sheet2!DF309</f>
        <v>0</v>
      </c>
      <c r="DZ310" s="14">
        <f>[1]Sheet2!DG309</f>
        <v>0</v>
      </c>
    </row>
    <row r="311" spans="1:130" x14ac:dyDescent="0.25">
      <c r="A311" s="15">
        <v>43773</v>
      </c>
      <c r="B311" s="1"/>
      <c r="C311" s="1"/>
      <c r="D311" s="1"/>
      <c r="E311" s="14">
        <f>[1]Sheet2!N310</f>
        <v>0</v>
      </c>
      <c r="F311" s="14">
        <f>[1]Sheet2!BE310</f>
        <v>0</v>
      </c>
      <c r="G311" s="14">
        <f>[1]Sheet2!CV310</f>
        <v>288.46153846153851</v>
      </c>
      <c r="H311" s="1"/>
      <c r="I311" s="1"/>
      <c r="J311" s="1"/>
      <c r="K311" s="16">
        <f>Demand_CWRS!B$13/30</f>
        <v>111.92954594017094</v>
      </c>
      <c r="L311" s="16">
        <f>Demand_CWRS!C$13/30</f>
        <v>550.01145299145287</v>
      </c>
      <c r="M311" s="16">
        <f>Demand_CWRS!D$13/30</f>
        <v>0</v>
      </c>
      <c r="N311" s="16">
        <f>Demand_CWRS!E$13/30</f>
        <v>105.42606837606837</v>
      </c>
      <c r="O311" s="16">
        <f>Demand_CWRS!F$13/30</f>
        <v>220.33041399572647</v>
      </c>
      <c r="P311" s="16">
        <f>Demand_CWRS!G$13/30</f>
        <v>111.92954594017094</v>
      </c>
      <c r="Q311" s="16">
        <f>Demand_CWRS!H$13/30</f>
        <v>550.01145299145287</v>
      </c>
      <c r="R311" s="16">
        <f>Demand_CWRS!I$13/30</f>
        <v>220.33041399572647</v>
      </c>
      <c r="S311" s="16">
        <f>Demand_CWRS!J$13/30</f>
        <v>220.33041399572647</v>
      </c>
      <c r="T311" s="16">
        <f>Demand_CWRS!K$13/30</f>
        <v>220.33041399572647</v>
      </c>
      <c r="U311" s="16">
        <f t="shared" si="123"/>
        <v>-39936.332766028929</v>
      </c>
      <c r="V311" s="16">
        <f t="shared" si="124"/>
        <v>-146085.7970940166</v>
      </c>
      <c r="W311" s="16">
        <f t="shared" si="125"/>
        <v>0</v>
      </c>
      <c r="X311" s="16">
        <f t="shared" si="126"/>
        <v>-33877.134669479521</v>
      </c>
      <c r="Y311" s="16">
        <f t="shared" si="127"/>
        <v>-66597.637093340978</v>
      </c>
      <c r="Z311" s="16">
        <f t="shared" si="128"/>
        <v>-39539.400241990523</v>
      </c>
      <c r="AA311" s="16">
        <f t="shared" si="129"/>
        <v>-145585.7970940166</v>
      </c>
      <c r="AB311" s="16">
        <f t="shared" si="130"/>
        <v>-64113.791612571673</v>
      </c>
      <c r="AC311" s="16">
        <f t="shared" si="131"/>
        <v>-64113.791612571666</v>
      </c>
      <c r="AD311" s="16">
        <f t="shared" si="132"/>
        <v>-64813.791612571658</v>
      </c>
      <c r="AE311" s="14">
        <f>IF([1]Sheet2!AJ310=999999,"NA",[1]Sheet2!AJ310)</f>
        <v>0</v>
      </c>
      <c r="AF311" s="14">
        <f>IF([1]Sheet2!AK310=999999,"NA",[1]Sheet2!AK310)</f>
        <v>0</v>
      </c>
      <c r="AG311" s="14" t="str">
        <f>IF([1]Sheet2!AL310=999999,"NA",[1]Sheet2!AL310)</f>
        <v>NA</v>
      </c>
      <c r="AH311" s="14">
        <f>IF([1]Sheet2!AM310=999999,"NA",[1]Sheet2!AM310)</f>
        <v>57</v>
      </c>
      <c r="AI311" s="14">
        <f>IF([1]Sheet2!AN310=999999,"NA",[1]Sheet2!AN310)</f>
        <v>57</v>
      </c>
      <c r="AJ311" s="14">
        <f>IF([1]Sheet2!AO310=999999,"NA",[1]Sheet2!AO310)</f>
        <v>57</v>
      </c>
      <c r="AK311" s="14">
        <f>IF([1]Sheet2!AP310=999999,"NA",[1]Sheet2!AP310)</f>
        <v>0</v>
      </c>
      <c r="AL311" s="14">
        <f>IF([1]Sheet2!AQ310=999999,"NA",[1]Sheet2!AQ310)</f>
        <v>0</v>
      </c>
      <c r="AM311" s="14">
        <f>IF([1]Sheet2!AR310=999999,"NA",[1]Sheet2!AR310)</f>
        <v>57</v>
      </c>
      <c r="AN311" s="14">
        <f>IF([1]Sheet2!AS310=999999,"NA",[1]Sheet2!AS310)</f>
        <v>8</v>
      </c>
      <c r="AO311" s="14">
        <f>[1]Sheet2!P310</f>
        <v>0</v>
      </c>
      <c r="AP311" s="14">
        <f>[1]Sheet2!Q310</f>
        <v>0</v>
      </c>
      <c r="AQ311" s="14">
        <f>[1]Sheet2!R310</f>
        <v>0</v>
      </c>
      <c r="AR311" s="14">
        <f>[1]Sheet2!S310</f>
        <v>0</v>
      </c>
      <c r="AS311" s="14">
        <f>[1]Sheet2!T310</f>
        <v>0</v>
      </c>
      <c r="AT311" s="14">
        <f>[1]Sheet2!U310</f>
        <v>0</v>
      </c>
      <c r="AU311" s="14">
        <f>[1]Sheet2!V310</f>
        <v>0</v>
      </c>
      <c r="AV311" s="14">
        <f>[1]Sheet2!W310</f>
        <v>0</v>
      </c>
      <c r="AW311" s="14">
        <f>[1]Sheet2!X310</f>
        <v>0</v>
      </c>
      <c r="AX311" s="14">
        <f>[1]Sheet2!Y310</f>
        <v>0</v>
      </c>
      <c r="AY311" s="16">
        <f>Demand_LP!B$13/30</f>
        <v>849.16414262820524</v>
      </c>
      <c r="AZ311" s="16">
        <f>Demand_LP!C$13/30</f>
        <v>632.84239316239314</v>
      </c>
      <c r="BA311" s="16">
        <f>Demand_LP!D$13/30</f>
        <v>269.64247863247863</v>
      </c>
      <c r="BB311" s="16">
        <f>Demand_LP!E$13/30</f>
        <v>815.03102564102551</v>
      </c>
      <c r="BC311" s="16">
        <f>Demand_LP!F$13/30</f>
        <v>536.05500267094021</v>
      </c>
      <c r="BD311" s="16">
        <f>Demand_LP!G$13/30</f>
        <v>849.16414262820524</v>
      </c>
      <c r="BE311" s="16">
        <f>Demand_LP!H$13/30</f>
        <v>632.84239316239314</v>
      </c>
      <c r="BF311" s="16">
        <f>Demand_LP!I$13/30</f>
        <v>536.05500267094021</v>
      </c>
      <c r="BG311" s="16">
        <f>Demand_LP!J$13/30</f>
        <v>536.05500267094021</v>
      </c>
      <c r="BH311" s="16">
        <f>Demand_LP!K$13/30</f>
        <v>536.05500267094021</v>
      </c>
      <c r="BI311" s="16" t="e">
        <f t="shared" si="133"/>
        <v>#VALUE!</v>
      </c>
      <c r="BJ311" s="16">
        <f t="shared" si="134"/>
        <v>-175536.87470085436</v>
      </c>
      <c r="BK311" s="16">
        <f t="shared" si="135"/>
        <v>-89279.046837607078</v>
      </c>
      <c r="BL311" s="16">
        <f t="shared" si="136"/>
        <v>-231840.59588120645</v>
      </c>
      <c r="BM311" s="16">
        <f t="shared" si="137"/>
        <v>-140219.51239039007</v>
      </c>
      <c r="BN311" s="16">
        <f t="shared" si="138"/>
        <v>-242181.25088678562</v>
      </c>
      <c r="BO311" s="16">
        <f t="shared" si="139"/>
        <v>-177894.45418803414</v>
      </c>
      <c r="BP311" s="16">
        <f t="shared" si="140"/>
        <v>-141331.19630876064</v>
      </c>
      <c r="BQ311" s="16">
        <f t="shared" si="141"/>
        <v>-138321.19630876076</v>
      </c>
      <c r="BR311" s="16">
        <f t="shared" si="142"/>
        <v>-139521.19630876067</v>
      </c>
      <c r="BS311" s="14">
        <f>IF([1]Sheet2!CA310=999999,"NA",[1]Sheet2!CA310)</f>
        <v>76957.8036912393</v>
      </c>
      <c r="BT311" s="14">
        <f>IF([1]Sheet2!CB310=999999,"NA",[1]Sheet2!CB310)</f>
        <v>0</v>
      </c>
      <c r="BU311" s="14">
        <f>IF([1]Sheet2!CC310=999999,"NA",[1]Sheet2!CC310)</f>
        <v>57</v>
      </c>
      <c r="BV311" s="14">
        <f>IF([1]Sheet2!CD310=999999,"NA",[1]Sheet2!CD310)</f>
        <v>57</v>
      </c>
      <c r="BW311" s="14">
        <f>IF([1]Sheet2!CE310=999999,"NA",[1]Sheet2!CE310)</f>
        <v>26</v>
      </c>
      <c r="BX311" s="14">
        <f>IF([1]Sheet2!CF310=999999,"NA",[1]Sheet2!CF310)</f>
        <v>57</v>
      </c>
      <c r="BY311" s="14">
        <f>IF([1]Sheet2!CG310=999999,"NA",[1]Sheet2!CG310)</f>
        <v>0</v>
      </c>
      <c r="BZ311" s="14">
        <f>IF([1]Sheet2!CH310=999999,"NA",[1]Sheet2!CH310)</f>
        <v>57</v>
      </c>
      <c r="CA311" s="14">
        <f>IF([1]Sheet2!CI310=999999,"NA",[1]Sheet2!CI310)</f>
        <v>57</v>
      </c>
      <c r="CB311" s="14">
        <f>IF([1]Sheet2!CJ310=999999,"NA",[1]Sheet2!CJ310)</f>
        <v>57</v>
      </c>
      <c r="CC311" s="14">
        <f>[1]Sheet2!BG310</f>
        <v>0</v>
      </c>
      <c r="CD311" s="14">
        <f>[1]Sheet2!BH310</f>
        <v>0</v>
      </c>
      <c r="CE311" s="14">
        <f>[1]Sheet2!BI310</f>
        <v>0</v>
      </c>
      <c r="CF311" s="14">
        <f>[1]Sheet2!BJ310</f>
        <v>0</v>
      </c>
      <c r="CG311" s="14">
        <f>[1]Sheet2!BK310</f>
        <v>0</v>
      </c>
      <c r="CH311" s="14">
        <f>[1]Sheet2!BL310</f>
        <v>0</v>
      </c>
      <c r="CI311" s="14">
        <f>[1]Sheet2!BM310</f>
        <v>0</v>
      </c>
      <c r="CJ311" s="14">
        <f>[1]Sheet2!BN310</f>
        <v>0</v>
      </c>
      <c r="CK311" s="14">
        <f>[1]Sheet2!BO310</f>
        <v>0</v>
      </c>
      <c r="CL311" s="14">
        <f>[1]Sheet2!BP310</f>
        <v>0</v>
      </c>
      <c r="CM311" s="16">
        <f>Demand_SW!B$13/30</f>
        <v>144.23076923076923</v>
      </c>
      <c r="CN311" s="16">
        <f>Demand_SW!C$13/30</f>
        <v>0</v>
      </c>
      <c r="CO311" s="16">
        <f>Demand_SW!D$13/30</f>
        <v>0</v>
      </c>
      <c r="CP311" s="16">
        <f>Demand_SW!E$13/30</f>
        <v>0</v>
      </c>
      <c r="CQ311" s="16">
        <f>Demand_SW!F$13/30</f>
        <v>0</v>
      </c>
      <c r="CR311" s="16">
        <f>Demand_SW!G$13/30</f>
        <v>144.23076923076923</v>
      </c>
      <c r="CS311" s="16">
        <f>Demand_SW!H$13/30</f>
        <v>0</v>
      </c>
      <c r="CT311" s="16">
        <f>Demand_SW!I$13/30</f>
        <v>0</v>
      </c>
      <c r="CU311" s="16">
        <f>Demand_SW!J$13/30</f>
        <v>0</v>
      </c>
      <c r="CV311" s="16">
        <f>Demand_SW!K$13/30</f>
        <v>0</v>
      </c>
      <c r="CW311" s="16">
        <f t="shared" si="143"/>
        <v>59048.461538461474</v>
      </c>
      <c r="CX311" s="16">
        <f t="shared" si="144"/>
        <v>20683.923076923078</v>
      </c>
      <c r="CY311" s="16">
        <f t="shared" si="145"/>
        <v>0</v>
      </c>
      <c r="CZ311" s="16">
        <f t="shared" si="146"/>
        <v>0</v>
      </c>
      <c r="DA311" s="16">
        <f t="shared" si="147"/>
        <v>0</v>
      </c>
      <c r="DB311" s="16">
        <f t="shared" si="148"/>
        <v>-40480.769230769263</v>
      </c>
      <c r="DC311" s="16">
        <f t="shared" si="149"/>
        <v>20683.923076923078</v>
      </c>
      <c r="DD311" s="16">
        <f t="shared" si="150"/>
        <v>0</v>
      </c>
      <c r="DE311" s="16">
        <f t="shared" si="151"/>
        <v>0</v>
      </c>
      <c r="DF311" s="16">
        <f t="shared" si="152"/>
        <v>0</v>
      </c>
      <c r="DG311" s="14">
        <f>IF([1]Sheet2!DR310=999999,"NA",[1]Sheet2!DR310)</f>
        <v>73103</v>
      </c>
      <c r="DH311" s="14">
        <f>IF([1]Sheet2!DS310=999999,"NA",[1]Sheet2!DS310)</f>
        <v>57</v>
      </c>
      <c r="DI311" s="14">
        <f>IF([1]Sheet2!DT310=999999,"NA",[1]Sheet2!DT310)</f>
        <v>57</v>
      </c>
      <c r="DJ311" s="14" t="str">
        <f>IF([1]Sheet2!DU310=999999,"NA",[1]Sheet2!DU310)</f>
        <v>NA</v>
      </c>
      <c r="DK311" s="14" t="str">
        <f>IF([1]Sheet2!DV310=999999,"NA",[1]Sheet2!DV310)</f>
        <v>NA</v>
      </c>
      <c r="DL311" s="14" t="str">
        <f>IF([1]Sheet2!DW310=999999,"NA",[1]Sheet2!DW310)</f>
        <v>NA</v>
      </c>
      <c r="DM311" s="14">
        <f>IF([1]Sheet2!DX310=999999,"NA",[1]Sheet2!DX310)</f>
        <v>57</v>
      </c>
      <c r="DN311" s="14">
        <f>IF([1]Sheet2!DY310=999999,"NA",[1]Sheet2!DY310)</f>
        <v>57</v>
      </c>
      <c r="DO311" s="14" t="str">
        <f>IF([1]Sheet2!DZ310=999999,"NA",[1]Sheet2!DZ310)</f>
        <v>NA</v>
      </c>
      <c r="DP311" s="14" t="str">
        <f>IF([1]Sheet2!EA310=999999,"NA",[1]Sheet2!EA310)</f>
        <v>NA</v>
      </c>
      <c r="DQ311" s="14">
        <f>[1]Sheet2!CX310</f>
        <v>0</v>
      </c>
      <c r="DR311" s="14">
        <f>[1]Sheet2!CY310</f>
        <v>0</v>
      </c>
      <c r="DS311" s="14">
        <f>[1]Sheet2!CZ310</f>
        <v>0</v>
      </c>
      <c r="DT311" s="14">
        <f>[1]Sheet2!DA310</f>
        <v>0</v>
      </c>
      <c r="DU311" s="14">
        <f>[1]Sheet2!DB310</f>
        <v>0</v>
      </c>
      <c r="DV311" s="14">
        <f>[1]Sheet2!DC310</f>
        <v>0</v>
      </c>
      <c r="DW311" s="14">
        <f>[1]Sheet2!DD310</f>
        <v>0</v>
      </c>
      <c r="DX311" s="14">
        <f>[1]Sheet2!DE310</f>
        <v>0</v>
      </c>
      <c r="DY311" s="14">
        <f>[1]Sheet2!DF310</f>
        <v>0</v>
      </c>
      <c r="DZ311" s="14">
        <f>[1]Sheet2!DG310</f>
        <v>0</v>
      </c>
    </row>
    <row r="312" spans="1:130" x14ac:dyDescent="0.25">
      <c r="A312" s="15">
        <v>43774</v>
      </c>
      <c r="B312" s="1"/>
      <c r="C312" s="1"/>
      <c r="D312" s="1"/>
      <c r="E312" s="14">
        <f>[1]Sheet2!N311</f>
        <v>0</v>
      </c>
      <c r="F312" s="14">
        <f>[1]Sheet2!BE311</f>
        <v>0</v>
      </c>
      <c r="G312" s="14">
        <f>[1]Sheet2!CV311</f>
        <v>288.46153846153851</v>
      </c>
      <c r="H312" s="1"/>
      <c r="I312" s="1"/>
      <c r="J312" s="1"/>
      <c r="K312" s="16">
        <f>Demand_CWRS!B$13/30</f>
        <v>111.92954594017094</v>
      </c>
      <c r="L312" s="16">
        <f>Demand_CWRS!C$13/30</f>
        <v>550.01145299145287</v>
      </c>
      <c r="M312" s="16">
        <f>Demand_CWRS!D$13/30</f>
        <v>0</v>
      </c>
      <c r="N312" s="16">
        <f>Demand_CWRS!E$13/30</f>
        <v>105.42606837606837</v>
      </c>
      <c r="O312" s="16">
        <f>Demand_CWRS!F$13/30</f>
        <v>220.33041399572647</v>
      </c>
      <c r="P312" s="16">
        <f>Demand_CWRS!G$13/30</f>
        <v>111.92954594017094</v>
      </c>
      <c r="Q312" s="16">
        <f>Demand_CWRS!H$13/30</f>
        <v>550.01145299145287</v>
      </c>
      <c r="R312" s="16">
        <f>Demand_CWRS!I$13/30</f>
        <v>220.33041399572647</v>
      </c>
      <c r="S312" s="16">
        <f>Demand_CWRS!J$13/30</f>
        <v>220.33041399572647</v>
      </c>
      <c r="T312" s="16">
        <f>Demand_CWRS!K$13/30</f>
        <v>220.33041399572647</v>
      </c>
      <c r="U312" s="16">
        <f t="shared" si="123"/>
        <v>-40048.262311969098</v>
      </c>
      <c r="V312" s="16">
        <f t="shared" si="124"/>
        <v>-146635.80854700806</v>
      </c>
      <c r="W312" s="16">
        <f t="shared" si="125"/>
        <v>0</v>
      </c>
      <c r="X312" s="16">
        <f t="shared" si="126"/>
        <v>-33982.560737855587</v>
      </c>
      <c r="Y312" s="16">
        <f t="shared" si="127"/>
        <v>-66817.967507336711</v>
      </c>
      <c r="Z312" s="16">
        <f t="shared" si="128"/>
        <v>-39651.329787930692</v>
      </c>
      <c r="AA312" s="16">
        <f t="shared" si="129"/>
        <v>-146135.80854700806</v>
      </c>
      <c r="AB312" s="16">
        <f t="shared" si="130"/>
        <v>-64334.122026567398</v>
      </c>
      <c r="AC312" s="16">
        <f t="shared" si="131"/>
        <v>-64334.122026567391</v>
      </c>
      <c r="AD312" s="16">
        <f t="shared" si="132"/>
        <v>-65034.122026567384</v>
      </c>
      <c r="AE312" s="14">
        <f>IF([1]Sheet2!AJ311=999999,"NA",[1]Sheet2!AJ311)</f>
        <v>0</v>
      </c>
      <c r="AF312" s="14">
        <f>IF([1]Sheet2!AK311=999999,"NA",[1]Sheet2!AK311)</f>
        <v>0</v>
      </c>
      <c r="AG312" s="14" t="str">
        <f>IF([1]Sheet2!AL311=999999,"NA",[1]Sheet2!AL311)</f>
        <v>NA</v>
      </c>
      <c r="AH312" s="14">
        <f>IF([1]Sheet2!AM311=999999,"NA",[1]Sheet2!AM311)</f>
        <v>56</v>
      </c>
      <c r="AI312" s="14">
        <f>IF([1]Sheet2!AN311=999999,"NA",[1]Sheet2!AN311)</f>
        <v>56</v>
      </c>
      <c r="AJ312" s="14">
        <f>IF([1]Sheet2!AO311=999999,"NA",[1]Sheet2!AO311)</f>
        <v>56</v>
      </c>
      <c r="AK312" s="14">
        <f>IF([1]Sheet2!AP311=999999,"NA",[1]Sheet2!AP311)</f>
        <v>0</v>
      </c>
      <c r="AL312" s="14">
        <f>IF([1]Sheet2!AQ311=999999,"NA",[1]Sheet2!AQ311)</f>
        <v>0</v>
      </c>
      <c r="AM312" s="14">
        <f>IF([1]Sheet2!AR311=999999,"NA",[1]Sheet2!AR311)</f>
        <v>56</v>
      </c>
      <c r="AN312" s="14">
        <f>IF([1]Sheet2!AS311=999999,"NA",[1]Sheet2!AS311)</f>
        <v>7</v>
      </c>
      <c r="AO312" s="14">
        <f>[1]Sheet2!P311</f>
        <v>0</v>
      </c>
      <c r="AP312" s="14">
        <f>[1]Sheet2!Q311</f>
        <v>0</v>
      </c>
      <c r="AQ312" s="14">
        <f>[1]Sheet2!R311</f>
        <v>0</v>
      </c>
      <c r="AR312" s="14">
        <f>[1]Sheet2!S311</f>
        <v>0</v>
      </c>
      <c r="AS312" s="14">
        <f>[1]Sheet2!T311</f>
        <v>0</v>
      </c>
      <c r="AT312" s="14">
        <f>[1]Sheet2!U311</f>
        <v>0</v>
      </c>
      <c r="AU312" s="14">
        <f>[1]Sheet2!V311</f>
        <v>0</v>
      </c>
      <c r="AV312" s="14">
        <f>[1]Sheet2!W311</f>
        <v>0</v>
      </c>
      <c r="AW312" s="14">
        <f>[1]Sheet2!X311</f>
        <v>0</v>
      </c>
      <c r="AX312" s="14">
        <f>[1]Sheet2!Y311</f>
        <v>0</v>
      </c>
      <c r="AY312" s="16">
        <f>Demand_LP!B$13/30</f>
        <v>849.16414262820524</v>
      </c>
      <c r="AZ312" s="16">
        <f>Demand_LP!C$13/30</f>
        <v>632.84239316239314</v>
      </c>
      <c r="BA312" s="16">
        <f>Demand_LP!D$13/30</f>
        <v>269.64247863247863</v>
      </c>
      <c r="BB312" s="16">
        <f>Demand_LP!E$13/30</f>
        <v>815.03102564102551</v>
      </c>
      <c r="BC312" s="16">
        <f>Demand_LP!F$13/30</f>
        <v>536.05500267094021</v>
      </c>
      <c r="BD312" s="16">
        <f>Demand_LP!G$13/30</f>
        <v>849.16414262820524</v>
      </c>
      <c r="BE312" s="16">
        <f>Demand_LP!H$13/30</f>
        <v>632.84239316239314</v>
      </c>
      <c r="BF312" s="16">
        <f>Demand_LP!I$13/30</f>
        <v>536.05500267094021</v>
      </c>
      <c r="BG312" s="16">
        <f>Demand_LP!J$13/30</f>
        <v>536.05500267094021</v>
      </c>
      <c r="BH312" s="16">
        <f>Demand_LP!K$13/30</f>
        <v>536.05500267094021</v>
      </c>
      <c r="BI312" s="16" t="e">
        <f t="shared" si="133"/>
        <v>#VALUE!</v>
      </c>
      <c r="BJ312" s="16">
        <f t="shared" si="134"/>
        <v>-176169.71709401676</v>
      </c>
      <c r="BK312" s="16">
        <f t="shared" si="135"/>
        <v>-89548.689316239557</v>
      </c>
      <c r="BL312" s="16">
        <f t="shared" si="136"/>
        <v>-232655.62690684746</v>
      </c>
      <c r="BM312" s="16">
        <f t="shared" si="137"/>
        <v>-140755.56739306101</v>
      </c>
      <c r="BN312" s="16">
        <f t="shared" si="138"/>
        <v>-243030.41502941382</v>
      </c>
      <c r="BO312" s="16">
        <f t="shared" si="139"/>
        <v>-178527.29658119654</v>
      </c>
      <c r="BP312" s="16">
        <f t="shared" si="140"/>
        <v>-141867.25131143158</v>
      </c>
      <c r="BQ312" s="16">
        <f t="shared" si="141"/>
        <v>-138857.2513114317</v>
      </c>
      <c r="BR312" s="16">
        <f t="shared" si="142"/>
        <v>-140057.25131143161</v>
      </c>
      <c r="BS312" s="14">
        <f>IF([1]Sheet2!CA311=999999,"NA",[1]Sheet2!CA311)</f>
        <v>76421.748688568361</v>
      </c>
      <c r="BT312" s="14">
        <f>IF([1]Sheet2!CB311=999999,"NA",[1]Sheet2!CB311)</f>
        <v>0</v>
      </c>
      <c r="BU312" s="14">
        <f>IF([1]Sheet2!CC311=999999,"NA",[1]Sheet2!CC311)</f>
        <v>56</v>
      </c>
      <c r="BV312" s="14">
        <f>IF([1]Sheet2!CD311=999999,"NA",[1]Sheet2!CD311)</f>
        <v>56</v>
      </c>
      <c r="BW312" s="14">
        <f>IF([1]Sheet2!CE311=999999,"NA",[1]Sheet2!CE311)</f>
        <v>25</v>
      </c>
      <c r="BX312" s="14">
        <f>IF([1]Sheet2!CF311=999999,"NA",[1]Sheet2!CF311)</f>
        <v>56</v>
      </c>
      <c r="BY312" s="14">
        <f>IF([1]Sheet2!CG311=999999,"NA",[1]Sheet2!CG311)</f>
        <v>0</v>
      </c>
      <c r="BZ312" s="14">
        <f>IF([1]Sheet2!CH311=999999,"NA",[1]Sheet2!CH311)</f>
        <v>56</v>
      </c>
      <c r="CA312" s="14">
        <f>IF([1]Sheet2!CI311=999999,"NA",[1]Sheet2!CI311)</f>
        <v>56</v>
      </c>
      <c r="CB312" s="14">
        <f>IF([1]Sheet2!CJ311=999999,"NA",[1]Sheet2!CJ311)</f>
        <v>56</v>
      </c>
      <c r="CC312" s="14">
        <f>[1]Sheet2!BG311</f>
        <v>0</v>
      </c>
      <c r="CD312" s="14">
        <f>[1]Sheet2!BH311</f>
        <v>0</v>
      </c>
      <c r="CE312" s="14">
        <f>[1]Sheet2!BI311</f>
        <v>0</v>
      </c>
      <c r="CF312" s="14">
        <f>[1]Sheet2!BJ311</f>
        <v>0</v>
      </c>
      <c r="CG312" s="14">
        <f>[1]Sheet2!BK311</f>
        <v>0</v>
      </c>
      <c r="CH312" s="14">
        <f>[1]Sheet2!BL311</f>
        <v>0</v>
      </c>
      <c r="CI312" s="14">
        <f>[1]Sheet2!BM311</f>
        <v>0</v>
      </c>
      <c r="CJ312" s="14">
        <f>[1]Sheet2!BN311</f>
        <v>0</v>
      </c>
      <c r="CK312" s="14">
        <f>[1]Sheet2!BO311</f>
        <v>0</v>
      </c>
      <c r="CL312" s="14">
        <f>[1]Sheet2!BP311</f>
        <v>0</v>
      </c>
      <c r="CM312" s="16">
        <f>Demand_SW!B$13/30</f>
        <v>144.23076923076923</v>
      </c>
      <c r="CN312" s="16">
        <f>Demand_SW!C$13/30</f>
        <v>0</v>
      </c>
      <c r="CO312" s="16">
        <f>Demand_SW!D$13/30</f>
        <v>0</v>
      </c>
      <c r="CP312" s="16">
        <f>Demand_SW!E$13/30</f>
        <v>0</v>
      </c>
      <c r="CQ312" s="16">
        <f>Demand_SW!F$13/30</f>
        <v>0</v>
      </c>
      <c r="CR312" s="16">
        <f>Demand_SW!G$13/30</f>
        <v>144.23076923076923</v>
      </c>
      <c r="CS312" s="16">
        <f>Demand_SW!H$13/30</f>
        <v>0</v>
      </c>
      <c r="CT312" s="16">
        <f>Demand_SW!I$13/30</f>
        <v>0</v>
      </c>
      <c r="CU312" s="16">
        <f>Demand_SW!J$13/30</f>
        <v>0</v>
      </c>
      <c r="CV312" s="16">
        <f>Demand_SW!K$13/30</f>
        <v>0</v>
      </c>
      <c r="CW312" s="16">
        <f t="shared" si="143"/>
        <v>58904.230769230708</v>
      </c>
      <c r="CX312" s="16">
        <f t="shared" si="144"/>
        <v>20683.923076923078</v>
      </c>
      <c r="CY312" s="16">
        <f t="shared" si="145"/>
        <v>0</v>
      </c>
      <c r="CZ312" s="16">
        <f t="shared" si="146"/>
        <v>0</v>
      </c>
      <c r="DA312" s="16">
        <f t="shared" si="147"/>
        <v>0</v>
      </c>
      <c r="DB312" s="16">
        <f t="shared" si="148"/>
        <v>-40625.000000000029</v>
      </c>
      <c r="DC312" s="16">
        <f t="shared" si="149"/>
        <v>20683.923076923078</v>
      </c>
      <c r="DD312" s="16">
        <f t="shared" si="150"/>
        <v>0</v>
      </c>
      <c r="DE312" s="16">
        <f t="shared" si="151"/>
        <v>0</v>
      </c>
      <c r="DF312" s="16">
        <f t="shared" si="152"/>
        <v>0</v>
      </c>
      <c r="DG312" s="14">
        <f>IF([1]Sheet2!DR311=999999,"NA",[1]Sheet2!DR311)</f>
        <v>73103</v>
      </c>
      <c r="DH312" s="14">
        <f>IF([1]Sheet2!DS311=999999,"NA",[1]Sheet2!DS311)</f>
        <v>56</v>
      </c>
      <c r="DI312" s="14">
        <f>IF([1]Sheet2!DT311=999999,"NA",[1]Sheet2!DT311)</f>
        <v>56</v>
      </c>
      <c r="DJ312" s="14" t="str">
        <f>IF([1]Sheet2!DU311=999999,"NA",[1]Sheet2!DU311)</f>
        <v>NA</v>
      </c>
      <c r="DK312" s="14" t="str">
        <f>IF([1]Sheet2!DV311=999999,"NA",[1]Sheet2!DV311)</f>
        <v>NA</v>
      </c>
      <c r="DL312" s="14" t="str">
        <f>IF([1]Sheet2!DW311=999999,"NA",[1]Sheet2!DW311)</f>
        <v>NA</v>
      </c>
      <c r="DM312" s="14">
        <f>IF([1]Sheet2!DX311=999999,"NA",[1]Sheet2!DX311)</f>
        <v>56</v>
      </c>
      <c r="DN312" s="14">
        <f>IF([1]Sheet2!DY311=999999,"NA",[1]Sheet2!DY311)</f>
        <v>56</v>
      </c>
      <c r="DO312" s="14" t="str">
        <f>IF([1]Sheet2!DZ311=999999,"NA",[1]Sheet2!DZ311)</f>
        <v>NA</v>
      </c>
      <c r="DP312" s="14" t="str">
        <f>IF([1]Sheet2!EA311=999999,"NA",[1]Sheet2!EA311)</f>
        <v>NA</v>
      </c>
      <c r="DQ312" s="14">
        <f>[1]Sheet2!CX311</f>
        <v>0</v>
      </c>
      <c r="DR312" s="14">
        <f>[1]Sheet2!CY311</f>
        <v>0</v>
      </c>
      <c r="DS312" s="14">
        <f>[1]Sheet2!CZ311</f>
        <v>0</v>
      </c>
      <c r="DT312" s="14">
        <f>[1]Sheet2!DA311</f>
        <v>0</v>
      </c>
      <c r="DU312" s="14">
        <f>[1]Sheet2!DB311</f>
        <v>0</v>
      </c>
      <c r="DV312" s="14">
        <f>[1]Sheet2!DC311</f>
        <v>0</v>
      </c>
      <c r="DW312" s="14">
        <f>[1]Sheet2!DD311</f>
        <v>0</v>
      </c>
      <c r="DX312" s="14">
        <f>[1]Sheet2!DE311</f>
        <v>0</v>
      </c>
      <c r="DY312" s="14">
        <f>[1]Sheet2!DF311</f>
        <v>0</v>
      </c>
      <c r="DZ312" s="14">
        <f>[1]Sheet2!DG311</f>
        <v>0</v>
      </c>
    </row>
    <row r="313" spans="1:130" x14ac:dyDescent="0.25">
      <c r="A313" s="15">
        <v>43775</v>
      </c>
      <c r="B313" s="1"/>
      <c r="C313" s="1"/>
      <c r="D313" s="1"/>
      <c r="E313" s="14">
        <f>[1]Sheet2!N312</f>
        <v>0</v>
      </c>
      <c r="F313" s="14">
        <f>[1]Sheet2!BE312</f>
        <v>0</v>
      </c>
      <c r="G313" s="14">
        <f>[1]Sheet2!CV312</f>
        <v>288.46153846153851</v>
      </c>
      <c r="H313" s="1"/>
      <c r="I313" s="1"/>
      <c r="J313" s="1"/>
      <c r="K313" s="16">
        <f>Demand_CWRS!B$13/30</f>
        <v>111.92954594017094</v>
      </c>
      <c r="L313" s="16">
        <f>Demand_CWRS!C$13/30</f>
        <v>550.01145299145287</v>
      </c>
      <c r="M313" s="16">
        <f>Demand_CWRS!D$13/30</f>
        <v>0</v>
      </c>
      <c r="N313" s="16">
        <f>Demand_CWRS!E$13/30</f>
        <v>105.42606837606837</v>
      </c>
      <c r="O313" s="16">
        <f>Demand_CWRS!F$13/30</f>
        <v>220.33041399572647</v>
      </c>
      <c r="P313" s="16">
        <f>Demand_CWRS!G$13/30</f>
        <v>111.92954594017094</v>
      </c>
      <c r="Q313" s="16">
        <f>Demand_CWRS!H$13/30</f>
        <v>550.01145299145287</v>
      </c>
      <c r="R313" s="16">
        <f>Demand_CWRS!I$13/30</f>
        <v>220.33041399572647</v>
      </c>
      <c r="S313" s="16">
        <f>Demand_CWRS!J$13/30</f>
        <v>220.33041399572647</v>
      </c>
      <c r="T313" s="16">
        <f>Demand_CWRS!K$13/30</f>
        <v>220.33041399572647</v>
      </c>
      <c r="U313" s="16">
        <f t="shared" si="123"/>
        <v>-40160.191857909267</v>
      </c>
      <c r="V313" s="16">
        <f t="shared" si="124"/>
        <v>-147185.81999999951</v>
      </c>
      <c r="W313" s="16">
        <f t="shared" si="125"/>
        <v>0</v>
      </c>
      <c r="X313" s="16">
        <f t="shared" si="126"/>
        <v>-34087.986806231653</v>
      </c>
      <c r="Y313" s="16">
        <f t="shared" si="127"/>
        <v>-67038.297921332443</v>
      </c>
      <c r="Z313" s="16">
        <f t="shared" si="128"/>
        <v>-39763.259333870861</v>
      </c>
      <c r="AA313" s="16">
        <f t="shared" si="129"/>
        <v>-146685.81999999951</v>
      </c>
      <c r="AB313" s="16">
        <f t="shared" si="130"/>
        <v>-64554.452440563124</v>
      </c>
      <c r="AC313" s="16">
        <f t="shared" si="131"/>
        <v>-64554.452440563116</v>
      </c>
      <c r="AD313" s="16">
        <f t="shared" si="132"/>
        <v>-65254.452440563109</v>
      </c>
      <c r="AE313" s="14">
        <f>IF([1]Sheet2!AJ312=999999,"NA",[1]Sheet2!AJ312)</f>
        <v>0</v>
      </c>
      <c r="AF313" s="14">
        <f>IF([1]Sheet2!AK312=999999,"NA",[1]Sheet2!AK312)</f>
        <v>0</v>
      </c>
      <c r="AG313" s="14" t="str">
        <f>IF([1]Sheet2!AL312=999999,"NA",[1]Sheet2!AL312)</f>
        <v>NA</v>
      </c>
      <c r="AH313" s="14">
        <f>IF([1]Sheet2!AM312=999999,"NA",[1]Sheet2!AM312)</f>
        <v>55</v>
      </c>
      <c r="AI313" s="14">
        <f>IF([1]Sheet2!AN312=999999,"NA",[1]Sheet2!AN312)</f>
        <v>55</v>
      </c>
      <c r="AJ313" s="14">
        <f>IF([1]Sheet2!AO312=999999,"NA",[1]Sheet2!AO312)</f>
        <v>55</v>
      </c>
      <c r="AK313" s="14">
        <f>IF([1]Sheet2!AP312=999999,"NA",[1]Sheet2!AP312)</f>
        <v>0</v>
      </c>
      <c r="AL313" s="14">
        <f>IF([1]Sheet2!AQ312=999999,"NA",[1]Sheet2!AQ312)</f>
        <v>0</v>
      </c>
      <c r="AM313" s="14">
        <f>IF([1]Sheet2!AR312=999999,"NA",[1]Sheet2!AR312)</f>
        <v>55</v>
      </c>
      <c r="AN313" s="14">
        <f>IF([1]Sheet2!AS312=999999,"NA",[1]Sheet2!AS312)</f>
        <v>6</v>
      </c>
      <c r="AO313" s="14">
        <f>[1]Sheet2!P312</f>
        <v>0</v>
      </c>
      <c r="AP313" s="14">
        <f>[1]Sheet2!Q312</f>
        <v>0</v>
      </c>
      <c r="AQ313" s="14">
        <f>[1]Sheet2!R312</f>
        <v>0</v>
      </c>
      <c r="AR313" s="14">
        <f>[1]Sheet2!S312</f>
        <v>0</v>
      </c>
      <c r="AS313" s="14">
        <f>[1]Sheet2!T312</f>
        <v>0</v>
      </c>
      <c r="AT313" s="14">
        <f>[1]Sheet2!U312</f>
        <v>0</v>
      </c>
      <c r="AU313" s="14">
        <f>[1]Sheet2!V312</f>
        <v>0</v>
      </c>
      <c r="AV313" s="14">
        <f>[1]Sheet2!W312</f>
        <v>0</v>
      </c>
      <c r="AW313" s="14">
        <f>[1]Sheet2!X312</f>
        <v>0</v>
      </c>
      <c r="AX313" s="14">
        <f>[1]Sheet2!Y312</f>
        <v>0</v>
      </c>
      <c r="AY313" s="16">
        <f>Demand_LP!B$13/30</f>
        <v>849.16414262820524</v>
      </c>
      <c r="AZ313" s="16">
        <f>Demand_LP!C$13/30</f>
        <v>632.84239316239314</v>
      </c>
      <c r="BA313" s="16">
        <f>Demand_LP!D$13/30</f>
        <v>269.64247863247863</v>
      </c>
      <c r="BB313" s="16">
        <f>Demand_LP!E$13/30</f>
        <v>815.03102564102551</v>
      </c>
      <c r="BC313" s="16">
        <f>Demand_LP!F$13/30</f>
        <v>536.05500267094021</v>
      </c>
      <c r="BD313" s="16">
        <f>Demand_LP!G$13/30</f>
        <v>849.16414262820524</v>
      </c>
      <c r="BE313" s="16">
        <f>Demand_LP!H$13/30</f>
        <v>632.84239316239314</v>
      </c>
      <c r="BF313" s="16">
        <f>Demand_LP!I$13/30</f>
        <v>536.05500267094021</v>
      </c>
      <c r="BG313" s="16">
        <f>Demand_LP!J$13/30</f>
        <v>536.05500267094021</v>
      </c>
      <c r="BH313" s="16">
        <f>Demand_LP!K$13/30</f>
        <v>536.05500267094021</v>
      </c>
      <c r="BI313" s="16" t="e">
        <f t="shared" si="133"/>
        <v>#VALUE!</v>
      </c>
      <c r="BJ313" s="16">
        <f t="shared" si="134"/>
        <v>-176802.55948717915</v>
      </c>
      <c r="BK313" s="16">
        <f t="shared" si="135"/>
        <v>-89818.331794872036</v>
      </c>
      <c r="BL313" s="16">
        <f t="shared" si="136"/>
        <v>-233470.65793248848</v>
      </c>
      <c r="BM313" s="16">
        <f t="shared" si="137"/>
        <v>-141291.62239573195</v>
      </c>
      <c r="BN313" s="16">
        <f t="shared" si="138"/>
        <v>-243879.57917204202</v>
      </c>
      <c r="BO313" s="16">
        <f t="shared" si="139"/>
        <v>-179160.13897435894</v>
      </c>
      <c r="BP313" s="16">
        <f t="shared" si="140"/>
        <v>-142403.30631410252</v>
      </c>
      <c r="BQ313" s="16">
        <f t="shared" si="141"/>
        <v>-139393.30631410264</v>
      </c>
      <c r="BR313" s="16">
        <f t="shared" si="142"/>
        <v>-140593.30631410255</v>
      </c>
      <c r="BS313" s="14">
        <f>IF([1]Sheet2!CA312=999999,"NA",[1]Sheet2!CA312)</f>
        <v>75885.693685897422</v>
      </c>
      <c r="BT313" s="14">
        <f>IF([1]Sheet2!CB312=999999,"NA",[1]Sheet2!CB312)</f>
        <v>0</v>
      </c>
      <c r="BU313" s="14">
        <f>IF([1]Sheet2!CC312=999999,"NA",[1]Sheet2!CC312)</f>
        <v>55</v>
      </c>
      <c r="BV313" s="14">
        <f>IF([1]Sheet2!CD312=999999,"NA",[1]Sheet2!CD312)</f>
        <v>55</v>
      </c>
      <c r="BW313" s="14">
        <f>IF([1]Sheet2!CE312=999999,"NA",[1]Sheet2!CE312)</f>
        <v>24</v>
      </c>
      <c r="BX313" s="14">
        <f>IF([1]Sheet2!CF312=999999,"NA",[1]Sheet2!CF312)</f>
        <v>55</v>
      </c>
      <c r="BY313" s="14">
        <f>IF([1]Sheet2!CG312=999999,"NA",[1]Sheet2!CG312)</f>
        <v>0</v>
      </c>
      <c r="BZ313" s="14">
        <f>IF([1]Sheet2!CH312=999999,"NA",[1]Sheet2!CH312)</f>
        <v>55</v>
      </c>
      <c r="CA313" s="14">
        <f>IF([1]Sheet2!CI312=999999,"NA",[1]Sheet2!CI312)</f>
        <v>55</v>
      </c>
      <c r="CB313" s="14">
        <f>IF([1]Sheet2!CJ312=999999,"NA",[1]Sheet2!CJ312)</f>
        <v>55</v>
      </c>
      <c r="CC313" s="14">
        <f>[1]Sheet2!BG312</f>
        <v>0</v>
      </c>
      <c r="CD313" s="14">
        <f>[1]Sheet2!BH312</f>
        <v>0</v>
      </c>
      <c r="CE313" s="14">
        <f>[1]Sheet2!BI312</f>
        <v>0</v>
      </c>
      <c r="CF313" s="14">
        <f>[1]Sheet2!BJ312</f>
        <v>0</v>
      </c>
      <c r="CG313" s="14">
        <f>[1]Sheet2!BK312</f>
        <v>0</v>
      </c>
      <c r="CH313" s="14">
        <f>[1]Sheet2!BL312</f>
        <v>0</v>
      </c>
      <c r="CI313" s="14">
        <f>[1]Sheet2!BM312</f>
        <v>0</v>
      </c>
      <c r="CJ313" s="14">
        <f>[1]Sheet2!BN312</f>
        <v>0</v>
      </c>
      <c r="CK313" s="14">
        <f>[1]Sheet2!BO312</f>
        <v>0</v>
      </c>
      <c r="CL313" s="14">
        <f>[1]Sheet2!BP312</f>
        <v>0</v>
      </c>
      <c r="CM313" s="16">
        <f>Demand_SW!B$13/30</f>
        <v>144.23076923076923</v>
      </c>
      <c r="CN313" s="16">
        <f>Demand_SW!C$13/30</f>
        <v>0</v>
      </c>
      <c r="CO313" s="16">
        <f>Demand_SW!D$13/30</f>
        <v>0</v>
      </c>
      <c r="CP313" s="16">
        <f>Demand_SW!E$13/30</f>
        <v>0</v>
      </c>
      <c r="CQ313" s="16">
        <f>Demand_SW!F$13/30</f>
        <v>0</v>
      </c>
      <c r="CR313" s="16">
        <f>Demand_SW!G$13/30</f>
        <v>144.23076923076923</v>
      </c>
      <c r="CS313" s="16">
        <f>Demand_SW!H$13/30</f>
        <v>0</v>
      </c>
      <c r="CT313" s="16">
        <f>Demand_SW!I$13/30</f>
        <v>0</v>
      </c>
      <c r="CU313" s="16">
        <f>Demand_SW!J$13/30</f>
        <v>0</v>
      </c>
      <c r="CV313" s="16">
        <f>Demand_SW!K$13/30</f>
        <v>0</v>
      </c>
      <c r="CW313" s="16">
        <f t="shared" si="143"/>
        <v>58759.999999999942</v>
      </c>
      <c r="CX313" s="16">
        <f t="shared" si="144"/>
        <v>20683.923076923078</v>
      </c>
      <c r="CY313" s="16">
        <f t="shared" si="145"/>
        <v>0</v>
      </c>
      <c r="CZ313" s="16">
        <f t="shared" si="146"/>
        <v>0</v>
      </c>
      <c r="DA313" s="16">
        <f t="shared" si="147"/>
        <v>0</v>
      </c>
      <c r="DB313" s="16">
        <f t="shared" si="148"/>
        <v>-40769.230769230795</v>
      </c>
      <c r="DC313" s="16">
        <f t="shared" si="149"/>
        <v>20683.923076923078</v>
      </c>
      <c r="DD313" s="16">
        <f t="shared" si="150"/>
        <v>0</v>
      </c>
      <c r="DE313" s="16">
        <f t="shared" si="151"/>
        <v>0</v>
      </c>
      <c r="DF313" s="16">
        <f t="shared" si="152"/>
        <v>0</v>
      </c>
      <c r="DG313" s="14">
        <f>IF([1]Sheet2!DR312=999999,"NA",[1]Sheet2!DR312)</f>
        <v>73103</v>
      </c>
      <c r="DH313" s="14">
        <f>IF([1]Sheet2!DS312=999999,"NA",[1]Sheet2!DS312)</f>
        <v>55</v>
      </c>
      <c r="DI313" s="14">
        <f>IF([1]Sheet2!DT312=999999,"NA",[1]Sheet2!DT312)</f>
        <v>55</v>
      </c>
      <c r="DJ313" s="14" t="str">
        <f>IF([1]Sheet2!DU312=999999,"NA",[1]Sheet2!DU312)</f>
        <v>NA</v>
      </c>
      <c r="DK313" s="14" t="str">
        <f>IF([1]Sheet2!DV312=999999,"NA",[1]Sheet2!DV312)</f>
        <v>NA</v>
      </c>
      <c r="DL313" s="14" t="str">
        <f>IF([1]Sheet2!DW312=999999,"NA",[1]Sheet2!DW312)</f>
        <v>NA</v>
      </c>
      <c r="DM313" s="14">
        <f>IF([1]Sheet2!DX312=999999,"NA",[1]Sheet2!DX312)</f>
        <v>55</v>
      </c>
      <c r="DN313" s="14">
        <f>IF([1]Sheet2!DY312=999999,"NA",[1]Sheet2!DY312)</f>
        <v>55</v>
      </c>
      <c r="DO313" s="14" t="str">
        <f>IF([1]Sheet2!DZ312=999999,"NA",[1]Sheet2!DZ312)</f>
        <v>NA</v>
      </c>
      <c r="DP313" s="14" t="str">
        <f>IF([1]Sheet2!EA312=999999,"NA",[1]Sheet2!EA312)</f>
        <v>NA</v>
      </c>
      <c r="DQ313" s="14">
        <f>[1]Sheet2!CX312</f>
        <v>0</v>
      </c>
      <c r="DR313" s="14">
        <f>[1]Sheet2!CY312</f>
        <v>0</v>
      </c>
      <c r="DS313" s="14">
        <f>[1]Sheet2!CZ312</f>
        <v>0</v>
      </c>
      <c r="DT313" s="14">
        <f>[1]Sheet2!DA312</f>
        <v>0</v>
      </c>
      <c r="DU313" s="14">
        <f>[1]Sheet2!DB312</f>
        <v>0</v>
      </c>
      <c r="DV313" s="14">
        <f>[1]Sheet2!DC312</f>
        <v>0</v>
      </c>
      <c r="DW313" s="14">
        <f>[1]Sheet2!DD312</f>
        <v>0</v>
      </c>
      <c r="DX313" s="14">
        <f>[1]Sheet2!DE312</f>
        <v>0</v>
      </c>
      <c r="DY313" s="14">
        <f>[1]Sheet2!DF312</f>
        <v>0</v>
      </c>
      <c r="DZ313" s="14">
        <f>[1]Sheet2!DG312</f>
        <v>0</v>
      </c>
    </row>
    <row r="314" spans="1:130" x14ac:dyDescent="0.25">
      <c r="A314" s="15">
        <v>43776</v>
      </c>
      <c r="B314" s="1"/>
      <c r="C314" s="1"/>
      <c r="D314" s="1"/>
      <c r="E314" s="14">
        <f>[1]Sheet2!N313</f>
        <v>0</v>
      </c>
      <c r="F314" s="14">
        <f>[1]Sheet2!BE313</f>
        <v>0</v>
      </c>
      <c r="G314" s="14">
        <f>[1]Sheet2!CV313</f>
        <v>288.46153846153851</v>
      </c>
      <c r="H314" s="1"/>
      <c r="I314" s="1"/>
      <c r="J314" s="1"/>
      <c r="K314" s="16">
        <f>Demand_CWRS!B$13/30</f>
        <v>111.92954594017094</v>
      </c>
      <c r="L314" s="16">
        <f>Demand_CWRS!C$13/30</f>
        <v>550.01145299145287</v>
      </c>
      <c r="M314" s="16">
        <f>Demand_CWRS!D$13/30</f>
        <v>0</v>
      </c>
      <c r="N314" s="16">
        <f>Demand_CWRS!E$13/30</f>
        <v>105.42606837606837</v>
      </c>
      <c r="O314" s="16">
        <f>Demand_CWRS!F$13/30</f>
        <v>220.33041399572647</v>
      </c>
      <c r="P314" s="16">
        <f>Demand_CWRS!G$13/30</f>
        <v>111.92954594017094</v>
      </c>
      <c r="Q314" s="16">
        <f>Demand_CWRS!H$13/30</f>
        <v>550.01145299145287</v>
      </c>
      <c r="R314" s="16">
        <f>Demand_CWRS!I$13/30</f>
        <v>220.33041399572647</v>
      </c>
      <c r="S314" s="16">
        <f>Demand_CWRS!J$13/30</f>
        <v>220.33041399572647</v>
      </c>
      <c r="T314" s="16">
        <f>Demand_CWRS!K$13/30</f>
        <v>220.33041399572647</v>
      </c>
      <c r="U314" s="16">
        <f t="shared" si="123"/>
        <v>-40272.121403849436</v>
      </c>
      <c r="V314" s="16">
        <f t="shared" si="124"/>
        <v>-147735.83145299097</v>
      </c>
      <c r="W314" s="16">
        <f t="shared" si="125"/>
        <v>0</v>
      </c>
      <c r="X314" s="16">
        <f t="shared" si="126"/>
        <v>-34193.412874607719</v>
      </c>
      <c r="Y314" s="16">
        <f t="shared" si="127"/>
        <v>-67258.628335328176</v>
      </c>
      <c r="Z314" s="16">
        <f t="shared" si="128"/>
        <v>-39875.18887981103</v>
      </c>
      <c r="AA314" s="16">
        <f t="shared" si="129"/>
        <v>-147235.83145299097</v>
      </c>
      <c r="AB314" s="16">
        <f t="shared" si="130"/>
        <v>-64774.782854558849</v>
      </c>
      <c r="AC314" s="16">
        <f t="shared" si="131"/>
        <v>-64774.782854558842</v>
      </c>
      <c r="AD314" s="16">
        <f t="shared" si="132"/>
        <v>-65474.782854558835</v>
      </c>
      <c r="AE314" s="14">
        <f>IF([1]Sheet2!AJ313=999999,"NA",[1]Sheet2!AJ313)</f>
        <v>0</v>
      </c>
      <c r="AF314" s="14">
        <f>IF([1]Sheet2!AK313=999999,"NA",[1]Sheet2!AK313)</f>
        <v>0</v>
      </c>
      <c r="AG314" s="14" t="str">
        <f>IF([1]Sheet2!AL313=999999,"NA",[1]Sheet2!AL313)</f>
        <v>NA</v>
      </c>
      <c r="AH314" s="14">
        <f>IF([1]Sheet2!AM313=999999,"NA",[1]Sheet2!AM313)</f>
        <v>54</v>
      </c>
      <c r="AI314" s="14">
        <f>IF([1]Sheet2!AN313=999999,"NA",[1]Sheet2!AN313)</f>
        <v>54</v>
      </c>
      <c r="AJ314" s="14">
        <f>IF([1]Sheet2!AO313=999999,"NA",[1]Sheet2!AO313)</f>
        <v>54</v>
      </c>
      <c r="AK314" s="14">
        <f>IF([1]Sheet2!AP313=999999,"NA",[1]Sheet2!AP313)</f>
        <v>0</v>
      </c>
      <c r="AL314" s="14">
        <f>IF([1]Sheet2!AQ313=999999,"NA",[1]Sheet2!AQ313)</f>
        <v>0</v>
      </c>
      <c r="AM314" s="14">
        <f>IF([1]Sheet2!AR313=999999,"NA",[1]Sheet2!AR313)</f>
        <v>54</v>
      </c>
      <c r="AN314" s="14">
        <f>IF([1]Sheet2!AS313=999999,"NA",[1]Sheet2!AS313)</f>
        <v>5</v>
      </c>
      <c r="AO314" s="14">
        <f>[1]Sheet2!P313</f>
        <v>0</v>
      </c>
      <c r="AP314" s="14">
        <f>[1]Sheet2!Q313</f>
        <v>0</v>
      </c>
      <c r="AQ314" s="14">
        <f>[1]Sheet2!R313</f>
        <v>0</v>
      </c>
      <c r="AR314" s="14">
        <f>[1]Sheet2!S313</f>
        <v>0</v>
      </c>
      <c r="AS314" s="14">
        <f>[1]Sheet2!T313</f>
        <v>0</v>
      </c>
      <c r="AT314" s="14">
        <f>[1]Sheet2!U313</f>
        <v>0</v>
      </c>
      <c r="AU314" s="14">
        <f>[1]Sheet2!V313</f>
        <v>0</v>
      </c>
      <c r="AV314" s="14">
        <f>[1]Sheet2!W313</f>
        <v>0</v>
      </c>
      <c r="AW314" s="14">
        <f>[1]Sheet2!X313</f>
        <v>0</v>
      </c>
      <c r="AX314" s="14">
        <f>[1]Sheet2!Y313</f>
        <v>0</v>
      </c>
      <c r="AY314" s="16">
        <f>Demand_LP!B$13/30</f>
        <v>849.16414262820524</v>
      </c>
      <c r="AZ314" s="16">
        <f>Demand_LP!C$13/30</f>
        <v>632.84239316239314</v>
      </c>
      <c r="BA314" s="16">
        <f>Demand_LP!D$13/30</f>
        <v>269.64247863247863</v>
      </c>
      <c r="BB314" s="16">
        <f>Demand_LP!E$13/30</f>
        <v>815.03102564102551</v>
      </c>
      <c r="BC314" s="16">
        <f>Demand_LP!F$13/30</f>
        <v>536.05500267094021</v>
      </c>
      <c r="BD314" s="16">
        <f>Demand_LP!G$13/30</f>
        <v>849.16414262820524</v>
      </c>
      <c r="BE314" s="16">
        <f>Demand_LP!H$13/30</f>
        <v>632.84239316239314</v>
      </c>
      <c r="BF314" s="16">
        <f>Demand_LP!I$13/30</f>
        <v>536.05500267094021</v>
      </c>
      <c r="BG314" s="16">
        <f>Demand_LP!J$13/30</f>
        <v>536.05500267094021</v>
      </c>
      <c r="BH314" s="16">
        <f>Demand_LP!K$13/30</f>
        <v>536.05500267094021</v>
      </c>
      <c r="BI314" s="16" t="e">
        <f t="shared" si="133"/>
        <v>#VALUE!</v>
      </c>
      <c r="BJ314" s="16">
        <f t="shared" si="134"/>
        <v>-177435.40188034155</v>
      </c>
      <c r="BK314" s="16">
        <f t="shared" si="135"/>
        <v>-90087.974273504515</v>
      </c>
      <c r="BL314" s="16">
        <f t="shared" si="136"/>
        <v>-234285.6889581295</v>
      </c>
      <c r="BM314" s="16">
        <f t="shared" si="137"/>
        <v>-141827.67739840288</v>
      </c>
      <c r="BN314" s="16">
        <f t="shared" si="138"/>
        <v>-244728.74331467022</v>
      </c>
      <c r="BO314" s="16">
        <f t="shared" si="139"/>
        <v>-179792.98136752134</v>
      </c>
      <c r="BP314" s="16">
        <f t="shared" si="140"/>
        <v>-142939.36131677346</v>
      </c>
      <c r="BQ314" s="16">
        <f t="shared" si="141"/>
        <v>-139929.36131677357</v>
      </c>
      <c r="BR314" s="16">
        <f t="shared" si="142"/>
        <v>-141129.36131677349</v>
      </c>
      <c r="BS314" s="14">
        <f>IF([1]Sheet2!CA313=999999,"NA",[1]Sheet2!CA313)</f>
        <v>75349.638683226483</v>
      </c>
      <c r="BT314" s="14">
        <f>IF([1]Sheet2!CB313=999999,"NA",[1]Sheet2!CB313)</f>
        <v>0</v>
      </c>
      <c r="BU314" s="14">
        <f>IF([1]Sheet2!CC313=999999,"NA",[1]Sheet2!CC313)</f>
        <v>54</v>
      </c>
      <c r="BV314" s="14">
        <f>IF([1]Sheet2!CD313=999999,"NA",[1]Sheet2!CD313)</f>
        <v>54</v>
      </c>
      <c r="BW314" s="14">
        <f>IF([1]Sheet2!CE313=999999,"NA",[1]Sheet2!CE313)</f>
        <v>23</v>
      </c>
      <c r="BX314" s="14">
        <f>IF([1]Sheet2!CF313=999999,"NA",[1]Sheet2!CF313)</f>
        <v>54</v>
      </c>
      <c r="BY314" s="14">
        <f>IF([1]Sheet2!CG313=999999,"NA",[1]Sheet2!CG313)</f>
        <v>0</v>
      </c>
      <c r="BZ314" s="14">
        <f>IF([1]Sheet2!CH313=999999,"NA",[1]Sheet2!CH313)</f>
        <v>54</v>
      </c>
      <c r="CA314" s="14">
        <f>IF([1]Sheet2!CI313=999999,"NA",[1]Sheet2!CI313)</f>
        <v>54</v>
      </c>
      <c r="CB314" s="14">
        <f>IF([1]Sheet2!CJ313=999999,"NA",[1]Sheet2!CJ313)</f>
        <v>54</v>
      </c>
      <c r="CC314" s="14">
        <f>[1]Sheet2!BG313</f>
        <v>0</v>
      </c>
      <c r="CD314" s="14">
        <f>[1]Sheet2!BH313</f>
        <v>0</v>
      </c>
      <c r="CE314" s="14">
        <f>[1]Sheet2!BI313</f>
        <v>0</v>
      </c>
      <c r="CF314" s="14">
        <f>[1]Sheet2!BJ313</f>
        <v>0</v>
      </c>
      <c r="CG314" s="14">
        <f>[1]Sheet2!BK313</f>
        <v>0</v>
      </c>
      <c r="CH314" s="14">
        <f>[1]Sheet2!BL313</f>
        <v>0</v>
      </c>
      <c r="CI314" s="14">
        <f>[1]Sheet2!BM313</f>
        <v>0</v>
      </c>
      <c r="CJ314" s="14">
        <f>[1]Sheet2!BN313</f>
        <v>0</v>
      </c>
      <c r="CK314" s="14">
        <f>[1]Sheet2!BO313</f>
        <v>0</v>
      </c>
      <c r="CL314" s="14">
        <f>[1]Sheet2!BP313</f>
        <v>0</v>
      </c>
      <c r="CM314" s="16">
        <f>Demand_SW!B$13/30</f>
        <v>144.23076923076923</v>
      </c>
      <c r="CN314" s="16">
        <f>Demand_SW!C$13/30</f>
        <v>0</v>
      </c>
      <c r="CO314" s="16">
        <f>Demand_SW!D$13/30</f>
        <v>0</v>
      </c>
      <c r="CP314" s="16">
        <f>Demand_SW!E$13/30</f>
        <v>0</v>
      </c>
      <c r="CQ314" s="16">
        <f>Demand_SW!F$13/30</f>
        <v>0</v>
      </c>
      <c r="CR314" s="16">
        <f>Demand_SW!G$13/30</f>
        <v>144.23076923076923</v>
      </c>
      <c r="CS314" s="16">
        <f>Demand_SW!H$13/30</f>
        <v>0</v>
      </c>
      <c r="CT314" s="16">
        <f>Demand_SW!I$13/30</f>
        <v>0</v>
      </c>
      <c r="CU314" s="16">
        <f>Demand_SW!J$13/30</f>
        <v>0</v>
      </c>
      <c r="CV314" s="16">
        <f>Demand_SW!K$13/30</f>
        <v>0</v>
      </c>
      <c r="CW314" s="16">
        <f t="shared" si="143"/>
        <v>58615.769230769176</v>
      </c>
      <c r="CX314" s="16">
        <f t="shared" si="144"/>
        <v>20683.923076923078</v>
      </c>
      <c r="CY314" s="16">
        <f t="shared" si="145"/>
        <v>0</v>
      </c>
      <c r="CZ314" s="16">
        <f t="shared" si="146"/>
        <v>0</v>
      </c>
      <c r="DA314" s="16">
        <f t="shared" si="147"/>
        <v>0</v>
      </c>
      <c r="DB314" s="16">
        <f t="shared" si="148"/>
        <v>-40913.461538461561</v>
      </c>
      <c r="DC314" s="16">
        <f t="shared" si="149"/>
        <v>20683.923076923078</v>
      </c>
      <c r="DD314" s="16">
        <f t="shared" si="150"/>
        <v>0</v>
      </c>
      <c r="DE314" s="16">
        <f t="shared" si="151"/>
        <v>0</v>
      </c>
      <c r="DF314" s="16">
        <f t="shared" si="152"/>
        <v>0</v>
      </c>
      <c r="DG314" s="14">
        <f>IF([1]Sheet2!DR313=999999,"NA",[1]Sheet2!DR313)</f>
        <v>73103</v>
      </c>
      <c r="DH314" s="14">
        <f>IF([1]Sheet2!DS313=999999,"NA",[1]Sheet2!DS313)</f>
        <v>54</v>
      </c>
      <c r="DI314" s="14">
        <f>IF([1]Sheet2!DT313=999999,"NA",[1]Sheet2!DT313)</f>
        <v>54</v>
      </c>
      <c r="DJ314" s="14" t="str">
        <f>IF([1]Sheet2!DU313=999999,"NA",[1]Sheet2!DU313)</f>
        <v>NA</v>
      </c>
      <c r="DK314" s="14" t="str">
        <f>IF([1]Sheet2!DV313=999999,"NA",[1]Sheet2!DV313)</f>
        <v>NA</v>
      </c>
      <c r="DL314" s="14" t="str">
        <f>IF([1]Sheet2!DW313=999999,"NA",[1]Sheet2!DW313)</f>
        <v>NA</v>
      </c>
      <c r="DM314" s="14">
        <f>IF([1]Sheet2!DX313=999999,"NA",[1]Sheet2!DX313)</f>
        <v>54</v>
      </c>
      <c r="DN314" s="14">
        <f>IF([1]Sheet2!DY313=999999,"NA",[1]Sheet2!DY313)</f>
        <v>54</v>
      </c>
      <c r="DO314" s="14" t="str">
        <f>IF([1]Sheet2!DZ313=999999,"NA",[1]Sheet2!DZ313)</f>
        <v>NA</v>
      </c>
      <c r="DP314" s="14" t="str">
        <f>IF([1]Sheet2!EA313=999999,"NA",[1]Sheet2!EA313)</f>
        <v>NA</v>
      </c>
      <c r="DQ314" s="14">
        <f>[1]Sheet2!CX313</f>
        <v>0</v>
      </c>
      <c r="DR314" s="14">
        <f>[1]Sheet2!CY313</f>
        <v>0</v>
      </c>
      <c r="DS314" s="14">
        <f>[1]Sheet2!CZ313</f>
        <v>0</v>
      </c>
      <c r="DT314" s="14">
        <f>[1]Sheet2!DA313</f>
        <v>0</v>
      </c>
      <c r="DU314" s="14">
        <f>[1]Sheet2!DB313</f>
        <v>0</v>
      </c>
      <c r="DV314" s="14">
        <f>[1]Sheet2!DC313</f>
        <v>0</v>
      </c>
      <c r="DW314" s="14">
        <f>[1]Sheet2!DD313</f>
        <v>0</v>
      </c>
      <c r="DX314" s="14">
        <f>[1]Sheet2!DE313</f>
        <v>0</v>
      </c>
      <c r="DY314" s="14">
        <f>[1]Sheet2!DF313</f>
        <v>0</v>
      </c>
      <c r="DZ314" s="14">
        <f>[1]Sheet2!DG313</f>
        <v>0</v>
      </c>
    </row>
    <row r="315" spans="1:130" x14ac:dyDescent="0.25">
      <c r="A315" s="15">
        <v>43777</v>
      </c>
      <c r="B315" s="1"/>
      <c r="C315" s="1"/>
      <c r="D315" s="1"/>
      <c r="E315" s="14">
        <f>[1]Sheet2!N314</f>
        <v>0</v>
      </c>
      <c r="F315" s="14">
        <f>[1]Sheet2!BE314</f>
        <v>0</v>
      </c>
      <c r="G315" s="14">
        <f>[1]Sheet2!CV314</f>
        <v>288.46153846153851</v>
      </c>
      <c r="H315" s="1"/>
      <c r="I315" s="1"/>
      <c r="J315" s="1"/>
      <c r="K315" s="16">
        <f>Demand_CWRS!B$13/30</f>
        <v>111.92954594017094</v>
      </c>
      <c r="L315" s="16">
        <f>Demand_CWRS!C$13/30</f>
        <v>550.01145299145287</v>
      </c>
      <c r="M315" s="16">
        <f>Demand_CWRS!D$13/30</f>
        <v>0</v>
      </c>
      <c r="N315" s="16">
        <f>Demand_CWRS!E$13/30</f>
        <v>105.42606837606837</v>
      </c>
      <c r="O315" s="16">
        <f>Demand_CWRS!F$13/30</f>
        <v>220.33041399572647</v>
      </c>
      <c r="P315" s="16">
        <f>Demand_CWRS!G$13/30</f>
        <v>111.92954594017094</v>
      </c>
      <c r="Q315" s="16">
        <f>Demand_CWRS!H$13/30</f>
        <v>550.01145299145287</v>
      </c>
      <c r="R315" s="16">
        <f>Demand_CWRS!I$13/30</f>
        <v>220.33041399572647</v>
      </c>
      <c r="S315" s="16">
        <f>Demand_CWRS!J$13/30</f>
        <v>220.33041399572647</v>
      </c>
      <c r="T315" s="16">
        <f>Demand_CWRS!K$13/30</f>
        <v>220.33041399572647</v>
      </c>
      <c r="U315" s="16">
        <f t="shared" si="123"/>
        <v>-40384.050949789606</v>
      </c>
      <c r="V315" s="16">
        <f t="shared" si="124"/>
        <v>-148285.84290598243</v>
      </c>
      <c r="W315" s="16">
        <f t="shared" si="125"/>
        <v>0</v>
      </c>
      <c r="X315" s="16">
        <f t="shared" si="126"/>
        <v>-34298.838942983784</v>
      </c>
      <c r="Y315" s="16">
        <f t="shared" si="127"/>
        <v>-67478.958749323909</v>
      </c>
      <c r="Z315" s="16">
        <f t="shared" si="128"/>
        <v>-39987.1184257512</v>
      </c>
      <c r="AA315" s="16">
        <f t="shared" si="129"/>
        <v>-147785.84290598243</v>
      </c>
      <c r="AB315" s="16">
        <f t="shared" si="130"/>
        <v>-64995.113268554574</v>
      </c>
      <c r="AC315" s="16">
        <f t="shared" si="131"/>
        <v>-64995.113268554567</v>
      </c>
      <c r="AD315" s="16">
        <f t="shared" si="132"/>
        <v>-65695.11326855456</v>
      </c>
      <c r="AE315" s="14">
        <f>IF([1]Sheet2!AJ314=999999,"NA",[1]Sheet2!AJ314)</f>
        <v>0</v>
      </c>
      <c r="AF315" s="14">
        <f>IF([1]Sheet2!AK314=999999,"NA",[1]Sheet2!AK314)</f>
        <v>0</v>
      </c>
      <c r="AG315" s="14" t="str">
        <f>IF([1]Sheet2!AL314=999999,"NA",[1]Sheet2!AL314)</f>
        <v>NA</v>
      </c>
      <c r="AH315" s="14">
        <f>IF([1]Sheet2!AM314=999999,"NA",[1]Sheet2!AM314)</f>
        <v>53</v>
      </c>
      <c r="AI315" s="14">
        <f>IF([1]Sheet2!AN314=999999,"NA",[1]Sheet2!AN314)</f>
        <v>53</v>
      </c>
      <c r="AJ315" s="14">
        <f>IF([1]Sheet2!AO314=999999,"NA",[1]Sheet2!AO314)</f>
        <v>53</v>
      </c>
      <c r="AK315" s="14">
        <f>IF([1]Sheet2!AP314=999999,"NA",[1]Sheet2!AP314)</f>
        <v>0</v>
      </c>
      <c r="AL315" s="14">
        <f>IF([1]Sheet2!AQ314=999999,"NA",[1]Sheet2!AQ314)</f>
        <v>0</v>
      </c>
      <c r="AM315" s="14">
        <f>IF([1]Sheet2!AR314=999999,"NA",[1]Sheet2!AR314)</f>
        <v>53</v>
      </c>
      <c r="AN315" s="14">
        <f>IF([1]Sheet2!AS314=999999,"NA",[1]Sheet2!AS314)</f>
        <v>4</v>
      </c>
      <c r="AO315" s="14">
        <f>[1]Sheet2!P314</f>
        <v>0</v>
      </c>
      <c r="AP315" s="14">
        <f>[1]Sheet2!Q314</f>
        <v>0</v>
      </c>
      <c r="AQ315" s="14">
        <f>[1]Sheet2!R314</f>
        <v>0</v>
      </c>
      <c r="AR315" s="14">
        <f>[1]Sheet2!S314</f>
        <v>0</v>
      </c>
      <c r="AS315" s="14">
        <f>[1]Sheet2!T314</f>
        <v>0</v>
      </c>
      <c r="AT315" s="14">
        <f>[1]Sheet2!U314</f>
        <v>0</v>
      </c>
      <c r="AU315" s="14">
        <f>[1]Sheet2!V314</f>
        <v>0</v>
      </c>
      <c r="AV315" s="14">
        <f>[1]Sheet2!W314</f>
        <v>0</v>
      </c>
      <c r="AW315" s="14">
        <f>[1]Sheet2!X314</f>
        <v>0</v>
      </c>
      <c r="AX315" s="14">
        <f>[1]Sheet2!Y314</f>
        <v>0</v>
      </c>
      <c r="AY315" s="16">
        <f>Demand_LP!B$13/30</f>
        <v>849.16414262820524</v>
      </c>
      <c r="AZ315" s="16">
        <f>Demand_LP!C$13/30</f>
        <v>632.84239316239314</v>
      </c>
      <c r="BA315" s="16">
        <f>Demand_LP!D$13/30</f>
        <v>269.64247863247863</v>
      </c>
      <c r="BB315" s="16">
        <f>Demand_LP!E$13/30</f>
        <v>815.03102564102551</v>
      </c>
      <c r="BC315" s="16">
        <f>Demand_LP!F$13/30</f>
        <v>536.05500267094021</v>
      </c>
      <c r="BD315" s="16">
        <f>Demand_LP!G$13/30</f>
        <v>849.16414262820524</v>
      </c>
      <c r="BE315" s="16">
        <f>Demand_LP!H$13/30</f>
        <v>632.84239316239314</v>
      </c>
      <c r="BF315" s="16">
        <f>Demand_LP!I$13/30</f>
        <v>536.05500267094021</v>
      </c>
      <c r="BG315" s="16">
        <f>Demand_LP!J$13/30</f>
        <v>536.05500267094021</v>
      </c>
      <c r="BH315" s="16">
        <f>Demand_LP!K$13/30</f>
        <v>536.05500267094021</v>
      </c>
      <c r="BI315" s="16" t="e">
        <f t="shared" si="133"/>
        <v>#VALUE!</v>
      </c>
      <c r="BJ315" s="16">
        <f t="shared" si="134"/>
        <v>-178068.24427350395</v>
      </c>
      <c r="BK315" s="16">
        <f t="shared" si="135"/>
        <v>-90357.616752136993</v>
      </c>
      <c r="BL315" s="16">
        <f t="shared" si="136"/>
        <v>-235100.71998377051</v>
      </c>
      <c r="BM315" s="16">
        <f t="shared" si="137"/>
        <v>-142363.73240107382</v>
      </c>
      <c r="BN315" s="16">
        <f t="shared" si="138"/>
        <v>-245577.90745729842</v>
      </c>
      <c r="BO315" s="16">
        <f t="shared" si="139"/>
        <v>-180425.82376068374</v>
      </c>
      <c r="BP315" s="16">
        <f t="shared" si="140"/>
        <v>-143475.4163194444</v>
      </c>
      <c r="BQ315" s="16">
        <f t="shared" si="141"/>
        <v>-140465.41631944451</v>
      </c>
      <c r="BR315" s="16">
        <f t="shared" si="142"/>
        <v>-141665.41631944443</v>
      </c>
      <c r="BS315" s="14">
        <f>IF([1]Sheet2!CA314=999999,"NA",[1]Sheet2!CA314)</f>
        <v>74813.583680555545</v>
      </c>
      <c r="BT315" s="14">
        <f>IF([1]Sheet2!CB314=999999,"NA",[1]Sheet2!CB314)</f>
        <v>0</v>
      </c>
      <c r="BU315" s="14">
        <f>IF([1]Sheet2!CC314=999999,"NA",[1]Sheet2!CC314)</f>
        <v>53</v>
      </c>
      <c r="BV315" s="14">
        <f>IF([1]Sheet2!CD314=999999,"NA",[1]Sheet2!CD314)</f>
        <v>53</v>
      </c>
      <c r="BW315" s="14">
        <f>IF([1]Sheet2!CE314=999999,"NA",[1]Sheet2!CE314)</f>
        <v>22</v>
      </c>
      <c r="BX315" s="14">
        <f>IF([1]Sheet2!CF314=999999,"NA",[1]Sheet2!CF314)</f>
        <v>53</v>
      </c>
      <c r="BY315" s="14">
        <f>IF([1]Sheet2!CG314=999999,"NA",[1]Sheet2!CG314)</f>
        <v>0</v>
      </c>
      <c r="BZ315" s="14">
        <f>IF([1]Sheet2!CH314=999999,"NA",[1]Sheet2!CH314)</f>
        <v>53</v>
      </c>
      <c r="CA315" s="14">
        <f>IF([1]Sheet2!CI314=999999,"NA",[1]Sheet2!CI314)</f>
        <v>53</v>
      </c>
      <c r="CB315" s="14">
        <f>IF([1]Sheet2!CJ314=999999,"NA",[1]Sheet2!CJ314)</f>
        <v>53</v>
      </c>
      <c r="CC315" s="14">
        <f>[1]Sheet2!BG314</f>
        <v>0</v>
      </c>
      <c r="CD315" s="14">
        <f>[1]Sheet2!BH314</f>
        <v>0</v>
      </c>
      <c r="CE315" s="14">
        <f>[1]Sheet2!BI314</f>
        <v>0</v>
      </c>
      <c r="CF315" s="14">
        <f>[1]Sheet2!BJ314</f>
        <v>0</v>
      </c>
      <c r="CG315" s="14">
        <f>[1]Sheet2!BK314</f>
        <v>0</v>
      </c>
      <c r="CH315" s="14">
        <f>[1]Sheet2!BL314</f>
        <v>0</v>
      </c>
      <c r="CI315" s="14">
        <f>[1]Sheet2!BM314</f>
        <v>0</v>
      </c>
      <c r="CJ315" s="14">
        <f>[1]Sheet2!BN314</f>
        <v>0</v>
      </c>
      <c r="CK315" s="14">
        <f>[1]Sheet2!BO314</f>
        <v>0</v>
      </c>
      <c r="CL315" s="14">
        <f>[1]Sheet2!BP314</f>
        <v>0</v>
      </c>
      <c r="CM315" s="16">
        <f>Demand_SW!B$13/30</f>
        <v>144.23076923076923</v>
      </c>
      <c r="CN315" s="16">
        <f>Demand_SW!C$13/30</f>
        <v>0</v>
      </c>
      <c r="CO315" s="16">
        <f>Demand_SW!D$13/30</f>
        <v>0</v>
      </c>
      <c r="CP315" s="16">
        <f>Demand_SW!E$13/30</f>
        <v>0</v>
      </c>
      <c r="CQ315" s="16">
        <f>Demand_SW!F$13/30</f>
        <v>0</v>
      </c>
      <c r="CR315" s="16">
        <f>Demand_SW!G$13/30</f>
        <v>144.23076923076923</v>
      </c>
      <c r="CS315" s="16">
        <f>Demand_SW!H$13/30</f>
        <v>0</v>
      </c>
      <c r="CT315" s="16">
        <f>Demand_SW!I$13/30</f>
        <v>0</v>
      </c>
      <c r="CU315" s="16">
        <f>Demand_SW!J$13/30</f>
        <v>0</v>
      </c>
      <c r="CV315" s="16">
        <f>Demand_SW!K$13/30</f>
        <v>0</v>
      </c>
      <c r="CW315" s="16">
        <f t="shared" si="143"/>
        <v>58471.53846153841</v>
      </c>
      <c r="CX315" s="16">
        <f t="shared" si="144"/>
        <v>20683.923076923078</v>
      </c>
      <c r="CY315" s="16">
        <f t="shared" si="145"/>
        <v>0</v>
      </c>
      <c r="CZ315" s="16">
        <f t="shared" si="146"/>
        <v>0</v>
      </c>
      <c r="DA315" s="16">
        <f t="shared" si="147"/>
        <v>0</v>
      </c>
      <c r="DB315" s="16">
        <f t="shared" si="148"/>
        <v>-41057.692307692327</v>
      </c>
      <c r="DC315" s="16">
        <f t="shared" si="149"/>
        <v>20683.923076923078</v>
      </c>
      <c r="DD315" s="16">
        <f t="shared" si="150"/>
        <v>0</v>
      </c>
      <c r="DE315" s="16">
        <f t="shared" si="151"/>
        <v>0</v>
      </c>
      <c r="DF315" s="16">
        <f t="shared" si="152"/>
        <v>0</v>
      </c>
      <c r="DG315" s="14">
        <f>IF([1]Sheet2!DR314=999999,"NA",[1]Sheet2!DR314)</f>
        <v>73103</v>
      </c>
      <c r="DH315" s="14">
        <f>IF([1]Sheet2!DS314=999999,"NA",[1]Sheet2!DS314)</f>
        <v>53</v>
      </c>
      <c r="DI315" s="14">
        <f>IF([1]Sheet2!DT314=999999,"NA",[1]Sheet2!DT314)</f>
        <v>53</v>
      </c>
      <c r="DJ315" s="14" t="str">
        <f>IF([1]Sheet2!DU314=999999,"NA",[1]Sheet2!DU314)</f>
        <v>NA</v>
      </c>
      <c r="DK315" s="14" t="str">
        <f>IF([1]Sheet2!DV314=999999,"NA",[1]Sheet2!DV314)</f>
        <v>NA</v>
      </c>
      <c r="DL315" s="14" t="str">
        <f>IF([1]Sheet2!DW314=999999,"NA",[1]Sheet2!DW314)</f>
        <v>NA</v>
      </c>
      <c r="DM315" s="14">
        <f>IF([1]Sheet2!DX314=999999,"NA",[1]Sheet2!DX314)</f>
        <v>53</v>
      </c>
      <c r="DN315" s="14">
        <f>IF([1]Sheet2!DY314=999999,"NA",[1]Sheet2!DY314)</f>
        <v>53</v>
      </c>
      <c r="DO315" s="14" t="str">
        <f>IF([1]Sheet2!DZ314=999999,"NA",[1]Sheet2!DZ314)</f>
        <v>NA</v>
      </c>
      <c r="DP315" s="14" t="str">
        <f>IF([1]Sheet2!EA314=999999,"NA",[1]Sheet2!EA314)</f>
        <v>NA</v>
      </c>
      <c r="DQ315" s="14">
        <f>[1]Sheet2!CX314</f>
        <v>0</v>
      </c>
      <c r="DR315" s="14">
        <f>[1]Sheet2!CY314</f>
        <v>0</v>
      </c>
      <c r="DS315" s="14">
        <f>[1]Sheet2!CZ314</f>
        <v>0</v>
      </c>
      <c r="DT315" s="14">
        <f>[1]Sheet2!DA314</f>
        <v>0</v>
      </c>
      <c r="DU315" s="14">
        <f>[1]Sheet2!DB314</f>
        <v>0</v>
      </c>
      <c r="DV315" s="14">
        <f>[1]Sheet2!DC314</f>
        <v>0</v>
      </c>
      <c r="DW315" s="14">
        <f>[1]Sheet2!DD314</f>
        <v>0</v>
      </c>
      <c r="DX315" s="14">
        <f>[1]Sheet2!DE314</f>
        <v>0</v>
      </c>
      <c r="DY315" s="14">
        <f>[1]Sheet2!DF314</f>
        <v>0</v>
      </c>
      <c r="DZ315" s="14">
        <f>[1]Sheet2!DG314</f>
        <v>0</v>
      </c>
    </row>
    <row r="316" spans="1:130" x14ac:dyDescent="0.25">
      <c r="A316" s="15">
        <v>43778</v>
      </c>
      <c r="B316" s="1"/>
      <c r="C316" s="1"/>
      <c r="D316" s="1"/>
      <c r="E316" s="14">
        <f>[1]Sheet2!N315</f>
        <v>0</v>
      </c>
      <c r="F316" s="14">
        <f>[1]Sheet2!BE315</f>
        <v>48000</v>
      </c>
      <c r="G316" s="14">
        <f>[1]Sheet2!CV315</f>
        <v>288.46153846153851</v>
      </c>
      <c r="H316" s="1"/>
      <c r="I316" s="1"/>
      <c r="J316" s="1"/>
      <c r="K316" s="16">
        <f>Demand_CWRS!B$13/30</f>
        <v>111.92954594017094</v>
      </c>
      <c r="L316" s="16">
        <f>Demand_CWRS!C$13/30</f>
        <v>550.01145299145287</v>
      </c>
      <c r="M316" s="16">
        <f>Demand_CWRS!D$13/30</f>
        <v>0</v>
      </c>
      <c r="N316" s="16">
        <f>Demand_CWRS!E$13/30</f>
        <v>105.42606837606837</v>
      </c>
      <c r="O316" s="16">
        <f>Demand_CWRS!F$13/30</f>
        <v>220.33041399572647</v>
      </c>
      <c r="P316" s="16">
        <f>Demand_CWRS!G$13/30</f>
        <v>111.92954594017094</v>
      </c>
      <c r="Q316" s="16">
        <f>Demand_CWRS!H$13/30</f>
        <v>550.01145299145287</v>
      </c>
      <c r="R316" s="16">
        <f>Demand_CWRS!I$13/30</f>
        <v>220.33041399572647</v>
      </c>
      <c r="S316" s="16">
        <f>Demand_CWRS!J$13/30</f>
        <v>220.33041399572647</v>
      </c>
      <c r="T316" s="16">
        <f>Demand_CWRS!K$13/30</f>
        <v>220.33041399572647</v>
      </c>
      <c r="U316" s="16">
        <f t="shared" si="123"/>
        <v>-40495.980495729775</v>
      </c>
      <c r="V316" s="16">
        <f t="shared" si="124"/>
        <v>-148835.85435897388</v>
      </c>
      <c r="W316" s="16">
        <f t="shared" si="125"/>
        <v>0</v>
      </c>
      <c r="X316" s="16">
        <f t="shared" si="126"/>
        <v>-34404.26501135985</v>
      </c>
      <c r="Y316" s="16">
        <f t="shared" si="127"/>
        <v>-67699.289163319641</v>
      </c>
      <c r="Z316" s="16">
        <f t="shared" si="128"/>
        <v>-40099.047971691369</v>
      </c>
      <c r="AA316" s="16">
        <f t="shared" si="129"/>
        <v>-148335.85435897388</v>
      </c>
      <c r="AB316" s="16">
        <f t="shared" si="130"/>
        <v>-65215.4436825503</v>
      </c>
      <c r="AC316" s="16">
        <f t="shared" si="131"/>
        <v>-65215.443682550293</v>
      </c>
      <c r="AD316" s="16">
        <f t="shared" si="132"/>
        <v>-65915.443682550293</v>
      </c>
      <c r="AE316" s="14">
        <f>IF([1]Sheet2!AJ315=999999,"NA",[1]Sheet2!AJ315)</f>
        <v>0</v>
      </c>
      <c r="AF316" s="14">
        <f>IF([1]Sheet2!AK315=999999,"NA",[1]Sheet2!AK315)</f>
        <v>0</v>
      </c>
      <c r="AG316" s="14" t="str">
        <f>IF([1]Sheet2!AL315=999999,"NA",[1]Sheet2!AL315)</f>
        <v>NA</v>
      </c>
      <c r="AH316" s="14">
        <f>IF([1]Sheet2!AM315=999999,"NA",[1]Sheet2!AM315)</f>
        <v>52</v>
      </c>
      <c r="AI316" s="14">
        <f>IF([1]Sheet2!AN315=999999,"NA",[1]Sheet2!AN315)</f>
        <v>52</v>
      </c>
      <c r="AJ316" s="14">
        <f>IF([1]Sheet2!AO315=999999,"NA",[1]Sheet2!AO315)</f>
        <v>52</v>
      </c>
      <c r="AK316" s="14">
        <f>IF([1]Sheet2!AP315=999999,"NA",[1]Sheet2!AP315)</f>
        <v>0</v>
      </c>
      <c r="AL316" s="14">
        <f>IF([1]Sheet2!AQ315=999999,"NA",[1]Sheet2!AQ315)</f>
        <v>0</v>
      </c>
      <c r="AM316" s="14">
        <f>IF([1]Sheet2!AR315=999999,"NA",[1]Sheet2!AR315)</f>
        <v>52</v>
      </c>
      <c r="AN316" s="14">
        <f>IF([1]Sheet2!AS315=999999,"NA",[1]Sheet2!AS315)</f>
        <v>3</v>
      </c>
      <c r="AO316" s="14">
        <f>[1]Sheet2!P315</f>
        <v>0</v>
      </c>
      <c r="AP316" s="14">
        <f>[1]Sheet2!Q315</f>
        <v>0</v>
      </c>
      <c r="AQ316" s="14">
        <f>[1]Sheet2!R315</f>
        <v>0</v>
      </c>
      <c r="AR316" s="14">
        <f>[1]Sheet2!S315</f>
        <v>0</v>
      </c>
      <c r="AS316" s="14">
        <f>[1]Sheet2!T315</f>
        <v>0</v>
      </c>
      <c r="AT316" s="14">
        <f>[1]Sheet2!U315</f>
        <v>0</v>
      </c>
      <c r="AU316" s="14">
        <f>[1]Sheet2!V315</f>
        <v>0</v>
      </c>
      <c r="AV316" s="14">
        <f>[1]Sheet2!W315</f>
        <v>0</v>
      </c>
      <c r="AW316" s="14">
        <f>[1]Sheet2!X315</f>
        <v>0</v>
      </c>
      <c r="AX316" s="14">
        <f>[1]Sheet2!Y315</f>
        <v>0</v>
      </c>
      <c r="AY316" s="16">
        <f>Demand_LP!B$13/30</f>
        <v>849.16414262820524</v>
      </c>
      <c r="AZ316" s="16">
        <f>Demand_LP!C$13/30</f>
        <v>632.84239316239314</v>
      </c>
      <c r="BA316" s="16">
        <f>Demand_LP!D$13/30</f>
        <v>269.64247863247863</v>
      </c>
      <c r="BB316" s="16">
        <f>Demand_LP!E$13/30</f>
        <v>815.03102564102551</v>
      </c>
      <c r="BC316" s="16">
        <f>Demand_LP!F$13/30</f>
        <v>536.05500267094021</v>
      </c>
      <c r="BD316" s="16">
        <f>Demand_LP!G$13/30</f>
        <v>849.16414262820524</v>
      </c>
      <c r="BE316" s="16">
        <f>Demand_LP!H$13/30</f>
        <v>632.84239316239314</v>
      </c>
      <c r="BF316" s="16">
        <f>Demand_LP!I$13/30</f>
        <v>536.05500267094021</v>
      </c>
      <c r="BG316" s="16">
        <f>Demand_LP!J$13/30</f>
        <v>536.05500267094021</v>
      </c>
      <c r="BH316" s="16">
        <f>Demand_LP!K$13/30</f>
        <v>536.05500267094021</v>
      </c>
      <c r="BI316" s="16" t="e">
        <f t="shared" si="133"/>
        <v>#VALUE!</v>
      </c>
      <c r="BJ316" s="16">
        <f t="shared" si="134"/>
        <v>-178701.08666666635</v>
      </c>
      <c r="BK316" s="16">
        <f t="shared" si="135"/>
        <v>-90627.259230769472</v>
      </c>
      <c r="BL316" s="16">
        <f t="shared" si="136"/>
        <v>-235915.75100941153</v>
      </c>
      <c r="BM316" s="16">
        <f t="shared" si="137"/>
        <v>-142899.78740374476</v>
      </c>
      <c r="BN316" s="16">
        <f t="shared" si="138"/>
        <v>-246427.07159992662</v>
      </c>
      <c r="BO316" s="16">
        <f t="shared" si="139"/>
        <v>-181058.66615384613</v>
      </c>
      <c r="BP316" s="16">
        <f t="shared" si="140"/>
        <v>-144011.47132211534</v>
      </c>
      <c r="BQ316" s="16">
        <f t="shared" si="141"/>
        <v>-141001.47132211545</v>
      </c>
      <c r="BR316" s="16">
        <f t="shared" si="142"/>
        <v>-142201.47132211537</v>
      </c>
      <c r="BS316" s="14">
        <f>IF([1]Sheet2!CA315=999999,"NA",[1]Sheet2!CA315)</f>
        <v>74277.528677884606</v>
      </c>
      <c r="BT316" s="14">
        <f>IF([1]Sheet2!CB315=999999,"NA",[1]Sheet2!CB315)</f>
        <v>0</v>
      </c>
      <c r="BU316" s="14">
        <f>IF([1]Sheet2!CC315=999999,"NA",[1]Sheet2!CC315)</f>
        <v>52</v>
      </c>
      <c r="BV316" s="14">
        <f>IF([1]Sheet2!CD315=999999,"NA",[1]Sheet2!CD315)</f>
        <v>52</v>
      </c>
      <c r="BW316" s="14">
        <f>IF([1]Sheet2!CE315=999999,"NA",[1]Sheet2!CE315)</f>
        <v>21</v>
      </c>
      <c r="BX316" s="14">
        <f>IF([1]Sheet2!CF315=999999,"NA",[1]Sheet2!CF315)</f>
        <v>52</v>
      </c>
      <c r="BY316" s="14">
        <f>IF([1]Sheet2!CG315=999999,"NA",[1]Sheet2!CG315)</f>
        <v>0</v>
      </c>
      <c r="BZ316" s="14">
        <f>IF([1]Sheet2!CH315=999999,"NA",[1]Sheet2!CH315)</f>
        <v>52</v>
      </c>
      <c r="CA316" s="14">
        <f>IF([1]Sheet2!CI315=999999,"NA",[1]Sheet2!CI315)</f>
        <v>52</v>
      </c>
      <c r="CB316" s="14">
        <f>IF([1]Sheet2!CJ315=999999,"NA",[1]Sheet2!CJ315)</f>
        <v>52</v>
      </c>
      <c r="CC316" s="14">
        <f>[1]Sheet2!BG315</f>
        <v>0</v>
      </c>
      <c r="CD316" s="14">
        <f>[1]Sheet2!BH315</f>
        <v>0</v>
      </c>
      <c r="CE316" s="14">
        <f>[1]Sheet2!BI315</f>
        <v>0</v>
      </c>
      <c r="CF316" s="14">
        <f>[1]Sheet2!BJ315</f>
        <v>0</v>
      </c>
      <c r="CG316" s="14">
        <f>[1]Sheet2!BK315</f>
        <v>0</v>
      </c>
      <c r="CH316" s="14">
        <f>[1]Sheet2!BL315</f>
        <v>0</v>
      </c>
      <c r="CI316" s="14">
        <f>[1]Sheet2!BM315</f>
        <v>0</v>
      </c>
      <c r="CJ316" s="14">
        <f>[1]Sheet2!BN315</f>
        <v>0</v>
      </c>
      <c r="CK316" s="14">
        <f>[1]Sheet2!BO315</f>
        <v>0</v>
      </c>
      <c r="CL316" s="14">
        <f>[1]Sheet2!BP315</f>
        <v>0</v>
      </c>
      <c r="CM316" s="16">
        <f>Demand_SW!B$13/30</f>
        <v>144.23076923076923</v>
      </c>
      <c r="CN316" s="16">
        <f>Demand_SW!C$13/30</f>
        <v>0</v>
      </c>
      <c r="CO316" s="16">
        <f>Demand_SW!D$13/30</f>
        <v>0</v>
      </c>
      <c r="CP316" s="16">
        <f>Demand_SW!E$13/30</f>
        <v>0</v>
      </c>
      <c r="CQ316" s="16">
        <f>Demand_SW!F$13/30</f>
        <v>0</v>
      </c>
      <c r="CR316" s="16">
        <f>Demand_SW!G$13/30</f>
        <v>144.23076923076923</v>
      </c>
      <c r="CS316" s="16">
        <f>Demand_SW!H$13/30</f>
        <v>0</v>
      </c>
      <c r="CT316" s="16">
        <f>Demand_SW!I$13/30</f>
        <v>0</v>
      </c>
      <c r="CU316" s="16">
        <f>Demand_SW!J$13/30</f>
        <v>0</v>
      </c>
      <c r="CV316" s="16">
        <f>Demand_SW!K$13/30</f>
        <v>0</v>
      </c>
      <c r="CW316" s="16">
        <f t="shared" si="143"/>
        <v>58327.307692307644</v>
      </c>
      <c r="CX316" s="16">
        <f t="shared" si="144"/>
        <v>20683.923076923078</v>
      </c>
      <c r="CY316" s="16">
        <f t="shared" si="145"/>
        <v>0</v>
      </c>
      <c r="CZ316" s="16">
        <f t="shared" si="146"/>
        <v>0</v>
      </c>
      <c r="DA316" s="16">
        <f t="shared" si="147"/>
        <v>0</v>
      </c>
      <c r="DB316" s="16">
        <f t="shared" si="148"/>
        <v>-41201.923076923093</v>
      </c>
      <c r="DC316" s="16">
        <f t="shared" si="149"/>
        <v>20683.923076923078</v>
      </c>
      <c r="DD316" s="16">
        <f t="shared" si="150"/>
        <v>0</v>
      </c>
      <c r="DE316" s="16">
        <f t="shared" si="151"/>
        <v>0</v>
      </c>
      <c r="DF316" s="16">
        <f t="shared" si="152"/>
        <v>0</v>
      </c>
      <c r="DG316" s="14">
        <f>IF([1]Sheet2!DR315=999999,"NA",[1]Sheet2!DR315)</f>
        <v>73103</v>
      </c>
      <c r="DH316" s="14">
        <f>IF([1]Sheet2!DS315=999999,"NA",[1]Sheet2!DS315)</f>
        <v>52</v>
      </c>
      <c r="DI316" s="14">
        <f>IF([1]Sheet2!DT315=999999,"NA",[1]Sheet2!DT315)</f>
        <v>52</v>
      </c>
      <c r="DJ316" s="14" t="str">
        <f>IF([1]Sheet2!DU315=999999,"NA",[1]Sheet2!DU315)</f>
        <v>NA</v>
      </c>
      <c r="DK316" s="14" t="str">
        <f>IF([1]Sheet2!DV315=999999,"NA",[1]Sheet2!DV315)</f>
        <v>NA</v>
      </c>
      <c r="DL316" s="14" t="str">
        <f>IF([1]Sheet2!DW315=999999,"NA",[1]Sheet2!DW315)</f>
        <v>NA</v>
      </c>
      <c r="DM316" s="14">
        <f>IF([1]Sheet2!DX315=999999,"NA",[1]Sheet2!DX315)</f>
        <v>52</v>
      </c>
      <c r="DN316" s="14">
        <f>IF([1]Sheet2!DY315=999999,"NA",[1]Sheet2!DY315)</f>
        <v>52</v>
      </c>
      <c r="DO316" s="14" t="str">
        <f>IF([1]Sheet2!DZ315=999999,"NA",[1]Sheet2!DZ315)</f>
        <v>NA</v>
      </c>
      <c r="DP316" s="14" t="str">
        <f>IF([1]Sheet2!EA315=999999,"NA",[1]Sheet2!EA315)</f>
        <v>NA</v>
      </c>
      <c r="DQ316" s="14">
        <f>[1]Sheet2!CX315</f>
        <v>0</v>
      </c>
      <c r="DR316" s="14">
        <f>[1]Sheet2!CY315</f>
        <v>0</v>
      </c>
      <c r="DS316" s="14">
        <f>[1]Sheet2!CZ315</f>
        <v>0</v>
      </c>
      <c r="DT316" s="14">
        <f>[1]Sheet2!DA315</f>
        <v>0</v>
      </c>
      <c r="DU316" s="14">
        <f>[1]Sheet2!DB315</f>
        <v>0</v>
      </c>
      <c r="DV316" s="14">
        <f>[1]Sheet2!DC315</f>
        <v>0</v>
      </c>
      <c r="DW316" s="14">
        <f>[1]Sheet2!DD315</f>
        <v>0</v>
      </c>
      <c r="DX316" s="14">
        <f>[1]Sheet2!DE315</f>
        <v>0</v>
      </c>
      <c r="DY316" s="14">
        <f>[1]Sheet2!DF315</f>
        <v>0</v>
      </c>
      <c r="DZ316" s="14">
        <f>[1]Sheet2!DG315</f>
        <v>0</v>
      </c>
    </row>
    <row r="317" spans="1:130" x14ac:dyDescent="0.25">
      <c r="A317" s="15">
        <v>43779</v>
      </c>
      <c r="B317" s="1"/>
      <c r="C317" s="1"/>
      <c r="D317" s="1"/>
      <c r="E317" s="14">
        <f>[1]Sheet2!N316</f>
        <v>0</v>
      </c>
      <c r="F317" s="14">
        <f>[1]Sheet2!BE316</f>
        <v>0</v>
      </c>
      <c r="G317" s="14">
        <f>[1]Sheet2!CV316</f>
        <v>288.46153846153851</v>
      </c>
      <c r="H317" s="1"/>
      <c r="I317" s="1"/>
      <c r="J317" s="1"/>
      <c r="K317" s="16">
        <f>Demand_CWRS!B$13/30</f>
        <v>111.92954594017094</v>
      </c>
      <c r="L317" s="16">
        <f>Demand_CWRS!C$13/30</f>
        <v>550.01145299145287</v>
      </c>
      <c r="M317" s="16">
        <f>Demand_CWRS!D$13/30</f>
        <v>0</v>
      </c>
      <c r="N317" s="16">
        <f>Demand_CWRS!E$13/30</f>
        <v>105.42606837606837</v>
      </c>
      <c r="O317" s="16">
        <f>Demand_CWRS!F$13/30</f>
        <v>220.33041399572647</v>
      </c>
      <c r="P317" s="16">
        <f>Demand_CWRS!G$13/30</f>
        <v>111.92954594017094</v>
      </c>
      <c r="Q317" s="16">
        <f>Demand_CWRS!H$13/30</f>
        <v>550.01145299145287</v>
      </c>
      <c r="R317" s="16">
        <f>Demand_CWRS!I$13/30</f>
        <v>220.33041399572647</v>
      </c>
      <c r="S317" s="16">
        <f>Demand_CWRS!J$13/30</f>
        <v>220.33041399572647</v>
      </c>
      <c r="T317" s="16">
        <f>Demand_CWRS!K$13/30</f>
        <v>220.33041399572647</v>
      </c>
      <c r="U317" s="16">
        <f t="shared" si="123"/>
        <v>-40607.910041669944</v>
      </c>
      <c r="V317" s="16">
        <f t="shared" si="124"/>
        <v>-149385.86581196534</v>
      </c>
      <c r="W317" s="16">
        <f t="shared" si="125"/>
        <v>0</v>
      </c>
      <c r="X317" s="16">
        <f t="shared" si="126"/>
        <v>-34509.691079735916</v>
      </c>
      <c r="Y317" s="16">
        <f t="shared" si="127"/>
        <v>-67919.619577315374</v>
      </c>
      <c r="Z317" s="16">
        <f t="shared" si="128"/>
        <v>-40210.977517631538</v>
      </c>
      <c r="AA317" s="16">
        <f t="shared" si="129"/>
        <v>-148885.86581196534</v>
      </c>
      <c r="AB317" s="16">
        <f t="shared" si="130"/>
        <v>-65435.774096546025</v>
      </c>
      <c r="AC317" s="16">
        <f t="shared" si="131"/>
        <v>-65435.774096546018</v>
      </c>
      <c r="AD317" s="16">
        <f t="shared" si="132"/>
        <v>-66135.774096546025</v>
      </c>
      <c r="AE317" s="14">
        <f>IF([1]Sheet2!AJ316=999999,"NA",[1]Sheet2!AJ316)</f>
        <v>0</v>
      </c>
      <c r="AF317" s="14">
        <f>IF([1]Sheet2!AK316=999999,"NA",[1]Sheet2!AK316)</f>
        <v>0</v>
      </c>
      <c r="AG317" s="14" t="str">
        <f>IF([1]Sheet2!AL316=999999,"NA",[1]Sheet2!AL316)</f>
        <v>NA</v>
      </c>
      <c r="AH317" s="14">
        <f>IF([1]Sheet2!AM316=999999,"NA",[1]Sheet2!AM316)</f>
        <v>51</v>
      </c>
      <c r="AI317" s="14">
        <f>IF([1]Sheet2!AN316=999999,"NA",[1]Sheet2!AN316)</f>
        <v>51</v>
      </c>
      <c r="AJ317" s="14">
        <f>IF([1]Sheet2!AO316=999999,"NA",[1]Sheet2!AO316)</f>
        <v>51</v>
      </c>
      <c r="AK317" s="14">
        <f>IF([1]Sheet2!AP316=999999,"NA",[1]Sheet2!AP316)</f>
        <v>0</v>
      </c>
      <c r="AL317" s="14">
        <f>IF([1]Sheet2!AQ316=999999,"NA",[1]Sheet2!AQ316)</f>
        <v>0</v>
      </c>
      <c r="AM317" s="14">
        <f>IF([1]Sheet2!AR316=999999,"NA",[1]Sheet2!AR316)</f>
        <v>51</v>
      </c>
      <c r="AN317" s="14">
        <f>IF([1]Sheet2!AS316=999999,"NA",[1]Sheet2!AS316)</f>
        <v>2</v>
      </c>
      <c r="AO317" s="14">
        <f>[1]Sheet2!P316</f>
        <v>0</v>
      </c>
      <c r="AP317" s="14">
        <f>[1]Sheet2!Q316</f>
        <v>0</v>
      </c>
      <c r="AQ317" s="14">
        <f>[1]Sheet2!R316</f>
        <v>0</v>
      </c>
      <c r="AR317" s="14">
        <f>[1]Sheet2!S316</f>
        <v>0</v>
      </c>
      <c r="AS317" s="14">
        <f>[1]Sheet2!T316</f>
        <v>0</v>
      </c>
      <c r="AT317" s="14">
        <f>[1]Sheet2!U316</f>
        <v>0</v>
      </c>
      <c r="AU317" s="14">
        <f>[1]Sheet2!V316</f>
        <v>0</v>
      </c>
      <c r="AV317" s="14">
        <f>[1]Sheet2!W316</f>
        <v>0</v>
      </c>
      <c r="AW317" s="14">
        <f>[1]Sheet2!X316</f>
        <v>0</v>
      </c>
      <c r="AX317" s="14">
        <f>[1]Sheet2!Y316</f>
        <v>0</v>
      </c>
      <c r="AY317" s="16">
        <f>Demand_LP!B$13/30</f>
        <v>849.16414262820524</v>
      </c>
      <c r="AZ317" s="16">
        <f>Demand_LP!C$13/30</f>
        <v>632.84239316239314</v>
      </c>
      <c r="BA317" s="16">
        <f>Demand_LP!D$13/30</f>
        <v>269.64247863247863</v>
      </c>
      <c r="BB317" s="16">
        <f>Demand_LP!E$13/30</f>
        <v>815.03102564102551</v>
      </c>
      <c r="BC317" s="16">
        <f>Demand_LP!F$13/30</f>
        <v>536.05500267094021</v>
      </c>
      <c r="BD317" s="16">
        <f>Demand_LP!G$13/30</f>
        <v>849.16414262820524</v>
      </c>
      <c r="BE317" s="16">
        <f>Demand_LP!H$13/30</f>
        <v>632.84239316239314</v>
      </c>
      <c r="BF317" s="16">
        <f>Demand_LP!I$13/30</f>
        <v>536.05500267094021</v>
      </c>
      <c r="BG317" s="16">
        <f>Demand_LP!J$13/30</f>
        <v>536.05500267094021</v>
      </c>
      <c r="BH317" s="16">
        <f>Demand_LP!K$13/30</f>
        <v>536.05500267094021</v>
      </c>
      <c r="BI317" s="16" t="e">
        <f t="shared" si="133"/>
        <v>#VALUE!</v>
      </c>
      <c r="BJ317" s="16">
        <f t="shared" si="134"/>
        <v>-179333.92905982875</v>
      </c>
      <c r="BK317" s="16">
        <f t="shared" si="135"/>
        <v>-90896.901709401951</v>
      </c>
      <c r="BL317" s="16">
        <f t="shared" si="136"/>
        <v>-236730.78203505254</v>
      </c>
      <c r="BM317" s="16">
        <f t="shared" si="137"/>
        <v>-143435.8424064157</v>
      </c>
      <c r="BN317" s="16">
        <f t="shared" si="138"/>
        <v>-247276.23574255483</v>
      </c>
      <c r="BO317" s="16">
        <f t="shared" si="139"/>
        <v>-181691.50854700853</v>
      </c>
      <c r="BP317" s="16">
        <f t="shared" si="140"/>
        <v>-144547.52632478627</v>
      </c>
      <c r="BQ317" s="16">
        <f t="shared" si="141"/>
        <v>-141537.52632478639</v>
      </c>
      <c r="BR317" s="16">
        <f t="shared" si="142"/>
        <v>-142737.5263247863</v>
      </c>
      <c r="BS317" s="14">
        <f>IF([1]Sheet2!CA316=999999,"NA",[1]Sheet2!CA316)</f>
        <v>73741.473675213667</v>
      </c>
      <c r="BT317" s="14">
        <f>IF([1]Sheet2!CB316=999999,"NA",[1]Sheet2!CB316)</f>
        <v>0</v>
      </c>
      <c r="BU317" s="14">
        <f>IF([1]Sheet2!CC316=999999,"NA",[1]Sheet2!CC316)</f>
        <v>51</v>
      </c>
      <c r="BV317" s="14">
        <f>IF([1]Sheet2!CD316=999999,"NA",[1]Sheet2!CD316)</f>
        <v>51</v>
      </c>
      <c r="BW317" s="14">
        <f>IF([1]Sheet2!CE316=999999,"NA",[1]Sheet2!CE316)</f>
        <v>20</v>
      </c>
      <c r="BX317" s="14">
        <f>IF([1]Sheet2!CF316=999999,"NA",[1]Sheet2!CF316)</f>
        <v>51</v>
      </c>
      <c r="BY317" s="14">
        <f>IF([1]Sheet2!CG316=999999,"NA",[1]Sheet2!CG316)</f>
        <v>0</v>
      </c>
      <c r="BZ317" s="14">
        <f>IF([1]Sheet2!CH316=999999,"NA",[1]Sheet2!CH316)</f>
        <v>51</v>
      </c>
      <c r="CA317" s="14">
        <f>IF([1]Sheet2!CI316=999999,"NA",[1]Sheet2!CI316)</f>
        <v>51</v>
      </c>
      <c r="CB317" s="14">
        <f>IF([1]Sheet2!CJ316=999999,"NA",[1]Sheet2!CJ316)</f>
        <v>51</v>
      </c>
      <c r="CC317" s="14">
        <f>[1]Sheet2!BG316</f>
        <v>0</v>
      </c>
      <c r="CD317" s="14">
        <f>[1]Sheet2!BH316</f>
        <v>0</v>
      </c>
      <c r="CE317" s="14">
        <f>[1]Sheet2!BI316</f>
        <v>0</v>
      </c>
      <c r="CF317" s="14">
        <f>[1]Sheet2!BJ316</f>
        <v>0</v>
      </c>
      <c r="CG317" s="14">
        <f>[1]Sheet2!BK316</f>
        <v>0</v>
      </c>
      <c r="CH317" s="14">
        <f>[1]Sheet2!BL316</f>
        <v>0</v>
      </c>
      <c r="CI317" s="14">
        <f>[1]Sheet2!BM316</f>
        <v>0</v>
      </c>
      <c r="CJ317" s="14">
        <f>[1]Sheet2!BN316</f>
        <v>0</v>
      </c>
      <c r="CK317" s="14">
        <f>[1]Sheet2!BO316</f>
        <v>0</v>
      </c>
      <c r="CL317" s="14">
        <f>[1]Sheet2!BP316</f>
        <v>0</v>
      </c>
      <c r="CM317" s="16">
        <f>Demand_SW!B$13/30</f>
        <v>144.23076923076923</v>
      </c>
      <c r="CN317" s="16">
        <f>Demand_SW!C$13/30</f>
        <v>0</v>
      </c>
      <c r="CO317" s="16">
        <f>Demand_SW!D$13/30</f>
        <v>0</v>
      </c>
      <c r="CP317" s="16">
        <f>Demand_SW!E$13/30</f>
        <v>0</v>
      </c>
      <c r="CQ317" s="16">
        <f>Demand_SW!F$13/30</f>
        <v>0</v>
      </c>
      <c r="CR317" s="16">
        <f>Demand_SW!G$13/30</f>
        <v>144.23076923076923</v>
      </c>
      <c r="CS317" s="16">
        <f>Demand_SW!H$13/30</f>
        <v>0</v>
      </c>
      <c r="CT317" s="16">
        <f>Demand_SW!I$13/30</f>
        <v>0</v>
      </c>
      <c r="CU317" s="16">
        <f>Demand_SW!J$13/30</f>
        <v>0</v>
      </c>
      <c r="CV317" s="16">
        <f>Demand_SW!K$13/30</f>
        <v>0</v>
      </c>
      <c r="CW317" s="16">
        <f t="shared" si="143"/>
        <v>58183.076923076878</v>
      </c>
      <c r="CX317" s="16">
        <f t="shared" si="144"/>
        <v>20683.923076923078</v>
      </c>
      <c r="CY317" s="16">
        <f t="shared" si="145"/>
        <v>0</v>
      </c>
      <c r="CZ317" s="16">
        <f t="shared" si="146"/>
        <v>0</v>
      </c>
      <c r="DA317" s="16">
        <f t="shared" si="147"/>
        <v>0</v>
      </c>
      <c r="DB317" s="16">
        <f t="shared" si="148"/>
        <v>-41346.153846153858</v>
      </c>
      <c r="DC317" s="16">
        <f t="shared" si="149"/>
        <v>20683.923076923078</v>
      </c>
      <c r="DD317" s="16">
        <f t="shared" si="150"/>
        <v>0</v>
      </c>
      <c r="DE317" s="16">
        <f t="shared" si="151"/>
        <v>0</v>
      </c>
      <c r="DF317" s="16">
        <f t="shared" si="152"/>
        <v>0</v>
      </c>
      <c r="DG317" s="14">
        <f>IF([1]Sheet2!DR316=999999,"NA",[1]Sheet2!DR316)</f>
        <v>73103</v>
      </c>
      <c r="DH317" s="14">
        <f>IF([1]Sheet2!DS316=999999,"NA",[1]Sheet2!DS316)</f>
        <v>51</v>
      </c>
      <c r="DI317" s="14">
        <f>IF([1]Sheet2!DT316=999999,"NA",[1]Sheet2!DT316)</f>
        <v>51</v>
      </c>
      <c r="DJ317" s="14" t="str">
        <f>IF([1]Sheet2!DU316=999999,"NA",[1]Sheet2!DU316)</f>
        <v>NA</v>
      </c>
      <c r="DK317" s="14" t="str">
        <f>IF([1]Sheet2!DV316=999999,"NA",[1]Sheet2!DV316)</f>
        <v>NA</v>
      </c>
      <c r="DL317" s="14" t="str">
        <f>IF([1]Sheet2!DW316=999999,"NA",[1]Sheet2!DW316)</f>
        <v>NA</v>
      </c>
      <c r="DM317" s="14">
        <f>IF([1]Sheet2!DX316=999999,"NA",[1]Sheet2!DX316)</f>
        <v>51</v>
      </c>
      <c r="DN317" s="14">
        <f>IF([1]Sheet2!DY316=999999,"NA",[1]Sheet2!DY316)</f>
        <v>51</v>
      </c>
      <c r="DO317" s="14" t="str">
        <f>IF([1]Sheet2!DZ316=999999,"NA",[1]Sheet2!DZ316)</f>
        <v>NA</v>
      </c>
      <c r="DP317" s="14" t="str">
        <f>IF([1]Sheet2!EA316=999999,"NA",[1]Sheet2!EA316)</f>
        <v>NA</v>
      </c>
      <c r="DQ317" s="14">
        <f>[1]Sheet2!CX316</f>
        <v>0</v>
      </c>
      <c r="DR317" s="14">
        <f>[1]Sheet2!CY316</f>
        <v>0</v>
      </c>
      <c r="DS317" s="14">
        <f>[1]Sheet2!CZ316</f>
        <v>0</v>
      </c>
      <c r="DT317" s="14">
        <f>[1]Sheet2!DA316</f>
        <v>0</v>
      </c>
      <c r="DU317" s="14">
        <f>[1]Sheet2!DB316</f>
        <v>0</v>
      </c>
      <c r="DV317" s="14">
        <f>[1]Sheet2!DC316</f>
        <v>0</v>
      </c>
      <c r="DW317" s="14">
        <f>[1]Sheet2!DD316</f>
        <v>0</v>
      </c>
      <c r="DX317" s="14">
        <f>[1]Sheet2!DE316</f>
        <v>0</v>
      </c>
      <c r="DY317" s="14">
        <f>[1]Sheet2!DF316</f>
        <v>0</v>
      </c>
      <c r="DZ317" s="14">
        <f>[1]Sheet2!DG316</f>
        <v>0</v>
      </c>
    </row>
    <row r="318" spans="1:130" x14ac:dyDescent="0.25">
      <c r="A318" s="15">
        <v>43780</v>
      </c>
      <c r="B318" s="1"/>
      <c r="C318" s="1"/>
      <c r="D318" s="1"/>
      <c r="E318" s="14">
        <f>[1]Sheet2!N317</f>
        <v>48000</v>
      </c>
      <c r="F318" s="14">
        <f>[1]Sheet2!BE317</f>
        <v>0</v>
      </c>
      <c r="G318" s="14">
        <f>[1]Sheet2!CV317</f>
        <v>288.46153846153851</v>
      </c>
      <c r="H318" s="1"/>
      <c r="I318" s="1"/>
      <c r="J318" s="1"/>
      <c r="K318" s="16">
        <f>Demand_CWRS!B$13/30</f>
        <v>111.92954594017094</v>
      </c>
      <c r="L318" s="16">
        <f>Demand_CWRS!C$13/30</f>
        <v>550.01145299145287</v>
      </c>
      <c r="M318" s="16">
        <f>Demand_CWRS!D$13/30</f>
        <v>0</v>
      </c>
      <c r="N318" s="16">
        <f>Demand_CWRS!E$13/30</f>
        <v>105.42606837606837</v>
      </c>
      <c r="O318" s="16">
        <f>Demand_CWRS!F$13/30</f>
        <v>220.33041399572647</v>
      </c>
      <c r="P318" s="16">
        <f>Demand_CWRS!G$13/30</f>
        <v>111.92954594017094</v>
      </c>
      <c r="Q318" s="16">
        <f>Demand_CWRS!H$13/30</f>
        <v>550.01145299145287</v>
      </c>
      <c r="R318" s="16">
        <f>Demand_CWRS!I$13/30</f>
        <v>220.33041399572647</v>
      </c>
      <c r="S318" s="16">
        <f>Demand_CWRS!J$13/30</f>
        <v>220.33041399572647</v>
      </c>
      <c r="T318" s="16">
        <f>Demand_CWRS!K$13/30</f>
        <v>220.33041399572647</v>
      </c>
      <c r="U318" s="16">
        <f t="shared" si="123"/>
        <v>-40719.839587610113</v>
      </c>
      <c r="V318" s="16">
        <f t="shared" si="124"/>
        <v>-149935.8772649568</v>
      </c>
      <c r="W318" s="16">
        <f t="shared" si="125"/>
        <v>0</v>
      </c>
      <c r="X318" s="16">
        <f t="shared" si="126"/>
        <v>-34615.117148111982</v>
      </c>
      <c r="Y318" s="16">
        <f t="shared" si="127"/>
        <v>-68139.949991311107</v>
      </c>
      <c r="Z318" s="16">
        <f t="shared" si="128"/>
        <v>-40322.907063571707</v>
      </c>
      <c r="AA318" s="16">
        <f t="shared" si="129"/>
        <v>-149435.8772649568</v>
      </c>
      <c r="AB318" s="16">
        <f t="shared" si="130"/>
        <v>-65656.104510541758</v>
      </c>
      <c r="AC318" s="16">
        <f t="shared" si="131"/>
        <v>-65656.104510541743</v>
      </c>
      <c r="AD318" s="16">
        <f t="shared" si="132"/>
        <v>-66356.104510541758</v>
      </c>
      <c r="AE318" s="14">
        <f>IF([1]Sheet2!AJ317=999999,"NA",[1]Sheet2!AJ317)</f>
        <v>0</v>
      </c>
      <c r="AF318" s="14">
        <f>IF([1]Sheet2!AK317=999999,"NA",[1]Sheet2!AK317)</f>
        <v>0</v>
      </c>
      <c r="AG318" s="14" t="str">
        <f>IF([1]Sheet2!AL317=999999,"NA",[1]Sheet2!AL317)</f>
        <v>NA</v>
      </c>
      <c r="AH318" s="14">
        <f>IF([1]Sheet2!AM317=999999,"NA",[1]Sheet2!AM317)</f>
        <v>50</v>
      </c>
      <c r="AI318" s="14">
        <f>IF([1]Sheet2!AN317=999999,"NA",[1]Sheet2!AN317)</f>
        <v>50</v>
      </c>
      <c r="AJ318" s="14">
        <f>IF([1]Sheet2!AO317=999999,"NA",[1]Sheet2!AO317)</f>
        <v>50</v>
      </c>
      <c r="AK318" s="14">
        <f>IF([1]Sheet2!AP317=999999,"NA",[1]Sheet2!AP317)</f>
        <v>0</v>
      </c>
      <c r="AL318" s="14">
        <f>IF([1]Sheet2!AQ317=999999,"NA",[1]Sheet2!AQ317)</f>
        <v>0</v>
      </c>
      <c r="AM318" s="14">
        <f>IF([1]Sheet2!AR317=999999,"NA",[1]Sheet2!AR317)</f>
        <v>50</v>
      </c>
      <c r="AN318" s="14">
        <f>IF([1]Sheet2!AS317=999999,"NA",[1]Sheet2!AS317)</f>
        <v>1</v>
      </c>
      <c r="AO318" s="14">
        <f>[1]Sheet2!P317</f>
        <v>0</v>
      </c>
      <c r="AP318" s="14">
        <f>[1]Sheet2!Q317</f>
        <v>0</v>
      </c>
      <c r="AQ318" s="14">
        <f>[1]Sheet2!R317</f>
        <v>0</v>
      </c>
      <c r="AR318" s="14">
        <f>[1]Sheet2!S317</f>
        <v>0</v>
      </c>
      <c r="AS318" s="14">
        <f>[1]Sheet2!T317</f>
        <v>0</v>
      </c>
      <c r="AT318" s="14">
        <f>[1]Sheet2!U317</f>
        <v>0</v>
      </c>
      <c r="AU318" s="14">
        <f>[1]Sheet2!V317</f>
        <v>0</v>
      </c>
      <c r="AV318" s="14">
        <f>[1]Sheet2!W317</f>
        <v>0</v>
      </c>
      <c r="AW318" s="14">
        <f>[1]Sheet2!X317</f>
        <v>0</v>
      </c>
      <c r="AX318" s="14">
        <f>[1]Sheet2!Y317</f>
        <v>0</v>
      </c>
      <c r="AY318" s="16">
        <f>Demand_LP!B$13/30</f>
        <v>849.16414262820524</v>
      </c>
      <c r="AZ318" s="16">
        <f>Demand_LP!C$13/30</f>
        <v>632.84239316239314</v>
      </c>
      <c r="BA318" s="16">
        <f>Demand_LP!D$13/30</f>
        <v>269.64247863247863</v>
      </c>
      <c r="BB318" s="16">
        <f>Demand_LP!E$13/30</f>
        <v>815.03102564102551</v>
      </c>
      <c r="BC318" s="16">
        <f>Demand_LP!F$13/30</f>
        <v>536.05500267094021</v>
      </c>
      <c r="BD318" s="16">
        <f>Demand_LP!G$13/30</f>
        <v>849.16414262820524</v>
      </c>
      <c r="BE318" s="16">
        <f>Demand_LP!H$13/30</f>
        <v>632.84239316239314</v>
      </c>
      <c r="BF318" s="16">
        <f>Demand_LP!I$13/30</f>
        <v>536.05500267094021</v>
      </c>
      <c r="BG318" s="16">
        <f>Demand_LP!J$13/30</f>
        <v>536.05500267094021</v>
      </c>
      <c r="BH318" s="16">
        <f>Demand_LP!K$13/30</f>
        <v>536.05500267094021</v>
      </c>
      <c r="BI318" s="16" t="e">
        <f t="shared" si="133"/>
        <v>#VALUE!</v>
      </c>
      <c r="BJ318" s="16">
        <f t="shared" si="134"/>
        <v>-179966.77145299115</v>
      </c>
      <c r="BK318" s="16">
        <f t="shared" si="135"/>
        <v>-91166.54418803443</v>
      </c>
      <c r="BL318" s="16">
        <f t="shared" si="136"/>
        <v>-237545.81306069356</v>
      </c>
      <c r="BM318" s="16">
        <f t="shared" si="137"/>
        <v>-143971.89740908664</v>
      </c>
      <c r="BN318" s="16">
        <f t="shared" si="138"/>
        <v>-248125.39988518303</v>
      </c>
      <c r="BO318" s="16">
        <f t="shared" si="139"/>
        <v>-182324.35094017093</v>
      </c>
      <c r="BP318" s="16">
        <f t="shared" si="140"/>
        <v>-145083.58132745721</v>
      </c>
      <c r="BQ318" s="16">
        <f t="shared" si="141"/>
        <v>-142073.58132745733</v>
      </c>
      <c r="BR318" s="16">
        <f t="shared" si="142"/>
        <v>-143273.58132745724</v>
      </c>
      <c r="BS318" s="14">
        <f>IF([1]Sheet2!CA317=999999,"NA",[1]Sheet2!CA317)</f>
        <v>73205.418672542728</v>
      </c>
      <c r="BT318" s="14">
        <f>IF([1]Sheet2!CB317=999999,"NA",[1]Sheet2!CB317)</f>
        <v>0</v>
      </c>
      <c r="BU318" s="14">
        <f>IF([1]Sheet2!CC317=999999,"NA",[1]Sheet2!CC317)</f>
        <v>50</v>
      </c>
      <c r="BV318" s="14">
        <f>IF([1]Sheet2!CD317=999999,"NA",[1]Sheet2!CD317)</f>
        <v>50</v>
      </c>
      <c r="BW318" s="14">
        <f>IF([1]Sheet2!CE317=999999,"NA",[1]Sheet2!CE317)</f>
        <v>19</v>
      </c>
      <c r="BX318" s="14">
        <f>IF([1]Sheet2!CF317=999999,"NA",[1]Sheet2!CF317)</f>
        <v>50</v>
      </c>
      <c r="BY318" s="14">
        <f>IF([1]Sheet2!CG317=999999,"NA",[1]Sheet2!CG317)</f>
        <v>0</v>
      </c>
      <c r="BZ318" s="14">
        <f>IF([1]Sheet2!CH317=999999,"NA",[1]Sheet2!CH317)</f>
        <v>50</v>
      </c>
      <c r="CA318" s="14">
        <f>IF([1]Sheet2!CI317=999999,"NA",[1]Sheet2!CI317)</f>
        <v>50</v>
      </c>
      <c r="CB318" s="14">
        <f>IF([1]Sheet2!CJ317=999999,"NA",[1]Sheet2!CJ317)</f>
        <v>50</v>
      </c>
      <c r="CC318" s="14">
        <f>[1]Sheet2!BG317</f>
        <v>0</v>
      </c>
      <c r="CD318" s="14">
        <f>[1]Sheet2!BH317</f>
        <v>0</v>
      </c>
      <c r="CE318" s="14">
        <f>[1]Sheet2!BI317</f>
        <v>0</v>
      </c>
      <c r="CF318" s="14">
        <f>[1]Sheet2!BJ317</f>
        <v>0</v>
      </c>
      <c r="CG318" s="14">
        <f>[1]Sheet2!BK317</f>
        <v>0</v>
      </c>
      <c r="CH318" s="14">
        <f>[1]Sheet2!BL317</f>
        <v>0</v>
      </c>
      <c r="CI318" s="14">
        <f>[1]Sheet2!BM317</f>
        <v>0</v>
      </c>
      <c r="CJ318" s="14">
        <f>[1]Sheet2!BN317</f>
        <v>0</v>
      </c>
      <c r="CK318" s="14">
        <f>[1]Sheet2!BO317</f>
        <v>0</v>
      </c>
      <c r="CL318" s="14">
        <f>[1]Sheet2!BP317</f>
        <v>0</v>
      </c>
      <c r="CM318" s="16">
        <f>Demand_SW!B$13/30</f>
        <v>144.23076923076923</v>
      </c>
      <c r="CN318" s="16">
        <f>Demand_SW!C$13/30</f>
        <v>0</v>
      </c>
      <c r="CO318" s="16">
        <f>Demand_SW!D$13/30</f>
        <v>0</v>
      </c>
      <c r="CP318" s="16">
        <f>Demand_SW!E$13/30</f>
        <v>0</v>
      </c>
      <c r="CQ318" s="16">
        <f>Demand_SW!F$13/30</f>
        <v>0</v>
      </c>
      <c r="CR318" s="16">
        <f>Demand_SW!G$13/30</f>
        <v>144.23076923076923</v>
      </c>
      <c r="CS318" s="16">
        <f>Demand_SW!H$13/30</f>
        <v>0</v>
      </c>
      <c r="CT318" s="16">
        <f>Demand_SW!I$13/30</f>
        <v>0</v>
      </c>
      <c r="CU318" s="16">
        <f>Demand_SW!J$13/30</f>
        <v>0</v>
      </c>
      <c r="CV318" s="16">
        <f>Demand_SW!K$13/30</f>
        <v>0</v>
      </c>
      <c r="CW318" s="16">
        <f t="shared" si="143"/>
        <v>58038.846153846112</v>
      </c>
      <c r="CX318" s="16">
        <f t="shared" si="144"/>
        <v>20683.923076923078</v>
      </c>
      <c r="CY318" s="16">
        <f t="shared" si="145"/>
        <v>0</v>
      </c>
      <c r="CZ318" s="16">
        <f t="shared" si="146"/>
        <v>0</v>
      </c>
      <c r="DA318" s="16">
        <f t="shared" si="147"/>
        <v>0</v>
      </c>
      <c r="DB318" s="16">
        <f t="shared" si="148"/>
        <v>-41490.384615384624</v>
      </c>
      <c r="DC318" s="16">
        <f t="shared" si="149"/>
        <v>20683.923076923078</v>
      </c>
      <c r="DD318" s="16">
        <f t="shared" si="150"/>
        <v>0</v>
      </c>
      <c r="DE318" s="16">
        <f t="shared" si="151"/>
        <v>0</v>
      </c>
      <c r="DF318" s="16">
        <f t="shared" si="152"/>
        <v>0</v>
      </c>
      <c r="DG318" s="14">
        <f>IF([1]Sheet2!DR317=999999,"NA",[1]Sheet2!DR317)</f>
        <v>73103</v>
      </c>
      <c r="DH318" s="14">
        <f>IF([1]Sheet2!DS317=999999,"NA",[1]Sheet2!DS317)</f>
        <v>50</v>
      </c>
      <c r="DI318" s="14">
        <f>IF([1]Sheet2!DT317=999999,"NA",[1]Sheet2!DT317)</f>
        <v>50</v>
      </c>
      <c r="DJ318" s="14" t="str">
        <f>IF([1]Sheet2!DU317=999999,"NA",[1]Sheet2!DU317)</f>
        <v>NA</v>
      </c>
      <c r="DK318" s="14" t="str">
        <f>IF([1]Sheet2!DV317=999999,"NA",[1]Sheet2!DV317)</f>
        <v>NA</v>
      </c>
      <c r="DL318" s="14" t="str">
        <f>IF([1]Sheet2!DW317=999999,"NA",[1]Sheet2!DW317)</f>
        <v>NA</v>
      </c>
      <c r="DM318" s="14">
        <f>IF([1]Sheet2!DX317=999999,"NA",[1]Sheet2!DX317)</f>
        <v>50</v>
      </c>
      <c r="DN318" s="14">
        <f>IF([1]Sheet2!DY317=999999,"NA",[1]Sheet2!DY317)</f>
        <v>50</v>
      </c>
      <c r="DO318" s="14" t="str">
        <f>IF([1]Sheet2!DZ317=999999,"NA",[1]Sheet2!DZ317)</f>
        <v>NA</v>
      </c>
      <c r="DP318" s="14" t="str">
        <f>IF([1]Sheet2!EA317=999999,"NA",[1]Sheet2!EA317)</f>
        <v>NA</v>
      </c>
      <c r="DQ318" s="14">
        <f>[1]Sheet2!CX317</f>
        <v>0</v>
      </c>
      <c r="DR318" s="14">
        <f>[1]Sheet2!CY317</f>
        <v>0</v>
      </c>
      <c r="DS318" s="14">
        <f>[1]Sheet2!CZ317</f>
        <v>0</v>
      </c>
      <c r="DT318" s="14">
        <f>[1]Sheet2!DA317</f>
        <v>0</v>
      </c>
      <c r="DU318" s="14">
        <f>[1]Sheet2!DB317</f>
        <v>0</v>
      </c>
      <c r="DV318" s="14">
        <f>[1]Sheet2!DC317</f>
        <v>0</v>
      </c>
      <c r="DW318" s="14">
        <f>[1]Sheet2!DD317</f>
        <v>0</v>
      </c>
      <c r="DX318" s="14">
        <f>[1]Sheet2!DE317</f>
        <v>0</v>
      </c>
      <c r="DY318" s="14">
        <f>[1]Sheet2!DF317</f>
        <v>0</v>
      </c>
      <c r="DZ318" s="14">
        <f>[1]Sheet2!DG317</f>
        <v>0</v>
      </c>
    </row>
    <row r="319" spans="1:130" x14ac:dyDescent="0.25">
      <c r="A319" s="15">
        <v>43781</v>
      </c>
      <c r="B319" s="1"/>
      <c r="C319" s="1"/>
      <c r="D319" s="1"/>
      <c r="E319" s="14">
        <f>[1]Sheet2!N318</f>
        <v>0</v>
      </c>
      <c r="F319" s="14">
        <f>[1]Sheet2!BE318</f>
        <v>0</v>
      </c>
      <c r="G319" s="14">
        <f>[1]Sheet2!CV318</f>
        <v>288.46153846153851</v>
      </c>
      <c r="H319" s="1"/>
      <c r="I319" s="1"/>
      <c r="J319" s="1"/>
      <c r="K319" s="16">
        <f>Demand_CWRS!B$13/30</f>
        <v>111.92954594017094</v>
      </c>
      <c r="L319" s="16">
        <f>Demand_CWRS!C$13/30</f>
        <v>550.01145299145287</v>
      </c>
      <c r="M319" s="16">
        <f>Demand_CWRS!D$13/30</f>
        <v>0</v>
      </c>
      <c r="N319" s="16">
        <f>Demand_CWRS!E$13/30</f>
        <v>105.42606837606837</v>
      </c>
      <c r="O319" s="16">
        <f>Demand_CWRS!F$13/30</f>
        <v>220.33041399572647</v>
      </c>
      <c r="P319" s="16">
        <f>Demand_CWRS!G$13/30</f>
        <v>111.92954594017094</v>
      </c>
      <c r="Q319" s="16">
        <f>Demand_CWRS!H$13/30</f>
        <v>550.01145299145287</v>
      </c>
      <c r="R319" s="16">
        <f>Demand_CWRS!I$13/30</f>
        <v>220.33041399572647</v>
      </c>
      <c r="S319" s="16">
        <f>Demand_CWRS!J$13/30</f>
        <v>220.33041399572647</v>
      </c>
      <c r="T319" s="16">
        <f>Demand_CWRS!K$13/30</f>
        <v>220.33041399572647</v>
      </c>
      <c r="U319" s="16">
        <f t="shared" si="123"/>
        <v>-40831.769133550282</v>
      </c>
      <c r="V319" s="16">
        <f t="shared" si="124"/>
        <v>-150485.88871794826</v>
      </c>
      <c r="W319" s="16">
        <f t="shared" si="125"/>
        <v>0</v>
      </c>
      <c r="X319" s="16">
        <f t="shared" si="126"/>
        <v>-34720.543216488048</v>
      </c>
      <c r="Y319" s="16">
        <f t="shared" si="127"/>
        <v>-68360.280405306839</v>
      </c>
      <c r="Z319" s="16">
        <f t="shared" si="128"/>
        <v>-40434.836609511876</v>
      </c>
      <c r="AA319" s="16">
        <f t="shared" si="129"/>
        <v>-149985.88871794826</v>
      </c>
      <c r="AB319" s="16">
        <f t="shared" si="130"/>
        <v>-65876.434924537491</v>
      </c>
      <c r="AC319" s="16">
        <f t="shared" si="131"/>
        <v>-65876.434924537476</v>
      </c>
      <c r="AD319" s="16">
        <f t="shared" si="132"/>
        <v>-66576.434924537491</v>
      </c>
      <c r="AE319" s="14">
        <f>IF([1]Sheet2!AJ318=999999,"NA",[1]Sheet2!AJ318)</f>
        <v>0</v>
      </c>
      <c r="AF319" s="14">
        <f>IF([1]Sheet2!AK318=999999,"NA",[1]Sheet2!AK318)</f>
        <v>0</v>
      </c>
      <c r="AG319" s="14" t="str">
        <f>IF([1]Sheet2!AL318=999999,"NA",[1]Sheet2!AL318)</f>
        <v>NA</v>
      </c>
      <c r="AH319" s="14">
        <f>IF([1]Sheet2!AM318=999999,"NA",[1]Sheet2!AM318)</f>
        <v>49</v>
      </c>
      <c r="AI319" s="14">
        <f>IF([1]Sheet2!AN318=999999,"NA",[1]Sheet2!AN318)</f>
        <v>49</v>
      </c>
      <c r="AJ319" s="14">
        <f>IF([1]Sheet2!AO318=999999,"NA",[1]Sheet2!AO318)</f>
        <v>49</v>
      </c>
      <c r="AK319" s="14">
        <f>IF([1]Sheet2!AP318=999999,"NA",[1]Sheet2!AP318)</f>
        <v>0</v>
      </c>
      <c r="AL319" s="14">
        <f>IF([1]Sheet2!AQ318=999999,"NA",[1]Sheet2!AQ318)</f>
        <v>0</v>
      </c>
      <c r="AM319" s="14">
        <f>IF([1]Sheet2!AR318=999999,"NA",[1]Sheet2!AR318)</f>
        <v>49</v>
      </c>
      <c r="AN319" s="14">
        <f>IF([1]Sheet2!AS318=999999,"NA",[1]Sheet2!AS318)</f>
        <v>0</v>
      </c>
      <c r="AO319" s="14">
        <f>[1]Sheet2!P318</f>
        <v>0</v>
      </c>
      <c r="AP319" s="14">
        <f>[1]Sheet2!Q318</f>
        <v>0</v>
      </c>
      <c r="AQ319" s="14">
        <f>[1]Sheet2!R318</f>
        <v>0</v>
      </c>
      <c r="AR319" s="14">
        <f>[1]Sheet2!S318</f>
        <v>0</v>
      </c>
      <c r="AS319" s="14">
        <f>[1]Sheet2!T318</f>
        <v>0</v>
      </c>
      <c r="AT319" s="14">
        <f>[1]Sheet2!U318</f>
        <v>0</v>
      </c>
      <c r="AU319" s="14">
        <f>[1]Sheet2!V318</f>
        <v>0</v>
      </c>
      <c r="AV319" s="14">
        <f>[1]Sheet2!W318</f>
        <v>0</v>
      </c>
      <c r="AW319" s="14">
        <f>[1]Sheet2!X318</f>
        <v>0</v>
      </c>
      <c r="AX319" s="14">
        <f>[1]Sheet2!Y318</f>
        <v>0</v>
      </c>
      <c r="AY319" s="16">
        <f>Demand_LP!B$13/30</f>
        <v>849.16414262820524</v>
      </c>
      <c r="AZ319" s="16">
        <f>Demand_LP!C$13/30</f>
        <v>632.84239316239314</v>
      </c>
      <c r="BA319" s="16">
        <f>Demand_LP!D$13/30</f>
        <v>269.64247863247863</v>
      </c>
      <c r="BB319" s="16">
        <f>Demand_LP!E$13/30</f>
        <v>815.03102564102551</v>
      </c>
      <c r="BC319" s="16">
        <f>Demand_LP!F$13/30</f>
        <v>536.05500267094021</v>
      </c>
      <c r="BD319" s="16">
        <f>Demand_LP!G$13/30</f>
        <v>849.16414262820524</v>
      </c>
      <c r="BE319" s="16">
        <f>Demand_LP!H$13/30</f>
        <v>632.84239316239314</v>
      </c>
      <c r="BF319" s="16">
        <f>Demand_LP!I$13/30</f>
        <v>536.05500267094021</v>
      </c>
      <c r="BG319" s="16">
        <f>Demand_LP!J$13/30</f>
        <v>536.05500267094021</v>
      </c>
      <c r="BH319" s="16">
        <f>Demand_LP!K$13/30</f>
        <v>536.05500267094021</v>
      </c>
      <c r="BI319" s="16" t="e">
        <f t="shared" si="133"/>
        <v>#VALUE!</v>
      </c>
      <c r="BJ319" s="16">
        <f t="shared" si="134"/>
        <v>-180599.61384615354</v>
      </c>
      <c r="BK319" s="16">
        <f t="shared" si="135"/>
        <v>-91436.186666666908</v>
      </c>
      <c r="BL319" s="16">
        <f t="shared" si="136"/>
        <v>-238360.84408633457</v>
      </c>
      <c r="BM319" s="16">
        <f t="shared" si="137"/>
        <v>-144507.95241175758</v>
      </c>
      <c r="BN319" s="16">
        <f t="shared" si="138"/>
        <v>-248974.56402781123</v>
      </c>
      <c r="BO319" s="16">
        <f t="shared" si="139"/>
        <v>-182957.19333333333</v>
      </c>
      <c r="BP319" s="16">
        <f t="shared" si="140"/>
        <v>-145619.63633012815</v>
      </c>
      <c r="BQ319" s="16">
        <f t="shared" si="141"/>
        <v>-142609.63633012827</v>
      </c>
      <c r="BR319" s="16">
        <f t="shared" si="142"/>
        <v>-143809.63633012818</v>
      </c>
      <c r="BS319" s="14">
        <f>IF([1]Sheet2!CA318=999999,"NA",[1]Sheet2!CA318)</f>
        <v>72669.363669871789</v>
      </c>
      <c r="BT319" s="14">
        <f>IF([1]Sheet2!CB318=999999,"NA",[1]Sheet2!CB318)</f>
        <v>0</v>
      </c>
      <c r="BU319" s="14">
        <f>IF([1]Sheet2!CC318=999999,"NA",[1]Sheet2!CC318)</f>
        <v>49</v>
      </c>
      <c r="BV319" s="14">
        <f>IF([1]Sheet2!CD318=999999,"NA",[1]Sheet2!CD318)</f>
        <v>49</v>
      </c>
      <c r="BW319" s="14">
        <f>IF([1]Sheet2!CE318=999999,"NA",[1]Sheet2!CE318)</f>
        <v>18</v>
      </c>
      <c r="BX319" s="14">
        <f>IF([1]Sheet2!CF318=999999,"NA",[1]Sheet2!CF318)</f>
        <v>49</v>
      </c>
      <c r="BY319" s="14">
        <f>IF([1]Sheet2!CG318=999999,"NA",[1]Sheet2!CG318)</f>
        <v>0</v>
      </c>
      <c r="BZ319" s="14">
        <f>IF([1]Sheet2!CH318=999999,"NA",[1]Sheet2!CH318)</f>
        <v>49</v>
      </c>
      <c r="CA319" s="14">
        <f>IF([1]Sheet2!CI318=999999,"NA",[1]Sheet2!CI318)</f>
        <v>49</v>
      </c>
      <c r="CB319" s="14">
        <f>IF([1]Sheet2!CJ318=999999,"NA",[1]Sheet2!CJ318)</f>
        <v>49</v>
      </c>
      <c r="CC319" s="14">
        <f>[1]Sheet2!BG318</f>
        <v>0</v>
      </c>
      <c r="CD319" s="14">
        <f>[1]Sheet2!BH318</f>
        <v>0</v>
      </c>
      <c r="CE319" s="14">
        <f>[1]Sheet2!BI318</f>
        <v>0</v>
      </c>
      <c r="CF319" s="14">
        <f>[1]Sheet2!BJ318</f>
        <v>0</v>
      </c>
      <c r="CG319" s="14">
        <f>[1]Sheet2!BK318</f>
        <v>0</v>
      </c>
      <c r="CH319" s="14">
        <f>[1]Sheet2!BL318</f>
        <v>0</v>
      </c>
      <c r="CI319" s="14">
        <f>[1]Sheet2!BM318</f>
        <v>0</v>
      </c>
      <c r="CJ319" s="14">
        <f>[1]Sheet2!BN318</f>
        <v>0</v>
      </c>
      <c r="CK319" s="14">
        <f>[1]Sheet2!BO318</f>
        <v>0</v>
      </c>
      <c r="CL319" s="14">
        <f>[1]Sheet2!BP318</f>
        <v>0</v>
      </c>
      <c r="CM319" s="16">
        <f>Demand_SW!B$13/30</f>
        <v>144.23076923076923</v>
      </c>
      <c r="CN319" s="16">
        <f>Demand_SW!C$13/30</f>
        <v>0</v>
      </c>
      <c r="CO319" s="16">
        <f>Demand_SW!D$13/30</f>
        <v>0</v>
      </c>
      <c r="CP319" s="16">
        <f>Demand_SW!E$13/30</f>
        <v>0</v>
      </c>
      <c r="CQ319" s="16">
        <f>Demand_SW!F$13/30</f>
        <v>0</v>
      </c>
      <c r="CR319" s="16">
        <f>Demand_SW!G$13/30</f>
        <v>144.23076923076923</v>
      </c>
      <c r="CS319" s="16">
        <f>Demand_SW!H$13/30</f>
        <v>0</v>
      </c>
      <c r="CT319" s="16">
        <f>Demand_SW!I$13/30</f>
        <v>0</v>
      </c>
      <c r="CU319" s="16">
        <f>Demand_SW!J$13/30</f>
        <v>0</v>
      </c>
      <c r="CV319" s="16">
        <f>Demand_SW!K$13/30</f>
        <v>0</v>
      </c>
      <c r="CW319" s="16">
        <f t="shared" si="143"/>
        <v>57894.615384615347</v>
      </c>
      <c r="CX319" s="16">
        <f t="shared" si="144"/>
        <v>20683.923076923078</v>
      </c>
      <c r="CY319" s="16">
        <f t="shared" si="145"/>
        <v>0</v>
      </c>
      <c r="CZ319" s="16">
        <f t="shared" si="146"/>
        <v>0</v>
      </c>
      <c r="DA319" s="16">
        <f t="shared" si="147"/>
        <v>0</v>
      </c>
      <c r="DB319" s="16">
        <f t="shared" si="148"/>
        <v>-41634.61538461539</v>
      </c>
      <c r="DC319" s="16">
        <f t="shared" si="149"/>
        <v>20683.923076923078</v>
      </c>
      <c r="DD319" s="16">
        <f t="shared" si="150"/>
        <v>0</v>
      </c>
      <c r="DE319" s="16">
        <f t="shared" si="151"/>
        <v>0</v>
      </c>
      <c r="DF319" s="16">
        <f t="shared" si="152"/>
        <v>0</v>
      </c>
      <c r="DG319" s="14">
        <f>IF([1]Sheet2!DR318=999999,"NA",[1]Sheet2!DR318)</f>
        <v>73103</v>
      </c>
      <c r="DH319" s="14">
        <f>IF([1]Sheet2!DS318=999999,"NA",[1]Sheet2!DS318)</f>
        <v>49</v>
      </c>
      <c r="DI319" s="14">
        <f>IF([1]Sheet2!DT318=999999,"NA",[1]Sheet2!DT318)</f>
        <v>49</v>
      </c>
      <c r="DJ319" s="14" t="str">
        <f>IF([1]Sheet2!DU318=999999,"NA",[1]Sheet2!DU318)</f>
        <v>NA</v>
      </c>
      <c r="DK319" s="14" t="str">
        <f>IF([1]Sheet2!DV318=999999,"NA",[1]Sheet2!DV318)</f>
        <v>NA</v>
      </c>
      <c r="DL319" s="14" t="str">
        <f>IF([1]Sheet2!DW318=999999,"NA",[1]Sheet2!DW318)</f>
        <v>NA</v>
      </c>
      <c r="DM319" s="14">
        <f>IF([1]Sheet2!DX318=999999,"NA",[1]Sheet2!DX318)</f>
        <v>49</v>
      </c>
      <c r="DN319" s="14">
        <f>IF([1]Sheet2!DY318=999999,"NA",[1]Sheet2!DY318)</f>
        <v>49</v>
      </c>
      <c r="DO319" s="14" t="str">
        <f>IF([1]Sheet2!DZ318=999999,"NA",[1]Sheet2!DZ318)</f>
        <v>NA</v>
      </c>
      <c r="DP319" s="14" t="str">
        <f>IF([1]Sheet2!EA318=999999,"NA",[1]Sheet2!EA318)</f>
        <v>NA</v>
      </c>
      <c r="DQ319" s="14">
        <f>[1]Sheet2!CX318</f>
        <v>0</v>
      </c>
      <c r="DR319" s="14">
        <f>[1]Sheet2!CY318</f>
        <v>0</v>
      </c>
      <c r="DS319" s="14">
        <f>[1]Sheet2!CZ318</f>
        <v>0</v>
      </c>
      <c r="DT319" s="14">
        <f>[1]Sheet2!DA318</f>
        <v>0</v>
      </c>
      <c r="DU319" s="14">
        <f>[1]Sheet2!DB318</f>
        <v>0</v>
      </c>
      <c r="DV319" s="14">
        <f>[1]Sheet2!DC318</f>
        <v>0</v>
      </c>
      <c r="DW319" s="14">
        <f>[1]Sheet2!DD318</f>
        <v>0</v>
      </c>
      <c r="DX319" s="14">
        <f>[1]Sheet2!DE318</f>
        <v>0</v>
      </c>
      <c r="DY319" s="14">
        <f>[1]Sheet2!DF318</f>
        <v>0</v>
      </c>
      <c r="DZ319" s="14">
        <f>[1]Sheet2!DG318</f>
        <v>0</v>
      </c>
    </row>
    <row r="320" spans="1:130" x14ac:dyDescent="0.25">
      <c r="A320" s="15">
        <v>43782</v>
      </c>
      <c r="B320" s="1"/>
      <c r="C320" s="1"/>
      <c r="D320" s="1"/>
      <c r="E320" s="14">
        <f>[1]Sheet2!N319</f>
        <v>0</v>
      </c>
      <c r="F320" s="14">
        <f>[1]Sheet2!BE319</f>
        <v>0</v>
      </c>
      <c r="G320" s="14">
        <f>[1]Sheet2!CV319</f>
        <v>288.46153846153851</v>
      </c>
      <c r="H320" s="1"/>
      <c r="I320" s="1"/>
      <c r="J320" s="1"/>
      <c r="K320" s="16">
        <f>Demand_CWRS!B$13/30</f>
        <v>111.92954594017094</v>
      </c>
      <c r="L320" s="16">
        <f>Demand_CWRS!C$13/30</f>
        <v>550.01145299145287</v>
      </c>
      <c r="M320" s="16">
        <f>Demand_CWRS!D$13/30</f>
        <v>0</v>
      </c>
      <c r="N320" s="16">
        <f>Demand_CWRS!E$13/30</f>
        <v>105.42606837606837</v>
      </c>
      <c r="O320" s="16">
        <f>Demand_CWRS!F$13/30</f>
        <v>220.33041399572647</v>
      </c>
      <c r="P320" s="16">
        <f>Demand_CWRS!G$13/30</f>
        <v>111.92954594017094</v>
      </c>
      <c r="Q320" s="16">
        <f>Demand_CWRS!H$13/30</f>
        <v>550.01145299145287</v>
      </c>
      <c r="R320" s="16">
        <f>Demand_CWRS!I$13/30</f>
        <v>220.33041399572647</v>
      </c>
      <c r="S320" s="16">
        <f>Demand_CWRS!J$13/30</f>
        <v>220.33041399572647</v>
      </c>
      <c r="T320" s="16">
        <f>Demand_CWRS!K$13/30</f>
        <v>220.33041399572647</v>
      </c>
      <c r="U320" s="16">
        <f t="shared" si="123"/>
        <v>-40943.698679490451</v>
      </c>
      <c r="V320" s="16">
        <f t="shared" si="124"/>
        <v>-151035.90017093971</v>
      </c>
      <c r="W320" s="16">
        <f t="shared" si="125"/>
        <v>0</v>
      </c>
      <c r="X320" s="16">
        <f t="shared" si="126"/>
        <v>-34825.969284864113</v>
      </c>
      <c r="Y320" s="16">
        <f t="shared" si="127"/>
        <v>-68580.610819302572</v>
      </c>
      <c r="Z320" s="16">
        <f t="shared" si="128"/>
        <v>-40546.766155452045</v>
      </c>
      <c r="AA320" s="16">
        <f t="shared" si="129"/>
        <v>-150535.90017093971</v>
      </c>
      <c r="AB320" s="16">
        <f t="shared" si="130"/>
        <v>-66096.765338533223</v>
      </c>
      <c r="AC320" s="16">
        <f t="shared" si="131"/>
        <v>-66096.765338533209</v>
      </c>
      <c r="AD320" s="16">
        <f t="shared" si="132"/>
        <v>-66796.765338533223</v>
      </c>
      <c r="AE320" s="14">
        <f>IF([1]Sheet2!AJ319=999999,"NA",[1]Sheet2!AJ319)</f>
        <v>0</v>
      </c>
      <c r="AF320" s="14">
        <f>IF([1]Sheet2!AK319=999999,"NA",[1]Sheet2!AK319)</f>
        <v>0</v>
      </c>
      <c r="AG320" s="14" t="str">
        <f>IF([1]Sheet2!AL319=999999,"NA",[1]Sheet2!AL319)</f>
        <v>NA</v>
      </c>
      <c r="AH320" s="14">
        <f>IF([1]Sheet2!AM319=999999,"NA",[1]Sheet2!AM319)</f>
        <v>48</v>
      </c>
      <c r="AI320" s="14">
        <f>IF([1]Sheet2!AN319=999999,"NA",[1]Sheet2!AN319)</f>
        <v>48</v>
      </c>
      <c r="AJ320" s="14">
        <f>IF([1]Sheet2!AO319=999999,"NA",[1]Sheet2!AO319)</f>
        <v>48</v>
      </c>
      <c r="AK320" s="14">
        <f>IF([1]Sheet2!AP319=999999,"NA",[1]Sheet2!AP319)</f>
        <v>0</v>
      </c>
      <c r="AL320" s="14">
        <f>IF([1]Sheet2!AQ319=999999,"NA",[1]Sheet2!AQ319)</f>
        <v>0</v>
      </c>
      <c r="AM320" s="14">
        <f>IF([1]Sheet2!AR319=999999,"NA",[1]Sheet2!AR319)</f>
        <v>48</v>
      </c>
      <c r="AN320" s="14">
        <f>IF([1]Sheet2!AS319=999999,"NA",[1]Sheet2!AS319)</f>
        <v>0</v>
      </c>
      <c r="AO320" s="14">
        <f>[1]Sheet2!P319</f>
        <v>0</v>
      </c>
      <c r="AP320" s="14">
        <f>[1]Sheet2!Q319</f>
        <v>0</v>
      </c>
      <c r="AQ320" s="14">
        <f>[1]Sheet2!R319</f>
        <v>0</v>
      </c>
      <c r="AR320" s="14">
        <f>[1]Sheet2!S319</f>
        <v>0</v>
      </c>
      <c r="AS320" s="14">
        <f>[1]Sheet2!T319</f>
        <v>0</v>
      </c>
      <c r="AT320" s="14">
        <f>[1]Sheet2!U319</f>
        <v>0</v>
      </c>
      <c r="AU320" s="14">
        <f>[1]Sheet2!V319</f>
        <v>0</v>
      </c>
      <c r="AV320" s="14">
        <f>[1]Sheet2!W319</f>
        <v>0</v>
      </c>
      <c r="AW320" s="14">
        <f>[1]Sheet2!X319</f>
        <v>0</v>
      </c>
      <c r="AX320" s="14">
        <f>[1]Sheet2!Y319</f>
        <v>0</v>
      </c>
      <c r="AY320" s="16">
        <f>Demand_LP!B$13/30</f>
        <v>849.16414262820524</v>
      </c>
      <c r="AZ320" s="16">
        <f>Demand_LP!C$13/30</f>
        <v>632.84239316239314</v>
      </c>
      <c r="BA320" s="16">
        <f>Demand_LP!D$13/30</f>
        <v>269.64247863247863</v>
      </c>
      <c r="BB320" s="16">
        <f>Demand_LP!E$13/30</f>
        <v>815.03102564102551</v>
      </c>
      <c r="BC320" s="16">
        <f>Demand_LP!F$13/30</f>
        <v>536.05500267094021</v>
      </c>
      <c r="BD320" s="16">
        <f>Demand_LP!G$13/30</f>
        <v>849.16414262820524</v>
      </c>
      <c r="BE320" s="16">
        <f>Demand_LP!H$13/30</f>
        <v>632.84239316239314</v>
      </c>
      <c r="BF320" s="16">
        <f>Demand_LP!I$13/30</f>
        <v>536.05500267094021</v>
      </c>
      <c r="BG320" s="16">
        <f>Demand_LP!J$13/30</f>
        <v>536.05500267094021</v>
      </c>
      <c r="BH320" s="16">
        <f>Demand_LP!K$13/30</f>
        <v>536.05500267094021</v>
      </c>
      <c r="BI320" s="16" t="e">
        <f t="shared" si="133"/>
        <v>#VALUE!</v>
      </c>
      <c r="BJ320" s="16">
        <f t="shared" si="134"/>
        <v>-181232.45623931594</v>
      </c>
      <c r="BK320" s="16">
        <f t="shared" si="135"/>
        <v>-91705.829145299387</v>
      </c>
      <c r="BL320" s="16">
        <f t="shared" si="136"/>
        <v>-239175.87511197559</v>
      </c>
      <c r="BM320" s="16">
        <f t="shared" si="137"/>
        <v>-145044.00741442852</v>
      </c>
      <c r="BN320" s="16">
        <f t="shared" si="138"/>
        <v>-249823.72817043943</v>
      </c>
      <c r="BO320" s="16">
        <f t="shared" si="139"/>
        <v>-183590.03572649573</v>
      </c>
      <c r="BP320" s="16">
        <f t="shared" si="140"/>
        <v>-146155.69133279909</v>
      </c>
      <c r="BQ320" s="16">
        <f t="shared" si="141"/>
        <v>-143145.69133279921</v>
      </c>
      <c r="BR320" s="16">
        <f t="shared" si="142"/>
        <v>-144345.69133279912</v>
      </c>
      <c r="BS320" s="14">
        <f>IF([1]Sheet2!CA319=999999,"NA",[1]Sheet2!CA319)</f>
        <v>72133.30866720085</v>
      </c>
      <c r="BT320" s="14">
        <f>IF([1]Sheet2!CB319=999999,"NA",[1]Sheet2!CB319)</f>
        <v>0</v>
      </c>
      <c r="BU320" s="14">
        <f>IF([1]Sheet2!CC319=999999,"NA",[1]Sheet2!CC319)</f>
        <v>48</v>
      </c>
      <c r="BV320" s="14">
        <f>IF([1]Sheet2!CD319=999999,"NA",[1]Sheet2!CD319)</f>
        <v>48</v>
      </c>
      <c r="BW320" s="14">
        <f>IF([1]Sheet2!CE319=999999,"NA",[1]Sheet2!CE319)</f>
        <v>17</v>
      </c>
      <c r="BX320" s="14">
        <f>IF([1]Sheet2!CF319=999999,"NA",[1]Sheet2!CF319)</f>
        <v>48</v>
      </c>
      <c r="BY320" s="14">
        <f>IF([1]Sheet2!CG319=999999,"NA",[1]Sheet2!CG319)</f>
        <v>0</v>
      </c>
      <c r="BZ320" s="14">
        <f>IF([1]Sheet2!CH319=999999,"NA",[1]Sheet2!CH319)</f>
        <v>48</v>
      </c>
      <c r="CA320" s="14">
        <f>IF([1]Sheet2!CI319=999999,"NA",[1]Sheet2!CI319)</f>
        <v>48</v>
      </c>
      <c r="CB320" s="14">
        <f>IF([1]Sheet2!CJ319=999999,"NA",[1]Sheet2!CJ319)</f>
        <v>48</v>
      </c>
      <c r="CC320" s="14">
        <f>[1]Sheet2!BG319</f>
        <v>0</v>
      </c>
      <c r="CD320" s="14">
        <f>[1]Sheet2!BH319</f>
        <v>0</v>
      </c>
      <c r="CE320" s="14">
        <f>[1]Sheet2!BI319</f>
        <v>0</v>
      </c>
      <c r="CF320" s="14">
        <f>[1]Sheet2!BJ319</f>
        <v>0</v>
      </c>
      <c r="CG320" s="14">
        <f>[1]Sheet2!BK319</f>
        <v>0</v>
      </c>
      <c r="CH320" s="14">
        <f>[1]Sheet2!BL319</f>
        <v>0</v>
      </c>
      <c r="CI320" s="14">
        <f>[1]Sheet2!BM319</f>
        <v>0</v>
      </c>
      <c r="CJ320" s="14">
        <f>[1]Sheet2!BN319</f>
        <v>0</v>
      </c>
      <c r="CK320" s="14">
        <f>[1]Sheet2!BO319</f>
        <v>0</v>
      </c>
      <c r="CL320" s="14">
        <f>[1]Sheet2!BP319</f>
        <v>0</v>
      </c>
      <c r="CM320" s="16">
        <f>Demand_SW!B$13/30</f>
        <v>144.23076923076923</v>
      </c>
      <c r="CN320" s="16">
        <f>Demand_SW!C$13/30</f>
        <v>0</v>
      </c>
      <c r="CO320" s="16">
        <f>Demand_SW!D$13/30</f>
        <v>0</v>
      </c>
      <c r="CP320" s="16">
        <f>Demand_SW!E$13/30</f>
        <v>0</v>
      </c>
      <c r="CQ320" s="16">
        <f>Demand_SW!F$13/30</f>
        <v>0</v>
      </c>
      <c r="CR320" s="16">
        <f>Demand_SW!G$13/30</f>
        <v>144.23076923076923</v>
      </c>
      <c r="CS320" s="16">
        <f>Demand_SW!H$13/30</f>
        <v>0</v>
      </c>
      <c r="CT320" s="16">
        <f>Demand_SW!I$13/30</f>
        <v>0</v>
      </c>
      <c r="CU320" s="16">
        <f>Demand_SW!J$13/30</f>
        <v>0</v>
      </c>
      <c r="CV320" s="16">
        <f>Demand_SW!K$13/30</f>
        <v>0</v>
      </c>
      <c r="CW320" s="16">
        <f t="shared" si="143"/>
        <v>57750.384615384581</v>
      </c>
      <c r="CX320" s="16">
        <f t="shared" si="144"/>
        <v>20683.923076923078</v>
      </c>
      <c r="CY320" s="16">
        <f t="shared" si="145"/>
        <v>0</v>
      </c>
      <c r="CZ320" s="16">
        <f t="shared" si="146"/>
        <v>0</v>
      </c>
      <c r="DA320" s="16">
        <f t="shared" si="147"/>
        <v>0</v>
      </c>
      <c r="DB320" s="16">
        <f t="shared" si="148"/>
        <v>-41778.846153846156</v>
      </c>
      <c r="DC320" s="16">
        <f t="shared" si="149"/>
        <v>20683.923076923078</v>
      </c>
      <c r="DD320" s="16">
        <f t="shared" si="150"/>
        <v>0</v>
      </c>
      <c r="DE320" s="16">
        <f t="shared" si="151"/>
        <v>0</v>
      </c>
      <c r="DF320" s="16">
        <f t="shared" si="152"/>
        <v>0</v>
      </c>
      <c r="DG320" s="14">
        <f>IF([1]Sheet2!DR319=999999,"NA",[1]Sheet2!DR319)</f>
        <v>73103</v>
      </c>
      <c r="DH320" s="14">
        <f>IF([1]Sheet2!DS319=999999,"NA",[1]Sheet2!DS319)</f>
        <v>48</v>
      </c>
      <c r="DI320" s="14">
        <f>IF([1]Sheet2!DT319=999999,"NA",[1]Sheet2!DT319)</f>
        <v>48</v>
      </c>
      <c r="DJ320" s="14" t="str">
        <f>IF([1]Sheet2!DU319=999999,"NA",[1]Sheet2!DU319)</f>
        <v>NA</v>
      </c>
      <c r="DK320" s="14" t="str">
        <f>IF([1]Sheet2!DV319=999999,"NA",[1]Sheet2!DV319)</f>
        <v>NA</v>
      </c>
      <c r="DL320" s="14" t="str">
        <f>IF([1]Sheet2!DW319=999999,"NA",[1]Sheet2!DW319)</f>
        <v>NA</v>
      </c>
      <c r="DM320" s="14">
        <f>IF([1]Sheet2!DX319=999999,"NA",[1]Sheet2!DX319)</f>
        <v>48</v>
      </c>
      <c r="DN320" s="14">
        <f>IF([1]Sheet2!DY319=999999,"NA",[1]Sheet2!DY319)</f>
        <v>48</v>
      </c>
      <c r="DO320" s="14" t="str">
        <f>IF([1]Sheet2!DZ319=999999,"NA",[1]Sheet2!DZ319)</f>
        <v>NA</v>
      </c>
      <c r="DP320" s="14" t="str">
        <f>IF([1]Sheet2!EA319=999999,"NA",[1]Sheet2!EA319)</f>
        <v>NA</v>
      </c>
      <c r="DQ320" s="14">
        <f>[1]Sheet2!CX319</f>
        <v>0</v>
      </c>
      <c r="DR320" s="14">
        <f>[1]Sheet2!CY319</f>
        <v>0</v>
      </c>
      <c r="DS320" s="14">
        <f>[1]Sheet2!CZ319</f>
        <v>0</v>
      </c>
      <c r="DT320" s="14">
        <f>[1]Sheet2!DA319</f>
        <v>0</v>
      </c>
      <c r="DU320" s="14">
        <f>[1]Sheet2!DB319</f>
        <v>0</v>
      </c>
      <c r="DV320" s="14">
        <f>[1]Sheet2!DC319</f>
        <v>0</v>
      </c>
      <c r="DW320" s="14">
        <f>[1]Sheet2!DD319</f>
        <v>0</v>
      </c>
      <c r="DX320" s="14">
        <f>[1]Sheet2!DE319</f>
        <v>0</v>
      </c>
      <c r="DY320" s="14">
        <f>[1]Sheet2!DF319</f>
        <v>0</v>
      </c>
      <c r="DZ320" s="14">
        <f>[1]Sheet2!DG319</f>
        <v>0</v>
      </c>
    </row>
    <row r="321" spans="1:130" x14ac:dyDescent="0.25">
      <c r="A321" s="15">
        <v>43783</v>
      </c>
      <c r="B321" s="1"/>
      <c r="C321" s="1"/>
      <c r="D321" s="1"/>
      <c r="E321" s="14">
        <f>[1]Sheet2!N320</f>
        <v>0</v>
      </c>
      <c r="F321" s="14">
        <f>[1]Sheet2!BE320</f>
        <v>0</v>
      </c>
      <c r="G321" s="14">
        <f>[1]Sheet2!CV320</f>
        <v>288.46153846153851</v>
      </c>
      <c r="H321" s="1"/>
      <c r="I321" s="1"/>
      <c r="J321" s="1"/>
      <c r="K321" s="16">
        <f>Demand_CWRS!B$13/30</f>
        <v>111.92954594017094</v>
      </c>
      <c r="L321" s="16">
        <f>Demand_CWRS!C$13/30</f>
        <v>550.01145299145287</v>
      </c>
      <c r="M321" s="16">
        <f>Demand_CWRS!D$13/30</f>
        <v>0</v>
      </c>
      <c r="N321" s="16">
        <f>Demand_CWRS!E$13/30</f>
        <v>105.42606837606837</v>
      </c>
      <c r="O321" s="16">
        <f>Demand_CWRS!F$13/30</f>
        <v>220.33041399572647</v>
      </c>
      <c r="P321" s="16">
        <f>Demand_CWRS!G$13/30</f>
        <v>111.92954594017094</v>
      </c>
      <c r="Q321" s="16">
        <f>Demand_CWRS!H$13/30</f>
        <v>550.01145299145287</v>
      </c>
      <c r="R321" s="16">
        <f>Demand_CWRS!I$13/30</f>
        <v>220.33041399572647</v>
      </c>
      <c r="S321" s="16">
        <f>Demand_CWRS!J$13/30</f>
        <v>220.33041399572647</v>
      </c>
      <c r="T321" s="16">
        <f>Demand_CWRS!K$13/30</f>
        <v>220.33041399572647</v>
      </c>
      <c r="U321" s="16">
        <f t="shared" si="123"/>
        <v>-41055.628225430621</v>
      </c>
      <c r="V321" s="16">
        <f t="shared" si="124"/>
        <v>-151585.91162393117</v>
      </c>
      <c r="W321" s="16">
        <f t="shared" si="125"/>
        <v>0</v>
      </c>
      <c r="X321" s="16">
        <f t="shared" si="126"/>
        <v>-34931.395353240179</v>
      </c>
      <c r="Y321" s="16">
        <f t="shared" si="127"/>
        <v>-68800.941233298305</v>
      </c>
      <c r="Z321" s="16">
        <f t="shared" si="128"/>
        <v>-40658.695701392215</v>
      </c>
      <c r="AA321" s="16">
        <f t="shared" si="129"/>
        <v>-151085.91162393117</v>
      </c>
      <c r="AB321" s="16">
        <f t="shared" si="130"/>
        <v>-66317.095752528956</v>
      </c>
      <c r="AC321" s="16">
        <f t="shared" si="131"/>
        <v>-66317.095752528941</v>
      </c>
      <c r="AD321" s="16">
        <f t="shared" si="132"/>
        <v>-67017.095752528956</v>
      </c>
      <c r="AE321" s="14">
        <f>IF([1]Sheet2!AJ320=999999,"NA",[1]Sheet2!AJ320)</f>
        <v>0</v>
      </c>
      <c r="AF321" s="14">
        <f>IF([1]Sheet2!AK320=999999,"NA",[1]Sheet2!AK320)</f>
        <v>0</v>
      </c>
      <c r="AG321" s="14" t="str">
        <f>IF([1]Sheet2!AL320=999999,"NA",[1]Sheet2!AL320)</f>
        <v>NA</v>
      </c>
      <c r="AH321" s="14">
        <f>IF([1]Sheet2!AM320=999999,"NA",[1]Sheet2!AM320)</f>
        <v>47</v>
      </c>
      <c r="AI321" s="14">
        <f>IF([1]Sheet2!AN320=999999,"NA",[1]Sheet2!AN320)</f>
        <v>47</v>
      </c>
      <c r="AJ321" s="14">
        <f>IF([1]Sheet2!AO320=999999,"NA",[1]Sheet2!AO320)</f>
        <v>47</v>
      </c>
      <c r="AK321" s="14">
        <f>IF([1]Sheet2!AP320=999999,"NA",[1]Sheet2!AP320)</f>
        <v>0</v>
      </c>
      <c r="AL321" s="14">
        <f>IF([1]Sheet2!AQ320=999999,"NA",[1]Sheet2!AQ320)</f>
        <v>0</v>
      </c>
      <c r="AM321" s="14">
        <f>IF([1]Sheet2!AR320=999999,"NA",[1]Sheet2!AR320)</f>
        <v>47</v>
      </c>
      <c r="AN321" s="14">
        <f>IF([1]Sheet2!AS320=999999,"NA",[1]Sheet2!AS320)</f>
        <v>0</v>
      </c>
      <c r="AO321" s="14">
        <f>[1]Sheet2!P320</f>
        <v>0</v>
      </c>
      <c r="AP321" s="14">
        <f>[1]Sheet2!Q320</f>
        <v>0</v>
      </c>
      <c r="AQ321" s="14">
        <f>[1]Sheet2!R320</f>
        <v>0</v>
      </c>
      <c r="AR321" s="14">
        <f>[1]Sheet2!S320</f>
        <v>0</v>
      </c>
      <c r="AS321" s="14">
        <f>[1]Sheet2!T320</f>
        <v>0</v>
      </c>
      <c r="AT321" s="14">
        <f>[1]Sheet2!U320</f>
        <v>0</v>
      </c>
      <c r="AU321" s="14">
        <f>[1]Sheet2!V320</f>
        <v>0</v>
      </c>
      <c r="AV321" s="14">
        <f>[1]Sheet2!W320</f>
        <v>0</v>
      </c>
      <c r="AW321" s="14">
        <f>[1]Sheet2!X320</f>
        <v>0</v>
      </c>
      <c r="AX321" s="14">
        <f>[1]Sheet2!Y320</f>
        <v>0</v>
      </c>
      <c r="AY321" s="16">
        <f>Demand_LP!B$13/30</f>
        <v>849.16414262820524</v>
      </c>
      <c r="AZ321" s="16">
        <f>Demand_LP!C$13/30</f>
        <v>632.84239316239314</v>
      </c>
      <c r="BA321" s="16">
        <f>Demand_LP!D$13/30</f>
        <v>269.64247863247863</v>
      </c>
      <c r="BB321" s="16">
        <f>Demand_LP!E$13/30</f>
        <v>815.03102564102551</v>
      </c>
      <c r="BC321" s="16">
        <f>Demand_LP!F$13/30</f>
        <v>536.05500267094021</v>
      </c>
      <c r="BD321" s="16">
        <f>Demand_LP!G$13/30</f>
        <v>849.16414262820524</v>
      </c>
      <c r="BE321" s="16">
        <f>Demand_LP!H$13/30</f>
        <v>632.84239316239314</v>
      </c>
      <c r="BF321" s="16">
        <f>Demand_LP!I$13/30</f>
        <v>536.05500267094021</v>
      </c>
      <c r="BG321" s="16">
        <f>Demand_LP!J$13/30</f>
        <v>536.05500267094021</v>
      </c>
      <c r="BH321" s="16">
        <f>Demand_LP!K$13/30</f>
        <v>536.05500267094021</v>
      </c>
      <c r="BI321" s="16" t="e">
        <f t="shared" si="133"/>
        <v>#VALUE!</v>
      </c>
      <c r="BJ321" s="16">
        <f t="shared" si="134"/>
        <v>-181865.29863247834</v>
      </c>
      <c r="BK321" s="16">
        <f t="shared" si="135"/>
        <v>-91975.471623931866</v>
      </c>
      <c r="BL321" s="16">
        <f t="shared" si="136"/>
        <v>-239990.90613761661</v>
      </c>
      <c r="BM321" s="16">
        <f t="shared" si="137"/>
        <v>-145580.06241709946</v>
      </c>
      <c r="BN321" s="16">
        <f t="shared" si="138"/>
        <v>-250672.89231306763</v>
      </c>
      <c r="BO321" s="16">
        <f t="shared" si="139"/>
        <v>-184222.87811965813</v>
      </c>
      <c r="BP321" s="16">
        <f t="shared" si="140"/>
        <v>-146691.74633547003</v>
      </c>
      <c r="BQ321" s="16">
        <f t="shared" si="141"/>
        <v>-143681.74633547015</v>
      </c>
      <c r="BR321" s="16">
        <f t="shared" si="142"/>
        <v>-144881.74633547006</v>
      </c>
      <c r="BS321" s="14">
        <f>IF([1]Sheet2!CA320=999999,"NA",[1]Sheet2!CA320)</f>
        <v>71597.253664529911</v>
      </c>
      <c r="BT321" s="14">
        <f>IF([1]Sheet2!CB320=999999,"NA",[1]Sheet2!CB320)</f>
        <v>0</v>
      </c>
      <c r="BU321" s="14">
        <f>IF([1]Sheet2!CC320=999999,"NA",[1]Sheet2!CC320)</f>
        <v>47</v>
      </c>
      <c r="BV321" s="14">
        <f>IF([1]Sheet2!CD320=999999,"NA",[1]Sheet2!CD320)</f>
        <v>47</v>
      </c>
      <c r="BW321" s="14">
        <f>IF([1]Sheet2!CE320=999999,"NA",[1]Sheet2!CE320)</f>
        <v>16</v>
      </c>
      <c r="BX321" s="14">
        <f>IF([1]Sheet2!CF320=999999,"NA",[1]Sheet2!CF320)</f>
        <v>47</v>
      </c>
      <c r="BY321" s="14">
        <f>IF([1]Sheet2!CG320=999999,"NA",[1]Sheet2!CG320)</f>
        <v>0</v>
      </c>
      <c r="BZ321" s="14">
        <f>IF([1]Sheet2!CH320=999999,"NA",[1]Sheet2!CH320)</f>
        <v>47</v>
      </c>
      <c r="CA321" s="14">
        <f>IF([1]Sheet2!CI320=999999,"NA",[1]Sheet2!CI320)</f>
        <v>47</v>
      </c>
      <c r="CB321" s="14">
        <f>IF([1]Sheet2!CJ320=999999,"NA",[1]Sheet2!CJ320)</f>
        <v>47</v>
      </c>
      <c r="CC321" s="14">
        <f>[1]Sheet2!BG320</f>
        <v>0</v>
      </c>
      <c r="CD321" s="14">
        <f>[1]Sheet2!BH320</f>
        <v>0</v>
      </c>
      <c r="CE321" s="14">
        <f>[1]Sheet2!BI320</f>
        <v>0</v>
      </c>
      <c r="CF321" s="14">
        <f>[1]Sheet2!BJ320</f>
        <v>0</v>
      </c>
      <c r="CG321" s="14">
        <f>[1]Sheet2!BK320</f>
        <v>0</v>
      </c>
      <c r="CH321" s="14">
        <f>[1]Sheet2!BL320</f>
        <v>0</v>
      </c>
      <c r="CI321" s="14">
        <f>[1]Sheet2!BM320</f>
        <v>0</v>
      </c>
      <c r="CJ321" s="14">
        <f>[1]Sheet2!BN320</f>
        <v>0</v>
      </c>
      <c r="CK321" s="14">
        <f>[1]Sheet2!BO320</f>
        <v>0</v>
      </c>
      <c r="CL321" s="14">
        <f>[1]Sheet2!BP320</f>
        <v>0</v>
      </c>
      <c r="CM321" s="16">
        <f>Demand_SW!B$13/30</f>
        <v>144.23076923076923</v>
      </c>
      <c r="CN321" s="16">
        <f>Demand_SW!C$13/30</f>
        <v>0</v>
      </c>
      <c r="CO321" s="16">
        <f>Demand_SW!D$13/30</f>
        <v>0</v>
      </c>
      <c r="CP321" s="16">
        <f>Demand_SW!E$13/30</f>
        <v>0</v>
      </c>
      <c r="CQ321" s="16">
        <f>Demand_SW!F$13/30</f>
        <v>0</v>
      </c>
      <c r="CR321" s="16">
        <f>Demand_SW!G$13/30</f>
        <v>144.23076923076923</v>
      </c>
      <c r="CS321" s="16">
        <f>Demand_SW!H$13/30</f>
        <v>0</v>
      </c>
      <c r="CT321" s="16">
        <f>Demand_SW!I$13/30</f>
        <v>0</v>
      </c>
      <c r="CU321" s="16">
        <f>Demand_SW!J$13/30</f>
        <v>0</v>
      </c>
      <c r="CV321" s="16">
        <f>Demand_SW!K$13/30</f>
        <v>0</v>
      </c>
      <c r="CW321" s="16">
        <f t="shared" si="143"/>
        <v>57606.153846153815</v>
      </c>
      <c r="CX321" s="16">
        <f t="shared" si="144"/>
        <v>20683.923076923078</v>
      </c>
      <c r="CY321" s="16">
        <f t="shared" si="145"/>
        <v>0</v>
      </c>
      <c r="CZ321" s="16">
        <f t="shared" si="146"/>
        <v>0</v>
      </c>
      <c r="DA321" s="16">
        <f t="shared" si="147"/>
        <v>0</v>
      </c>
      <c r="DB321" s="16">
        <f t="shared" si="148"/>
        <v>-41923.076923076922</v>
      </c>
      <c r="DC321" s="16">
        <f t="shared" si="149"/>
        <v>20683.923076923078</v>
      </c>
      <c r="DD321" s="16">
        <f t="shared" si="150"/>
        <v>0</v>
      </c>
      <c r="DE321" s="16">
        <f t="shared" si="151"/>
        <v>0</v>
      </c>
      <c r="DF321" s="16">
        <f t="shared" si="152"/>
        <v>0</v>
      </c>
      <c r="DG321" s="14">
        <f>IF([1]Sheet2!DR320=999999,"NA",[1]Sheet2!DR320)</f>
        <v>73103</v>
      </c>
      <c r="DH321" s="14">
        <f>IF([1]Sheet2!DS320=999999,"NA",[1]Sheet2!DS320)</f>
        <v>47</v>
      </c>
      <c r="DI321" s="14">
        <f>IF([1]Sheet2!DT320=999999,"NA",[1]Sheet2!DT320)</f>
        <v>47</v>
      </c>
      <c r="DJ321" s="14" t="str">
        <f>IF([1]Sheet2!DU320=999999,"NA",[1]Sheet2!DU320)</f>
        <v>NA</v>
      </c>
      <c r="DK321" s="14" t="str">
        <f>IF([1]Sheet2!DV320=999999,"NA",[1]Sheet2!DV320)</f>
        <v>NA</v>
      </c>
      <c r="DL321" s="14" t="str">
        <f>IF([1]Sheet2!DW320=999999,"NA",[1]Sheet2!DW320)</f>
        <v>NA</v>
      </c>
      <c r="DM321" s="14">
        <f>IF([1]Sheet2!DX320=999999,"NA",[1]Sheet2!DX320)</f>
        <v>47</v>
      </c>
      <c r="DN321" s="14">
        <f>IF([1]Sheet2!DY320=999999,"NA",[1]Sheet2!DY320)</f>
        <v>47</v>
      </c>
      <c r="DO321" s="14" t="str">
        <f>IF([1]Sheet2!DZ320=999999,"NA",[1]Sheet2!DZ320)</f>
        <v>NA</v>
      </c>
      <c r="DP321" s="14" t="str">
        <f>IF([1]Sheet2!EA320=999999,"NA",[1]Sheet2!EA320)</f>
        <v>NA</v>
      </c>
      <c r="DQ321" s="14">
        <f>[1]Sheet2!CX320</f>
        <v>0</v>
      </c>
      <c r="DR321" s="14">
        <f>[1]Sheet2!CY320</f>
        <v>0</v>
      </c>
      <c r="DS321" s="14">
        <f>[1]Sheet2!CZ320</f>
        <v>0</v>
      </c>
      <c r="DT321" s="14">
        <f>[1]Sheet2!DA320</f>
        <v>0</v>
      </c>
      <c r="DU321" s="14">
        <f>[1]Sheet2!DB320</f>
        <v>0</v>
      </c>
      <c r="DV321" s="14">
        <f>[1]Sheet2!DC320</f>
        <v>0</v>
      </c>
      <c r="DW321" s="14">
        <f>[1]Sheet2!DD320</f>
        <v>0</v>
      </c>
      <c r="DX321" s="14">
        <f>[1]Sheet2!DE320</f>
        <v>0</v>
      </c>
      <c r="DY321" s="14">
        <f>[1]Sheet2!DF320</f>
        <v>0</v>
      </c>
      <c r="DZ321" s="14">
        <f>[1]Sheet2!DG320</f>
        <v>0</v>
      </c>
    </row>
    <row r="322" spans="1:130" x14ac:dyDescent="0.25">
      <c r="A322" s="15">
        <v>43784</v>
      </c>
      <c r="B322" s="1"/>
      <c r="C322" s="1"/>
      <c r="D322" s="1"/>
      <c r="E322" s="14">
        <f>[1]Sheet2!N321</f>
        <v>0</v>
      </c>
      <c r="F322" s="14">
        <f>[1]Sheet2!BE321</f>
        <v>0</v>
      </c>
      <c r="G322" s="14">
        <f>[1]Sheet2!CV321</f>
        <v>288.46153846153851</v>
      </c>
      <c r="H322" s="1"/>
      <c r="I322" s="1"/>
      <c r="J322" s="1"/>
      <c r="K322" s="16">
        <f>Demand_CWRS!B$13/30</f>
        <v>111.92954594017094</v>
      </c>
      <c r="L322" s="16">
        <f>Demand_CWRS!C$13/30</f>
        <v>550.01145299145287</v>
      </c>
      <c r="M322" s="16">
        <f>Demand_CWRS!D$13/30</f>
        <v>0</v>
      </c>
      <c r="N322" s="16">
        <f>Demand_CWRS!E$13/30</f>
        <v>105.42606837606837</v>
      </c>
      <c r="O322" s="16">
        <f>Demand_CWRS!F$13/30</f>
        <v>220.33041399572647</v>
      </c>
      <c r="P322" s="16">
        <f>Demand_CWRS!G$13/30</f>
        <v>111.92954594017094</v>
      </c>
      <c r="Q322" s="16">
        <f>Demand_CWRS!H$13/30</f>
        <v>550.01145299145287</v>
      </c>
      <c r="R322" s="16">
        <f>Demand_CWRS!I$13/30</f>
        <v>220.33041399572647</v>
      </c>
      <c r="S322" s="16">
        <f>Demand_CWRS!J$13/30</f>
        <v>220.33041399572647</v>
      </c>
      <c r="T322" s="16">
        <f>Demand_CWRS!K$13/30</f>
        <v>220.33041399572647</v>
      </c>
      <c r="U322" s="16">
        <f t="shared" si="123"/>
        <v>-41167.55777137079</v>
      </c>
      <c r="V322" s="16">
        <f t="shared" si="124"/>
        <v>-152135.92307692263</v>
      </c>
      <c r="W322" s="16">
        <f t="shared" si="125"/>
        <v>0</v>
      </c>
      <c r="X322" s="16">
        <f t="shared" si="126"/>
        <v>-35036.821421616245</v>
      </c>
      <c r="Y322" s="16">
        <f t="shared" si="127"/>
        <v>-69021.271647294037</v>
      </c>
      <c r="Z322" s="16">
        <f t="shared" si="128"/>
        <v>-40770.625247332384</v>
      </c>
      <c r="AA322" s="16">
        <f t="shared" si="129"/>
        <v>-151635.92307692263</v>
      </c>
      <c r="AB322" s="16">
        <f t="shared" si="130"/>
        <v>-66537.426166524689</v>
      </c>
      <c r="AC322" s="16">
        <f t="shared" si="131"/>
        <v>-66537.426166524674</v>
      </c>
      <c r="AD322" s="16">
        <f t="shared" si="132"/>
        <v>-67237.426166524689</v>
      </c>
      <c r="AE322" s="14">
        <f>IF([1]Sheet2!AJ321=999999,"NA",[1]Sheet2!AJ321)</f>
        <v>0</v>
      </c>
      <c r="AF322" s="14">
        <f>IF([1]Sheet2!AK321=999999,"NA",[1]Sheet2!AK321)</f>
        <v>0</v>
      </c>
      <c r="AG322" s="14" t="str">
        <f>IF([1]Sheet2!AL321=999999,"NA",[1]Sheet2!AL321)</f>
        <v>NA</v>
      </c>
      <c r="AH322" s="14">
        <f>IF([1]Sheet2!AM321=999999,"NA",[1]Sheet2!AM321)</f>
        <v>46</v>
      </c>
      <c r="AI322" s="14">
        <f>IF([1]Sheet2!AN321=999999,"NA",[1]Sheet2!AN321)</f>
        <v>46</v>
      </c>
      <c r="AJ322" s="14">
        <f>IF([1]Sheet2!AO321=999999,"NA",[1]Sheet2!AO321)</f>
        <v>46</v>
      </c>
      <c r="AK322" s="14">
        <f>IF([1]Sheet2!AP321=999999,"NA",[1]Sheet2!AP321)</f>
        <v>0</v>
      </c>
      <c r="AL322" s="14">
        <f>IF([1]Sheet2!AQ321=999999,"NA",[1]Sheet2!AQ321)</f>
        <v>0</v>
      </c>
      <c r="AM322" s="14">
        <f>IF([1]Sheet2!AR321=999999,"NA",[1]Sheet2!AR321)</f>
        <v>46</v>
      </c>
      <c r="AN322" s="14">
        <f>IF([1]Sheet2!AS321=999999,"NA",[1]Sheet2!AS321)</f>
        <v>0</v>
      </c>
      <c r="AO322" s="14">
        <f>[1]Sheet2!P321</f>
        <v>0</v>
      </c>
      <c r="AP322" s="14">
        <f>[1]Sheet2!Q321</f>
        <v>0</v>
      </c>
      <c r="AQ322" s="14">
        <f>[1]Sheet2!R321</f>
        <v>0</v>
      </c>
      <c r="AR322" s="14">
        <f>[1]Sheet2!S321</f>
        <v>0</v>
      </c>
      <c r="AS322" s="14">
        <f>[1]Sheet2!T321</f>
        <v>0</v>
      </c>
      <c r="AT322" s="14">
        <f>[1]Sheet2!U321</f>
        <v>0</v>
      </c>
      <c r="AU322" s="14">
        <f>[1]Sheet2!V321</f>
        <v>0</v>
      </c>
      <c r="AV322" s="14">
        <f>[1]Sheet2!W321</f>
        <v>0</v>
      </c>
      <c r="AW322" s="14">
        <f>[1]Sheet2!X321</f>
        <v>0</v>
      </c>
      <c r="AX322" s="14">
        <f>[1]Sheet2!Y321</f>
        <v>0</v>
      </c>
      <c r="AY322" s="16">
        <f>Demand_LP!B$13/30</f>
        <v>849.16414262820524</v>
      </c>
      <c r="AZ322" s="16">
        <f>Demand_LP!C$13/30</f>
        <v>632.84239316239314</v>
      </c>
      <c r="BA322" s="16">
        <f>Demand_LP!D$13/30</f>
        <v>269.64247863247863</v>
      </c>
      <c r="BB322" s="16">
        <f>Demand_LP!E$13/30</f>
        <v>815.03102564102551</v>
      </c>
      <c r="BC322" s="16">
        <f>Demand_LP!F$13/30</f>
        <v>536.05500267094021</v>
      </c>
      <c r="BD322" s="16">
        <f>Demand_LP!G$13/30</f>
        <v>849.16414262820524</v>
      </c>
      <c r="BE322" s="16">
        <f>Demand_LP!H$13/30</f>
        <v>632.84239316239314</v>
      </c>
      <c r="BF322" s="16">
        <f>Demand_LP!I$13/30</f>
        <v>536.05500267094021</v>
      </c>
      <c r="BG322" s="16">
        <f>Demand_LP!J$13/30</f>
        <v>536.05500267094021</v>
      </c>
      <c r="BH322" s="16">
        <f>Demand_LP!K$13/30</f>
        <v>536.05500267094021</v>
      </c>
      <c r="BI322" s="16" t="e">
        <f t="shared" si="133"/>
        <v>#VALUE!</v>
      </c>
      <c r="BJ322" s="16">
        <f t="shared" si="134"/>
        <v>-182498.14102564074</v>
      </c>
      <c r="BK322" s="16">
        <f t="shared" si="135"/>
        <v>-92245.114102564345</v>
      </c>
      <c r="BL322" s="16">
        <f t="shared" si="136"/>
        <v>-240805.93716325762</v>
      </c>
      <c r="BM322" s="16">
        <f t="shared" si="137"/>
        <v>-146116.11741977039</v>
      </c>
      <c r="BN322" s="16">
        <f t="shared" si="138"/>
        <v>-251522.05645569583</v>
      </c>
      <c r="BO322" s="16">
        <f t="shared" si="139"/>
        <v>-184855.72051282052</v>
      </c>
      <c r="BP322" s="16">
        <f t="shared" si="140"/>
        <v>-147227.80133814097</v>
      </c>
      <c r="BQ322" s="16">
        <f t="shared" si="141"/>
        <v>-144217.80133814109</v>
      </c>
      <c r="BR322" s="16">
        <f t="shared" si="142"/>
        <v>-145417.801338141</v>
      </c>
      <c r="BS322" s="14">
        <f>IF([1]Sheet2!CA321=999999,"NA",[1]Sheet2!CA321)</f>
        <v>71061.198661858973</v>
      </c>
      <c r="BT322" s="14">
        <f>IF([1]Sheet2!CB321=999999,"NA",[1]Sheet2!CB321)</f>
        <v>0</v>
      </c>
      <c r="BU322" s="14">
        <f>IF([1]Sheet2!CC321=999999,"NA",[1]Sheet2!CC321)</f>
        <v>46</v>
      </c>
      <c r="BV322" s="14">
        <f>IF([1]Sheet2!CD321=999999,"NA",[1]Sheet2!CD321)</f>
        <v>46</v>
      </c>
      <c r="BW322" s="14">
        <f>IF([1]Sheet2!CE321=999999,"NA",[1]Sheet2!CE321)</f>
        <v>15</v>
      </c>
      <c r="BX322" s="14">
        <f>IF([1]Sheet2!CF321=999999,"NA",[1]Sheet2!CF321)</f>
        <v>46</v>
      </c>
      <c r="BY322" s="14">
        <f>IF([1]Sheet2!CG321=999999,"NA",[1]Sheet2!CG321)</f>
        <v>0</v>
      </c>
      <c r="BZ322" s="14">
        <f>IF([1]Sheet2!CH321=999999,"NA",[1]Sheet2!CH321)</f>
        <v>46</v>
      </c>
      <c r="CA322" s="14">
        <f>IF([1]Sheet2!CI321=999999,"NA",[1]Sheet2!CI321)</f>
        <v>46</v>
      </c>
      <c r="CB322" s="14">
        <f>IF([1]Sheet2!CJ321=999999,"NA",[1]Sheet2!CJ321)</f>
        <v>46</v>
      </c>
      <c r="CC322" s="14">
        <f>[1]Sheet2!BG321</f>
        <v>0</v>
      </c>
      <c r="CD322" s="14">
        <f>[1]Sheet2!BH321</f>
        <v>0</v>
      </c>
      <c r="CE322" s="14">
        <f>[1]Sheet2!BI321</f>
        <v>0</v>
      </c>
      <c r="CF322" s="14">
        <f>[1]Sheet2!BJ321</f>
        <v>0</v>
      </c>
      <c r="CG322" s="14">
        <f>[1]Sheet2!BK321</f>
        <v>0</v>
      </c>
      <c r="CH322" s="14">
        <f>[1]Sheet2!BL321</f>
        <v>0</v>
      </c>
      <c r="CI322" s="14">
        <f>[1]Sheet2!BM321</f>
        <v>0</v>
      </c>
      <c r="CJ322" s="14">
        <f>[1]Sheet2!BN321</f>
        <v>0</v>
      </c>
      <c r="CK322" s="14">
        <f>[1]Sheet2!BO321</f>
        <v>0</v>
      </c>
      <c r="CL322" s="14">
        <f>[1]Sheet2!BP321</f>
        <v>0</v>
      </c>
      <c r="CM322" s="16">
        <f>Demand_SW!B$13/30</f>
        <v>144.23076923076923</v>
      </c>
      <c r="CN322" s="16">
        <f>Demand_SW!C$13/30</f>
        <v>0</v>
      </c>
      <c r="CO322" s="16">
        <f>Demand_SW!D$13/30</f>
        <v>0</v>
      </c>
      <c r="CP322" s="16">
        <f>Demand_SW!E$13/30</f>
        <v>0</v>
      </c>
      <c r="CQ322" s="16">
        <f>Demand_SW!F$13/30</f>
        <v>0</v>
      </c>
      <c r="CR322" s="16">
        <f>Demand_SW!G$13/30</f>
        <v>144.23076923076923</v>
      </c>
      <c r="CS322" s="16">
        <f>Demand_SW!H$13/30</f>
        <v>0</v>
      </c>
      <c r="CT322" s="16">
        <f>Demand_SW!I$13/30</f>
        <v>0</v>
      </c>
      <c r="CU322" s="16">
        <f>Demand_SW!J$13/30</f>
        <v>0</v>
      </c>
      <c r="CV322" s="16">
        <f>Demand_SW!K$13/30</f>
        <v>0</v>
      </c>
      <c r="CW322" s="16">
        <f t="shared" si="143"/>
        <v>57461.923076923049</v>
      </c>
      <c r="CX322" s="16">
        <f t="shared" si="144"/>
        <v>20683.923076923078</v>
      </c>
      <c r="CY322" s="16">
        <f t="shared" si="145"/>
        <v>0</v>
      </c>
      <c r="CZ322" s="16">
        <f t="shared" si="146"/>
        <v>0</v>
      </c>
      <c r="DA322" s="16">
        <f t="shared" si="147"/>
        <v>0</v>
      </c>
      <c r="DB322" s="16">
        <f t="shared" si="148"/>
        <v>-42067.307692307688</v>
      </c>
      <c r="DC322" s="16">
        <f t="shared" si="149"/>
        <v>20683.923076923078</v>
      </c>
      <c r="DD322" s="16">
        <f t="shared" si="150"/>
        <v>0</v>
      </c>
      <c r="DE322" s="16">
        <f t="shared" si="151"/>
        <v>0</v>
      </c>
      <c r="DF322" s="16">
        <f t="shared" si="152"/>
        <v>0</v>
      </c>
      <c r="DG322" s="14">
        <f>IF([1]Sheet2!DR321=999999,"NA",[1]Sheet2!DR321)</f>
        <v>73103</v>
      </c>
      <c r="DH322" s="14">
        <f>IF([1]Sheet2!DS321=999999,"NA",[1]Sheet2!DS321)</f>
        <v>46</v>
      </c>
      <c r="DI322" s="14">
        <f>IF([1]Sheet2!DT321=999999,"NA",[1]Sheet2!DT321)</f>
        <v>46</v>
      </c>
      <c r="DJ322" s="14" t="str">
        <f>IF([1]Sheet2!DU321=999999,"NA",[1]Sheet2!DU321)</f>
        <v>NA</v>
      </c>
      <c r="DK322" s="14" t="str">
        <f>IF([1]Sheet2!DV321=999999,"NA",[1]Sheet2!DV321)</f>
        <v>NA</v>
      </c>
      <c r="DL322" s="14" t="str">
        <f>IF([1]Sheet2!DW321=999999,"NA",[1]Sheet2!DW321)</f>
        <v>NA</v>
      </c>
      <c r="DM322" s="14">
        <f>IF([1]Sheet2!DX321=999999,"NA",[1]Sheet2!DX321)</f>
        <v>46</v>
      </c>
      <c r="DN322" s="14">
        <f>IF([1]Sheet2!DY321=999999,"NA",[1]Sheet2!DY321)</f>
        <v>46</v>
      </c>
      <c r="DO322" s="14" t="str">
        <f>IF([1]Sheet2!DZ321=999999,"NA",[1]Sheet2!DZ321)</f>
        <v>NA</v>
      </c>
      <c r="DP322" s="14" t="str">
        <f>IF([1]Sheet2!EA321=999999,"NA",[1]Sheet2!EA321)</f>
        <v>NA</v>
      </c>
      <c r="DQ322" s="14">
        <f>[1]Sheet2!CX321</f>
        <v>0</v>
      </c>
      <c r="DR322" s="14">
        <f>[1]Sheet2!CY321</f>
        <v>0</v>
      </c>
      <c r="DS322" s="14">
        <f>[1]Sheet2!CZ321</f>
        <v>0</v>
      </c>
      <c r="DT322" s="14">
        <f>[1]Sheet2!DA321</f>
        <v>0</v>
      </c>
      <c r="DU322" s="14">
        <f>[1]Sheet2!DB321</f>
        <v>0</v>
      </c>
      <c r="DV322" s="14">
        <f>[1]Sheet2!DC321</f>
        <v>0</v>
      </c>
      <c r="DW322" s="14">
        <f>[1]Sheet2!DD321</f>
        <v>0</v>
      </c>
      <c r="DX322" s="14">
        <f>[1]Sheet2!DE321</f>
        <v>0</v>
      </c>
      <c r="DY322" s="14">
        <f>[1]Sheet2!DF321</f>
        <v>0</v>
      </c>
      <c r="DZ322" s="14">
        <f>[1]Sheet2!DG321</f>
        <v>0</v>
      </c>
    </row>
    <row r="323" spans="1:130" x14ac:dyDescent="0.25">
      <c r="A323" s="15">
        <v>43785</v>
      </c>
      <c r="B323" s="1"/>
      <c r="C323" s="1"/>
      <c r="D323" s="1"/>
      <c r="E323" s="14">
        <f>[1]Sheet2!N322</f>
        <v>0</v>
      </c>
      <c r="F323" s="14">
        <f>[1]Sheet2!BE322</f>
        <v>48000</v>
      </c>
      <c r="G323" s="14">
        <f>[1]Sheet2!CV322</f>
        <v>288.46153846153851</v>
      </c>
      <c r="H323" s="1"/>
      <c r="I323" s="1"/>
      <c r="J323" s="1"/>
      <c r="K323" s="16">
        <f>Demand_CWRS!B$13/30</f>
        <v>111.92954594017094</v>
      </c>
      <c r="L323" s="16">
        <f>Demand_CWRS!C$13/30</f>
        <v>550.01145299145287</v>
      </c>
      <c r="M323" s="16">
        <f>Demand_CWRS!D$13/30</f>
        <v>0</v>
      </c>
      <c r="N323" s="16">
        <f>Demand_CWRS!E$13/30</f>
        <v>105.42606837606837</v>
      </c>
      <c r="O323" s="16">
        <f>Demand_CWRS!F$13/30</f>
        <v>220.33041399572647</v>
      </c>
      <c r="P323" s="16">
        <f>Demand_CWRS!G$13/30</f>
        <v>111.92954594017094</v>
      </c>
      <c r="Q323" s="16">
        <f>Demand_CWRS!H$13/30</f>
        <v>550.01145299145287</v>
      </c>
      <c r="R323" s="16">
        <f>Demand_CWRS!I$13/30</f>
        <v>220.33041399572647</v>
      </c>
      <c r="S323" s="16">
        <f>Demand_CWRS!J$13/30</f>
        <v>220.33041399572647</v>
      </c>
      <c r="T323" s="16">
        <f>Demand_CWRS!K$13/30</f>
        <v>220.33041399572647</v>
      </c>
      <c r="U323" s="16">
        <f t="shared" si="123"/>
        <v>-41279.487317310959</v>
      </c>
      <c r="V323" s="16">
        <f t="shared" si="124"/>
        <v>-152685.93452991408</v>
      </c>
      <c r="W323" s="16">
        <f t="shared" si="125"/>
        <v>0</v>
      </c>
      <c r="X323" s="16">
        <f t="shared" si="126"/>
        <v>-35142.247489992311</v>
      </c>
      <c r="Y323" s="16">
        <f t="shared" si="127"/>
        <v>-69241.60206128977</v>
      </c>
      <c r="Z323" s="16">
        <f t="shared" si="128"/>
        <v>-40882.554793272553</v>
      </c>
      <c r="AA323" s="16">
        <f t="shared" si="129"/>
        <v>-152185.93452991408</v>
      </c>
      <c r="AB323" s="16">
        <f t="shared" si="130"/>
        <v>-66757.756580520421</v>
      </c>
      <c r="AC323" s="16">
        <f t="shared" si="131"/>
        <v>-66757.756580520407</v>
      </c>
      <c r="AD323" s="16">
        <f t="shared" si="132"/>
        <v>-67457.756580520421</v>
      </c>
      <c r="AE323" s="14">
        <f>IF([1]Sheet2!AJ322=999999,"NA",[1]Sheet2!AJ322)</f>
        <v>0</v>
      </c>
      <c r="AF323" s="14">
        <f>IF([1]Sheet2!AK322=999999,"NA",[1]Sheet2!AK322)</f>
        <v>0</v>
      </c>
      <c r="AG323" s="14" t="str">
        <f>IF([1]Sheet2!AL322=999999,"NA",[1]Sheet2!AL322)</f>
        <v>NA</v>
      </c>
      <c r="AH323" s="14">
        <f>IF([1]Sheet2!AM322=999999,"NA",[1]Sheet2!AM322)</f>
        <v>45</v>
      </c>
      <c r="AI323" s="14">
        <f>IF([1]Sheet2!AN322=999999,"NA",[1]Sheet2!AN322)</f>
        <v>45</v>
      </c>
      <c r="AJ323" s="14">
        <f>IF([1]Sheet2!AO322=999999,"NA",[1]Sheet2!AO322)</f>
        <v>45</v>
      </c>
      <c r="AK323" s="14">
        <f>IF([1]Sheet2!AP322=999999,"NA",[1]Sheet2!AP322)</f>
        <v>0</v>
      </c>
      <c r="AL323" s="14">
        <f>IF([1]Sheet2!AQ322=999999,"NA",[1]Sheet2!AQ322)</f>
        <v>0</v>
      </c>
      <c r="AM323" s="14">
        <f>IF([1]Sheet2!AR322=999999,"NA",[1]Sheet2!AR322)</f>
        <v>45</v>
      </c>
      <c r="AN323" s="14">
        <f>IF([1]Sheet2!AS322=999999,"NA",[1]Sheet2!AS322)</f>
        <v>0</v>
      </c>
      <c r="AO323" s="14">
        <f>[1]Sheet2!P322</f>
        <v>0</v>
      </c>
      <c r="AP323" s="14">
        <f>[1]Sheet2!Q322</f>
        <v>0</v>
      </c>
      <c r="AQ323" s="14">
        <f>[1]Sheet2!R322</f>
        <v>0</v>
      </c>
      <c r="AR323" s="14">
        <f>[1]Sheet2!S322</f>
        <v>0</v>
      </c>
      <c r="AS323" s="14">
        <f>[1]Sheet2!T322</f>
        <v>0</v>
      </c>
      <c r="AT323" s="14">
        <f>[1]Sheet2!U322</f>
        <v>0</v>
      </c>
      <c r="AU323" s="14">
        <f>[1]Sheet2!V322</f>
        <v>0</v>
      </c>
      <c r="AV323" s="14">
        <f>[1]Sheet2!W322</f>
        <v>0</v>
      </c>
      <c r="AW323" s="14">
        <f>[1]Sheet2!X322</f>
        <v>0</v>
      </c>
      <c r="AX323" s="14">
        <f>[1]Sheet2!Y322</f>
        <v>0</v>
      </c>
      <c r="AY323" s="16">
        <f>Demand_LP!B$13/30</f>
        <v>849.16414262820524</v>
      </c>
      <c r="AZ323" s="16">
        <f>Demand_LP!C$13/30</f>
        <v>632.84239316239314</v>
      </c>
      <c r="BA323" s="16">
        <f>Demand_LP!D$13/30</f>
        <v>269.64247863247863</v>
      </c>
      <c r="BB323" s="16">
        <f>Demand_LP!E$13/30</f>
        <v>815.03102564102551</v>
      </c>
      <c r="BC323" s="16">
        <f>Demand_LP!F$13/30</f>
        <v>536.05500267094021</v>
      </c>
      <c r="BD323" s="16">
        <f>Demand_LP!G$13/30</f>
        <v>849.16414262820524</v>
      </c>
      <c r="BE323" s="16">
        <f>Demand_LP!H$13/30</f>
        <v>632.84239316239314</v>
      </c>
      <c r="BF323" s="16">
        <f>Demand_LP!I$13/30</f>
        <v>536.05500267094021</v>
      </c>
      <c r="BG323" s="16">
        <f>Demand_LP!J$13/30</f>
        <v>536.05500267094021</v>
      </c>
      <c r="BH323" s="16">
        <f>Demand_LP!K$13/30</f>
        <v>536.05500267094021</v>
      </c>
      <c r="BI323" s="16" t="e">
        <f t="shared" si="133"/>
        <v>#VALUE!</v>
      </c>
      <c r="BJ323" s="16">
        <f t="shared" si="134"/>
        <v>-183130.98341880314</v>
      </c>
      <c r="BK323" s="16">
        <f t="shared" si="135"/>
        <v>-92514.756581196823</v>
      </c>
      <c r="BL323" s="16">
        <f t="shared" si="136"/>
        <v>-241620.96818889864</v>
      </c>
      <c r="BM323" s="16">
        <f t="shared" si="137"/>
        <v>-146652.17242244133</v>
      </c>
      <c r="BN323" s="16">
        <f t="shared" si="138"/>
        <v>-252371.22059832403</v>
      </c>
      <c r="BO323" s="16">
        <f t="shared" si="139"/>
        <v>-185488.56290598292</v>
      </c>
      <c r="BP323" s="16">
        <f t="shared" si="140"/>
        <v>-147763.85634081191</v>
      </c>
      <c r="BQ323" s="16">
        <f t="shared" si="141"/>
        <v>-144753.85634081202</v>
      </c>
      <c r="BR323" s="16">
        <f t="shared" si="142"/>
        <v>-145953.85634081194</v>
      </c>
      <c r="BS323" s="14">
        <f>IF([1]Sheet2!CA322=999999,"NA",[1]Sheet2!CA322)</f>
        <v>70525.143659188034</v>
      </c>
      <c r="BT323" s="14">
        <f>IF([1]Sheet2!CB322=999999,"NA",[1]Sheet2!CB322)</f>
        <v>0</v>
      </c>
      <c r="BU323" s="14">
        <f>IF([1]Sheet2!CC322=999999,"NA",[1]Sheet2!CC322)</f>
        <v>45</v>
      </c>
      <c r="BV323" s="14">
        <f>IF([1]Sheet2!CD322=999999,"NA",[1]Sheet2!CD322)</f>
        <v>45</v>
      </c>
      <c r="BW323" s="14">
        <f>IF([1]Sheet2!CE322=999999,"NA",[1]Sheet2!CE322)</f>
        <v>14</v>
      </c>
      <c r="BX323" s="14">
        <f>IF([1]Sheet2!CF322=999999,"NA",[1]Sheet2!CF322)</f>
        <v>45</v>
      </c>
      <c r="BY323" s="14">
        <f>IF([1]Sheet2!CG322=999999,"NA",[1]Sheet2!CG322)</f>
        <v>0</v>
      </c>
      <c r="BZ323" s="14">
        <f>IF([1]Sheet2!CH322=999999,"NA",[1]Sheet2!CH322)</f>
        <v>45</v>
      </c>
      <c r="CA323" s="14">
        <f>IF([1]Sheet2!CI322=999999,"NA",[1]Sheet2!CI322)</f>
        <v>45</v>
      </c>
      <c r="CB323" s="14">
        <f>IF([1]Sheet2!CJ322=999999,"NA",[1]Sheet2!CJ322)</f>
        <v>45</v>
      </c>
      <c r="CC323" s="14">
        <f>[1]Sheet2!BG322</f>
        <v>0</v>
      </c>
      <c r="CD323" s="14">
        <f>[1]Sheet2!BH322</f>
        <v>0</v>
      </c>
      <c r="CE323" s="14">
        <f>[1]Sheet2!BI322</f>
        <v>0</v>
      </c>
      <c r="CF323" s="14">
        <f>[1]Sheet2!BJ322</f>
        <v>0</v>
      </c>
      <c r="CG323" s="14">
        <f>[1]Sheet2!BK322</f>
        <v>0</v>
      </c>
      <c r="CH323" s="14">
        <f>[1]Sheet2!BL322</f>
        <v>0</v>
      </c>
      <c r="CI323" s="14">
        <f>[1]Sheet2!BM322</f>
        <v>0</v>
      </c>
      <c r="CJ323" s="14">
        <f>[1]Sheet2!BN322</f>
        <v>0</v>
      </c>
      <c r="CK323" s="14">
        <f>[1]Sheet2!BO322</f>
        <v>0</v>
      </c>
      <c r="CL323" s="14">
        <f>[1]Sheet2!BP322</f>
        <v>0</v>
      </c>
      <c r="CM323" s="16">
        <f>Demand_SW!B$13/30</f>
        <v>144.23076923076923</v>
      </c>
      <c r="CN323" s="16">
        <f>Demand_SW!C$13/30</f>
        <v>0</v>
      </c>
      <c r="CO323" s="16">
        <f>Demand_SW!D$13/30</f>
        <v>0</v>
      </c>
      <c r="CP323" s="16">
        <f>Demand_SW!E$13/30</f>
        <v>0</v>
      </c>
      <c r="CQ323" s="16">
        <f>Demand_SW!F$13/30</f>
        <v>0</v>
      </c>
      <c r="CR323" s="16">
        <f>Demand_SW!G$13/30</f>
        <v>144.23076923076923</v>
      </c>
      <c r="CS323" s="16">
        <f>Demand_SW!H$13/30</f>
        <v>0</v>
      </c>
      <c r="CT323" s="16">
        <f>Demand_SW!I$13/30</f>
        <v>0</v>
      </c>
      <c r="CU323" s="16">
        <f>Demand_SW!J$13/30</f>
        <v>0</v>
      </c>
      <c r="CV323" s="16">
        <f>Demand_SW!K$13/30</f>
        <v>0</v>
      </c>
      <c r="CW323" s="16">
        <f t="shared" si="143"/>
        <v>57317.692307692283</v>
      </c>
      <c r="CX323" s="16">
        <f t="shared" si="144"/>
        <v>20683.923076923078</v>
      </c>
      <c r="CY323" s="16">
        <f t="shared" si="145"/>
        <v>0</v>
      </c>
      <c r="CZ323" s="16">
        <f t="shared" si="146"/>
        <v>0</v>
      </c>
      <c r="DA323" s="16">
        <f t="shared" si="147"/>
        <v>0</v>
      </c>
      <c r="DB323" s="16">
        <f t="shared" si="148"/>
        <v>-42211.538461538454</v>
      </c>
      <c r="DC323" s="16">
        <f t="shared" si="149"/>
        <v>20683.923076923078</v>
      </c>
      <c r="DD323" s="16">
        <f t="shared" si="150"/>
        <v>0</v>
      </c>
      <c r="DE323" s="16">
        <f t="shared" si="151"/>
        <v>0</v>
      </c>
      <c r="DF323" s="16">
        <f t="shared" si="152"/>
        <v>0</v>
      </c>
      <c r="DG323" s="14">
        <f>IF([1]Sheet2!DR322=999999,"NA",[1]Sheet2!DR322)</f>
        <v>73103</v>
      </c>
      <c r="DH323" s="14">
        <f>IF([1]Sheet2!DS322=999999,"NA",[1]Sheet2!DS322)</f>
        <v>45</v>
      </c>
      <c r="DI323" s="14">
        <f>IF([1]Sheet2!DT322=999999,"NA",[1]Sheet2!DT322)</f>
        <v>45</v>
      </c>
      <c r="DJ323" s="14" t="str">
        <f>IF([1]Sheet2!DU322=999999,"NA",[1]Sheet2!DU322)</f>
        <v>NA</v>
      </c>
      <c r="DK323" s="14" t="str">
        <f>IF([1]Sheet2!DV322=999999,"NA",[1]Sheet2!DV322)</f>
        <v>NA</v>
      </c>
      <c r="DL323" s="14" t="str">
        <f>IF([1]Sheet2!DW322=999999,"NA",[1]Sheet2!DW322)</f>
        <v>NA</v>
      </c>
      <c r="DM323" s="14">
        <f>IF([1]Sheet2!DX322=999999,"NA",[1]Sheet2!DX322)</f>
        <v>45</v>
      </c>
      <c r="DN323" s="14">
        <f>IF([1]Sheet2!DY322=999999,"NA",[1]Sheet2!DY322)</f>
        <v>45</v>
      </c>
      <c r="DO323" s="14" t="str">
        <f>IF([1]Sheet2!DZ322=999999,"NA",[1]Sheet2!DZ322)</f>
        <v>NA</v>
      </c>
      <c r="DP323" s="14" t="str">
        <f>IF([1]Sheet2!EA322=999999,"NA",[1]Sheet2!EA322)</f>
        <v>NA</v>
      </c>
      <c r="DQ323" s="14">
        <f>[1]Sheet2!CX322</f>
        <v>0</v>
      </c>
      <c r="DR323" s="14">
        <f>[1]Sheet2!CY322</f>
        <v>0</v>
      </c>
      <c r="DS323" s="14">
        <f>[1]Sheet2!CZ322</f>
        <v>0</v>
      </c>
      <c r="DT323" s="14">
        <f>[1]Sheet2!DA322</f>
        <v>0</v>
      </c>
      <c r="DU323" s="14">
        <f>[1]Sheet2!DB322</f>
        <v>0</v>
      </c>
      <c r="DV323" s="14">
        <f>[1]Sheet2!DC322</f>
        <v>0</v>
      </c>
      <c r="DW323" s="14">
        <f>[1]Sheet2!DD322</f>
        <v>0</v>
      </c>
      <c r="DX323" s="14">
        <f>[1]Sheet2!DE322</f>
        <v>0</v>
      </c>
      <c r="DY323" s="14">
        <f>[1]Sheet2!DF322</f>
        <v>0</v>
      </c>
      <c r="DZ323" s="14">
        <f>[1]Sheet2!DG322</f>
        <v>0</v>
      </c>
    </row>
    <row r="324" spans="1:130" x14ac:dyDescent="0.25">
      <c r="A324" s="15">
        <v>43786</v>
      </c>
      <c r="B324" s="1"/>
      <c r="C324" s="1"/>
      <c r="D324" s="1"/>
      <c r="E324" s="14">
        <f>[1]Sheet2!N323</f>
        <v>0</v>
      </c>
      <c r="F324" s="14">
        <f>[1]Sheet2!BE323</f>
        <v>0</v>
      </c>
      <c r="G324" s="14">
        <f>[1]Sheet2!CV323</f>
        <v>288.46153846153851</v>
      </c>
      <c r="H324" s="1"/>
      <c r="I324" s="1"/>
      <c r="J324" s="1"/>
      <c r="K324" s="16">
        <f>Demand_CWRS!B$13/30</f>
        <v>111.92954594017094</v>
      </c>
      <c r="L324" s="16">
        <f>Demand_CWRS!C$13/30</f>
        <v>550.01145299145287</v>
      </c>
      <c r="M324" s="16">
        <f>Demand_CWRS!D$13/30</f>
        <v>0</v>
      </c>
      <c r="N324" s="16">
        <f>Demand_CWRS!E$13/30</f>
        <v>105.42606837606837</v>
      </c>
      <c r="O324" s="16">
        <f>Demand_CWRS!F$13/30</f>
        <v>220.33041399572647</v>
      </c>
      <c r="P324" s="16">
        <f>Demand_CWRS!G$13/30</f>
        <v>111.92954594017094</v>
      </c>
      <c r="Q324" s="16">
        <f>Demand_CWRS!H$13/30</f>
        <v>550.01145299145287</v>
      </c>
      <c r="R324" s="16">
        <f>Demand_CWRS!I$13/30</f>
        <v>220.33041399572647</v>
      </c>
      <c r="S324" s="16">
        <f>Demand_CWRS!J$13/30</f>
        <v>220.33041399572647</v>
      </c>
      <c r="T324" s="16">
        <f>Demand_CWRS!K$13/30</f>
        <v>220.33041399572647</v>
      </c>
      <c r="U324" s="16">
        <f t="shared" si="123"/>
        <v>-41391.416863251128</v>
      </c>
      <c r="V324" s="16">
        <f t="shared" si="124"/>
        <v>-153235.94598290554</v>
      </c>
      <c r="W324" s="16">
        <f t="shared" si="125"/>
        <v>0</v>
      </c>
      <c r="X324" s="16">
        <f t="shared" si="126"/>
        <v>-35247.673558368377</v>
      </c>
      <c r="Y324" s="16">
        <f t="shared" si="127"/>
        <v>-69461.932475285503</v>
      </c>
      <c r="Z324" s="16">
        <f t="shared" si="128"/>
        <v>-40994.484339212722</v>
      </c>
      <c r="AA324" s="16">
        <f t="shared" si="129"/>
        <v>-152735.94598290554</v>
      </c>
      <c r="AB324" s="16">
        <f t="shared" si="130"/>
        <v>-66978.086994516154</v>
      </c>
      <c r="AC324" s="16">
        <f t="shared" si="131"/>
        <v>-66978.086994516139</v>
      </c>
      <c r="AD324" s="16">
        <f t="shared" si="132"/>
        <v>-67678.086994516154</v>
      </c>
      <c r="AE324" s="14">
        <f>IF([1]Sheet2!AJ323=999999,"NA",[1]Sheet2!AJ323)</f>
        <v>0</v>
      </c>
      <c r="AF324" s="14">
        <f>IF([1]Sheet2!AK323=999999,"NA",[1]Sheet2!AK323)</f>
        <v>0</v>
      </c>
      <c r="AG324" s="14" t="str">
        <f>IF([1]Sheet2!AL323=999999,"NA",[1]Sheet2!AL323)</f>
        <v>NA</v>
      </c>
      <c r="AH324" s="14">
        <f>IF([1]Sheet2!AM323=999999,"NA",[1]Sheet2!AM323)</f>
        <v>44</v>
      </c>
      <c r="AI324" s="14">
        <f>IF([1]Sheet2!AN323=999999,"NA",[1]Sheet2!AN323)</f>
        <v>44</v>
      </c>
      <c r="AJ324" s="14">
        <f>IF([1]Sheet2!AO323=999999,"NA",[1]Sheet2!AO323)</f>
        <v>44</v>
      </c>
      <c r="AK324" s="14">
        <f>IF([1]Sheet2!AP323=999999,"NA",[1]Sheet2!AP323)</f>
        <v>0</v>
      </c>
      <c r="AL324" s="14">
        <f>IF([1]Sheet2!AQ323=999999,"NA",[1]Sheet2!AQ323)</f>
        <v>0</v>
      </c>
      <c r="AM324" s="14">
        <f>IF([1]Sheet2!AR323=999999,"NA",[1]Sheet2!AR323)</f>
        <v>44</v>
      </c>
      <c r="AN324" s="14">
        <f>IF([1]Sheet2!AS323=999999,"NA",[1]Sheet2!AS323)</f>
        <v>0</v>
      </c>
      <c r="AO324" s="14">
        <f>[1]Sheet2!P323</f>
        <v>0</v>
      </c>
      <c r="AP324" s="14">
        <f>[1]Sheet2!Q323</f>
        <v>0</v>
      </c>
      <c r="AQ324" s="14">
        <f>[1]Sheet2!R323</f>
        <v>0</v>
      </c>
      <c r="AR324" s="14">
        <f>[1]Sheet2!S323</f>
        <v>0</v>
      </c>
      <c r="AS324" s="14">
        <f>[1]Sheet2!T323</f>
        <v>0</v>
      </c>
      <c r="AT324" s="14">
        <f>[1]Sheet2!U323</f>
        <v>0</v>
      </c>
      <c r="AU324" s="14">
        <f>[1]Sheet2!V323</f>
        <v>0</v>
      </c>
      <c r="AV324" s="14">
        <f>[1]Sheet2!W323</f>
        <v>0</v>
      </c>
      <c r="AW324" s="14">
        <f>[1]Sheet2!X323</f>
        <v>0</v>
      </c>
      <c r="AX324" s="14">
        <f>[1]Sheet2!Y323</f>
        <v>0</v>
      </c>
      <c r="AY324" s="16">
        <f>Demand_LP!B$13/30</f>
        <v>849.16414262820524</v>
      </c>
      <c r="AZ324" s="16">
        <f>Demand_LP!C$13/30</f>
        <v>632.84239316239314</v>
      </c>
      <c r="BA324" s="16">
        <f>Demand_LP!D$13/30</f>
        <v>269.64247863247863</v>
      </c>
      <c r="BB324" s="16">
        <f>Demand_LP!E$13/30</f>
        <v>815.03102564102551</v>
      </c>
      <c r="BC324" s="16">
        <f>Demand_LP!F$13/30</f>
        <v>536.05500267094021</v>
      </c>
      <c r="BD324" s="16">
        <f>Demand_LP!G$13/30</f>
        <v>849.16414262820524</v>
      </c>
      <c r="BE324" s="16">
        <f>Demand_LP!H$13/30</f>
        <v>632.84239316239314</v>
      </c>
      <c r="BF324" s="16">
        <f>Demand_LP!I$13/30</f>
        <v>536.05500267094021</v>
      </c>
      <c r="BG324" s="16">
        <f>Demand_LP!J$13/30</f>
        <v>536.05500267094021</v>
      </c>
      <c r="BH324" s="16">
        <f>Demand_LP!K$13/30</f>
        <v>536.05500267094021</v>
      </c>
      <c r="BI324" s="16" t="e">
        <f t="shared" si="133"/>
        <v>#VALUE!</v>
      </c>
      <c r="BJ324" s="16">
        <f t="shared" si="134"/>
        <v>-183763.82581196554</v>
      </c>
      <c r="BK324" s="16">
        <f t="shared" si="135"/>
        <v>-92784.399059829302</v>
      </c>
      <c r="BL324" s="16">
        <f t="shared" si="136"/>
        <v>-242435.99921453965</v>
      </c>
      <c r="BM324" s="16">
        <f t="shared" si="137"/>
        <v>-147188.22742511227</v>
      </c>
      <c r="BN324" s="16">
        <f t="shared" si="138"/>
        <v>-253220.38474095223</v>
      </c>
      <c r="BO324" s="16">
        <f t="shared" si="139"/>
        <v>-186121.40529914532</v>
      </c>
      <c r="BP324" s="16">
        <f t="shared" si="140"/>
        <v>-148299.91134348285</v>
      </c>
      <c r="BQ324" s="16">
        <f t="shared" si="141"/>
        <v>-145289.91134348296</v>
      </c>
      <c r="BR324" s="16">
        <f t="shared" si="142"/>
        <v>-146489.91134348288</v>
      </c>
      <c r="BS324" s="14">
        <f>IF([1]Sheet2!CA323=999999,"NA",[1]Sheet2!CA323)</f>
        <v>69989.088656517095</v>
      </c>
      <c r="BT324" s="14">
        <f>IF([1]Sheet2!CB323=999999,"NA",[1]Sheet2!CB323)</f>
        <v>0</v>
      </c>
      <c r="BU324" s="14">
        <f>IF([1]Sheet2!CC323=999999,"NA",[1]Sheet2!CC323)</f>
        <v>44</v>
      </c>
      <c r="BV324" s="14">
        <f>IF([1]Sheet2!CD323=999999,"NA",[1]Sheet2!CD323)</f>
        <v>44</v>
      </c>
      <c r="BW324" s="14">
        <f>IF([1]Sheet2!CE323=999999,"NA",[1]Sheet2!CE323)</f>
        <v>13</v>
      </c>
      <c r="BX324" s="14">
        <f>IF([1]Sheet2!CF323=999999,"NA",[1]Sheet2!CF323)</f>
        <v>44</v>
      </c>
      <c r="BY324" s="14">
        <f>IF([1]Sheet2!CG323=999999,"NA",[1]Sheet2!CG323)</f>
        <v>0</v>
      </c>
      <c r="BZ324" s="14">
        <f>IF([1]Sheet2!CH323=999999,"NA",[1]Sheet2!CH323)</f>
        <v>44</v>
      </c>
      <c r="CA324" s="14">
        <f>IF([1]Sheet2!CI323=999999,"NA",[1]Sheet2!CI323)</f>
        <v>44</v>
      </c>
      <c r="CB324" s="14">
        <f>IF([1]Sheet2!CJ323=999999,"NA",[1]Sheet2!CJ323)</f>
        <v>44</v>
      </c>
      <c r="CC324" s="14">
        <f>[1]Sheet2!BG323</f>
        <v>0</v>
      </c>
      <c r="CD324" s="14">
        <f>[1]Sheet2!BH323</f>
        <v>0</v>
      </c>
      <c r="CE324" s="14">
        <f>[1]Sheet2!BI323</f>
        <v>0</v>
      </c>
      <c r="CF324" s="14">
        <f>[1]Sheet2!BJ323</f>
        <v>0</v>
      </c>
      <c r="CG324" s="14">
        <f>[1]Sheet2!BK323</f>
        <v>0</v>
      </c>
      <c r="CH324" s="14">
        <f>[1]Sheet2!BL323</f>
        <v>0</v>
      </c>
      <c r="CI324" s="14">
        <f>[1]Sheet2!BM323</f>
        <v>0</v>
      </c>
      <c r="CJ324" s="14">
        <f>[1]Sheet2!BN323</f>
        <v>0</v>
      </c>
      <c r="CK324" s="14">
        <f>[1]Sheet2!BO323</f>
        <v>0</v>
      </c>
      <c r="CL324" s="14">
        <f>[1]Sheet2!BP323</f>
        <v>0</v>
      </c>
      <c r="CM324" s="16">
        <f>Demand_SW!B$13/30</f>
        <v>144.23076923076923</v>
      </c>
      <c r="CN324" s="16">
        <f>Demand_SW!C$13/30</f>
        <v>0</v>
      </c>
      <c r="CO324" s="16">
        <f>Demand_SW!D$13/30</f>
        <v>0</v>
      </c>
      <c r="CP324" s="16">
        <f>Demand_SW!E$13/30</f>
        <v>0</v>
      </c>
      <c r="CQ324" s="16">
        <f>Demand_SW!F$13/30</f>
        <v>0</v>
      </c>
      <c r="CR324" s="16">
        <f>Demand_SW!G$13/30</f>
        <v>144.23076923076923</v>
      </c>
      <c r="CS324" s="16">
        <f>Demand_SW!H$13/30</f>
        <v>0</v>
      </c>
      <c r="CT324" s="16">
        <f>Demand_SW!I$13/30</f>
        <v>0</v>
      </c>
      <c r="CU324" s="16">
        <f>Demand_SW!J$13/30</f>
        <v>0</v>
      </c>
      <c r="CV324" s="16">
        <f>Demand_SW!K$13/30</f>
        <v>0</v>
      </c>
      <c r="CW324" s="16">
        <f t="shared" si="143"/>
        <v>57173.461538461517</v>
      </c>
      <c r="CX324" s="16">
        <f t="shared" si="144"/>
        <v>20683.923076923078</v>
      </c>
      <c r="CY324" s="16">
        <f t="shared" si="145"/>
        <v>0</v>
      </c>
      <c r="CZ324" s="16">
        <f t="shared" si="146"/>
        <v>0</v>
      </c>
      <c r="DA324" s="16">
        <f t="shared" si="147"/>
        <v>0</v>
      </c>
      <c r="DB324" s="16">
        <f t="shared" si="148"/>
        <v>-42355.76923076922</v>
      </c>
      <c r="DC324" s="16">
        <f t="shared" si="149"/>
        <v>20683.923076923078</v>
      </c>
      <c r="DD324" s="16">
        <f t="shared" si="150"/>
        <v>0</v>
      </c>
      <c r="DE324" s="16">
        <f t="shared" si="151"/>
        <v>0</v>
      </c>
      <c r="DF324" s="16">
        <f t="shared" si="152"/>
        <v>0</v>
      </c>
      <c r="DG324" s="14">
        <f>IF([1]Sheet2!DR323=999999,"NA",[1]Sheet2!DR323)</f>
        <v>73103</v>
      </c>
      <c r="DH324" s="14">
        <f>IF([1]Sheet2!DS323=999999,"NA",[1]Sheet2!DS323)</f>
        <v>44</v>
      </c>
      <c r="DI324" s="14">
        <f>IF([1]Sheet2!DT323=999999,"NA",[1]Sheet2!DT323)</f>
        <v>44</v>
      </c>
      <c r="DJ324" s="14" t="str">
        <f>IF([1]Sheet2!DU323=999999,"NA",[1]Sheet2!DU323)</f>
        <v>NA</v>
      </c>
      <c r="DK324" s="14" t="str">
        <f>IF([1]Sheet2!DV323=999999,"NA",[1]Sheet2!DV323)</f>
        <v>NA</v>
      </c>
      <c r="DL324" s="14" t="str">
        <f>IF([1]Sheet2!DW323=999999,"NA",[1]Sheet2!DW323)</f>
        <v>NA</v>
      </c>
      <c r="DM324" s="14">
        <f>IF([1]Sheet2!DX323=999999,"NA",[1]Sheet2!DX323)</f>
        <v>44</v>
      </c>
      <c r="DN324" s="14">
        <f>IF([1]Sheet2!DY323=999999,"NA",[1]Sheet2!DY323)</f>
        <v>44</v>
      </c>
      <c r="DO324" s="14" t="str">
        <f>IF([1]Sheet2!DZ323=999999,"NA",[1]Sheet2!DZ323)</f>
        <v>NA</v>
      </c>
      <c r="DP324" s="14" t="str">
        <f>IF([1]Sheet2!EA323=999999,"NA",[1]Sheet2!EA323)</f>
        <v>NA</v>
      </c>
      <c r="DQ324" s="14">
        <f>[1]Sheet2!CX323</f>
        <v>0</v>
      </c>
      <c r="DR324" s="14">
        <f>[1]Sheet2!CY323</f>
        <v>0</v>
      </c>
      <c r="DS324" s="14">
        <f>[1]Sheet2!CZ323</f>
        <v>0</v>
      </c>
      <c r="DT324" s="14">
        <f>[1]Sheet2!DA323</f>
        <v>0</v>
      </c>
      <c r="DU324" s="14">
        <f>[1]Sheet2!DB323</f>
        <v>0</v>
      </c>
      <c r="DV324" s="14">
        <f>[1]Sheet2!DC323</f>
        <v>0</v>
      </c>
      <c r="DW324" s="14">
        <f>[1]Sheet2!DD323</f>
        <v>0</v>
      </c>
      <c r="DX324" s="14">
        <f>[1]Sheet2!DE323</f>
        <v>0</v>
      </c>
      <c r="DY324" s="14">
        <f>[1]Sheet2!DF323</f>
        <v>0</v>
      </c>
      <c r="DZ324" s="14">
        <f>[1]Sheet2!DG323</f>
        <v>0</v>
      </c>
    </row>
    <row r="325" spans="1:130" x14ac:dyDescent="0.25">
      <c r="A325" s="15">
        <v>43787</v>
      </c>
      <c r="B325" s="1"/>
      <c r="C325" s="1"/>
      <c r="D325" s="1"/>
      <c r="E325" s="14">
        <f>[1]Sheet2!N324</f>
        <v>0</v>
      </c>
      <c r="F325" s="14">
        <f>[1]Sheet2!BE324</f>
        <v>0</v>
      </c>
      <c r="G325" s="14">
        <f>[1]Sheet2!CV324</f>
        <v>288.46153846153851</v>
      </c>
      <c r="H325" s="1"/>
      <c r="I325" s="1"/>
      <c r="J325" s="1"/>
      <c r="K325" s="16">
        <f>Demand_CWRS!B$13/30</f>
        <v>111.92954594017094</v>
      </c>
      <c r="L325" s="16">
        <f>Demand_CWRS!C$13/30</f>
        <v>550.01145299145287</v>
      </c>
      <c r="M325" s="16">
        <f>Demand_CWRS!D$13/30</f>
        <v>0</v>
      </c>
      <c r="N325" s="16">
        <f>Demand_CWRS!E$13/30</f>
        <v>105.42606837606837</v>
      </c>
      <c r="O325" s="16">
        <f>Demand_CWRS!F$13/30</f>
        <v>220.33041399572647</v>
      </c>
      <c r="P325" s="16">
        <f>Demand_CWRS!G$13/30</f>
        <v>111.92954594017094</v>
      </c>
      <c r="Q325" s="16">
        <f>Demand_CWRS!H$13/30</f>
        <v>550.01145299145287</v>
      </c>
      <c r="R325" s="16">
        <f>Demand_CWRS!I$13/30</f>
        <v>220.33041399572647</v>
      </c>
      <c r="S325" s="16">
        <f>Demand_CWRS!J$13/30</f>
        <v>220.33041399572647</v>
      </c>
      <c r="T325" s="16">
        <f>Demand_CWRS!K$13/30</f>
        <v>220.33041399572647</v>
      </c>
      <c r="U325" s="16">
        <f t="shared" ref="U325:U368" si="153">U324-K325+AO325</f>
        <v>-41503.346409191297</v>
      </c>
      <c r="V325" s="16">
        <f t="shared" ref="V325:V368" si="154">V324-L325+AP325</f>
        <v>-153785.957435897</v>
      </c>
      <c r="W325" s="16">
        <f t="shared" ref="W325:W368" si="155">W324-M325+AQ325</f>
        <v>0</v>
      </c>
      <c r="X325" s="16">
        <f t="shared" ref="X325:X368" si="156">X324-N325+AR325</f>
        <v>-35353.099626744443</v>
      </c>
      <c r="Y325" s="16">
        <f t="shared" ref="Y325:Y368" si="157">Y324-O325+AS325</f>
        <v>-69682.262889281235</v>
      </c>
      <c r="Z325" s="16">
        <f t="shared" ref="Z325:Z368" si="158">Z324-P325+AT325</f>
        <v>-41106.413885152891</v>
      </c>
      <c r="AA325" s="16">
        <f t="shared" ref="AA325:AA368" si="159">AA324-Q325+AU325</f>
        <v>-153285.957435897</v>
      </c>
      <c r="AB325" s="16">
        <f t="shared" ref="AB325:AB368" si="160">AB324-R325+AV325</f>
        <v>-67198.417408511887</v>
      </c>
      <c r="AC325" s="16">
        <f t="shared" ref="AC325:AC368" si="161">AC324-S325+AW325</f>
        <v>-67198.417408511872</v>
      </c>
      <c r="AD325" s="16">
        <f t="shared" ref="AD325:AD368" si="162">AD324-T325+AX325</f>
        <v>-67898.417408511887</v>
      </c>
      <c r="AE325" s="14">
        <f>IF([1]Sheet2!AJ324=999999,"NA",[1]Sheet2!AJ324)</f>
        <v>0</v>
      </c>
      <c r="AF325" s="14">
        <f>IF([1]Sheet2!AK324=999999,"NA",[1]Sheet2!AK324)</f>
        <v>0</v>
      </c>
      <c r="AG325" s="14" t="str">
        <f>IF([1]Sheet2!AL324=999999,"NA",[1]Sheet2!AL324)</f>
        <v>NA</v>
      </c>
      <c r="AH325" s="14">
        <f>IF([1]Sheet2!AM324=999999,"NA",[1]Sheet2!AM324)</f>
        <v>43</v>
      </c>
      <c r="AI325" s="14">
        <f>IF([1]Sheet2!AN324=999999,"NA",[1]Sheet2!AN324)</f>
        <v>43</v>
      </c>
      <c r="AJ325" s="14">
        <f>IF([1]Sheet2!AO324=999999,"NA",[1]Sheet2!AO324)</f>
        <v>43</v>
      </c>
      <c r="AK325" s="14">
        <f>IF([1]Sheet2!AP324=999999,"NA",[1]Sheet2!AP324)</f>
        <v>0</v>
      </c>
      <c r="AL325" s="14">
        <f>IF([1]Sheet2!AQ324=999999,"NA",[1]Sheet2!AQ324)</f>
        <v>0</v>
      </c>
      <c r="AM325" s="14">
        <f>IF([1]Sheet2!AR324=999999,"NA",[1]Sheet2!AR324)</f>
        <v>43</v>
      </c>
      <c r="AN325" s="14">
        <f>IF([1]Sheet2!AS324=999999,"NA",[1]Sheet2!AS324)</f>
        <v>0</v>
      </c>
      <c r="AO325" s="14">
        <f>[1]Sheet2!P324</f>
        <v>0</v>
      </c>
      <c r="AP325" s="14">
        <f>[1]Sheet2!Q324</f>
        <v>0</v>
      </c>
      <c r="AQ325" s="14">
        <f>[1]Sheet2!R324</f>
        <v>0</v>
      </c>
      <c r="AR325" s="14">
        <f>[1]Sheet2!S324</f>
        <v>0</v>
      </c>
      <c r="AS325" s="14">
        <f>[1]Sheet2!T324</f>
        <v>0</v>
      </c>
      <c r="AT325" s="14">
        <f>[1]Sheet2!U324</f>
        <v>0</v>
      </c>
      <c r="AU325" s="14">
        <f>[1]Sheet2!V324</f>
        <v>0</v>
      </c>
      <c r="AV325" s="14">
        <f>[1]Sheet2!W324</f>
        <v>0</v>
      </c>
      <c r="AW325" s="14">
        <f>[1]Sheet2!X324</f>
        <v>0</v>
      </c>
      <c r="AX325" s="14">
        <f>[1]Sheet2!Y324</f>
        <v>0</v>
      </c>
      <c r="AY325" s="16">
        <f>Demand_LP!B$13/30</f>
        <v>849.16414262820524</v>
      </c>
      <c r="AZ325" s="16">
        <f>Demand_LP!C$13/30</f>
        <v>632.84239316239314</v>
      </c>
      <c r="BA325" s="16">
        <f>Demand_LP!D$13/30</f>
        <v>269.64247863247863</v>
      </c>
      <c r="BB325" s="16">
        <f>Demand_LP!E$13/30</f>
        <v>815.03102564102551</v>
      </c>
      <c r="BC325" s="16">
        <f>Demand_LP!F$13/30</f>
        <v>536.05500267094021</v>
      </c>
      <c r="BD325" s="16">
        <f>Demand_LP!G$13/30</f>
        <v>849.16414262820524</v>
      </c>
      <c r="BE325" s="16">
        <f>Demand_LP!H$13/30</f>
        <v>632.84239316239314</v>
      </c>
      <c r="BF325" s="16">
        <f>Demand_LP!I$13/30</f>
        <v>536.05500267094021</v>
      </c>
      <c r="BG325" s="16">
        <f>Demand_LP!J$13/30</f>
        <v>536.05500267094021</v>
      </c>
      <c r="BH325" s="16">
        <f>Demand_LP!K$13/30</f>
        <v>536.05500267094021</v>
      </c>
      <c r="BI325" s="16" t="e">
        <f t="shared" ref="BI325:BI368" si="163">BI324-AY325+CC325</f>
        <v>#VALUE!</v>
      </c>
      <c r="BJ325" s="16">
        <f t="shared" ref="BJ325:BJ368" si="164">BJ324-AZ325+CD325</f>
        <v>-184396.66820512793</v>
      </c>
      <c r="BK325" s="16">
        <f t="shared" ref="BK325:BK368" si="165">BK324-BA325+CE325</f>
        <v>-93054.041538461781</v>
      </c>
      <c r="BL325" s="16">
        <f t="shared" ref="BL325:BL368" si="166">BL324-BB325+CF325</f>
        <v>-243251.03024018067</v>
      </c>
      <c r="BM325" s="16">
        <f t="shared" ref="BM325:BM368" si="167">BM324-BC325+CG325</f>
        <v>-147724.28242778321</v>
      </c>
      <c r="BN325" s="16">
        <f t="shared" ref="BN325:BN368" si="168">BN324-BD325+CH325</f>
        <v>-254069.54888358043</v>
      </c>
      <c r="BO325" s="16">
        <f t="shared" ref="BO325:BO368" si="169">BO324-BE325+CI325</f>
        <v>-186754.24769230772</v>
      </c>
      <c r="BP325" s="16">
        <f t="shared" ref="BP325:BP368" si="170">BP324-BF325+CJ325</f>
        <v>-148835.96634615379</v>
      </c>
      <c r="BQ325" s="16">
        <f t="shared" ref="BQ325:BQ368" si="171">BQ324-BG325+CK325</f>
        <v>-145825.9663461539</v>
      </c>
      <c r="BR325" s="16">
        <f t="shared" ref="BR325:BR368" si="172">BR324-BH325+CL325</f>
        <v>-147025.96634615381</v>
      </c>
      <c r="BS325" s="14">
        <f>IF([1]Sheet2!CA324=999999,"NA",[1]Sheet2!CA324)</f>
        <v>69453.033653846156</v>
      </c>
      <c r="BT325" s="14">
        <f>IF([1]Sheet2!CB324=999999,"NA",[1]Sheet2!CB324)</f>
        <v>0</v>
      </c>
      <c r="BU325" s="14">
        <f>IF([1]Sheet2!CC324=999999,"NA",[1]Sheet2!CC324)</f>
        <v>43</v>
      </c>
      <c r="BV325" s="14">
        <f>IF([1]Sheet2!CD324=999999,"NA",[1]Sheet2!CD324)</f>
        <v>43</v>
      </c>
      <c r="BW325" s="14">
        <f>IF([1]Sheet2!CE324=999999,"NA",[1]Sheet2!CE324)</f>
        <v>12</v>
      </c>
      <c r="BX325" s="14">
        <f>IF([1]Sheet2!CF324=999999,"NA",[1]Sheet2!CF324)</f>
        <v>43</v>
      </c>
      <c r="BY325" s="14">
        <f>IF([1]Sheet2!CG324=999999,"NA",[1]Sheet2!CG324)</f>
        <v>0</v>
      </c>
      <c r="BZ325" s="14">
        <f>IF([1]Sheet2!CH324=999999,"NA",[1]Sheet2!CH324)</f>
        <v>43</v>
      </c>
      <c r="CA325" s="14">
        <f>IF([1]Sheet2!CI324=999999,"NA",[1]Sheet2!CI324)</f>
        <v>43</v>
      </c>
      <c r="CB325" s="14">
        <f>IF([1]Sheet2!CJ324=999999,"NA",[1]Sheet2!CJ324)</f>
        <v>43</v>
      </c>
      <c r="CC325" s="14">
        <f>[1]Sheet2!BG324</f>
        <v>0</v>
      </c>
      <c r="CD325" s="14">
        <f>[1]Sheet2!BH324</f>
        <v>0</v>
      </c>
      <c r="CE325" s="14">
        <f>[1]Sheet2!BI324</f>
        <v>0</v>
      </c>
      <c r="CF325" s="14">
        <f>[1]Sheet2!BJ324</f>
        <v>0</v>
      </c>
      <c r="CG325" s="14">
        <f>[1]Sheet2!BK324</f>
        <v>0</v>
      </c>
      <c r="CH325" s="14">
        <f>[1]Sheet2!BL324</f>
        <v>0</v>
      </c>
      <c r="CI325" s="14">
        <f>[1]Sheet2!BM324</f>
        <v>0</v>
      </c>
      <c r="CJ325" s="14">
        <f>[1]Sheet2!BN324</f>
        <v>0</v>
      </c>
      <c r="CK325" s="14">
        <f>[1]Sheet2!BO324</f>
        <v>0</v>
      </c>
      <c r="CL325" s="14">
        <f>[1]Sheet2!BP324</f>
        <v>0</v>
      </c>
      <c r="CM325" s="16">
        <f>Demand_SW!B$13/30</f>
        <v>144.23076923076923</v>
      </c>
      <c r="CN325" s="16">
        <f>Demand_SW!C$13/30</f>
        <v>0</v>
      </c>
      <c r="CO325" s="16">
        <f>Demand_SW!D$13/30</f>
        <v>0</v>
      </c>
      <c r="CP325" s="16">
        <f>Demand_SW!E$13/30</f>
        <v>0</v>
      </c>
      <c r="CQ325" s="16">
        <f>Demand_SW!F$13/30</f>
        <v>0</v>
      </c>
      <c r="CR325" s="16">
        <f>Demand_SW!G$13/30</f>
        <v>144.23076923076923</v>
      </c>
      <c r="CS325" s="16">
        <f>Demand_SW!H$13/30</f>
        <v>0</v>
      </c>
      <c r="CT325" s="16">
        <f>Demand_SW!I$13/30</f>
        <v>0</v>
      </c>
      <c r="CU325" s="16">
        <f>Demand_SW!J$13/30</f>
        <v>0</v>
      </c>
      <c r="CV325" s="16">
        <f>Demand_SW!K$13/30</f>
        <v>0</v>
      </c>
      <c r="CW325" s="16">
        <f t="shared" ref="CW325:CW368" si="173">CW324-CM325+DQ325</f>
        <v>57029.230769230751</v>
      </c>
      <c r="CX325" s="16">
        <f t="shared" ref="CX325:CX368" si="174">CX324-CN325+DR325</f>
        <v>20683.923076923078</v>
      </c>
      <c r="CY325" s="16">
        <f t="shared" ref="CY325:CY368" si="175">CY324-CO325+DS325</f>
        <v>0</v>
      </c>
      <c r="CZ325" s="16">
        <f t="shared" ref="CZ325:CZ368" si="176">CZ324-CP325+DT325</f>
        <v>0</v>
      </c>
      <c r="DA325" s="16">
        <f t="shared" ref="DA325:DA368" si="177">DA324-CQ325+DU325</f>
        <v>0</v>
      </c>
      <c r="DB325" s="16">
        <f t="shared" ref="DB325:DB368" si="178">DB324-CR325+DV325</f>
        <v>-42499.999999999985</v>
      </c>
      <c r="DC325" s="16">
        <f t="shared" ref="DC325:DC368" si="179">DC324-CS325+DW325</f>
        <v>20683.923076923078</v>
      </c>
      <c r="DD325" s="16">
        <f t="shared" ref="DD325:DD368" si="180">DD324-CT325+DX325</f>
        <v>0</v>
      </c>
      <c r="DE325" s="16">
        <f t="shared" ref="DE325:DE368" si="181">DE324-CU325+DY325</f>
        <v>0</v>
      </c>
      <c r="DF325" s="16">
        <f t="shared" ref="DF325:DF368" si="182">DF324-CV325+DZ325</f>
        <v>0</v>
      </c>
      <c r="DG325" s="14">
        <f>IF([1]Sheet2!DR324=999999,"NA",[1]Sheet2!DR324)</f>
        <v>73103</v>
      </c>
      <c r="DH325" s="14">
        <f>IF([1]Sheet2!DS324=999999,"NA",[1]Sheet2!DS324)</f>
        <v>43</v>
      </c>
      <c r="DI325" s="14">
        <f>IF([1]Sheet2!DT324=999999,"NA",[1]Sheet2!DT324)</f>
        <v>43</v>
      </c>
      <c r="DJ325" s="14" t="str">
        <f>IF([1]Sheet2!DU324=999999,"NA",[1]Sheet2!DU324)</f>
        <v>NA</v>
      </c>
      <c r="DK325" s="14" t="str">
        <f>IF([1]Sheet2!DV324=999999,"NA",[1]Sheet2!DV324)</f>
        <v>NA</v>
      </c>
      <c r="DL325" s="14" t="str">
        <f>IF([1]Sheet2!DW324=999999,"NA",[1]Sheet2!DW324)</f>
        <v>NA</v>
      </c>
      <c r="DM325" s="14">
        <f>IF([1]Sheet2!DX324=999999,"NA",[1]Sheet2!DX324)</f>
        <v>43</v>
      </c>
      <c r="DN325" s="14">
        <f>IF([1]Sheet2!DY324=999999,"NA",[1]Sheet2!DY324)</f>
        <v>43</v>
      </c>
      <c r="DO325" s="14" t="str">
        <f>IF([1]Sheet2!DZ324=999999,"NA",[1]Sheet2!DZ324)</f>
        <v>NA</v>
      </c>
      <c r="DP325" s="14" t="str">
        <f>IF([1]Sheet2!EA324=999999,"NA",[1]Sheet2!EA324)</f>
        <v>NA</v>
      </c>
      <c r="DQ325" s="14">
        <f>[1]Sheet2!CX324</f>
        <v>0</v>
      </c>
      <c r="DR325" s="14">
        <f>[1]Sheet2!CY324</f>
        <v>0</v>
      </c>
      <c r="DS325" s="14">
        <f>[1]Sheet2!CZ324</f>
        <v>0</v>
      </c>
      <c r="DT325" s="14">
        <f>[1]Sheet2!DA324</f>
        <v>0</v>
      </c>
      <c r="DU325" s="14">
        <f>[1]Sheet2!DB324</f>
        <v>0</v>
      </c>
      <c r="DV325" s="14">
        <f>[1]Sheet2!DC324</f>
        <v>0</v>
      </c>
      <c r="DW325" s="14">
        <f>[1]Sheet2!DD324</f>
        <v>0</v>
      </c>
      <c r="DX325" s="14">
        <f>[1]Sheet2!DE324</f>
        <v>0</v>
      </c>
      <c r="DY325" s="14">
        <f>[1]Sheet2!DF324</f>
        <v>0</v>
      </c>
      <c r="DZ325" s="14">
        <f>[1]Sheet2!DG324</f>
        <v>0</v>
      </c>
    </row>
    <row r="326" spans="1:130" x14ac:dyDescent="0.25">
      <c r="A326" s="15">
        <v>43788</v>
      </c>
      <c r="B326" s="1"/>
      <c r="C326" s="1"/>
      <c r="D326" s="1"/>
      <c r="E326" s="14">
        <f>[1]Sheet2!N325</f>
        <v>0</v>
      </c>
      <c r="F326" s="14">
        <f>[1]Sheet2!BE325</f>
        <v>0</v>
      </c>
      <c r="G326" s="14">
        <f>[1]Sheet2!CV325</f>
        <v>288.46153846153851</v>
      </c>
      <c r="H326" s="1"/>
      <c r="I326" s="1"/>
      <c r="J326" s="1"/>
      <c r="K326" s="16">
        <f>Demand_CWRS!B$13/30</f>
        <v>111.92954594017094</v>
      </c>
      <c r="L326" s="16">
        <f>Demand_CWRS!C$13/30</f>
        <v>550.01145299145287</v>
      </c>
      <c r="M326" s="16">
        <f>Demand_CWRS!D$13/30</f>
        <v>0</v>
      </c>
      <c r="N326" s="16">
        <f>Demand_CWRS!E$13/30</f>
        <v>105.42606837606837</v>
      </c>
      <c r="O326" s="16">
        <f>Demand_CWRS!F$13/30</f>
        <v>220.33041399572647</v>
      </c>
      <c r="P326" s="16">
        <f>Demand_CWRS!G$13/30</f>
        <v>111.92954594017094</v>
      </c>
      <c r="Q326" s="16">
        <f>Demand_CWRS!H$13/30</f>
        <v>550.01145299145287</v>
      </c>
      <c r="R326" s="16">
        <f>Demand_CWRS!I$13/30</f>
        <v>220.33041399572647</v>
      </c>
      <c r="S326" s="16">
        <f>Demand_CWRS!J$13/30</f>
        <v>220.33041399572647</v>
      </c>
      <c r="T326" s="16">
        <f>Demand_CWRS!K$13/30</f>
        <v>220.33041399572647</v>
      </c>
      <c r="U326" s="16">
        <f t="shared" si="153"/>
        <v>-41615.275955131467</v>
      </c>
      <c r="V326" s="16">
        <f t="shared" si="154"/>
        <v>-154335.96888888846</v>
      </c>
      <c r="W326" s="16">
        <f t="shared" si="155"/>
        <v>0</v>
      </c>
      <c r="X326" s="16">
        <f t="shared" si="156"/>
        <v>-35458.525695120508</v>
      </c>
      <c r="Y326" s="16">
        <f t="shared" si="157"/>
        <v>-69902.593303276968</v>
      </c>
      <c r="Z326" s="16">
        <f t="shared" si="158"/>
        <v>-41218.343431093061</v>
      </c>
      <c r="AA326" s="16">
        <f t="shared" si="159"/>
        <v>-153835.96888888846</v>
      </c>
      <c r="AB326" s="16">
        <f t="shared" si="160"/>
        <v>-67418.747822507619</v>
      </c>
      <c r="AC326" s="16">
        <f t="shared" si="161"/>
        <v>-67418.747822507605</v>
      </c>
      <c r="AD326" s="16">
        <f t="shared" si="162"/>
        <v>-68118.747822507619</v>
      </c>
      <c r="AE326" s="14">
        <f>IF([1]Sheet2!AJ325=999999,"NA",[1]Sheet2!AJ325)</f>
        <v>0</v>
      </c>
      <c r="AF326" s="14">
        <f>IF([1]Sheet2!AK325=999999,"NA",[1]Sheet2!AK325)</f>
        <v>0</v>
      </c>
      <c r="AG326" s="14" t="str">
        <f>IF([1]Sheet2!AL325=999999,"NA",[1]Sheet2!AL325)</f>
        <v>NA</v>
      </c>
      <c r="AH326" s="14">
        <f>IF([1]Sheet2!AM325=999999,"NA",[1]Sheet2!AM325)</f>
        <v>42</v>
      </c>
      <c r="AI326" s="14">
        <f>IF([1]Sheet2!AN325=999999,"NA",[1]Sheet2!AN325)</f>
        <v>42</v>
      </c>
      <c r="AJ326" s="14">
        <f>IF([1]Sheet2!AO325=999999,"NA",[1]Sheet2!AO325)</f>
        <v>42</v>
      </c>
      <c r="AK326" s="14">
        <f>IF([1]Sheet2!AP325=999999,"NA",[1]Sheet2!AP325)</f>
        <v>0</v>
      </c>
      <c r="AL326" s="14">
        <f>IF([1]Sheet2!AQ325=999999,"NA",[1]Sheet2!AQ325)</f>
        <v>0</v>
      </c>
      <c r="AM326" s="14">
        <f>IF([1]Sheet2!AR325=999999,"NA",[1]Sheet2!AR325)</f>
        <v>42</v>
      </c>
      <c r="AN326" s="14">
        <f>IF([1]Sheet2!AS325=999999,"NA",[1]Sheet2!AS325)</f>
        <v>0</v>
      </c>
      <c r="AO326" s="14">
        <f>[1]Sheet2!P325</f>
        <v>0</v>
      </c>
      <c r="AP326" s="14">
        <f>[1]Sheet2!Q325</f>
        <v>0</v>
      </c>
      <c r="AQ326" s="14">
        <f>[1]Sheet2!R325</f>
        <v>0</v>
      </c>
      <c r="AR326" s="14">
        <f>[1]Sheet2!S325</f>
        <v>0</v>
      </c>
      <c r="AS326" s="14">
        <f>[1]Sheet2!T325</f>
        <v>0</v>
      </c>
      <c r="AT326" s="14">
        <f>[1]Sheet2!U325</f>
        <v>0</v>
      </c>
      <c r="AU326" s="14">
        <f>[1]Sheet2!V325</f>
        <v>0</v>
      </c>
      <c r="AV326" s="14">
        <f>[1]Sheet2!W325</f>
        <v>0</v>
      </c>
      <c r="AW326" s="14">
        <f>[1]Sheet2!X325</f>
        <v>0</v>
      </c>
      <c r="AX326" s="14">
        <f>[1]Sheet2!Y325</f>
        <v>0</v>
      </c>
      <c r="AY326" s="16">
        <f>Demand_LP!B$13/30</f>
        <v>849.16414262820524</v>
      </c>
      <c r="AZ326" s="16">
        <f>Demand_LP!C$13/30</f>
        <v>632.84239316239314</v>
      </c>
      <c r="BA326" s="16">
        <f>Demand_LP!D$13/30</f>
        <v>269.64247863247863</v>
      </c>
      <c r="BB326" s="16">
        <f>Demand_LP!E$13/30</f>
        <v>815.03102564102551</v>
      </c>
      <c r="BC326" s="16">
        <f>Demand_LP!F$13/30</f>
        <v>536.05500267094021</v>
      </c>
      <c r="BD326" s="16">
        <f>Demand_LP!G$13/30</f>
        <v>849.16414262820524</v>
      </c>
      <c r="BE326" s="16">
        <f>Demand_LP!H$13/30</f>
        <v>632.84239316239314</v>
      </c>
      <c r="BF326" s="16">
        <f>Demand_LP!I$13/30</f>
        <v>536.05500267094021</v>
      </c>
      <c r="BG326" s="16">
        <f>Demand_LP!J$13/30</f>
        <v>536.05500267094021</v>
      </c>
      <c r="BH326" s="16">
        <f>Demand_LP!K$13/30</f>
        <v>536.05500267094021</v>
      </c>
      <c r="BI326" s="16" t="e">
        <f t="shared" si="163"/>
        <v>#VALUE!</v>
      </c>
      <c r="BJ326" s="16">
        <f t="shared" si="164"/>
        <v>-185029.51059829033</v>
      </c>
      <c r="BK326" s="16">
        <f t="shared" si="165"/>
        <v>-93323.68401709426</v>
      </c>
      <c r="BL326" s="16">
        <f t="shared" si="166"/>
        <v>-244066.06126582169</v>
      </c>
      <c r="BM326" s="16">
        <f t="shared" si="167"/>
        <v>-148260.33743045415</v>
      </c>
      <c r="BN326" s="16">
        <f t="shared" si="168"/>
        <v>-254918.71302620863</v>
      </c>
      <c r="BO326" s="16">
        <f t="shared" si="169"/>
        <v>-187387.09008547012</v>
      </c>
      <c r="BP326" s="16">
        <f t="shared" si="170"/>
        <v>-149372.02134882472</v>
      </c>
      <c r="BQ326" s="16">
        <f t="shared" si="171"/>
        <v>-146362.02134882484</v>
      </c>
      <c r="BR326" s="16">
        <f t="shared" si="172"/>
        <v>-147562.02134882475</v>
      </c>
      <c r="BS326" s="14">
        <f>IF([1]Sheet2!CA325=999999,"NA",[1]Sheet2!CA325)</f>
        <v>68916.978651175217</v>
      </c>
      <c r="BT326" s="14">
        <f>IF([1]Sheet2!CB325=999999,"NA",[1]Sheet2!CB325)</f>
        <v>0</v>
      </c>
      <c r="BU326" s="14">
        <f>IF([1]Sheet2!CC325=999999,"NA",[1]Sheet2!CC325)</f>
        <v>42</v>
      </c>
      <c r="BV326" s="14">
        <f>IF([1]Sheet2!CD325=999999,"NA",[1]Sheet2!CD325)</f>
        <v>42</v>
      </c>
      <c r="BW326" s="14">
        <f>IF([1]Sheet2!CE325=999999,"NA",[1]Sheet2!CE325)</f>
        <v>11</v>
      </c>
      <c r="BX326" s="14">
        <f>IF([1]Sheet2!CF325=999999,"NA",[1]Sheet2!CF325)</f>
        <v>42</v>
      </c>
      <c r="BY326" s="14">
        <f>IF([1]Sheet2!CG325=999999,"NA",[1]Sheet2!CG325)</f>
        <v>0</v>
      </c>
      <c r="BZ326" s="14">
        <f>IF([1]Sheet2!CH325=999999,"NA",[1]Sheet2!CH325)</f>
        <v>42</v>
      </c>
      <c r="CA326" s="14">
        <f>IF([1]Sheet2!CI325=999999,"NA",[1]Sheet2!CI325)</f>
        <v>42</v>
      </c>
      <c r="CB326" s="14">
        <f>IF([1]Sheet2!CJ325=999999,"NA",[1]Sheet2!CJ325)</f>
        <v>42</v>
      </c>
      <c r="CC326" s="14">
        <f>[1]Sheet2!BG325</f>
        <v>0</v>
      </c>
      <c r="CD326" s="14">
        <f>[1]Sheet2!BH325</f>
        <v>0</v>
      </c>
      <c r="CE326" s="14">
        <f>[1]Sheet2!BI325</f>
        <v>0</v>
      </c>
      <c r="CF326" s="14">
        <f>[1]Sheet2!BJ325</f>
        <v>0</v>
      </c>
      <c r="CG326" s="14">
        <f>[1]Sheet2!BK325</f>
        <v>0</v>
      </c>
      <c r="CH326" s="14">
        <f>[1]Sheet2!BL325</f>
        <v>0</v>
      </c>
      <c r="CI326" s="14">
        <f>[1]Sheet2!BM325</f>
        <v>0</v>
      </c>
      <c r="CJ326" s="14">
        <f>[1]Sheet2!BN325</f>
        <v>0</v>
      </c>
      <c r="CK326" s="14">
        <f>[1]Sheet2!BO325</f>
        <v>0</v>
      </c>
      <c r="CL326" s="14">
        <f>[1]Sheet2!BP325</f>
        <v>0</v>
      </c>
      <c r="CM326" s="16">
        <f>Demand_SW!B$13/30</f>
        <v>144.23076923076923</v>
      </c>
      <c r="CN326" s="16">
        <f>Demand_SW!C$13/30</f>
        <v>0</v>
      </c>
      <c r="CO326" s="16">
        <f>Demand_SW!D$13/30</f>
        <v>0</v>
      </c>
      <c r="CP326" s="16">
        <f>Demand_SW!E$13/30</f>
        <v>0</v>
      </c>
      <c r="CQ326" s="16">
        <f>Demand_SW!F$13/30</f>
        <v>0</v>
      </c>
      <c r="CR326" s="16">
        <f>Demand_SW!G$13/30</f>
        <v>144.23076923076923</v>
      </c>
      <c r="CS326" s="16">
        <f>Demand_SW!H$13/30</f>
        <v>0</v>
      </c>
      <c r="CT326" s="16">
        <f>Demand_SW!I$13/30</f>
        <v>0</v>
      </c>
      <c r="CU326" s="16">
        <f>Demand_SW!J$13/30</f>
        <v>0</v>
      </c>
      <c r="CV326" s="16">
        <f>Demand_SW!K$13/30</f>
        <v>0</v>
      </c>
      <c r="CW326" s="16">
        <f t="shared" si="173"/>
        <v>56884.999999999985</v>
      </c>
      <c r="CX326" s="16">
        <f t="shared" si="174"/>
        <v>20683.923076923078</v>
      </c>
      <c r="CY326" s="16">
        <f t="shared" si="175"/>
        <v>0</v>
      </c>
      <c r="CZ326" s="16">
        <f t="shared" si="176"/>
        <v>0</v>
      </c>
      <c r="DA326" s="16">
        <f t="shared" si="177"/>
        <v>0</v>
      </c>
      <c r="DB326" s="16">
        <f t="shared" si="178"/>
        <v>-42644.230769230751</v>
      </c>
      <c r="DC326" s="16">
        <f t="shared" si="179"/>
        <v>20683.923076923078</v>
      </c>
      <c r="DD326" s="16">
        <f t="shared" si="180"/>
        <v>0</v>
      </c>
      <c r="DE326" s="16">
        <f t="shared" si="181"/>
        <v>0</v>
      </c>
      <c r="DF326" s="16">
        <f t="shared" si="182"/>
        <v>0</v>
      </c>
      <c r="DG326" s="14">
        <f>IF([1]Sheet2!DR325=999999,"NA",[1]Sheet2!DR325)</f>
        <v>73103</v>
      </c>
      <c r="DH326" s="14">
        <f>IF([1]Sheet2!DS325=999999,"NA",[1]Sheet2!DS325)</f>
        <v>42</v>
      </c>
      <c r="DI326" s="14">
        <f>IF([1]Sheet2!DT325=999999,"NA",[1]Sheet2!DT325)</f>
        <v>42</v>
      </c>
      <c r="DJ326" s="14" t="str">
        <f>IF([1]Sheet2!DU325=999999,"NA",[1]Sheet2!DU325)</f>
        <v>NA</v>
      </c>
      <c r="DK326" s="14" t="str">
        <f>IF([1]Sheet2!DV325=999999,"NA",[1]Sheet2!DV325)</f>
        <v>NA</v>
      </c>
      <c r="DL326" s="14" t="str">
        <f>IF([1]Sheet2!DW325=999999,"NA",[1]Sheet2!DW325)</f>
        <v>NA</v>
      </c>
      <c r="DM326" s="14">
        <f>IF([1]Sheet2!DX325=999999,"NA",[1]Sheet2!DX325)</f>
        <v>42</v>
      </c>
      <c r="DN326" s="14">
        <f>IF([1]Sheet2!DY325=999999,"NA",[1]Sheet2!DY325)</f>
        <v>42</v>
      </c>
      <c r="DO326" s="14" t="str">
        <f>IF([1]Sheet2!DZ325=999999,"NA",[1]Sheet2!DZ325)</f>
        <v>NA</v>
      </c>
      <c r="DP326" s="14" t="str">
        <f>IF([1]Sheet2!EA325=999999,"NA",[1]Sheet2!EA325)</f>
        <v>NA</v>
      </c>
      <c r="DQ326" s="14">
        <f>[1]Sheet2!CX325</f>
        <v>0</v>
      </c>
      <c r="DR326" s="14">
        <f>[1]Sheet2!CY325</f>
        <v>0</v>
      </c>
      <c r="DS326" s="14">
        <f>[1]Sheet2!CZ325</f>
        <v>0</v>
      </c>
      <c r="DT326" s="14">
        <f>[1]Sheet2!DA325</f>
        <v>0</v>
      </c>
      <c r="DU326" s="14">
        <f>[1]Sheet2!DB325</f>
        <v>0</v>
      </c>
      <c r="DV326" s="14">
        <f>[1]Sheet2!DC325</f>
        <v>0</v>
      </c>
      <c r="DW326" s="14">
        <f>[1]Sheet2!DD325</f>
        <v>0</v>
      </c>
      <c r="DX326" s="14">
        <f>[1]Sheet2!DE325</f>
        <v>0</v>
      </c>
      <c r="DY326" s="14">
        <f>[1]Sheet2!DF325</f>
        <v>0</v>
      </c>
      <c r="DZ326" s="14">
        <f>[1]Sheet2!DG325</f>
        <v>0</v>
      </c>
    </row>
    <row r="327" spans="1:130" x14ac:dyDescent="0.25">
      <c r="A327" s="15">
        <v>43789</v>
      </c>
      <c r="B327" s="1"/>
      <c r="C327" s="1"/>
      <c r="D327" s="1"/>
      <c r="E327" s="14">
        <f>[1]Sheet2!N326</f>
        <v>0</v>
      </c>
      <c r="F327" s="14">
        <f>[1]Sheet2!BE326</f>
        <v>0</v>
      </c>
      <c r="G327" s="14">
        <f>[1]Sheet2!CV326</f>
        <v>288.46153846153851</v>
      </c>
      <c r="H327" s="1"/>
      <c r="I327" s="1"/>
      <c r="J327" s="1"/>
      <c r="K327" s="16">
        <f>Demand_CWRS!B$13/30</f>
        <v>111.92954594017094</v>
      </c>
      <c r="L327" s="16">
        <f>Demand_CWRS!C$13/30</f>
        <v>550.01145299145287</v>
      </c>
      <c r="M327" s="16">
        <f>Demand_CWRS!D$13/30</f>
        <v>0</v>
      </c>
      <c r="N327" s="16">
        <f>Demand_CWRS!E$13/30</f>
        <v>105.42606837606837</v>
      </c>
      <c r="O327" s="16">
        <f>Demand_CWRS!F$13/30</f>
        <v>220.33041399572647</v>
      </c>
      <c r="P327" s="16">
        <f>Demand_CWRS!G$13/30</f>
        <v>111.92954594017094</v>
      </c>
      <c r="Q327" s="16">
        <f>Demand_CWRS!H$13/30</f>
        <v>550.01145299145287</v>
      </c>
      <c r="R327" s="16">
        <f>Demand_CWRS!I$13/30</f>
        <v>220.33041399572647</v>
      </c>
      <c r="S327" s="16">
        <f>Demand_CWRS!J$13/30</f>
        <v>220.33041399572647</v>
      </c>
      <c r="T327" s="16">
        <f>Demand_CWRS!K$13/30</f>
        <v>220.33041399572647</v>
      </c>
      <c r="U327" s="16">
        <f t="shared" si="153"/>
        <v>-41727.205501071636</v>
      </c>
      <c r="V327" s="16">
        <f t="shared" si="154"/>
        <v>-154885.98034187991</v>
      </c>
      <c r="W327" s="16">
        <f t="shared" si="155"/>
        <v>0</v>
      </c>
      <c r="X327" s="16">
        <f t="shared" si="156"/>
        <v>-35563.951763496574</v>
      </c>
      <c r="Y327" s="16">
        <f t="shared" si="157"/>
        <v>-70122.923717272701</v>
      </c>
      <c r="Z327" s="16">
        <f t="shared" si="158"/>
        <v>-41330.27297703323</v>
      </c>
      <c r="AA327" s="16">
        <f t="shared" si="159"/>
        <v>-154385.98034187991</v>
      </c>
      <c r="AB327" s="16">
        <f t="shared" si="160"/>
        <v>-67639.078236503352</v>
      </c>
      <c r="AC327" s="16">
        <f t="shared" si="161"/>
        <v>-67639.078236503337</v>
      </c>
      <c r="AD327" s="16">
        <f t="shared" si="162"/>
        <v>-68339.078236503352</v>
      </c>
      <c r="AE327" s="14">
        <f>IF([1]Sheet2!AJ326=999999,"NA",[1]Sheet2!AJ326)</f>
        <v>0</v>
      </c>
      <c r="AF327" s="14">
        <f>IF([1]Sheet2!AK326=999999,"NA",[1]Sheet2!AK326)</f>
        <v>0</v>
      </c>
      <c r="AG327" s="14" t="str">
        <f>IF([1]Sheet2!AL326=999999,"NA",[1]Sheet2!AL326)</f>
        <v>NA</v>
      </c>
      <c r="AH327" s="14">
        <f>IF([1]Sheet2!AM326=999999,"NA",[1]Sheet2!AM326)</f>
        <v>41</v>
      </c>
      <c r="AI327" s="14">
        <f>IF([1]Sheet2!AN326=999999,"NA",[1]Sheet2!AN326)</f>
        <v>41</v>
      </c>
      <c r="AJ327" s="14">
        <f>IF([1]Sheet2!AO326=999999,"NA",[1]Sheet2!AO326)</f>
        <v>41</v>
      </c>
      <c r="AK327" s="14">
        <f>IF([1]Sheet2!AP326=999999,"NA",[1]Sheet2!AP326)</f>
        <v>0</v>
      </c>
      <c r="AL327" s="14">
        <f>IF([1]Sheet2!AQ326=999999,"NA",[1]Sheet2!AQ326)</f>
        <v>0</v>
      </c>
      <c r="AM327" s="14">
        <f>IF([1]Sheet2!AR326=999999,"NA",[1]Sheet2!AR326)</f>
        <v>41</v>
      </c>
      <c r="AN327" s="14">
        <f>IF([1]Sheet2!AS326=999999,"NA",[1]Sheet2!AS326)</f>
        <v>0</v>
      </c>
      <c r="AO327" s="14">
        <f>[1]Sheet2!P326</f>
        <v>0</v>
      </c>
      <c r="AP327" s="14">
        <f>[1]Sheet2!Q326</f>
        <v>0</v>
      </c>
      <c r="AQ327" s="14">
        <f>[1]Sheet2!R326</f>
        <v>0</v>
      </c>
      <c r="AR327" s="14">
        <f>[1]Sheet2!S326</f>
        <v>0</v>
      </c>
      <c r="AS327" s="14">
        <f>[1]Sheet2!T326</f>
        <v>0</v>
      </c>
      <c r="AT327" s="14">
        <f>[1]Sheet2!U326</f>
        <v>0</v>
      </c>
      <c r="AU327" s="14">
        <f>[1]Sheet2!V326</f>
        <v>0</v>
      </c>
      <c r="AV327" s="14">
        <f>[1]Sheet2!W326</f>
        <v>0</v>
      </c>
      <c r="AW327" s="14">
        <f>[1]Sheet2!X326</f>
        <v>0</v>
      </c>
      <c r="AX327" s="14">
        <f>[1]Sheet2!Y326</f>
        <v>0</v>
      </c>
      <c r="AY327" s="16">
        <f>Demand_LP!B$13/30</f>
        <v>849.16414262820524</v>
      </c>
      <c r="AZ327" s="16">
        <f>Demand_LP!C$13/30</f>
        <v>632.84239316239314</v>
      </c>
      <c r="BA327" s="16">
        <f>Demand_LP!D$13/30</f>
        <v>269.64247863247863</v>
      </c>
      <c r="BB327" s="16">
        <f>Demand_LP!E$13/30</f>
        <v>815.03102564102551</v>
      </c>
      <c r="BC327" s="16">
        <f>Demand_LP!F$13/30</f>
        <v>536.05500267094021</v>
      </c>
      <c r="BD327" s="16">
        <f>Demand_LP!G$13/30</f>
        <v>849.16414262820524</v>
      </c>
      <c r="BE327" s="16">
        <f>Demand_LP!H$13/30</f>
        <v>632.84239316239314</v>
      </c>
      <c r="BF327" s="16">
        <f>Demand_LP!I$13/30</f>
        <v>536.05500267094021</v>
      </c>
      <c r="BG327" s="16">
        <f>Demand_LP!J$13/30</f>
        <v>536.05500267094021</v>
      </c>
      <c r="BH327" s="16">
        <f>Demand_LP!K$13/30</f>
        <v>536.05500267094021</v>
      </c>
      <c r="BI327" s="16" t="e">
        <f t="shared" si="163"/>
        <v>#VALUE!</v>
      </c>
      <c r="BJ327" s="16">
        <f t="shared" si="164"/>
        <v>-185662.35299145273</v>
      </c>
      <c r="BK327" s="16">
        <f t="shared" si="165"/>
        <v>-93593.326495726738</v>
      </c>
      <c r="BL327" s="16">
        <f t="shared" si="166"/>
        <v>-244881.0922914627</v>
      </c>
      <c r="BM327" s="16">
        <f t="shared" si="167"/>
        <v>-148796.39243312509</v>
      </c>
      <c r="BN327" s="16">
        <f t="shared" si="168"/>
        <v>-255767.87716883683</v>
      </c>
      <c r="BO327" s="16">
        <f t="shared" si="169"/>
        <v>-188019.93247863252</v>
      </c>
      <c r="BP327" s="16">
        <f t="shared" si="170"/>
        <v>-149908.07635149566</v>
      </c>
      <c r="BQ327" s="16">
        <f t="shared" si="171"/>
        <v>-146898.07635149578</v>
      </c>
      <c r="BR327" s="16">
        <f t="shared" si="172"/>
        <v>-148098.07635149569</v>
      </c>
      <c r="BS327" s="14">
        <f>IF([1]Sheet2!CA326=999999,"NA",[1]Sheet2!CA326)</f>
        <v>68380.923648504278</v>
      </c>
      <c r="BT327" s="14">
        <f>IF([1]Sheet2!CB326=999999,"NA",[1]Sheet2!CB326)</f>
        <v>0</v>
      </c>
      <c r="BU327" s="14">
        <f>IF([1]Sheet2!CC326=999999,"NA",[1]Sheet2!CC326)</f>
        <v>41</v>
      </c>
      <c r="BV327" s="14">
        <f>IF([1]Sheet2!CD326=999999,"NA",[1]Sheet2!CD326)</f>
        <v>41</v>
      </c>
      <c r="BW327" s="14">
        <f>IF([1]Sheet2!CE326=999999,"NA",[1]Sheet2!CE326)</f>
        <v>10</v>
      </c>
      <c r="BX327" s="14">
        <f>IF([1]Sheet2!CF326=999999,"NA",[1]Sheet2!CF326)</f>
        <v>41</v>
      </c>
      <c r="BY327" s="14">
        <f>IF([1]Sheet2!CG326=999999,"NA",[1]Sheet2!CG326)</f>
        <v>0</v>
      </c>
      <c r="BZ327" s="14">
        <f>IF([1]Sheet2!CH326=999999,"NA",[1]Sheet2!CH326)</f>
        <v>41</v>
      </c>
      <c r="CA327" s="14">
        <f>IF([1]Sheet2!CI326=999999,"NA",[1]Sheet2!CI326)</f>
        <v>41</v>
      </c>
      <c r="CB327" s="14">
        <f>IF([1]Sheet2!CJ326=999999,"NA",[1]Sheet2!CJ326)</f>
        <v>41</v>
      </c>
      <c r="CC327" s="14">
        <f>[1]Sheet2!BG326</f>
        <v>0</v>
      </c>
      <c r="CD327" s="14">
        <f>[1]Sheet2!BH326</f>
        <v>0</v>
      </c>
      <c r="CE327" s="14">
        <f>[1]Sheet2!BI326</f>
        <v>0</v>
      </c>
      <c r="CF327" s="14">
        <f>[1]Sheet2!BJ326</f>
        <v>0</v>
      </c>
      <c r="CG327" s="14">
        <f>[1]Sheet2!BK326</f>
        <v>0</v>
      </c>
      <c r="CH327" s="14">
        <f>[1]Sheet2!BL326</f>
        <v>0</v>
      </c>
      <c r="CI327" s="14">
        <f>[1]Sheet2!BM326</f>
        <v>0</v>
      </c>
      <c r="CJ327" s="14">
        <f>[1]Sheet2!BN326</f>
        <v>0</v>
      </c>
      <c r="CK327" s="14">
        <f>[1]Sheet2!BO326</f>
        <v>0</v>
      </c>
      <c r="CL327" s="14">
        <f>[1]Sheet2!BP326</f>
        <v>0</v>
      </c>
      <c r="CM327" s="16">
        <f>Demand_SW!B$13/30</f>
        <v>144.23076923076923</v>
      </c>
      <c r="CN327" s="16">
        <f>Demand_SW!C$13/30</f>
        <v>0</v>
      </c>
      <c r="CO327" s="16">
        <f>Demand_SW!D$13/30</f>
        <v>0</v>
      </c>
      <c r="CP327" s="16">
        <f>Demand_SW!E$13/30</f>
        <v>0</v>
      </c>
      <c r="CQ327" s="16">
        <f>Demand_SW!F$13/30</f>
        <v>0</v>
      </c>
      <c r="CR327" s="16">
        <f>Demand_SW!G$13/30</f>
        <v>144.23076923076923</v>
      </c>
      <c r="CS327" s="16">
        <f>Demand_SW!H$13/30</f>
        <v>0</v>
      </c>
      <c r="CT327" s="16">
        <f>Demand_SW!I$13/30</f>
        <v>0</v>
      </c>
      <c r="CU327" s="16">
        <f>Demand_SW!J$13/30</f>
        <v>0</v>
      </c>
      <c r="CV327" s="16">
        <f>Demand_SW!K$13/30</f>
        <v>0</v>
      </c>
      <c r="CW327" s="16">
        <f t="shared" si="173"/>
        <v>56740.76923076922</v>
      </c>
      <c r="CX327" s="16">
        <f t="shared" si="174"/>
        <v>20683.923076923078</v>
      </c>
      <c r="CY327" s="16">
        <f t="shared" si="175"/>
        <v>0</v>
      </c>
      <c r="CZ327" s="16">
        <f t="shared" si="176"/>
        <v>0</v>
      </c>
      <c r="DA327" s="16">
        <f t="shared" si="177"/>
        <v>0</v>
      </c>
      <c r="DB327" s="16">
        <f t="shared" si="178"/>
        <v>-42788.461538461517</v>
      </c>
      <c r="DC327" s="16">
        <f t="shared" si="179"/>
        <v>20683.923076923078</v>
      </c>
      <c r="DD327" s="16">
        <f t="shared" si="180"/>
        <v>0</v>
      </c>
      <c r="DE327" s="16">
        <f t="shared" si="181"/>
        <v>0</v>
      </c>
      <c r="DF327" s="16">
        <f t="shared" si="182"/>
        <v>0</v>
      </c>
      <c r="DG327" s="14">
        <f>IF([1]Sheet2!DR326=999999,"NA",[1]Sheet2!DR326)</f>
        <v>73103</v>
      </c>
      <c r="DH327" s="14">
        <f>IF([1]Sheet2!DS326=999999,"NA",[1]Sheet2!DS326)</f>
        <v>41</v>
      </c>
      <c r="DI327" s="14">
        <f>IF([1]Sheet2!DT326=999999,"NA",[1]Sheet2!DT326)</f>
        <v>41</v>
      </c>
      <c r="DJ327" s="14" t="str">
        <f>IF([1]Sheet2!DU326=999999,"NA",[1]Sheet2!DU326)</f>
        <v>NA</v>
      </c>
      <c r="DK327" s="14" t="str">
        <f>IF([1]Sheet2!DV326=999999,"NA",[1]Sheet2!DV326)</f>
        <v>NA</v>
      </c>
      <c r="DL327" s="14" t="str">
        <f>IF([1]Sheet2!DW326=999999,"NA",[1]Sheet2!DW326)</f>
        <v>NA</v>
      </c>
      <c r="DM327" s="14">
        <f>IF([1]Sheet2!DX326=999999,"NA",[1]Sheet2!DX326)</f>
        <v>41</v>
      </c>
      <c r="DN327" s="14">
        <f>IF([1]Sheet2!DY326=999999,"NA",[1]Sheet2!DY326)</f>
        <v>41</v>
      </c>
      <c r="DO327" s="14" t="str">
        <f>IF([1]Sheet2!DZ326=999999,"NA",[1]Sheet2!DZ326)</f>
        <v>NA</v>
      </c>
      <c r="DP327" s="14" t="str">
        <f>IF([1]Sheet2!EA326=999999,"NA",[1]Sheet2!EA326)</f>
        <v>NA</v>
      </c>
      <c r="DQ327" s="14">
        <f>[1]Sheet2!CX326</f>
        <v>0</v>
      </c>
      <c r="DR327" s="14">
        <f>[1]Sheet2!CY326</f>
        <v>0</v>
      </c>
      <c r="DS327" s="14">
        <f>[1]Sheet2!CZ326</f>
        <v>0</v>
      </c>
      <c r="DT327" s="14">
        <f>[1]Sheet2!DA326</f>
        <v>0</v>
      </c>
      <c r="DU327" s="14">
        <f>[1]Sheet2!DB326</f>
        <v>0</v>
      </c>
      <c r="DV327" s="14">
        <f>[1]Sheet2!DC326</f>
        <v>0</v>
      </c>
      <c r="DW327" s="14">
        <f>[1]Sheet2!DD326</f>
        <v>0</v>
      </c>
      <c r="DX327" s="14">
        <f>[1]Sheet2!DE326</f>
        <v>0</v>
      </c>
      <c r="DY327" s="14">
        <f>[1]Sheet2!DF326</f>
        <v>0</v>
      </c>
      <c r="DZ327" s="14">
        <f>[1]Sheet2!DG326</f>
        <v>0</v>
      </c>
    </row>
    <row r="328" spans="1:130" x14ac:dyDescent="0.25">
      <c r="A328" s="15">
        <v>43790</v>
      </c>
      <c r="B328" s="1"/>
      <c r="C328" s="1"/>
      <c r="D328" s="1"/>
      <c r="E328" s="14">
        <f>[1]Sheet2!N327</f>
        <v>0</v>
      </c>
      <c r="F328" s="14">
        <f>[1]Sheet2!BE327</f>
        <v>0</v>
      </c>
      <c r="G328" s="14">
        <f>[1]Sheet2!CV327</f>
        <v>288.46153846153851</v>
      </c>
      <c r="H328" s="1"/>
      <c r="I328" s="1"/>
      <c r="J328" s="1"/>
      <c r="K328" s="16">
        <f>Demand_CWRS!B$13/30</f>
        <v>111.92954594017094</v>
      </c>
      <c r="L328" s="16">
        <f>Demand_CWRS!C$13/30</f>
        <v>550.01145299145287</v>
      </c>
      <c r="M328" s="16">
        <f>Demand_CWRS!D$13/30</f>
        <v>0</v>
      </c>
      <c r="N328" s="16">
        <f>Demand_CWRS!E$13/30</f>
        <v>105.42606837606837</v>
      </c>
      <c r="O328" s="16">
        <f>Demand_CWRS!F$13/30</f>
        <v>220.33041399572647</v>
      </c>
      <c r="P328" s="16">
        <f>Demand_CWRS!G$13/30</f>
        <v>111.92954594017094</v>
      </c>
      <c r="Q328" s="16">
        <f>Demand_CWRS!H$13/30</f>
        <v>550.01145299145287</v>
      </c>
      <c r="R328" s="16">
        <f>Demand_CWRS!I$13/30</f>
        <v>220.33041399572647</v>
      </c>
      <c r="S328" s="16">
        <f>Demand_CWRS!J$13/30</f>
        <v>220.33041399572647</v>
      </c>
      <c r="T328" s="16">
        <f>Demand_CWRS!K$13/30</f>
        <v>220.33041399572647</v>
      </c>
      <c r="U328" s="16">
        <f t="shared" si="153"/>
        <v>-41839.135047011805</v>
      </c>
      <c r="V328" s="16">
        <f t="shared" si="154"/>
        <v>-155435.99179487137</v>
      </c>
      <c r="W328" s="16">
        <f t="shared" si="155"/>
        <v>0</v>
      </c>
      <c r="X328" s="16">
        <f t="shared" si="156"/>
        <v>-35669.37783187264</v>
      </c>
      <c r="Y328" s="16">
        <f t="shared" si="157"/>
        <v>-70343.254131268433</v>
      </c>
      <c r="Z328" s="16">
        <f t="shared" si="158"/>
        <v>-41442.202522973399</v>
      </c>
      <c r="AA328" s="16">
        <f t="shared" si="159"/>
        <v>-154935.99179487137</v>
      </c>
      <c r="AB328" s="16">
        <f t="shared" si="160"/>
        <v>-67859.408650499085</v>
      </c>
      <c r="AC328" s="16">
        <f t="shared" si="161"/>
        <v>-67859.40865049907</v>
      </c>
      <c r="AD328" s="16">
        <f t="shared" si="162"/>
        <v>-68559.408650499085</v>
      </c>
      <c r="AE328" s="14">
        <f>IF([1]Sheet2!AJ327=999999,"NA",[1]Sheet2!AJ327)</f>
        <v>0</v>
      </c>
      <c r="AF328" s="14">
        <f>IF([1]Sheet2!AK327=999999,"NA",[1]Sheet2!AK327)</f>
        <v>0</v>
      </c>
      <c r="AG328" s="14" t="str">
        <f>IF([1]Sheet2!AL327=999999,"NA",[1]Sheet2!AL327)</f>
        <v>NA</v>
      </c>
      <c r="AH328" s="14">
        <f>IF([1]Sheet2!AM327=999999,"NA",[1]Sheet2!AM327)</f>
        <v>40</v>
      </c>
      <c r="AI328" s="14">
        <f>IF([1]Sheet2!AN327=999999,"NA",[1]Sheet2!AN327)</f>
        <v>40</v>
      </c>
      <c r="AJ328" s="14">
        <f>IF([1]Sheet2!AO327=999999,"NA",[1]Sheet2!AO327)</f>
        <v>40</v>
      </c>
      <c r="AK328" s="14">
        <f>IF([1]Sheet2!AP327=999999,"NA",[1]Sheet2!AP327)</f>
        <v>0</v>
      </c>
      <c r="AL328" s="14">
        <f>IF([1]Sheet2!AQ327=999999,"NA",[1]Sheet2!AQ327)</f>
        <v>0</v>
      </c>
      <c r="AM328" s="14">
        <f>IF([1]Sheet2!AR327=999999,"NA",[1]Sheet2!AR327)</f>
        <v>40</v>
      </c>
      <c r="AN328" s="14">
        <f>IF([1]Sheet2!AS327=999999,"NA",[1]Sheet2!AS327)</f>
        <v>0</v>
      </c>
      <c r="AO328" s="14">
        <f>[1]Sheet2!P327</f>
        <v>0</v>
      </c>
      <c r="AP328" s="14">
        <f>[1]Sheet2!Q327</f>
        <v>0</v>
      </c>
      <c r="AQ328" s="14">
        <f>[1]Sheet2!R327</f>
        <v>0</v>
      </c>
      <c r="AR328" s="14">
        <f>[1]Sheet2!S327</f>
        <v>0</v>
      </c>
      <c r="AS328" s="14">
        <f>[1]Sheet2!T327</f>
        <v>0</v>
      </c>
      <c r="AT328" s="14">
        <f>[1]Sheet2!U327</f>
        <v>0</v>
      </c>
      <c r="AU328" s="14">
        <f>[1]Sheet2!V327</f>
        <v>0</v>
      </c>
      <c r="AV328" s="14">
        <f>[1]Sheet2!W327</f>
        <v>0</v>
      </c>
      <c r="AW328" s="14">
        <f>[1]Sheet2!X327</f>
        <v>0</v>
      </c>
      <c r="AX328" s="14">
        <f>[1]Sheet2!Y327</f>
        <v>0</v>
      </c>
      <c r="AY328" s="16">
        <f>Demand_LP!B$13/30</f>
        <v>849.16414262820524</v>
      </c>
      <c r="AZ328" s="16">
        <f>Demand_LP!C$13/30</f>
        <v>632.84239316239314</v>
      </c>
      <c r="BA328" s="16">
        <f>Demand_LP!D$13/30</f>
        <v>269.64247863247863</v>
      </c>
      <c r="BB328" s="16">
        <f>Demand_LP!E$13/30</f>
        <v>815.03102564102551</v>
      </c>
      <c r="BC328" s="16">
        <f>Demand_LP!F$13/30</f>
        <v>536.05500267094021</v>
      </c>
      <c r="BD328" s="16">
        <f>Demand_LP!G$13/30</f>
        <v>849.16414262820524</v>
      </c>
      <c r="BE328" s="16">
        <f>Demand_LP!H$13/30</f>
        <v>632.84239316239314</v>
      </c>
      <c r="BF328" s="16">
        <f>Demand_LP!I$13/30</f>
        <v>536.05500267094021</v>
      </c>
      <c r="BG328" s="16">
        <f>Demand_LP!J$13/30</f>
        <v>536.05500267094021</v>
      </c>
      <c r="BH328" s="16">
        <f>Demand_LP!K$13/30</f>
        <v>536.05500267094021</v>
      </c>
      <c r="BI328" s="16" t="e">
        <f t="shared" si="163"/>
        <v>#VALUE!</v>
      </c>
      <c r="BJ328" s="16">
        <f t="shared" si="164"/>
        <v>-186295.19538461513</v>
      </c>
      <c r="BK328" s="16">
        <f t="shared" si="165"/>
        <v>-93862.968974359217</v>
      </c>
      <c r="BL328" s="16">
        <f t="shared" si="166"/>
        <v>-245696.12331710372</v>
      </c>
      <c r="BM328" s="16">
        <f t="shared" si="167"/>
        <v>-149332.44743579603</v>
      </c>
      <c r="BN328" s="16">
        <f t="shared" si="168"/>
        <v>-256617.04131146503</v>
      </c>
      <c r="BO328" s="16">
        <f t="shared" si="169"/>
        <v>-188652.77487179491</v>
      </c>
      <c r="BP328" s="16">
        <f t="shared" si="170"/>
        <v>-150444.1313541666</v>
      </c>
      <c r="BQ328" s="16">
        <f t="shared" si="171"/>
        <v>-147434.13135416672</v>
      </c>
      <c r="BR328" s="16">
        <f t="shared" si="172"/>
        <v>-148634.13135416663</v>
      </c>
      <c r="BS328" s="14">
        <f>IF([1]Sheet2!CA327=999999,"NA",[1]Sheet2!CA327)</f>
        <v>67844.86864583334</v>
      </c>
      <c r="BT328" s="14">
        <f>IF([1]Sheet2!CB327=999999,"NA",[1]Sheet2!CB327)</f>
        <v>0</v>
      </c>
      <c r="BU328" s="14">
        <f>IF([1]Sheet2!CC327=999999,"NA",[1]Sheet2!CC327)</f>
        <v>40</v>
      </c>
      <c r="BV328" s="14">
        <f>IF([1]Sheet2!CD327=999999,"NA",[1]Sheet2!CD327)</f>
        <v>40</v>
      </c>
      <c r="BW328" s="14">
        <f>IF([1]Sheet2!CE327=999999,"NA",[1]Sheet2!CE327)</f>
        <v>9</v>
      </c>
      <c r="BX328" s="14">
        <f>IF([1]Sheet2!CF327=999999,"NA",[1]Sheet2!CF327)</f>
        <v>40</v>
      </c>
      <c r="BY328" s="14">
        <f>IF([1]Sheet2!CG327=999999,"NA",[1]Sheet2!CG327)</f>
        <v>0</v>
      </c>
      <c r="BZ328" s="14">
        <f>IF([1]Sheet2!CH327=999999,"NA",[1]Sheet2!CH327)</f>
        <v>40</v>
      </c>
      <c r="CA328" s="14">
        <f>IF([1]Sheet2!CI327=999999,"NA",[1]Sheet2!CI327)</f>
        <v>40</v>
      </c>
      <c r="CB328" s="14">
        <f>IF([1]Sheet2!CJ327=999999,"NA",[1]Sheet2!CJ327)</f>
        <v>40</v>
      </c>
      <c r="CC328" s="14">
        <f>[1]Sheet2!BG327</f>
        <v>0</v>
      </c>
      <c r="CD328" s="14">
        <f>[1]Sheet2!BH327</f>
        <v>0</v>
      </c>
      <c r="CE328" s="14">
        <f>[1]Sheet2!BI327</f>
        <v>0</v>
      </c>
      <c r="CF328" s="14">
        <f>[1]Sheet2!BJ327</f>
        <v>0</v>
      </c>
      <c r="CG328" s="14">
        <f>[1]Sheet2!BK327</f>
        <v>0</v>
      </c>
      <c r="CH328" s="14">
        <f>[1]Sheet2!BL327</f>
        <v>0</v>
      </c>
      <c r="CI328" s="14">
        <f>[1]Sheet2!BM327</f>
        <v>0</v>
      </c>
      <c r="CJ328" s="14">
        <f>[1]Sheet2!BN327</f>
        <v>0</v>
      </c>
      <c r="CK328" s="14">
        <f>[1]Sheet2!BO327</f>
        <v>0</v>
      </c>
      <c r="CL328" s="14">
        <f>[1]Sheet2!BP327</f>
        <v>0</v>
      </c>
      <c r="CM328" s="16">
        <f>Demand_SW!B$13/30</f>
        <v>144.23076923076923</v>
      </c>
      <c r="CN328" s="16">
        <f>Demand_SW!C$13/30</f>
        <v>0</v>
      </c>
      <c r="CO328" s="16">
        <f>Demand_SW!D$13/30</f>
        <v>0</v>
      </c>
      <c r="CP328" s="16">
        <f>Demand_SW!E$13/30</f>
        <v>0</v>
      </c>
      <c r="CQ328" s="16">
        <f>Demand_SW!F$13/30</f>
        <v>0</v>
      </c>
      <c r="CR328" s="16">
        <f>Demand_SW!G$13/30</f>
        <v>144.23076923076923</v>
      </c>
      <c r="CS328" s="16">
        <f>Demand_SW!H$13/30</f>
        <v>0</v>
      </c>
      <c r="CT328" s="16">
        <f>Demand_SW!I$13/30</f>
        <v>0</v>
      </c>
      <c r="CU328" s="16">
        <f>Demand_SW!J$13/30</f>
        <v>0</v>
      </c>
      <c r="CV328" s="16">
        <f>Demand_SW!K$13/30</f>
        <v>0</v>
      </c>
      <c r="CW328" s="16">
        <f t="shared" si="173"/>
        <v>56596.538461538454</v>
      </c>
      <c r="CX328" s="16">
        <f t="shared" si="174"/>
        <v>20683.923076923078</v>
      </c>
      <c r="CY328" s="16">
        <f t="shared" si="175"/>
        <v>0</v>
      </c>
      <c r="CZ328" s="16">
        <f t="shared" si="176"/>
        <v>0</v>
      </c>
      <c r="DA328" s="16">
        <f t="shared" si="177"/>
        <v>0</v>
      </c>
      <c r="DB328" s="16">
        <f t="shared" si="178"/>
        <v>-42932.692307692283</v>
      </c>
      <c r="DC328" s="16">
        <f t="shared" si="179"/>
        <v>20683.923076923078</v>
      </c>
      <c r="DD328" s="16">
        <f t="shared" si="180"/>
        <v>0</v>
      </c>
      <c r="DE328" s="16">
        <f t="shared" si="181"/>
        <v>0</v>
      </c>
      <c r="DF328" s="16">
        <f t="shared" si="182"/>
        <v>0</v>
      </c>
      <c r="DG328" s="14">
        <f>IF([1]Sheet2!DR327=999999,"NA",[1]Sheet2!DR327)</f>
        <v>73103</v>
      </c>
      <c r="DH328" s="14">
        <f>IF([1]Sheet2!DS327=999999,"NA",[1]Sheet2!DS327)</f>
        <v>40</v>
      </c>
      <c r="DI328" s="14">
        <f>IF([1]Sheet2!DT327=999999,"NA",[1]Sheet2!DT327)</f>
        <v>40</v>
      </c>
      <c r="DJ328" s="14" t="str">
        <f>IF([1]Sheet2!DU327=999999,"NA",[1]Sheet2!DU327)</f>
        <v>NA</v>
      </c>
      <c r="DK328" s="14" t="str">
        <f>IF([1]Sheet2!DV327=999999,"NA",[1]Sheet2!DV327)</f>
        <v>NA</v>
      </c>
      <c r="DL328" s="14" t="str">
        <f>IF([1]Sheet2!DW327=999999,"NA",[1]Sheet2!DW327)</f>
        <v>NA</v>
      </c>
      <c r="DM328" s="14">
        <f>IF([1]Sheet2!DX327=999999,"NA",[1]Sheet2!DX327)</f>
        <v>40</v>
      </c>
      <c r="DN328" s="14">
        <f>IF([1]Sheet2!DY327=999999,"NA",[1]Sheet2!DY327)</f>
        <v>40</v>
      </c>
      <c r="DO328" s="14" t="str">
        <f>IF([1]Sheet2!DZ327=999999,"NA",[1]Sheet2!DZ327)</f>
        <v>NA</v>
      </c>
      <c r="DP328" s="14" t="str">
        <f>IF([1]Sheet2!EA327=999999,"NA",[1]Sheet2!EA327)</f>
        <v>NA</v>
      </c>
      <c r="DQ328" s="14">
        <f>[1]Sheet2!CX327</f>
        <v>0</v>
      </c>
      <c r="DR328" s="14">
        <f>[1]Sheet2!CY327</f>
        <v>0</v>
      </c>
      <c r="DS328" s="14">
        <f>[1]Sheet2!CZ327</f>
        <v>0</v>
      </c>
      <c r="DT328" s="14">
        <f>[1]Sheet2!DA327</f>
        <v>0</v>
      </c>
      <c r="DU328" s="14">
        <f>[1]Sheet2!DB327</f>
        <v>0</v>
      </c>
      <c r="DV328" s="14">
        <f>[1]Sheet2!DC327</f>
        <v>0</v>
      </c>
      <c r="DW328" s="14">
        <f>[1]Sheet2!DD327</f>
        <v>0</v>
      </c>
      <c r="DX328" s="14">
        <f>[1]Sheet2!DE327</f>
        <v>0</v>
      </c>
      <c r="DY328" s="14">
        <f>[1]Sheet2!DF327</f>
        <v>0</v>
      </c>
      <c r="DZ328" s="14">
        <f>[1]Sheet2!DG327</f>
        <v>0</v>
      </c>
    </row>
    <row r="329" spans="1:130" x14ac:dyDescent="0.25">
      <c r="A329" s="15">
        <v>43791</v>
      </c>
      <c r="B329" s="1"/>
      <c r="C329" s="1"/>
      <c r="D329" s="1"/>
      <c r="E329" s="14">
        <f>[1]Sheet2!N328</f>
        <v>0</v>
      </c>
      <c r="F329" s="14">
        <f>[1]Sheet2!BE328</f>
        <v>0</v>
      </c>
      <c r="G329" s="14">
        <f>[1]Sheet2!CV328</f>
        <v>288.46153846153851</v>
      </c>
      <c r="H329" s="1"/>
      <c r="I329" s="1"/>
      <c r="J329" s="1"/>
      <c r="K329" s="16">
        <f>Demand_CWRS!B$13/30</f>
        <v>111.92954594017094</v>
      </c>
      <c r="L329" s="16">
        <f>Demand_CWRS!C$13/30</f>
        <v>550.01145299145287</v>
      </c>
      <c r="M329" s="16">
        <f>Demand_CWRS!D$13/30</f>
        <v>0</v>
      </c>
      <c r="N329" s="16">
        <f>Demand_CWRS!E$13/30</f>
        <v>105.42606837606837</v>
      </c>
      <c r="O329" s="16">
        <f>Demand_CWRS!F$13/30</f>
        <v>220.33041399572647</v>
      </c>
      <c r="P329" s="16">
        <f>Demand_CWRS!G$13/30</f>
        <v>111.92954594017094</v>
      </c>
      <c r="Q329" s="16">
        <f>Demand_CWRS!H$13/30</f>
        <v>550.01145299145287</v>
      </c>
      <c r="R329" s="16">
        <f>Demand_CWRS!I$13/30</f>
        <v>220.33041399572647</v>
      </c>
      <c r="S329" s="16">
        <f>Demand_CWRS!J$13/30</f>
        <v>220.33041399572647</v>
      </c>
      <c r="T329" s="16">
        <f>Demand_CWRS!K$13/30</f>
        <v>220.33041399572647</v>
      </c>
      <c r="U329" s="16">
        <f t="shared" si="153"/>
        <v>-41951.064592951974</v>
      </c>
      <c r="V329" s="16">
        <f t="shared" si="154"/>
        <v>-155986.00324786283</v>
      </c>
      <c r="W329" s="16">
        <f t="shared" si="155"/>
        <v>0</v>
      </c>
      <c r="X329" s="16">
        <f t="shared" si="156"/>
        <v>-35774.803900248706</v>
      </c>
      <c r="Y329" s="16">
        <f t="shared" si="157"/>
        <v>-70563.584545264166</v>
      </c>
      <c r="Z329" s="16">
        <f t="shared" si="158"/>
        <v>-41554.132068913568</v>
      </c>
      <c r="AA329" s="16">
        <f t="shared" si="159"/>
        <v>-155486.00324786283</v>
      </c>
      <c r="AB329" s="16">
        <f t="shared" si="160"/>
        <v>-68079.739064494817</v>
      </c>
      <c r="AC329" s="16">
        <f t="shared" si="161"/>
        <v>-68079.739064494803</v>
      </c>
      <c r="AD329" s="16">
        <f t="shared" si="162"/>
        <v>-68779.739064494817</v>
      </c>
      <c r="AE329" s="14">
        <f>IF([1]Sheet2!AJ328=999999,"NA",[1]Sheet2!AJ328)</f>
        <v>0</v>
      </c>
      <c r="AF329" s="14">
        <f>IF([1]Sheet2!AK328=999999,"NA",[1]Sheet2!AK328)</f>
        <v>0</v>
      </c>
      <c r="AG329" s="14" t="str">
        <f>IF([1]Sheet2!AL328=999999,"NA",[1]Sheet2!AL328)</f>
        <v>NA</v>
      </c>
      <c r="AH329" s="14">
        <f>IF([1]Sheet2!AM328=999999,"NA",[1]Sheet2!AM328)</f>
        <v>39</v>
      </c>
      <c r="AI329" s="14">
        <f>IF([1]Sheet2!AN328=999999,"NA",[1]Sheet2!AN328)</f>
        <v>39</v>
      </c>
      <c r="AJ329" s="14">
        <f>IF([1]Sheet2!AO328=999999,"NA",[1]Sheet2!AO328)</f>
        <v>39</v>
      </c>
      <c r="AK329" s="14">
        <f>IF([1]Sheet2!AP328=999999,"NA",[1]Sheet2!AP328)</f>
        <v>0</v>
      </c>
      <c r="AL329" s="14">
        <f>IF([1]Sheet2!AQ328=999999,"NA",[1]Sheet2!AQ328)</f>
        <v>0</v>
      </c>
      <c r="AM329" s="14">
        <f>IF([1]Sheet2!AR328=999999,"NA",[1]Sheet2!AR328)</f>
        <v>39</v>
      </c>
      <c r="AN329" s="14">
        <f>IF([1]Sheet2!AS328=999999,"NA",[1]Sheet2!AS328)</f>
        <v>0</v>
      </c>
      <c r="AO329" s="14">
        <f>[1]Sheet2!P328</f>
        <v>0</v>
      </c>
      <c r="AP329" s="14">
        <f>[1]Sheet2!Q328</f>
        <v>0</v>
      </c>
      <c r="AQ329" s="14">
        <f>[1]Sheet2!R328</f>
        <v>0</v>
      </c>
      <c r="AR329" s="14">
        <f>[1]Sheet2!S328</f>
        <v>0</v>
      </c>
      <c r="AS329" s="14">
        <f>[1]Sheet2!T328</f>
        <v>0</v>
      </c>
      <c r="AT329" s="14">
        <f>[1]Sheet2!U328</f>
        <v>0</v>
      </c>
      <c r="AU329" s="14">
        <f>[1]Sheet2!V328</f>
        <v>0</v>
      </c>
      <c r="AV329" s="14">
        <f>[1]Sheet2!W328</f>
        <v>0</v>
      </c>
      <c r="AW329" s="14">
        <f>[1]Sheet2!X328</f>
        <v>0</v>
      </c>
      <c r="AX329" s="14">
        <f>[1]Sheet2!Y328</f>
        <v>0</v>
      </c>
      <c r="AY329" s="16">
        <f>Demand_LP!B$13/30</f>
        <v>849.16414262820524</v>
      </c>
      <c r="AZ329" s="16">
        <f>Demand_LP!C$13/30</f>
        <v>632.84239316239314</v>
      </c>
      <c r="BA329" s="16">
        <f>Demand_LP!D$13/30</f>
        <v>269.64247863247863</v>
      </c>
      <c r="BB329" s="16">
        <f>Demand_LP!E$13/30</f>
        <v>815.03102564102551</v>
      </c>
      <c r="BC329" s="16">
        <f>Demand_LP!F$13/30</f>
        <v>536.05500267094021</v>
      </c>
      <c r="BD329" s="16">
        <f>Demand_LP!G$13/30</f>
        <v>849.16414262820524</v>
      </c>
      <c r="BE329" s="16">
        <f>Demand_LP!H$13/30</f>
        <v>632.84239316239314</v>
      </c>
      <c r="BF329" s="16">
        <f>Demand_LP!I$13/30</f>
        <v>536.05500267094021</v>
      </c>
      <c r="BG329" s="16">
        <f>Demand_LP!J$13/30</f>
        <v>536.05500267094021</v>
      </c>
      <c r="BH329" s="16">
        <f>Demand_LP!K$13/30</f>
        <v>536.05500267094021</v>
      </c>
      <c r="BI329" s="16" t="e">
        <f t="shared" si="163"/>
        <v>#VALUE!</v>
      </c>
      <c r="BJ329" s="16">
        <f t="shared" si="164"/>
        <v>-186928.03777777753</v>
      </c>
      <c r="BK329" s="16">
        <f t="shared" si="165"/>
        <v>-94132.611452991696</v>
      </c>
      <c r="BL329" s="16">
        <f t="shared" si="166"/>
        <v>-246511.15434274473</v>
      </c>
      <c r="BM329" s="16">
        <f t="shared" si="167"/>
        <v>-149868.50243846697</v>
      </c>
      <c r="BN329" s="16">
        <f t="shared" si="168"/>
        <v>-257466.20545409323</v>
      </c>
      <c r="BO329" s="16">
        <f t="shared" si="169"/>
        <v>-189285.61726495731</v>
      </c>
      <c r="BP329" s="16">
        <f t="shared" si="170"/>
        <v>-150980.18635683754</v>
      </c>
      <c r="BQ329" s="16">
        <f t="shared" si="171"/>
        <v>-147970.18635683766</v>
      </c>
      <c r="BR329" s="16">
        <f t="shared" si="172"/>
        <v>-149170.18635683757</v>
      </c>
      <c r="BS329" s="14">
        <f>IF([1]Sheet2!CA328=999999,"NA",[1]Sheet2!CA328)</f>
        <v>67308.813643162401</v>
      </c>
      <c r="BT329" s="14">
        <f>IF([1]Sheet2!CB328=999999,"NA",[1]Sheet2!CB328)</f>
        <v>0</v>
      </c>
      <c r="BU329" s="14">
        <f>IF([1]Sheet2!CC328=999999,"NA",[1]Sheet2!CC328)</f>
        <v>39</v>
      </c>
      <c r="BV329" s="14">
        <f>IF([1]Sheet2!CD328=999999,"NA",[1]Sheet2!CD328)</f>
        <v>39</v>
      </c>
      <c r="BW329" s="14">
        <f>IF([1]Sheet2!CE328=999999,"NA",[1]Sheet2!CE328)</f>
        <v>8</v>
      </c>
      <c r="BX329" s="14">
        <f>IF([1]Sheet2!CF328=999999,"NA",[1]Sheet2!CF328)</f>
        <v>39</v>
      </c>
      <c r="BY329" s="14">
        <f>IF([1]Sheet2!CG328=999999,"NA",[1]Sheet2!CG328)</f>
        <v>0</v>
      </c>
      <c r="BZ329" s="14">
        <f>IF([1]Sheet2!CH328=999999,"NA",[1]Sheet2!CH328)</f>
        <v>39</v>
      </c>
      <c r="CA329" s="14">
        <f>IF([1]Sheet2!CI328=999999,"NA",[1]Sheet2!CI328)</f>
        <v>39</v>
      </c>
      <c r="CB329" s="14">
        <f>IF([1]Sheet2!CJ328=999999,"NA",[1]Sheet2!CJ328)</f>
        <v>39</v>
      </c>
      <c r="CC329" s="14">
        <f>[1]Sheet2!BG328</f>
        <v>0</v>
      </c>
      <c r="CD329" s="14">
        <f>[1]Sheet2!BH328</f>
        <v>0</v>
      </c>
      <c r="CE329" s="14">
        <f>[1]Sheet2!BI328</f>
        <v>0</v>
      </c>
      <c r="CF329" s="14">
        <f>[1]Sheet2!BJ328</f>
        <v>0</v>
      </c>
      <c r="CG329" s="14">
        <f>[1]Sheet2!BK328</f>
        <v>0</v>
      </c>
      <c r="CH329" s="14">
        <f>[1]Sheet2!BL328</f>
        <v>0</v>
      </c>
      <c r="CI329" s="14">
        <f>[1]Sheet2!BM328</f>
        <v>0</v>
      </c>
      <c r="CJ329" s="14">
        <f>[1]Sheet2!BN328</f>
        <v>0</v>
      </c>
      <c r="CK329" s="14">
        <f>[1]Sheet2!BO328</f>
        <v>0</v>
      </c>
      <c r="CL329" s="14">
        <f>[1]Sheet2!BP328</f>
        <v>0</v>
      </c>
      <c r="CM329" s="16">
        <f>Demand_SW!B$13/30</f>
        <v>144.23076923076923</v>
      </c>
      <c r="CN329" s="16">
        <f>Demand_SW!C$13/30</f>
        <v>0</v>
      </c>
      <c r="CO329" s="16">
        <f>Demand_SW!D$13/30</f>
        <v>0</v>
      </c>
      <c r="CP329" s="16">
        <f>Demand_SW!E$13/30</f>
        <v>0</v>
      </c>
      <c r="CQ329" s="16">
        <f>Demand_SW!F$13/30</f>
        <v>0</v>
      </c>
      <c r="CR329" s="16">
        <f>Demand_SW!G$13/30</f>
        <v>144.23076923076923</v>
      </c>
      <c r="CS329" s="16">
        <f>Demand_SW!H$13/30</f>
        <v>0</v>
      </c>
      <c r="CT329" s="16">
        <f>Demand_SW!I$13/30</f>
        <v>0</v>
      </c>
      <c r="CU329" s="16">
        <f>Demand_SW!J$13/30</f>
        <v>0</v>
      </c>
      <c r="CV329" s="16">
        <f>Demand_SW!K$13/30</f>
        <v>0</v>
      </c>
      <c r="CW329" s="16">
        <f t="shared" si="173"/>
        <v>56452.307692307688</v>
      </c>
      <c r="CX329" s="16">
        <f t="shared" si="174"/>
        <v>20683.923076923078</v>
      </c>
      <c r="CY329" s="16">
        <f t="shared" si="175"/>
        <v>0</v>
      </c>
      <c r="CZ329" s="16">
        <f t="shared" si="176"/>
        <v>0</v>
      </c>
      <c r="DA329" s="16">
        <f t="shared" si="177"/>
        <v>0</v>
      </c>
      <c r="DB329" s="16">
        <f t="shared" si="178"/>
        <v>-43076.923076923049</v>
      </c>
      <c r="DC329" s="16">
        <f t="shared" si="179"/>
        <v>20683.923076923078</v>
      </c>
      <c r="DD329" s="16">
        <f t="shared" si="180"/>
        <v>0</v>
      </c>
      <c r="DE329" s="16">
        <f t="shared" si="181"/>
        <v>0</v>
      </c>
      <c r="DF329" s="16">
        <f t="shared" si="182"/>
        <v>0</v>
      </c>
      <c r="DG329" s="14">
        <f>IF([1]Sheet2!DR328=999999,"NA",[1]Sheet2!DR328)</f>
        <v>73103</v>
      </c>
      <c r="DH329" s="14">
        <f>IF([1]Sheet2!DS328=999999,"NA",[1]Sheet2!DS328)</f>
        <v>39</v>
      </c>
      <c r="DI329" s="14">
        <f>IF([1]Sheet2!DT328=999999,"NA",[1]Sheet2!DT328)</f>
        <v>39</v>
      </c>
      <c r="DJ329" s="14" t="str">
        <f>IF([1]Sheet2!DU328=999999,"NA",[1]Sheet2!DU328)</f>
        <v>NA</v>
      </c>
      <c r="DK329" s="14" t="str">
        <f>IF([1]Sheet2!DV328=999999,"NA",[1]Sheet2!DV328)</f>
        <v>NA</v>
      </c>
      <c r="DL329" s="14" t="str">
        <f>IF([1]Sheet2!DW328=999999,"NA",[1]Sheet2!DW328)</f>
        <v>NA</v>
      </c>
      <c r="DM329" s="14">
        <f>IF([1]Sheet2!DX328=999999,"NA",[1]Sheet2!DX328)</f>
        <v>39</v>
      </c>
      <c r="DN329" s="14">
        <f>IF([1]Sheet2!DY328=999999,"NA",[1]Sheet2!DY328)</f>
        <v>39</v>
      </c>
      <c r="DO329" s="14" t="str">
        <f>IF([1]Sheet2!DZ328=999999,"NA",[1]Sheet2!DZ328)</f>
        <v>NA</v>
      </c>
      <c r="DP329" s="14" t="str">
        <f>IF([1]Sheet2!EA328=999999,"NA",[1]Sheet2!EA328)</f>
        <v>NA</v>
      </c>
      <c r="DQ329" s="14">
        <f>[1]Sheet2!CX328</f>
        <v>0</v>
      </c>
      <c r="DR329" s="14">
        <f>[1]Sheet2!CY328</f>
        <v>0</v>
      </c>
      <c r="DS329" s="14">
        <f>[1]Sheet2!CZ328</f>
        <v>0</v>
      </c>
      <c r="DT329" s="14">
        <f>[1]Sheet2!DA328</f>
        <v>0</v>
      </c>
      <c r="DU329" s="14">
        <f>[1]Sheet2!DB328</f>
        <v>0</v>
      </c>
      <c r="DV329" s="14">
        <f>[1]Sheet2!DC328</f>
        <v>0</v>
      </c>
      <c r="DW329" s="14">
        <f>[1]Sheet2!DD328</f>
        <v>0</v>
      </c>
      <c r="DX329" s="14">
        <f>[1]Sheet2!DE328</f>
        <v>0</v>
      </c>
      <c r="DY329" s="14">
        <f>[1]Sheet2!DF328</f>
        <v>0</v>
      </c>
      <c r="DZ329" s="14">
        <f>[1]Sheet2!DG328</f>
        <v>0</v>
      </c>
    </row>
    <row r="330" spans="1:130" x14ac:dyDescent="0.25">
      <c r="A330" s="15">
        <v>43792</v>
      </c>
      <c r="B330" s="1"/>
      <c r="C330" s="1"/>
      <c r="D330" s="1"/>
      <c r="E330" s="14">
        <f>[1]Sheet2!N329</f>
        <v>0</v>
      </c>
      <c r="F330" s="14">
        <f>[1]Sheet2!BE329</f>
        <v>48000</v>
      </c>
      <c r="G330" s="14">
        <f>[1]Sheet2!CV329</f>
        <v>288.46153846153851</v>
      </c>
      <c r="H330" s="1"/>
      <c r="I330" s="1"/>
      <c r="J330" s="1"/>
      <c r="K330" s="16">
        <f>Demand_CWRS!B$13/30</f>
        <v>111.92954594017094</v>
      </c>
      <c r="L330" s="16">
        <f>Demand_CWRS!C$13/30</f>
        <v>550.01145299145287</v>
      </c>
      <c r="M330" s="16">
        <f>Demand_CWRS!D$13/30</f>
        <v>0</v>
      </c>
      <c r="N330" s="16">
        <f>Demand_CWRS!E$13/30</f>
        <v>105.42606837606837</v>
      </c>
      <c r="O330" s="16">
        <f>Demand_CWRS!F$13/30</f>
        <v>220.33041399572647</v>
      </c>
      <c r="P330" s="16">
        <f>Demand_CWRS!G$13/30</f>
        <v>111.92954594017094</v>
      </c>
      <c r="Q330" s="16">
        <f>Demand_CWRS!H$13/30</f>
        <v>550.01145299145287</v>
      </c>
      <c r="R330" s="16">
        <f>Demand_CWRS!I$13/30</f>
        <v>220.33041399572647</v>
      </c>
      <c r="S330" s="16">
        <f>Demand_CWRS!J$13/30</f>
        <v>220.33041399572647</v>
      </c>
      <c r="T330" s="16">
        <f>Demand_CWRS!K$13/30</f>
        <v>220.33041399572647</v>
      </c>
      <c r="U330" s="16">
        <f t="shared" si="153"/>
        <v>-42062.994138892143</v>
      </c>
      <c r="V330" s="16">
        <f t="shared" si="154"/>
        <v>-156536.01470085428</v>
      </c>
      <c r="W330" s="16">
        <f t="shared" si="155"/>
        <v>0</v>
      </c>
      <c r="X330" s="16">
        <f t="shared" si="156"/>
        <v>-35880.229968624772</v>
      </c>
      <c r="Y330" s="16">
        <f t="shared" si="157"/>
        <v>-70783.914959259899</v>
      </c>
      <c r="Z330" s="16">
        <f t="shared" si="158"/>
        <v>-41666.061614853737</v>
      </c>
      <c r="AA330" s="16">
        <f t="shared" si="159"/>
        <v>-156036.01470085428</v>
      </c>
      <c r="AB330" s="16">
        <f t="shared" si="160"/>
        <v>-68300.06947849055</v>
      </c>
      <c r="AC330" s="16">
        <f t="shared" si="161"/>
        <v>-68300.069478490535</v>
      </c>
      <c r="AD330" s="16">
        <f t="shared" si="162"/>
        <v>-69000.06947849055</v>
      </c>
      <c r="AE330" s="14">
        <f>IF([1]Sheet2!AJ329=999999,"NA",[1]Sheet2!AJ329)</f>
        <v>0</v>
      </c>
      <c r="AF330" s="14">
        <f>IF([1]Sheet2!AK329=999999,"NA",[1]Sheet2!AK329)</f>
        <v>0</v>
      </c>
      <c r="AG330" s="14" t="str">
        <f>IF([1]Sheet2!AL329=999999,"NA",[1]Sheet2!AL329)</f>
        <v>NA</v>
      </c>
      <c r="AH330" s="14">
        <f>IF([1]Sheet2!AM329=999999,"NA",[1]Sheet2!AM329)</f>
        <v>38</v>
      </c>
      <c r="AI330" s="14">
        <f>IF([1]Sheet2!AN329=999999,"NA",[1]Sheet2!AN329)</f>
        <v>38</v>
      </c>
      <c r="AJ330" s="14">
        <f>IF([1]Sheet2!AO329=999999,"NA",[1]Sheet2!AO329)</f>
        <v>38</v>
      </c>
      <c r="AK330" s="14">
        <f>IF([1]Sheet2!AP329=999999,"NA",[1]Sheet2!AP329)</f>
        <v>0</v>
      </c>
      <c r="AL330" s="14">
        <f>IF([1]Sheet2!AQ329=999999,"NA",[1]Sheet2!AQ329)</f>
        <v>0</v>
      </c>
      <c r="AM330" s="14">
        <f>IF([1]Sheet2!AR329=999999,"NA",[1]Sheet2!AR329)</f>
        <v>38</v>
      </c>
      <c r="AN330" s="14">
        <f>IF([1]Sheet2!AS329=999999,"NA",[1]Sheet2!AS329)</f>
        <v>0</v>
      </c>
      <c r="AO330" s="14">
        <f>[1]Sheet2!P329</f>
        <v>0</v>
      </c>
      <c r="AP330" s="14">
        <f>[1]Sheet2!Q329</f>
        <v>0</v>
      </c>
      <c r="AQ330" s="14">
        <f>[1]Sheet2!R329</f>
        <v>0</v>
      </c>
      <c r="AR330" s="14">
        <f>[1]Sheet2!S329</f>
        <v>0</v>
      </c>
      <c r="AS330" s="14">
        <f>[1]Sheet2!T329</f>
        <v>0</v>
      </c>
      <c r="AT330" s="14">
        <f>[1]Sheet2!U329</f>
        <v>0</v>
      </c>
      <c r="AU330" s="14">
        <f>[1]Sheet2!V329</f>
        <v>0</v>
      </c>
      <c r="AV330" s="14">
        <f>[1]Sheet2!W329</f>
        <v>0</v>
      </c>
      <c r="AW330" s="14">
        <f>[1]Sheet2!X329</f>
        <v>0</v>
      </c>
      <c r="AX330" s="14">
        <f>[1]Sheet2!Y329</f>
        <v>0</v>
      </c>
      <c r="AY330" s="16">
        <f>Demand_LP!B$13/30</f>
        <v>849.16414262820524</v>
      </c>
      <c r="AZ330" s="16">
        <f>Demand_LP!C$13/30</f>
        <v>632.84239316239314</v>
      </c>
      <c r="BA330" s="16">
        <f>Demand_LP!D$13/30</f>
        <v>269.64247863247863</v>
      </c>
      <c r="BB330" s="16">
        <f>Demand_LP!E$13/30</f>
        <v>815.03102564102551</v>
      </c>
      <c r="BC330" s="16">
        <f>Demand_LP!F$13/30</f>
        <v>536.05500267094021</v>
      </c>
      <c r="BD330" s="16">
        <f>Demand_LP!G$13/30</f>
        <v>849.16414262820524</v>
      </c>
      <c r="BE330" s="16">
        <f>Demand_LP!H$13/30</f>
        <v>632.84239316239314</v>
      </c>
      <c r="BF330" s="16">
        <f>Demand_LP!I$13/30</f>
        <v>536.05500267094021</v>
      </c>
      <c r="BG330" s="16">
        <f>Demand_LP!J$13/30</f>
        <v>536.05500267094021</v>
      </c>
      <c r="BH330" s="16">
        <f>Demand_LP!K$13/30</f>
        <v>536.05500267094021</v>
      </c>
      <c r="BI330" s="16" t="e">
        <f t="shared" si="163"/>
        <v>#VALUE!</v>
      </c>
      <c r="BJ330" s="16">
        <f t="shared" si="164"/>
        <v>-187560.88017093993</v>
      </c>
      <c r="BK330" s="16">
        <f t="shared" si="165"/>
        <v>-94402.253931624175</v>
      </c>
      <c r="BL330" s="16">
        <f t="shared" si="166"/>
        <v>-247326.18536838575</v>
      </c>
      <c r="BM330" s="16">
        <f t="shared" si="167"/>
        <v>-150404.55744113791</v>
      </c>
      <c r="BN330" s="16">
        <f t="shared" si="168"/>
        <v>-258315.36959672143</v>
      </c>
      <c r="BO330" s="16">
        <f t="shared" si="169"/>
        <v>-189918.45965811971</v>
      </c>
      <c r="BP330" s="16">
        <f t="shared" si="170"/>
        <v>-151516.24135950848</v>
      </c>
      <c r="BQ330" s="16">
        <f t="shared" si="171"/>
        <v>-148506.2413595086</v>
      </c>
      <c r="BR330" s="16">
        <f t="shared" si="172"/>
        <v>-149706.24135950851</v>
      </c>
      <c r="BS330" s="14">
        <f>IF([1]Sheet2!CA329=999999,"NA",[1]Sheet2!CA329)</f>
        <v>66772.758640491462</v>
      </c>
      <c r="BT330" s="14">
        <f>IF([1]Sheet2!CB329=999999,"NA",[1]Sheet2!CB329)</f>
        <v>0</v>
      </c>
      <c r="BU330" s="14">
        <f>IF([1]Sheet2!CC329=999999,"NA",[1]Sheet2!CC329)</f>
        <v>38</v>
      </c>
      <c r="BV330" s="14">
        <f>IF([1]Sheet2!CD329=999999,"NA",[1]Sheet2!CD329)</f>
        <v>38</v>
      </c>
      <c r="BW330" s="14">
        <f>IF([1]Sheet2!CE329=999999,"NA",[1]Sheet2!CE329)</f>
        <v>7</v>
      </c>
      <c r="BX330" s="14">
        <f>IF([1]Sheet2!CF329=999999,"NA",[1]Sheet2!CF329)</f>
        <v>38</v>
      </c>
      <c r="BY330" s="14">
        <f>IF([1]Sheet2!CG329=999999,"NA",[1]Sheet2!CG329)</f>
        <v>0</v>
      </c>
      <c r="BZ330" s="14">
        <f>IF([1]Sheet2!CH329=999999,"NA",[1]Sheet2!CH329)</f>
        <v>38</v>
      </c>
      <c r="CA330" s="14">
        <f>IF([1]Sheet2!CI329=999999,"NA",[1]Sheet2!CI329)</f>
        <v>38</v>
      </c>
      <c r="CB330" s="14">
        <f>IF([1]Sheet2!CJ329=999999,"NA",[1]Sheet2!CJ329)</f>
        <v>38</v>
      </c>
      <c r="CC330" s="14">
        <f>[1]Sheet2!BG329</f>
        <v>0</v>
      </c>
      <c r="CD330" s="14">
        <f>[1]Sheet2!BH329</f>
        <v>0</v>
      </c>
      <c r="CE330" s="14">
        <f>[1]Sheet2!BI329</f>
        <v>0</v>
      </c>
      <c r="CF330" s="14">
        <f>[1]Sheet2!BJ329</f>
        <v>0</v>
      </c>
      <c r="CG330" s="14">
        <f>[1]Sheet2!BK329</f>
        <v>0</v>
      </c>
      <c r="CH330" s="14">
        <f>[1]Sheet2!BL329</f>
        <v>0</v>
      </c>
      <c r="CI330" s="14">
        <f>[1]Sheet2!BM329</f>
        <v>0</v>
      </c>
      <c r="CJ330" s="14">
        <f>[1]Sheet2!BN329</f>
        <v>0</v>
      </c>
      <c r="CK330" s="14">
        <f>[1]Sheet2!BO329</f>
        <v>0</v>
      </c>
      <c r="CL330" s="14">
        <f>[1]Sheet2!BP329</f>
        <v>0</v>
      </c>
      <c r="CM330" s="16">
        <f>Demand_SW!B$13/30</f>
        <v>144.23076923076923</v>
      </c>
      <c r="CN330" s="16">
        <f>Demand_SW!C$13/30</f>
        <v>0</v>
      </c>
      <c r="CO330" s="16">
        <f>Demand_SW!D$13/30</f>
        <v>0</v>
      </c>
      <c r="CP330" s="16">
        <f>Demand_SW!E$13/30</f>
        <v>0</v>
      </c>
      <c r="CQ330" s="16">
        <f>Demand_SW!F$13/30</f>
        <v>0</v>
      </c>
      <c r="CR330" s="16">
        <f>Demand_SW!G$13/30</f>
        <v>144.23076923076923</v>
      </c>
      <c r="CS330" s="16">
        <f>Demand_SW!H$13/30</f>
        <v>0</v>
      </c>
      <c r="CT330" s="16">
        <f>Demand_SW!I$13/30</f>
        <v>0</v>
      </c>
      <c r="CU330" s="16">
        <f>Demand_SW!J$13/30</f>
        <v>0</v>
      </c>
      <c r="CV330" s="16">
        <f>Demand_SW!K$13/30</f>
        <v>0</v>
      </c>
      <c r="CW330" s="16">
        <f t="shared" si="173"/>
        <v>56308.076923076922</v>
      </c>
      <c r="CX330" s="16">
        <f t="shared" si="174"/>
        <v>20683.923076923078</v>
      </c>
      <c r="CY330" s="16">
        <f t="shared" si="175"/>
        <v>0</v>
      </c>
      <c r="CZ330" s="16">
        <f t="shared" si="176"/>
        <v>0</v>
      </c>
      <c r="DA330" s="16">
        <f t="shared" si="177"/>
        <v>0</v>
      </c>
      <c r="DB330" s="16">
        <f t="shared" si="178"/>
        <v>-43221.153846153815</v>
      </c>
      <c r="DC330" s="16">
        <f t="shared" si="179"/>
        <v>20683.923076923078</v>
      </c>
      <c r="DD330" s="16">
        <f t="shared" si="180"/>
        <v>0</v>
      </c>
      <c r="DE330" s="16">
        <f t="shared" si="181"/>
        <v>0</v>
      </c>
      <c r="DF330" s="16">
        <f t="shared" si="182"/>
        <v>0</v>
      </c>
      <c r="DG330" s="14">
        <f>IF([1]Sheet2!DR329=999999,"NA",[1]Sheet2!DR329)</f>
        <v>73103</v>
      </c>
      <c r="DH330" s="14">
        <f>IF([1]Sheet2!DS329=999999,"NA",[1]Sheet2!DS329)</f>
        <v>38</v>
      </c>
      <c r="DI330" s="14">
        <f>IF([1]Sheet2!DT329=999999,"NA",[1]Sheet2!DT329)</f>
        <v>38</v>
      </c>
      <c r="DJ330" s="14" t="str">
        <f>IF([1]Sheet2!DU329=999999,"NA",[1]Sheet2!DU329)</f>
        <v>NA</v>
      </c>
      <c r="DK330" s="14" t="str">
        <f>IF([1]Sheet2!DV329=999999,"NA",[1]Sheet2!DV329)</f>
        <v>NA</v>
      </c>
      <c r="DL330" s="14" t="str">
        <f>IF([1]Sheet2!DW329=999999,"NA",[1]Sheet2!DW329)</f>
        <v>NA</v>
      </c>
      <c r="DM330" s="14">
        <f>IF([1]Sheet2!DX329=999999,"NA",[1]Sheet2!DX329)</f>
        <v>38</v>
      </c>
      <c r="DN330" s="14">
        <f>IF([1]Sheet2!DY329=999999,"NA",[1]Sheet2!DY329)</f>
        <v>38</v>
      </c>
      <c r="DO330" s="14" t="str">
        <f>IF([1]Sheet2!DZ329=999999,"NA",[1]Sheet2!DZ329)</f>
        <v>NA</v>
      </c>
      <c r="DP330" s="14" t="str">
        <f>IF([1]Sheet2!EA329=999999,"NA",[1]Sheet2!EA329)</f>
        <v>NA</v>
      </c>
      <c r="DQ330" s="14">
        <f>[1]Sheet2!CX329</f>
        <v>0</v>
      </c>
      <c r="DR330" s="14">
        <f>[1]Sheet2!CY329</f>
        <v>0</v>
      </c>
      <c r="DS330" s="14">
        <f>[1]Sheet2!CZ329</f>
        <v>0</v>
      </c>
      <c r="DT330" s="14">
        <f>[1]Sheet2!DA329</f>
        <v>0</v>
      </c>
      <c r="DU330" s="14">
        <f>[1]Sheet2!DB329</f>
        <v>0</v>
      </c>
      <c r="DV330" s="14">
        <f>[1]Sheet2!DC329</f>
        <v>0</v>
      </c>
      <c r="DW330" s="14">
        <f>[1]Sheet2!DD329</f>
        <v>0</v>
      </c>
      <c r="DX330" s="14">
        <f>[1]Sheet2!DE329</f>
        <v>0</v>
      </c>
      <c r="DY330" s="14">
        <f>[1]Sheet2!DF329</f>
        <v>0</v>
      </c>
      <c r="DZ330" s="14">
        <f>[1]Sheet2!DG329</f>
        <v>0</v>
      </c>
    </row>
    <row r="331" spans="1:130" x14ac:dyDescent="0.25">
      <c r="A331" s="15">
        <v>43793</v>
      </c>
      <c r="B331" s="1"/>
      <c r="C331" s="1"/>
      <c r="D331" s="1"/>
      <c r="E331" s="14">
        <f>[1]Sheet2!N330</f>
        <v>0</v>
      </c>
      <c r="F331" s="14">
        <f>[1]Sheet2!BE330</f>
        <v>0</v>
      </c>
      <c r="G331" s="14">
        <f>[1]Sheet2!CV330</f>
        <v>288.46153846153851</v>
      </c>
      <c r="H331" s="1"/>
      <c r="I331" s="1"/>
      <c r="J331" s="1"/>
      <c r="K331" s="16">
        <f>Demand_CWRS!B$13/30</f>
        <v>111.92954594017094</v>
      </c>
      <c r="L331" s="16">
        <f>Demand_CWRS!C$13/30</f>
        <v>550.01145299145287</v>
      </c>
      <c r="M331" s="16">
        <f>Demand_CWRS!D$13/30</f>
        <v>0</v>
      </c>
      <c r="N331" s="16">
        <f>Demand_CWRS!E$13/30</f>
        <v>105.42606837606837</v>
      </c>
      <c r="O331" s="16">
        <f>Demand_CWRS!F$13/30</f>
        <v>220.33041399572647</v>
      </c>
      <c r="P331" s="16">
        <f>Demand_CWRS!G$13/30</f>
        <v>111.92954594017094</v>
      </c>
      <c r="Q331" s="16">
        <f>Demand_CWRS!H$13/30</f>
        <v>550.01145299145287</v>
      </c>
      <c r="R331" s="16">
        <f>Demand_CWRS!I$13/30</f>
        <v>220.33041399572647</v>
      </c>
      <c r="S331" s="16">
        <f>Demand_CWRS!J$13/30</f>
        <v>220.33041399572647</v>
      </c>
      <c r="T331" s="16">
        <f>Demand_CWRS!K$13/30</f>
        <v>220.33041399572647</v>
      </c>
      <c r="U331" s="16">
        <f t="shared" si="153"/>
        <v>-42174.923684832313</v>
      </c>
      <c r="V331" s="16">
        <f t="shared" si="154"/>
        <v>-157086.02615384574</v>
      </c>
      <c r="W331" s="16">
        <f t="shared" si="155"/>
        <v>0</v>
      </c>
      <c r="X331" s="16">
        <f t="shared" si="156"/>
        <v>-35985.656037000837</v>
      </c>
      <c r="Y331" s="16">
        <f t="shared" si="157"/>
        <v>-71004.245373255631</v>
      </c>
      <c r="Z331" s="16">
        <f t="shared" si="158"/>
        <v>-41777.991160793907</v>
      </c>
      <c r="AA331" s="16">
        <f t="shared" si="159"/>
        <v>-156586.02615384574</v>
      </c>
      <c r="AB331" s="16">
        <f t="shared" si="160"/>
        <v>-68520.399892486283</v>
      </c>
      <c r="AC331" s="16">
        <f t="shared" si="161"/>
        <v>-68520.399892486268</v>
      </c>
      <c r="AD331" s="16">
        <f t="shared" si="162"/>
        <v>-69220.399892486283</v>
      </c>
      <c r="AE331" s="14">
        <f>IF([1]Sheet2!AJ330=999999,"NA",[1]Sheet2!AJ330)</f>
        <v>0</v>
      </c>
      <c r="AF331" s="14">
        <f>IF([1]Sheet2!AK330=999999,"NA",[1]Sheet2!AK330)</f>
        <v>0</v>
      </c>
      <c r="AG331" s="14" t="str">
        <f>IF([1]Sheet2!AL330=999999,"NA",[1]Sheet2!AL330)</f>
        <v>NA</v>
      </c>
      <c r="AH331" s="14">
        <f>IF([1]Sheet2!AM330=999999,"NA",[1]Sheet2!AM330)</f>
        <v>37</v>
      </c>
      <c r="AI331" s="14">
        <f>IF([1]Sheet2!AN330=999999,"NA",[1]Sheet2!AN330)</f>
        <v>37</v>
      </c>
      <c r="AJ331" s="14">
        <f>IF([1]Sheet2!AO330=999999,"NA",[1]Sheet2!AO330)</f>
        <v>37</v>
      </c>
      <c r="AK331" s="14">
        <f>IF([1]Sheet2!AP330=999999,"NA",[1]Sheet2!AP330)</f>
        <v>0</v>
      </c>
      <c r="AL331" s="14">
        <f>IF([1]Sheet2!AQ330=999999,"NA",[1]Sheet2!AQ330)</f>
        <v>0</v>
      </c>
      <c r="AM331" s="14">
        <f>IF([1]Sheet2!AR330=999999,"NA",[1]Sheet2!AR330)</f>
        <v>37</v>
      </c>
      <c r="AN331" s="14">
        <f>IF([1]Sheet2!AS330=999999,"NA",[1]Sheet2!AS330)</f>
        <v>0</v>
      </c>
      <c r="AO331" s="14">
        <f>[1]Sheet2!P330</f>
        <v>0</v>
      </c>
      <c r="AP331" s="14">
        <f>[1]Sheet2!Q330</f>
        <v>0</v>
      </c>
      <c r="AQ331" s="14">
        <f>[1]Sheet2!R330</f>
        <v>0</v>
      </c>
      <c r="AR331" s="14">
        <f>[1]Sheet2!S330</f>
        <v>0</v>
      </c>
      <c r="AS331" s="14">
        <f>[1]Sheet2!T330</f>
        <v>0</v>
      </c>
      <c r="AT331" s="14">
        <f>[1]Sheet2!U330</f>
        <v>0</v>
      </c>
      <c r="AU331" s="14">
        <f>[1]Sheet2!V330</f>
        <v>0</v>
      </c>
      <c r="AV331" s="14">
        <f>[1]Sheet2!W330</f>
        <v>0</v>
      </c>
      <c r="AW331" s="14">
        <f>[1]Sheet2!X330</f>
        <v>0</v>
      </c>
      <c r="AX331" s="14">
        <f>[1]Sheet2!Y330</f>
        <v>0</v>
      </c>
      <c r="AY331" s="16">
        <f>Demand_LP!B$13/30</f>
        <v>849.16414262820524</v>
      </c>
      <c r="AZ331" s="16">
        <f>Demand_LP!C$13/30</f>
        <v>632.84239316239314</v>
      </c>
      <c r="BA331" s="16">
        <f>Demand_LP!D$13/30</f>
        <v>269.64247863247863</v>
      </c>
      <c r="BB331" s="16">
        <f>Demand_LP!E$13/30</f>
        <v>815.03102564102551</v>
      </c>
      <c r="BC331" s="16">
        <f>Demand_LP!F$13/30</f>
        <v>536.05500267094021</v>
      </c>
      <c r="BD331" s="16">
        <f>Demand_LP!G$13/30</f>
        <v>849.16414262820524</v>
      </c>
      <c r="BE331" s="16">
        <f>Demand_LP!H$13/30</f>
        <v>632.84239316239314</v>
      </c>
      <c r="BF331" s="16">
        <f>Demand_LP!I$13/30</f>
        <v>536.05500267094021</v>
      </c>
      <c r="BG331" s="16">
        <f>Demand_LP!J$13/30</f>
        <v>536.05500267094021</v>
      </c>
      <c r="BH331" s="16">
        <f>Demand_LP!K$13/30</f>
        <v>536.05500267094021</v>
      </c>
      <c r="BI331" s="16" t="e">
        <f t="shared" si="163"/>
        <v>#VALUE!</v>
      </c>
      <c r="BJ331" s="16">
        <f t="shared" si="164"/>
        <v>-188193.72256410233</v>
      </c>
      <c r="BK331" s="16">
        <f t="shared" si="165"/>
        <v>-94671.896410256653</v>
      </c>
      <c r="BL331" s="16">
        <f t="shared" si="166"/>
        <v>-248141.21639402676</v>
      </c>
      <c r="BM331" s="16">
        <f t="shared" si="167"/>
        <v>-150940.61244380884</v>
      </c>
      <c r="BN331" s="16">
        <f t="shared" si="168"/>
        <v>-259164.53373934963</v>
      </c>
      <c r="BO331" s="16">
        <f t="shared" si="169"/>
        <v>-190551.30205128211</v>
      </c>
      <c r="BP331" s="16">
        <f t="shared" si="170"/>
        <v>-152052.29636217942</v>
      </c>
      <c r="BQ331" s="16">
        <f t="shared" si="171"/>
        <v>-149042.29636217954</v>
      </c>
      <c r="BR331" s="16">
        <f t="shared" si="172"/>
        <v>-150242.29636217945</v>
      </c>
      <c r="BS331" s="14">
        <f>IF([1]Sheet2!CA330=999999,"NA",[1]Sheet2!CA330)</f>
        <v>66236.703637820523</v>
      </c>
      <c r="BT331" s="14">
        <f>IF([1]Sheet2!CB330=999999,"NA",[1]Sheet2!CB330)</f>
        <v>0</v>
      </c>
      <c r="BU331" s="14">
        <f>IF([1]Sheet2!CC330=999999,"NA",[1]Sheet2!CC330)</f>
        <v>37</v>
      </c>
      <c r="BV331" s="14">
        <f>IF([1]Sheet2!CD330=999999,"NA",[1]Sheet2!CD330)</f>
        <v>37</v>
      </c>
      <c r="BW331" s="14">
        <f>IF([1]Sheet2!CE330=999999,"NA",[1]Sheet2!CE330)</f>
        <v>6</v>
      </c>
      <c r="BX331" s="14">
        <f>IF([1]Sheet2!CF330=999999,"NA",[1]Sheet2!CF330)</f>
        <v>37</v>
      </c>
      <c r="BY331" s="14">
        <f>IF([1]Sheet2!CG330=999999,"NA",[1]Sheet2!CG330)</f>
        <v>0</v>
      </c>
      <c r="BZ331" s="14">
        <f>IF([1]Sheet2!CH330=999999,"NA",[1]Sheet2!CH330)</f>
        <v>37</v>
      </c>
      <c r="CA331" s="14">
        <f>IF([1]Sheet2!CI330=999999,"NA",[1]Sheet2!CI330)</f>
        <v>37</v>
      </c>
      <c r="CB331" s="14">
        <f>IF([1]Sheet2!CJ330=999999,"NA",[1]Sheet2!CJ330)</f>
        <v>37</v>
      </c>
      <c r="CC331" s="14">
        <f>[1]Sheet2!BG330</f>
        <v>0</v>
      </c>
      <c r="CD331" s="14">
        <f>[1]Sheet2!BH330</f>
        <v>0</v>
      </c>
      <c r="CE331" s="14">
        <f>[1]Sheet2!BI330</f>
        <v>0</v>
      </c>
      <c r="CF331" s="14">
        <f>[1]Sheet2!BJ330</f>
        <v>0</v>
      </c>
      <c r="CG331" s="14">
        <f>[1]Sheet2!BK330</f>
        <v>0</v>
      </c>
      <c r="CH331" s="14">
        <f>[1]Sheet2!BL330</f>
        <v>0</v>
      </c>
      <c r="CI331" s="14">
        <f>[1]Sheet2!BM330</f>
        <v>0</v>
      </c>
      <c r="CJ331" s="14">
        <f>[1]Sheet2!BN330</f>
        <v>0</v>
      </c>
      <c r="CK331" s="14">
        <f>[1]Sheet2!BO330</f>
        <v>0</v>
      </c>
      <c r="CL331" s="14">
        <f>[1]Sheet2!BP330</f>
        <v>0</v>
      </c>
      <c r="CM331" s="16">
        <f>Demand_SW!B$13/30</f>
        <v>144.23076923076923</v>
      </c>
      <c r="CN331" s="16">
        <f>Demand_SW!C$13/30</f>
        <v>0</v>
      </c>
      <c r="CO331" s="16">
        <f>Demand_SW!D$13/30</f>
        <v>0</v>
      </c>
      <c r="CP331" s="16">
        <f>Demand_SW!E$13/30</f>
        <v>0</v>
      </c>
      <c r="CQ331" s="16">
        <f>Demand_SW!F$13/30</f>
        <v>0</v>
      </c>
      <c r="CR331" s="16">
        <f>Demand_SW!G$13/30</f>
        <v>144.23076923076923</v>
      </c>
      <c r="CS331" s="16">
        <f>Demand_SW!H$13/30</f>
        <v>0</v>
      </c>
      <c r="CT331" s="16">
        <f>Demand_SW!I$13/30</f>
        <v>0</v>
      </c>
      <c r="CU331" s="16">
        <f>Demand_SW!J$13/30</f>
        <v>0</v>
      </c>
      <c r="CV331" s="16">
        <f>Demand_SW!K$13/30</f>
        <v>0</v>
      </c>
      <c r="CW331" s="16">
        <f t="shared" si="173"/>
        <v>56163.846153846156</v>
      </c>
      <c r="CX331" s="16">
        <f t="shared" si="174"/>
        <v>20683.923076923078</v>
      </c>
      <c r="CY331" s="16">
        <f t="shared" si="175"/>
        <v>0</v>
      </c>
      <c r="CZ331" s="16">
        <f t="shared" si="176"/>
        <v>0</v>
      </c>
      <c r="DA331" s="16">
        <f t="shared" si="177"/>
        <v>0</v>
      </c>
      <c r="DB331" s="16">
        <f t="shared" si="178"/>
        <v>-43365.384615384581</v>
      </c>
      <c r="DC331" s="16">
        <f t="shared" si="179"/>
        <v>20683.923076923078</v>
      </c>
      <c r="DD331" s="16">
        <f t="shared" si="180"/>
        <v>0</v>
      </c>
      <c r="DE331" s="16">
        <f t="shared" si="181"/>
        <v>0</v>
      </c>
      <c r="DF331" s="16">
        <f t="shared" si="182"/>
        <v>0</v>
      </c>
      <c r="DG331" s="14">
        <f>IF([1]Sheet2!DR330=999999,"NA",[1]Sheet2!DR330)</f>
        <v>73103</v>
      </c>
      <c r="DH331" s="14">
        <f>IF([1]Sheet2!DS330=999999,"NA",[1]Sheet2!DS330)</f>
        <v>37</v>
      </c>
      <c r="DI331" s="14">
        <f>IF([1]Sheet2!DT330=999999,"NA",[1]Sheet2!DT330)</f>
        <v>37</v>
      </c>
      <c r="DJ331" s="14" t="str">
        <f>IF([1]Sheet2!DU330=999999,"NA",[1]Sheet2!DU330)</f>
        <v>NA</v>
      </c>
      <c r="DK331" s="14" t="str">
        <f>IF([1]Sheet2!DV330=999999,"NA",[1]Sheet2!DV330)</f>
        <v>NA</v>
      </c>
      <c r="DL331" s="14" t="str">
        <f>IF([1]Sheet2!DW330=999999,"NA",[1]Sheet2!DW330)</f>
        <v>NA</v>
      </c>
      <c r="DM331" s="14">
        <f>IF([1]Sheet2!DX330=999999,"NA",[1]Sheet2!DX330)</f>
        <v>37</v>
      </c>
      <c r="DN331" s="14">
        <f>IF([1]Sheet2!DY330=999999,"NA",[1]Sheet2!DY330)</f>
        <v>37</v>
      </c>
      <c r="DO331" s="14" t="str">
        <f>IF([1]Sheet2!DZ330=999999,"NA",[1]Sheet2!DZ330)</f>
        <v>NA</v>
      </c>
      <c r="DP331" s="14" t="str">
        <f>IF([1]Sheet2!EA330=999999,"NA",[1]Sheet2!EA330)</f>
        <v>NA</v>
      </c>
      <c r="DQ331" s="14">
        <f>[1]Sheet2!CX330</f>
        <v>0</v>
      </c>
      <c r="DR331" s="14">
        <f>[1]Sheet2!CY330</f>
        <v>0</v>
      </c>
      <c r="DS331" s="14">
        <f>[1]Sheet2!CZ330</f>
        <v>0</v>
      </c>
      <c r="DT331" s="14">
        <f>[1]Sheet2!DA330</f>
        <v>0</v>
      </c>
      <c r="DU331" s="14">
        <f>[1]Sheet2!DB330</f>
        <v>0</v>
      </c>
      <c r="DV331" s="14">
        <f>[1]Sheet2!DC330</f>
        <v>0</v>
      </c>
      <c r="DW331" s="14">
        <f>[1]Sheet2!DD330</f>
        <v>0</v>
      </c>
      <c r="DX331" s="14">
        <f>[1]Sheet2!DE330</f>
        <v>0</v>
      </c>
      <c r="DY331" s="14">
        <f>[1]Sheet2!DF330</f>
        <v>0</v>
      </c>
      <c r="DZ331" s="14">
        <f>[1]Sheet2!DG330</f>
        <v>0</v>
      </c>
    </row>
    <row r="332" spans="1:130" x14ac:dyDescent="0.25">
      <c r="A332" s="15">
        <v>43794</v>
      </c>
      <c r="B332" s="1"/>
      <c r="C332" s="1"/>
      <c r="D332" s="1"/>
      <c r="E332" s="14">
        <f>[1]Sheet2!N331</f>
        <v>0</v>
      </c>
      <c r="F332" s="14">
        <f>[1]Sheet2!BE331</f>
        <v>0</v>
      </c>
      <c r="G332" s="14">
        <f>[1]Sheet2!CV331</f>
        <v>288.46153846153851</v>
      </c>
      <c r="H332" s="1"/>
      <c r="I332" s="1"/>
      <c r="J332" s="1"/>
      <c r="K332" s="16">
        <f>Demand_CWRS!B$13/30</f>
        <v>111.92954594017094</v>
      </c>
      <c r="L332" s="16">
        <f>Demand_CWRS!C$13/30</f>
        <v>550.01145299145287</v>
      </c>
      <c r="M332" s="16">
        <f>Demand_CWRS!D$13/30</f>
        <v>0</v>
      </c>
      <c r="N332" s="16">
        <f>Demand_CWRS!E$13/30</f>
        <v>105.42606837606837</v>
      </c>
      <c r="O332" s="16">
        <f>Demand_CWRS!F$13/30</f>
        <v>220.33041399572647</v>
      </c>
      <c r="P332" s="16">
        <f>Demand_CWRS!G$13/30</f>
        <v>111.92954594017094</v>
      </c>
      <c r="Q332" s="16">
        <f>Demand_CWRS!H$13/30</f>
        <v>550.01145299145287</v>
      </c>
      <c r="R332" s="16">
        <f>Demand_CWRS!I$13/30</f>
        <v>220.33041399572647</v>
      </c>
      <c r="S332" s="16">
        <f>Demand_CWRS!J$13/30</f>
        <v>220.33041399572647</v>
      </c>
      <c r="T332" s="16">
        <f>Demand_CWRS!K$13/30</f>
        <v>220.33041399572647</v>
      </c>
      <c r="U332" s="16">
        <f t="shared" si="153"/>
        <v>-42286.853230772482</v>
      </c>
      <c r="V332" s="16">
        <f t="shared" si="154"/>
        <v>-157636.0376068372</v>
      </c>
      <c r="W332" s="16">
        <f t="shared" si="155"/>
        <v>0</v>
      </c>
      <c r="X332" s="16">
        <f t="shared" si="156"/>
        <v>-36091.082105376903</v>
      </c>
      <c r="Y332" s="16">
        <f t="shared" si="157"/>
        <v>-71224.575787251364</v>
      </c>
      <c r="Z332" s="16">
        <f t="shared" si="158"/>
        <v>-41889.920706734076</v>
      </c>
      <c r="AA332" s="16">
        <f t="shared" si="159"/>
        <v>-157136.0376068372</v>
      </c>
      <c r="AB332" s="16">
        <f t="shared" si="160"/>
        <v>-68740.730306482015</v>
      </c>
      <c r="AC332" s="16">
        <f t="shared" si="161"/>
        <v>-68740.730306482001</v>
      </c>
      <c r="AD332" s="16">
        <f t="shared" si="162"/>
        <v>-69440.730306482015</v>
      </c>
      <c r="AE332" s="14">
        <f>IF([1]Sheet2!AJ331=999999,"NA",[1]Sheet2!AJ331)</f>
        <v>0</v>
      </c>
      <c r="AF332" s="14">
        <f>IF([1]Sheet2!AK331=999999,"NA",[1]Sheet2!AK331)</f>
        <v>0</v>
      </c>
      <c r="AG332" s="14" t="str">
        <f>IF([1]Sheet2!AL331=999999,"NA",[1]Sheet2!AL331)</f>
        <v>NA</v>
      </c>
      <c r="AH332" s="14">
        <f>IF([1]Sheet2!AM331=999999,"NA",[1]Sheet2!AM331)</f>
        <v>36</v>
      </c>
      <c r="AI332" s="14">
        <f>IF([1]Sheet2!AN331=999999,"NA",[1]Sheet2!AN331)</f>
        <v>36</v>
      </c>
      <c r="AJ332" s="14">
        <f>IF([1]Sheet2!AO331=999999,"NA",[1]Sheet2!AO331)</f>
        <v>36</v>
      </c>
      <c r="AK332" s="14">
        <f>IF([1]Sheet2!AP331=999999,"NA",[1]Sheet2!AP331)</f>
        <v>0</v>
      </c>
      <c r="AL332" s="14">
        <f>IF([1]Sheet2!AQ331=999999,"NA",[1]Sheet2!AQ331)</f>
        <v>0</v>
      </c>
      <c r="AM332" s="14">
        <f>IF([1]Sheet2!AR331=999999,"NA",[1]Sheet2!AR331)</f>
        <v>36</v>
      </c>
      <c r="AN332" s="14">
        <f>IF([1]Sheet2!AS331=999999,"NA",[1]Sheet2!AS331)</f>
        <v>0</v>
      </c>
      <c r="AO332" s="14">
        <f>[1]Sheet2!P331</f>
        <v>0</v>
      </c>
      <c r="AP332" s="14">
        <f>[1]Sheet2!Q331</f>
        <v>0</v>
      </c>
      <c r="AQ332" s="14">
        <f>[1]Sheet2!R331</f>
        <v>0</v>
      </c>
      <c r="AR332" s="14">
        <f>[1]Sheet2!S331</f>
        <v>0</v>
      </c>
      <c r="AS332" s="14">
        <f>[1]Sheet2!T331</f>
        <v>0</v>
      </c>
      <c r="AT332" s="14">
        <f>[1]Sheet2!U331</f>
        <v>0</v>
      </c>
      <c r="AU332" s="14">
        <f>[1]Sheet2!V331</f>
        <v>0</v>
      </c>
      <c r="AV332" s="14">
        <f>[1]Sheet2!W331</f>
        <v>0</v>
      </c>
      <c r="AW332" s="14">
        <f>[1]Sheet2!X331</f>
        <v>0</v>
      </c>
      <c r="AX332" s="14">
        <f>[1]Sheet2!Y331</f>
        <v>0</v>
      </c>
      <c r="AY332" s="16">
        <f>Demand_LP!B$13/30</f>
        <v>849.16414262820524</v>
      </c>
      <c r="AZ332" s="16">
        <f>Demand_LP!C$13/30</f>
        <v>632.84239316239314</v>
      </c>
      <c r="BA332" s="16">
        <f>Demand_LP!D$13/30</f>
        <v>269.64247863247863</v>
      </c>
      <c r="BB332" s="16">
        <f>Demand_LP!E$13/30</f>
        <v>815.03102564102551</v>
      </c>
      <c r="BC332" s="16">
        <f>Demand_LP!F$13/30</f>
        <v>536.05500267094021</v>
      </c>
      <c r="BD332" s="16">
        <f>Demand_LP!G$13/30</f>
        <v>849.16414262820524</v>
      </c>
      <c r="BE332" s="16">
        <f>Demand_LP!H$13/30</f>
        <v>632.84239316239314</v>
      </c>
      <c r="BF332" s="16">
        <f>Demand_LP!I$13/30</f>
        <v>536.05500267094021</v>
      </c>
      <c r="BG332" s="16">
        <f>Demand_LP!J$13/30</f>
        <v>536.05500267094021</v>
      </c>
      <c r="BH332" s="16">
        <f>Demand_LP!K$13/30</f>
        <v>536.05500267094021</v>
      </c>
      <c r="BI332" s="16" t="e">
        <f t="shared" si="163"/>
        <v>#VALUE!</v>
      </c>
      <c r="BJ332" s="16">
        <f t="shared" si="164"/>
        <v>-188826.56495726472</v>
      </c>
      <c r="BK332" s="16">
        <f t="shared" si="165"/>
        <v>-94941.538888889132</v>
      </c>
      <c r="BL332" s="16">
        <f t="shared" si="166"/>
        <v>-248956.24741966778</v>
      </c>
      <c r="BM332" s="16">
        <f t="shared" si="167"/>
        <v>-151476.66744647978</v>
      </c>
      <c r="BN332" s="16">
        <f t="shared" si="168"/>
        <v>-260013.69788197783</v>
      </c>
      <c r="BO332" s="16">
        <f t="shared" si="169"/>
        <v>-191184.14444444451</v>
      </c>
      <c r="BP332" s="16">
        <f t="shared" si="170"/>
        <v>-152588.35136485036</v>
      </c>
      <c r="BQ332" s="16">
        <f t="shared" si="171"/>
        <v>-149578.35136485047</v>
      </c>
      <c r="BR332" s="16">
        <f t="shared" si="172"/>
        <v>-150778.35136485039</v>
      </c>
      <c r="BS332" s="14">
        <f>IF([1]Sheet2!CA331=999999,"NA",[1]Sheet2!CA331)</f>
        <v>65700.648635149584</v>
      </c>
      <c r="BT332" s="14">
        <f>IF([1]Sheet2!CB331=999999,"NA",[1]Sheet2!CB331)</f>
        <v>0</v>
      </c>
      <c r="BU332" s="14">
        <f>IF([1]Sheet2!CC331=999999,"NA",[1]Sheet2!CC331)</f>
        <v>36</v>
      </c>
      <c r="BV332" s="14">
        <f>IF([1]Sheet2!CD331=999999,"NA",[1]Sheet2!CD331)</f>
        <v>36</v>
      </c>
      <c r="BW332" s="14">
        <f>IF([1]Sheet2!CE331=999999,"NA",[1]Sheet2!CE331)</f>
        <v>5</v>
      </c>
      <c r="BX332" s="14">
        <f>IF([1]Sheet2!CF331=999999,"NA",[1]Sheet2!CF331)</f>
        <v>36</v>
      </c>
      <c r="BY332" s="14">
        <f>IF([1]Sheet2!CG331=999999,"NA",[1]Sheet2!CG331)</f>
        <v>0</v>
      </c>
      <c r="BZ332" s="14">
        <f>IF([1]Sheet2!CH331=999999,"NA",[1]Sheet2!CH331)</f>
        <v>36</v>
      </c>
      <c r="CA332" s="14">
        <f>IF([1]Sheet2!CI331=999999,"NA",[1]Sheet2!CI331)</f>
        <v>36</v>
      </c>
      <c r="CB332" s="14">
        <f>IF([1]Sheet2!CJ331=999999,"NA",[1]Sheet2!CJ331)</f>
        <v>36</v>
      </c>
      <c r="CC332" s="14">
        <f>[1]Sheet2!BG331</f>
        <v>0</v>
      </c>
      <c r="CD332" s="14">
        <f>[1]Sheet2!BH331</f>
        <v>0</v>
      </c>
      <c r="CE332" s="14">
        <f>[1]Sheet2!BI331</f>
        <v>0</v>
      </c>
      <c r="CF332" s="14">
        <f>[1]Sheet2!BJ331</f>
        <v>0</v>
      </c>
      <c r="CG332" s="14">
        <f>[1]Sheet2!BK331</f>
        <v>0</v>
      </c>
      <c r="CH332" s="14">
        <f>[1]Sheet2!BL331</f>
        <v>0</v>
      </c>
      <c r="CI332" s="14">
        <f>[1]Sheet2!BM331</f>
        <v>0</v>
      </c>
      <c r="CJ332" s="14">
        <f>[1]Sheet2!BN331</f>
        <v>0</v>
      </c>
      <c r="CK332" s="14">
        <f>[1]Sheet2!BO331</f>
        <v>0</v>
      </c>
      <c r="CL332" s="14">
        <f>[1]Sheet2!BP331</f>
        <v>0</v>
      </c>
      <c r="CM332" s="16">
        <f>Demand_SW!B$13/30</f>
        <v>144.23076923076923</v>
      </c>
      <c r="CN332" s="16">
        <f>Demand_SW!C$13/30</f>
        <v>0</v>
      </c>
      <c r="CO332" s="16">
        <f>Demand_SW!D$13/30</f>
        <v>0</v>
      </c>
      <c r="CP332" s="16">
        <f>Demand_SW!E$13/30</f>
        <v>0</v>
      </c>
      <c r="CQ332" s="16">
        <f>Demand_SW!F$13/30</f>
        <v>0</v>
      </c>
      <c r="CR332" s="16">
        <f>Demand_SW!G$13/30</f>
        <v>144.23076923076923</v>
      </c>
      <c r="CS332" s="16">
        <f>Demand_SW!H$13/30</f>
        <v>0</v>
      </c>
      <c r="CT332" s="16">
        <f>Demand_SW!I$13/30</f>
        <v>0</v>
      </c>
      <c r="CU332" s="16">
        <f>Demand_SW!J$13/30</f>
        <v>0</v>
      </c>
      <c r="CV332" s="16">
        <f>Demand_SW!K$13/30</f>
        <v>0</v>
      </c>
      <c r="CW332" s="16">
        <f t="shared" si="173"/>
        <v>56019.61538461539</v>
      </c>
      <c r="CX332" s="16">
        <f t="shared" si="174"/>
        <v>20683.923076923078</v>
      </c>
      <c r="CY332" s="16">
        <f t="shared" si="175"/>
        <v>0</v>
      </c>
      <c r="CZ332" s="16">
        <f t="shared" si="176"/>
        <v>0</v>
      </c>
      <c r="DA332" s="16">
        <f t="shared" si="177"/>
        <v>0</v>
      </c>
      <c r="DB332" s="16">
        <f t="shared" si="178"/>
        <v>-43509.615384615347</v>
      </c>
      <c r="DC332" s="16">
        <f t="shared" si="179"/>
        <v>20683.923076923078</v>
      </c>
      <c r="DD332" s="16">
        <f t="shared" si="180"/>
        <v>0</v>
      </c>
      <c r="DE332" s="16">
        <f t="shared" si="181"/>
        <v>0</v>
      </c>
      <c r="DF332" s="16">
        <f t="shared" si="182"/>
        <v>0</v>
      </c>
      <c r="DG332" s="14">
        <f>IF([1]Sheet2!DR331=999999,"NA",[1]Sheet2!DR331)</f>
        <v>73103</v>
      </c>
      <c r="DH332" s="14">
        <f>IF([1]Sheet2!DS331=999999,"NA",[1]Sheet2!DS331)</f>
        <v>36</v>
      </c>
      <c r="DI332" s="14">
        <f>IF([1]Sheet2!DT331=999999,"NA",[1]Sheet2!DT331)</f>
        <v>36</v>
      </c>
      <c r="DJ332" s="14" t="str">
        <f>IF([1]Sheet2!DU331=999999,"NA",[1]Sheet2!DU331)</f>
        <v>NA</v>
      </c>
      <c r="DK332" s="14" t="str">
        <f>IF([1]Sheet2!DV331=999999,"NA",[1]Sheet2!DV331)</f>
        <v>NA</v>
      </c>
      <c r="DL332" s="14" t="str">
        <f>IF([1]Sheet2!DW331=999999,"NA",[1]Sheet2!DW331)</f>
        <v>NA</v>
      </c>
      <c r="DM332" s="14">
        <f>IF([1]Sheet2!DX331=999999,"NA",[1]Sheet2!DX331)</f>
        <v>36</v>
      </c>
      <c r="DN332" s="14">
        <f>IF([1]Sheet2!DY331=999999,"NA",[1]Sheet2!DY331)</f>
        <v>36</v>
      </c>
      <c r="DO332" s="14" t="str">
        <f>IF([1]Sheet2!DZ331=999999,"NA",[1]Sheet2!DZ331)</f>
        <v>NA</v>
      </c>
      <c r="DP332" s="14" t="str">
        <f>IF([1]Sheet2!EA331=999999,"NA",[1]Sheet2!EA331)</f>
        <v>NA</v>
      </c>
      <c r="DQ332" s="14">
        <f>[1]Sheet2!CX331</f>
        <v>0</v>
      </c>
      <c r="DR332" s="14">
        <f>[1]Sheet2!CY331</f>
        <v>0</v>
      </c>
      <c r="DS332" s="14">
        <f>[1]Sheet2!CZ331</f>
        <v>0</v>
      </c>
      <c r="DT332" s="14">
        <f>[1]Sheet2!DA331</f>
        <v>0</v>
      </c>
      <c r="DU332" s="14">
        <f>[1]Sheet2!DB331</f>
        <v>0</v>
      </c>
      <c r="DV332" s="14">
        <f>[1]Sheet2!DC331</f>
        <v>0</v>
      </c>
      <c r="DW332" s="14">
        <f>[1]Sheet2!DD331</f>
        <v>0</v>
      </c>
      <c r="DX332" s="14">
        <f>[1]Sheet2!DE331</f>
        <v>0</v>
      </c>
      <c r="DY332" s="14">
        <f>[1]Sheet2!DF331</f>
        <v>0</v>
      </c>
      <c r="DZ332" s="14">
        <f>[1]Sheet2!DG331</f>
        <v>0</v>
      </c>
    </row>
    <row r="333" spans="1:130" x14ac:dyDescent="0.25">
      <c r="A333" s="15">
        <v>43795</v>
      </c>
      <c r="B333" s="1"/>
      <c r="C333" s="1"/>
      <c r="D333" s="1"/>
      <c r="E333" s="14">
        <f>[1]Sheet2!N332</f>
        <v>0</v>
      </c>
      <c r="F333" s="14">
        <f>[1]Sheet2!BE332</f>
        <v>0</v>
      </c>
      <c r="G333" s="14">
        <f>[1]Sheet2!CV332</f>
        <v>288.46153846153851</v>
      </c>
      <c r="H333" s="1"/>
      <c r="I333" s="1"/>
      <c r="J333" s="1"/>
      <c r="K333" s="16">
        <f>Demand_CWRS!B$13/30</f>
        <v>111.92954594017094</v>
      </c>
      <c r="L333" s="16">
        <f>Demand_CWRS!C$13/30</f>
        <v>550.01145299145287</v>
      </c>
      <c r="M333" s="16">
        <f>Demand_CWRS!D$13/30</f>
        <v>0</v>
      </c>
      <c r="N333" s="16">
        <f>Demand_CWRS!E$13/30</f>
        <v>105.42606837606837</v>
      </c>
      <c r="O333" s="16">
        <f>Demand_CWRS!F$13/30</f>
        <v>220.33041399572647</v>
      </c>
      <c r="P333" s="16">
        <f>Demand_CWRS!G$13/30</f>
        <v>111.92954594017094</v>
      </c>
      <c r="Q333" s="16">
        <f>Demand_CWRS!H$13/30</f>
        <v>550.01145299145287</v>
      </c>
      <c r="R333" s="16">
        <f>Demand_CWRS!I$13/30</f>
        <v>220.33041399572647</v>
      </c>
      <c r="S333" s="16">
        <f>Demand_CWRS!J$13/30</f>
        <v>220.33041399572647</v>
      </c>
      <c r="T333" s="16">
        <f>Demand_CWRS!K$13/30</f>
        <v>220.33041399572647</v>
      </c>
      <c r="U333" s="16">
        <f t="shared" si="153"/>
        <v>-42398.782776712651</v>
      </c>
      <c r="V333" s="16">
        <f t="shared" si="154"/>
        <v>-158186.04905982866</v>
      </c>
      <c r="W333" s="16">
        <f t="shared" si="155"/>
        <v>0</v>
      </c>
      <c r="X333" s="16">
        <f t="shared" si="156"/>
        <v>-36196.508173752969</v>
      </c>
      <c r="Y333" s="16">
        <f t="shared" si="157"/>
        <v>-71444.906201247097</v>
      </c>
      <c r="Z333" s="16">
        <f t="shared" si="158"/>
        <v>-42001.850252674245</v>
      </c>
      <c r="AA333" s="16">
        <f t="shared" si="159"/>
        <v>-157686.04905982866</v>
      </c>
      <c r="AB333" s="16">
        <f t="shared" si="160"/>
        <v>-68961.060720477748</v>
      </c>
      <c r="AC333" s="16">
        <f t="shared" si="161"/>
        <v>-68961.060720477733</v>
      </c>
      <c r="AD333" s="16">
        <f t="shared" si="162"/>
        <v>-69661.060720477748</v>
      </c>
      <c r="AE333" s="14">
        <f>IF([1]Sheet2!AJ332=999999,"NA",[1]Sheet2!AJ332)</f>
        <v>0</v>
      </c>
      <c r="AF333" s="14">
        <f>IF([1]Sheet2!AK332=999999,"NA",[1]Sheet2!AK332)</f>
        <v>0</v>
      </c>
      <c r="AG333" s="14" t="str">
        <f>IF([1]Sheet2!AL332=999999,"NA",[1]Sheet2!AL332)</f>
        <v>NA</v>
      </c>
      <c r="AH333" s="14">
        <f>IF([1]Sheet2!AM332=999999,"NA",[1]Sheet2!AM332)</f>
        <v>35</v>
      </c>
      <c r="AI333" s="14">
        <f>IF([1]Sheet2!AN332=999999,"NA",[1]Sheet2!AN332)</f>
        <v>35</v>
      </c>
      <c r="AJ333" s="14">
        <f>IF([1]Sheet2!AO332=999999,"NA",[1]Sheet2!AO332)</f>
        <v>35</v>
      </c>
      <c r="AK333" s="14">
        <f>IF([1]Sheet2!AP332=999999,"NA",[1]Sheet2!AP332)</f>
        <v>0</v>
      </c>
      <c r="AL333" s="14">
        <f>IF([1]Sheet2!AQ332=999999,"NA",[1]Sheet2!AQ332)</f>
        <v>0</v>
      </c>
      <c r="AM333" s="14">
        <f>IF([1]Sheet2!AR332=999999,"NA",[1]Sheet2!AR332)</f>
        <v>35</v>
      </c>
      <c r="AN333" s="14">
        <f>IF([1]Sheet2!AS332=999999,"NA",[1]Sheet2!AS332)</f>
        <v>0</v>
      </c>
      <c r="AO333" s="14">
        <f>[1]Sheet2!P332</f>
        <v>0</v>
      </c>
      <c r="AP333" s="14">
        <f>[1]Sheet2!Q332</f>
        <v>0</v>
      </c>
      <c r="AQ333" s="14">
        <f>[1]Sheet2!R332</f>
        <v>0</v>
      </c>
      <c r="AR333" s="14">
        <f>[1]Sheet2!S332</f>
        <v>0</v>
      </c>
      <c r="AS333" s="14">
        <f>[1]Sheet2!T332</f>
        <v>0</v>
      </c>
      <c r="AT333" s="14">
        <f>[1]Sheet2!U332</f>
        <v>0</v>
      </c>
      <c r="AU333" s="14">
        <f>[1]Sheet2!V332</f>
        <v>0</v>
      </c>
      <c r="AV333" s="14">
        <f>[1]Sheet2!W332</f>
        <v>0</v>
      </c>
      <c r="AW333" s="14">
        <f>[1]Sheet2!X332</f>
        <v>0</v>
      </c>
      <c r="AX333" s="14">
        <f>[1]Sheet2!Y332</f>
        <v>0</v>
      </c>
      <c r="AY333" s="16">
        <f>Demand_LP!B$13/30</f>
        <v>849.16414262820524</v>
      </c>
      <c r="AZ333" s="16">
        <f>Demand_LP!C$13/30</f>
        <v>632.84239316239314</v>
      </c>
      <c r="BA333" s="16">
        <f>Demand_LP!D$13/30</f>
        <v>269.64247863247863</v>
      </c>
      <c r="BB333" s="16">
        <f>Demand_LP!E$13/30</f>
        <v>815.03102564102551</v>
      </c>
      <c r="BC333" s="16">
        <f>Demand_LP!F$13/30</f>
        <v>536.05500267094021</v>
      </c>
      <c r="BD333" s="16">
        <f>Demand_LP!G$13/30</f>
        <v>849.16414262820524</v>
      </c>
      <c r="BE333" s="16">
        <f>Demand_LP!H$13/30</f>
        <v>632.84239316239314</v>
      </c>
      <c r="BF333" s="16">
        <f>Demand_LP!I$13/30</f>
        <v>536.05500267094021</v>
      </c>
      <c r="BG333" s="16">
        <f>Demand_LP!J$13/30</f>
        <v>536.05500267094021</v>
      </c>
      <c r="BH333" s="16">
        <f>Demand_LP!K$13/30</f>
        <v>536.05500267094021</v>
      </c>
      <c r="BI333" s="16" t="e">
        <f t="shared" si="163"/>
        <v>#VALUE!</v>
      </c>
      <c r="BJ333" s="16">
        <f t="shared" si="164"/>
        <v>-189459.40735042712</v>
      </c>
      <c r="BK333" s="16">
        <f t="shared" si="165"/>
        <v>-95211.181367521611</v>
      </c>
      <c r="BL333" s="16">
        <f t="shared" si="166"/>
        <v>-249771.2784453088</v>
      </c>
      <c r="BM333" s="16">
        <f t="shared" si="167"/>
        <v>-152012.72244915072</v>
      </c>
      <c r="BN333" s="16">
        <f t="shared" si="168"/>
        <v>-260862.86202460603</v>
      </c>
      <c r="BO333" s="16">
        <f t="shared" si="169"/>
        <v>-191816.98683760691</v>
      </c>
      <c r="BP333" s="16">
        <f t="shared" si="170"/>
        <v>-153124.4063675213</v>
      </c>
      <c r="BQ333" s="16">
        <f t="shared" si="171"/>
        <v>-150114.40636752141</v>
      </c>
      <c r="BR333" s="16">
        <f t="shared" si="172"/>
        <v>-151314.40636752133</v>
      </c>
      <c r="BS333" s="14">
        <f>IF([1]Sheet2!CA332=999999,"NA",[1]Sheet2!CA332)</f>
        <v>65164.593632478645</v>
      </c>
      <c r="BT333" s="14">
        <f>IF([1]Sheet2!CB332=999999,"NA",[1]Sheet2!CB332)</f>
        <v>0</v>
      </c>
      <c r="BU333" s="14">
        <f>IF([1]Sheet2!CC332=999999,"NA",[1]Sheet2!CC332)</f>
        <v>35</v>
      </c>
      <c r="BV333" s="14">
        <f>IF([1]Sheet2!CD332=999999,"NA",[1]Sheet2!CD332)</f>
        <v>35</v>
      </c>
      <c r="BW333" s="14">
        <f>IF([1]Sheet2!CE332=999999,"NA",[1]Sheet2!CE332)</f>
        <v>4</v>
      </c>
      <c r="BX333" s="14">
        <f>IF([1]Sheet2!CF332=999999,"NA",[1]Sheet2!CF332)</f>
        <v>35</v>
      </c>
      <c r="BY333" s="14">
        <f>IF([1]Sheet2!CG332=999999,"NA",[1]Sheet2!CG332)</f>
        <v>0</v>
      </c>
      <c r="BZ333" s="14">
        <f>IF([1]Sheet2!CH332=999999,"NA",[1]Sheet2!CH332)</f>
        <v>35</v>
      </c>
      <c r="CA333" s="14">
        <f>IF([1]Sheet2!CI332=999999,"NA",[1]Sheet2!CI332)</f>
        <v>35</v>
      </c>
      <c r="CB333" s="14">
        <f>IF([1]Sheet2!CJ332=999999,"NA",[1]Sheet2!CJ332)</f>
        <v>35</v>
      </c>
      <c r="CC333" s="14">
        <f>[1]Sheet2!BG332</f>
        <v>0</v>
      </c>
      <c r="CD333" s="14">
        <f>[1]Sheet2!BH332</f>
        <v>0</v>
      </c>
      <c r="CE333" s="14">
        <f>[1]Sheet2!BI332</f>
        <v>0</v>
      </c>
      <c r="CF333" s="14">
        <f>[1]Sheet2!BJ332</f>
        <v>0</v>
      </c>
      <c r="CG333" s="14">
        <f>[1]Sheet2!BK332</f>
        <v>0</v>
      </c>
      <c r="CH333" s="14">
        <f>[1]Sheet2!BL332</f>
        <v>0</v>
      </c>
      <c r="CI333" s="14">
        <f>[1]Sheet2!BM332</f>
        <v>0</v>
      </c>
      <c r="CJ333" s="14">
        <f>[1]Sheet2!BN332</f>
        <v>0</v>
      </c>
      <c r="CK333" s="14">
        <f>[1]Sheet2!BO332</f>
        <v>0</v>
      </c>
      <c r="CL333" s="14">
        <f>[1]Sheet2!BP332</f>
        <v>0</v>
      </c>
      <c r="CM333" s="16">
        <f>Demand_SW!B$13/30</f>
        <v>144.23076923076923</v>
      </c>
      <c r="CN333" s="16">
        <f>Demand_SW!C$13/30</f>
        <v>0</v>
      </c>
      <c r="CO333" s="16">
        <f>Demand_SW!D$13/30</f>
        <v>0</v>
      </c>
      <c r="CP333" s="16">
        <f>Demand_SW!E$13/30</f>
        <v>0</v>
      </c>
      <c r="CQ333" s="16">
        <f>Demand_SW!F$13/30</f>
        <v>0</v>
      </c>
      <c r="CR333" s="16">
        <f>Demand_SW!G$13/30</f>
        <v>144.23076923076923</v>
      </c>
      <c r="CS333" s="16">
        <f>Demand_SW!H$13/30</f>
        <v>0</v>
      </c>
      <c r="CT333" s="16">
        <f>Demand_SW!I$13/30</f>
        <v>0</v>
      </c>
      <c r="CU333" s="16">
        <f>Demand_SW!J$13/30</f>
        <v>0</v>
      </c>
      <c r="CV333" s="16">
        <f>Demand_SW!K$13/30</f>
        <v>0</v>
      </c>
      <c r="CW333" s="16">
        <f t="shared" si="173"/>
        <v>55875.384615384624</v>
      </c>
      <c r="CX333" s="16">
        <f t="shared" si="174"/>
        <v>20683.923076923078</v>
      </c>
      <c r="CY333" s="16">
        <f t="shared" si="175"/>
        <v>0</v>
      </c>
      <c r="CZ333" s="16">
        <f t="shared" si="176"/>
        <v>0</v>
      </c>
      <c r="DA333" s="16">
        <f t="shared" si="177"/>
        <v>0</v>
      </c>
      <c r="DB333" s="16">
        <f t="shared" si="178"/>
        <v>-43653.846153846112</v>
      </c>
      <c r="DC333" s="16">
        <f t="shared" si="179"/>
        <v>20683.923076923078</v>
      </c>
      <c r="DD333" s="16">
        <f t="shared" si="180"/>
        <v>0</v>
      </c>
      <c r="DE333" s="16">
        <f t="shared" si="181"/>
        <v>0</v>
      </c>
      <c r="DF333" s="16">
        <f t="shared" si="182"/>
        <v>0</v>
      </c>
      <c r="DG333" s="14">
        <f>IF([1]Sheet2!DR332=999999,"NA",[1]Sheet2!DR332)</f>
        <v>73103</v>
      </c>
      <c r="DH333" s="14">
        <f>IF([1]Sheet2!DS332=999999,"NA",[1]Sheet2!DS332)</f>
        <v>35</v>
      </c>
      <c r="DI333" s="14">
        <f>IF([1]Sheet2!DT332=999999,"NA",[1]Sheet2!DT332)</f>
        <v>35</v>
      </c>
      <c r="DJ333" s="14" t="str">
        <f>IF([1]Sheet2!DU332=999999,"NA",[1]Sheet2!DU332)</f>
        <v>NA</v>
      </c>
      <c r="DK333" s="14" t="str">
        <f>IF([1]Sheet2!DV332=999999,"NA",[1]Sheet2!DV332)</f>
        <v>NA</v>
      </c>
      <c r="DL333" s="14" t="str">
        <f>IF([1]Sheet2!DW332=999999,"NA",[1]Sheet2!DW332)</f>
        <v>NA</v>
      </c>
      <c r="DM333" s="14">
        <f>IF([1]Sheet2!DX332=999999,"NA",[1]Sheet2!DX332)</f>
        <v>35</v>
      </c>
      <c r="DN333" s="14">
        <f>IF([1]Sheet2!DY332=999999,"NA",[1]Sheet2!DY332)</f>
        <v>35</v>
      </c>
      <c r="DO333" s="14" t="str">
        <f>IF([1]Sheet2!DZ332=999999,"NA",[1]Sheet2!DZ332)</f>
        <v>NA</v>
      </c>
      <c r="DP333" s="14" t="str">
        <f>IF([1]Sheet2!EA332=999999,"NA",[1]Sheet2!EA332)</f>
        <v>NA</v>
      </c>
      <c r="DQ333" s="14">
        <f>[1]Sheet2!CX332</f>
        <v>0</v>
      </c>
      <c r="DR333" s="14">
        <f>[1]Sheet2!CY332</f>
        <v>0</v>
      </c>
      <c r="DS333" s="14">
        <f>[1]Sheet2!CZ332</f>
        <v>0</v>
      </c>
      <c r="DT333" s="14">
        <f>[1]Sheet2!DA332</f>
        <v>0</v>
      </c>
      <c r="DU333" s="14">
        <f>[1]Sheet2!DB332</f>
        <v>0</v>
      </c>
      <c r="DV333" s="14">
        <f>[1]Sheet2!DC332</f>
        <v>0</v>
      </c>
      <c r="DW333" s="14">
        <f>[1]Sheet2!DD332</f>
        <v>0</v>
      </c>
      <c r="DX333" s="14">
        <f>[1]Sheet2!DE332</f>
        <v>0</v>
      </c>
      <c r="DY333" s="14">
        <f>[1]Sheet2!DF332</f>
        <v>0</v>
      </c>
      <c r="DZ333" s="14">
        <f>[1]Sheet2!DG332</f>
        <v>0</v>
      </c>
    </row>
    <row r="334" spans="1:130" x14ac:dyDescent="0.25">
      <c r="A334" s="15">
        <v>43796</v>
      </c>
      <c r="B334" s="1"/>
      <c r="C334" s="1"/>
      <c r="D334" s="1"/>
      <c r="E334" s="14">
        <f>[1]Sheet2!N333</f>
        <v>0</v>
      </c>
      <c r="F334" s="14">
        <f>[1]Sheet2!BE333</f>
        <v>0</v>
      </c>
      <c r="G334" s="14">
        <f>[1]Sheet2!CV333</f>
        <v>288.46153846153851</v>
      </c>
      <c r="H334" s="1"/>
      <c r="I334" s="1"/>
      <c r="J334" s="1"/>
      <c r="K334" s="16">
        <f>Demand_CWRS!B$13/30</f>
        <v>111.92954594017094</v>
      </c>
      <c r="L334" s="16">
        <f>Demand_CWRS!C$13/30</f>
        <v>550.01145299145287</v>
      </c>
      <c r="M334" s="16">
        <f>Demand_CWRS!D$13/30</f>
        <v>0</v>
      </c>
      <c r="N334" s="16">
        <f>Demand_CWRS!E$13/30</f>
        <v>105.42606837606837</v>
      </c>
      <c r="O334" s="16">
        <f>Demand_CWRS!F$13/30</f>
        <v>220.33041399572647</v>
      </c>
      <c r="P334" s="16">
        <f>Demand_CWRS!G$13/30</f>
        <v>111.92954594017094</v>
      </c>
      <c r="Q334" s="16">
        <f>Demand_CWRS!H$13/30</f>
        <v>550.01145299145287</v>
      </c>
      <c r="R334" s="16">
        <f>Demand_CWRS!I$13/30</f>
        <v>220.33041399572647</v>
      </c>
      <c r="S334" s="16">
        <f>Demand_CWRS!J$13/30</f>
        <v>220.33041399572647</v>
      </c>
      <c r="T334" s="16">
        <f>Demand_CWRS!K$13/30</f>
        <v>220.33041399572647</v>
      </c>
      <c r="U334" s="16">
        <f t="shared" si="153"/>
        <v>-42510.71232265282</v>
      </c>
      <c r="V334" s="16">
        <f t="shared" si="154"/>
        <v>-158736.06051282011</v>
      </c>
      <c r="W334" s="16">
        <f t="shared" si="155"/>
        <v>0</v>
      </c>
      <c r="X334" s="16">
        <f t="shared" si="156"/>
        <v>-36301.934242129035</v>
      </c>
      <c r="Y334" s="16">
        <f t="shared" si="157"/>
        <v>-71665.236615242829</v>
      </c>
      <c r="Z334" s="16">
        <f t="shared" si="158"/>
        <v>-42113.779798614414</v>
      </c>
      <c r="AA334" s="16">
        <f t="shared" si="159"/>
        <v>-158236.06051282011</v>
      </c>
      <c r="AB334" s="16">
        <f t="shared" si="160"/>
        <v>-69181.391134473481</v>
      </c>
      <c r="AC334" s="16">
        <f t="shared" si="161"/>
        <v>-69181.391134473466</v>
      </c>
      <c r="AD334" s="16">
        <f t="shared" si="162"/>
        <v>-69881.391134473481</v>
      </c>
      <c r="AE334" s="14">
        <f>IF([1]Sheet2!AJ333=999999,"NA",[1]Sheet2!AJ333)</f>
        <v>0</v>
      </c>
      <c r="AF334" s="14">
        <f>IF([1]Sheet2!AK333=999999,"NA",[1]Sheet2!AK333)</f>
        <v>0</v>
      </c>
      <c r="AG334" s="14" t="str">
        <f>IF([1]Sheet2!AL333=999999,"NA",[1]Sheet2!AL333)</f>
        <v>NA</v>
      </c>
      <c r="AH334" s="14">
        <f>IF([1]Sheet2!AM333=999999,"NA",[1]Sheet2!AM333)</f>
        <v>34</v>
      </c>
      <c r="AI334" s="14">
        <f>IF([1]Sheet2!AN333=999999,"NA",[1]Sheet2!AN333)</f>
        <v>34</v>
      </c>
      <c r="AJ334" s="14">
        <f>IF([1]Sheet2!AO333=999999,"NA",[1]Sheet2!AO333)</f>
        <v>34</v>
      </c>
      <c r="AK334" s="14">
        <f>IF([1]Sheet2!AP333=999999,"NA",[1]Sheet2!AP333)</f>
        <v>0</v>
      </c>
      <c r="AL334" s="14">
        <f>IF([1]Sheet2!AQ333=999999,"NA",[1]Sheet2!AQ333)</f>
        <v>0</v>
      </c>
      <c r="AM334" s="14">
        <f>IF([1]Sheet2!AR333=999999,"NA",[1]Sheet2!AR333)</f>
        <v>34</v>
      </c>
      <c r="AN334" s="14">
        <f>IF([1]Sheet2!AS333=999999,"NA",[1]Sheet2!AS333)</f>
        <v>0</v>
      </c>
      <c r="AO334" s="14">
        <f>[1]Sheet2!P333</f>
        <v>0</v>
      </c>
      <c r="AP334" s="14">
        <f>[1]Sheet2!Q333</f>
        <v>0</v>
      </c>
      <c r="AQ334" s="14">
        <f>[1]Sheet2!R333</f>
        <v>0</v>
      </c>
      <c r="AR334" s="14">
        <f>[1]Sheet2!S333</f>
        <v>0</v>
      </c>
      <c r="AS334" s="14">
        <f>[1]Sheet2!T333</f>
        <v>0</v>
      </c>
      <c r="AT334" s="14">
        <f>[1]Sheet2!U333</f>
        <v>0</v>
      </c>
      <c r="AU334" s="14">
        <f>[1]Sheet2!V333</f>
        <v>0</v>
      </c>
      <c r="AV334" s="14">
        <f>[1]Sheet2!W333</f>
        <v>0</v>
      </c>
      <c r="AW334" s="14">
        <f>[1]Sheet2!X333</f>
        <v>0</v>
      </c>
      <c r="AX334" s="14">
        <f>[1]Sheet2!Y333</f>
        <v>0</v>
      </c>
      <c r="AY334" s="16">
        <f>Demand_LP!B$13/30</f>
        <v>849.16414262820524</v>
      </c>
      <c r="AZ334" s="16">
        <f>Demand_LP!C$13/30</f>
        <v>632.84239316239314</v>
      </c>
      <c r="BA334" s="16">
        <f>Demand_LP!D$13/30</f>
        <v>269.64247863247863</v>
      </c>
      <c r="BB334" s="16">
        <f>Demand_LP!E$13/30</f>
        <v>815.03102564102551</v>
      </c>
      <c r="BC334" s="16">
        <f>Demand_LP!F$13/30</f>
        <v>536.05500267094021</v>
      </c>
      <c r="BD334" s="16">
        <f>Demand_LP!G$13/30</f>
        <v>849.16414262820524</v>
      </c>
      <c r="BE334" s="16">
        <f>Demand_LP!H$13/30</f>
        <v>632.84239316239314</v>
      </c>
      <c r="BF334" s="16">
        <f>Demand_LP!I$13/30</f>
        <v>536.05500267094021</v>
      </c>
      <c r="BG334" s="16">
        <f>Demand_LP!J$13/30</f>
        <v>536.05500267094021</v>
      </c>
      <c r="BH334" s="16">
        <f>Demand_LP!K$13/30</f>
        <v>536.05500267094021</v>
      </c>
      <c r="BI334" s="16" t="e">
        <f t="shared" si="163"/>
        <v>#VALUE!</v>
      </c>
      <c r="BJ334" s="16">
        <f t="shared" si="164"/>
        <v>-190092.24974358952</v>
      </c>
      <c r="BK334" s="16">
        <f t="shared" si="165"/>
        <v>-95480.82384615409</v>
      </c>
      <c r="BL334" s="16">
        <f t="shared" si="166"/>
        <v>-250586.30947094981</v>
      </c>
      <c r="BM334" s="16">
        <f t="shared" si="167"/>
        <v>-152548.77745182166</v>
      </c>
      <c r="BN334" s="16">
        <f t="shared" si="168"/>
        <v>-261712.02616723423</v>
      </c>
      <c r="BO334" s="16">
        <f t="shared" si="169"/>
        <v>-192449.8292307693</v>
      </c>
      <c r="BP334" s="16">
        <f t="shared" si="170"/>
        <v>-153660.46137019224</v>
      </c>
      <c r="BQ334" s="16">
        <f t="shared" si="171"/>
        <v>-150650.46137019235</v>
      </c>
      <c r="BR334" s="16">
        <f t="shared" si="172"/>
        <v>-151850.46137019226</v>
      </c>
      <c r="BS334" s="14">
        <f>IF([1]Sheet2!CA333=999999,"NA",[1]Sheet2!CA333)</f>
        <v>64628.538629807706</v>
      </c>
      <c r="BT334" s="14">
        <f>IF([1]Sheet2!CB333=999999,"NA",[1]Sheet2!CB333)</f>
        <v>0</v>
      </c>
      <c r="BU334" s="14">
        <f>IF([1]Sheet2!CC333=999999,"NA",[1]Sheet2!CC333)</f>
        <v>34</v>
      </c>
      <c r="BV334" s="14">
        <f>IF([1]Sheet2!CD333=999999,"NA",[1]Sheet2!CD333)</f>
        <v>34</v>
      </c>
      <c r="BW334" s="14">
        <f>IF([1]Sheet2!CE333=999999,"NA",[1]Sheet2!CE333)</f>
        <v>3</v>
      </c>
      <c r="BX334" s="14">
        <f>IF([1]Sheet2!CF333=999999,"NA",[1]Sheet2!CF333)</f>
        <v>34</v>
      </c>
      <c r="BY334" s="14">
        <f>IF([1]Sheet2!CG333=999999,"NA",[1]Sheet2!CG333)</f>
        <v>0</v>
      </c>
      <c r="BZ334" s="14">
        <f>IF([1]Sheet2!CH333=999999,"NA",[1]Sheet2!CH333)</f>
        <v>34</v>
      </c>
      <c r="CA334" s="14">
        <f>IF([1]Sheet2!CI333=999999,"NA",[1]Sheet2!CI333)</f>
        <v>34</v>
      </c>
      <c r="CB334" s="14">
        <f>IF([1]Sheet2!CJ333=999999,"NA",[1]Sheet2!CJ333)</f>
        <v>34</v>
      </c>
      <c r="CC334" s="14">
        <f>[1]Sheet2!BG333</f>
        <v>0</v>
      </c>
      <c r="CD334" s="14">
        <f>[1]Sheet2!BH333</f>
        <v>0</v>
      </c>
      <c r="CE334" s="14">
        <f>[1]Sheet2!BI333</f>
        <v>0</v>
      </c>
      <c r="CF334" s="14">
        <f>[1]Sheet2!BJ333</f>
        <v>0</v>
      </c>
      <c r="CG334" s="14">
        <f>[1]Sheet2!BK333</f>
        <v>0</v>
      </c>
      <c r="CH334" s="14">
        <f>[1]Sheet2!BL333</f>
        <v>0</v>
      </c>
      <c r="CI334" s="14">
        <f>[1]Sheet2!BM333</f>
        <v>0</v>
      </c>
      <c r="CJ334" s="14">
        <f>[1]Sheet2!BN333</f>
        <v>0</v>
      </c>
      <c r="CK334" s="14">
        <f>[1]Sheet2!BO333</f>
        <v>0</v>
      </c>
      <c r="CL334" s="14">
        <f>[1]Sheet2!BP333</f>
        <v>0</v>
      </c>
      <c r="CM334" s="16">
        <f>Demand_SW!B$13/30</f>
        <v>144.23076923076923</v>
      </c>
      <c r="CN334" s="16">
        <f>Demand_SW!C$13/30</f>
        <v>0</v>
      </c>
      <c r="CO334" s="16">
        <f>Demand_SW!D$13/30</f>
        <v>0</v>
      </c>
      <c r="CP334" s="16">
        <f>Demand_SW!E$13/30</f>
        <v>0</v>
      </c>
      <c r="CQ334" s="16">
        <f>Demand_SW!F$13/30</f>
        <v>0</v>
      </c>
      <c r="CR334" s="16">
        <f>Demand_SW!G$13/30</f>
        <v>144.23076923076923</v>
      </c>
      <c r="CS334" s="16">
        <f>Demand_SW!H$13/30</f>
        <v>0</v>
      </c>
      <c r="CT334" s="16">
        <f>Demand_SW!I$13/30</f>
        <v>0</v>
      </c>
      <c r="CU334" s="16">
        <f>Demand_SW!J$13/30</f>
        <v>0</v>
      </c>
      <c r="CV334" s="16">
        <f>Demand_SW!K$13/30</f>
        <v>0</v>
      </c>
      <c r="CW334" s="16">
        <f t="shared" si="173"/>
        <v>55731.153846153858</v>
      </c>
      <c r="CX334" s="16">
        <f t="shared" si="174"/>
        <v>20683.923076923078</v>
      </c>
      <c r="CY334" s="16">
        <f t="shared" si="175"/>
        <v>0</v>
      </c>
      <c r="CZ334" s="16">
        <f t="shared" si="176"/>
        <v>0</v>
      </c>
      <c r="DA334" s="16">
        <f t="shared" si="177"/>
        <v>0</v>
      </c>
      <c r="DB334" s="16">
        <f t="shared" si="178"/>
        <v>-43798.076923076878</v>
      </c>
      <c r="DC334" s="16">
        <f t="shared" si="179"/>
        <v>20683.923076923078</v>
      </c>
      <c r="DD334" s="16">
        <f t="shared" si="180"/>
        <v>0</v>
      </c>
      <c r="DE334" s="16">
        <f t="shared" si="181"/>
        <v>0</v>
      </c>
      <c r="DF334" s="16">
        <f t="shared" si="182"/>
        <v>0</v>
      </c>
      <c r="DG334" s="14">
        <f>IF([1]Sheet2!DR333=999999,"NA",[1]Sheet2!DR333)</f>
        <v>73103</v>
      </c>
      <c r="DH334" s="14">
        <f>IF([1]Sheet2!DS333=999999,"NA",[1]Sheet2!DS333)</f>
        <v>34</v>
      </c>
      <c r="DI334" s="14">
        <f>IF([1]Sheet2!DT333=999999,"NA",[1]Sheet2!DT333)</f>
        <v>34</v>
      </c>
      <c r="DJ334" s="14" t="str">
        <f>IF([1]Sheet2!DU333=999999,"NA",[1]Sheet2!DU333)</f>
        <v>NA</v>
      </c>
      <c r="DK334" s="14" t="str">
        <f>IF([1]Sheet2!DV333=999999,"NA",[1]Sheet2!DV333)</f>
        <v>NA</v>
      </c>
      <c r="DL334" s="14" t="str">
        <f>IF([1]Sheet2!DW333=999999,"NA",[1]Sheet2!DW333)</f>
        <v>NA</v>
      </c>
      <c r="DM334" s="14">
        <f>IF([1]Sheet2!DX333=999999,"NA",[1]Sheet2!DX333)</f>
        <v>34</v>
      </c>
      <c r="DN334" s="14">
        <f>IF([1]Sheet2!DY333=999999,"NA",[1]Sheet2!DY333)</f>
        <v>34</v>
      </c>
      <c r="DO334" s="14" t="str">
        <f>IF([1]Sheet2!DZ333=999999,"NA",[1]Sheet2!DZ333)</f>
        <v>NA</v>
      </c>
      <c r="DP334" s="14" t="str">
        <f>IF([1]Sheet2!EA333=999999,"NA",[1]Sheet2!EA333)</f>
        <v>NA</v>
      </c>
      <c r="DQ334" s="14">
        <f>[1]Sheet2!CX333</f>
        <v>0</v>
      </c>
      <c r="DR334" s="14">
        <f>[1]Sheet2!CY333</f>
        <v>0</v>
      </c>
      <c r="DS334" s="14">
        <f>[1]Sheet2!CZ333</f>
        <v>0</v>
      </c>
      <c r="DT334" s="14">
        <f>[1]Sheet2!DA333</f>
        <v>0</v>
      </c>
      <c r="DU334" s="14">
        <f>[1]Sheet2!DB333</f>
        <v>0</v>
      </c>
      <c r="DV334" s="14">
        <f>[1]Sheet2!DC333</f>
        <v>0</v>
      </c>
      <c r="DW334" s="14">
        <f>[1]Sheet2!DD333</f>
        <v>0</v>
      </c>
      <c r="DX334" s="14">
        <f>[1]Sheet2!DE333</f>
        <v>0</v>
      </c>
      <c r="DY334" s="14">
        <f>[1]Sheet2!DF333</f>
        <v>0</v>
      </c>
      <c r="DZ334" s="14">
        <f>[1]Sheet2!DG333</f>
        <v>0</v>
      </c>
    </row>
    <row r="335" spans="1:130" x14ac:dyDescent="0.25">
      <c r="A335" s="15">
        <v>43797</v>
      </c>
      <c r="B335" s="1"/>
      <c r="C335" s="1"/>
      <c r="D335" s="1"/>
      <c r="E335" s="14">
        <f>[1]Sheet2!N334</f>
        <v>0</v>
      </c>
      <c r="F335" s="14">
        <f>[1]Sheet2!BE334</f>
        <v>0</v>
      </c>
      <c r="G335" s="14">
        <f>[1]Sheet2!CV334</f>
        <v>288.46153846153851</v>
      </c>
      <c r="H335" s="1"/>
      <c r="I335" s="1"/>
      <c r="J335" s="1"/>
      <c r="K335" s="16">
        <f>Demand_CWRS!B$13/30</f>
        <v>111.92954594017094</v>
      </c>
      <c r="L335" s="16">
        <f>Demand_CWRS!C$13/30</f>
        <v>550.01145299145287</v>
      </c>
      <c r="M335" s="16">
        <f>Demand_CWRS!D$13/30</f>
        <v>0</v>
      </c>
      <c r="N335" s="16">
        <f>Demand_CWRS!E$13/30</f>
        <v>105.42606837606837</v>
      </c>
      <c r="O335" s="16">
        <f>Demand_CWRS!F$13/30</f>
        <v>220.33041399572647</v>
      </c>
      <c r="P335" s="16">
        <f>Demand_CWRS!G$13/30</f>
        <v>111.92954594017094</v>
      </c>
      <c r="Q335" s="16">
        <f>Demand_CWRS!H$13/30</f>
        <v>550.01145299145287</v>
      </c>
      <c r="R335" s="16">
        <f>Demand_CWRS!I$13/30</f>
        <v>220.33041399572647</v>
      </c>
      <c r="S335" s="16">
        <f>Demand_CWRS!J$13/30</f>
        <v>220.33041399572647</v>
      </c>
      <c r="T335" s="16">
        <f>Demand_CWRS!K$13/30</f>
        <v>220.33041399572647</v>
      </c>
      <c r="U335" s="16">
        <f t="shared" si="153"/>
        <v>-42622.641868592989</v>
      </c>
      <c r="V335" s="16">
        <f t="shared" si="154"/>
        <v>-159286.07196581157</v>
      </c>
      <c r="W335" s="16">
        <f t="shared" si="155"/>
        <v>0</v>
      </c>
      <c r="X335" s="16">
        <f t="shared" si="156"/>
        <v>-36407.360310505101</v>
      </c>
      <c r="Y335" s="16">
        <f t="shared" si="157"/>
        <v>-71885.567029238562</v>
      </c>
      <c r="Z335" s="16">
        <f t="shared" si="158"/>
        <v>-42225.709344554583</v>
      </c>
      <c r="AA335" s="16">
        <f t="shared" si="159"/>
        <v>-158786.07196581157</v>
      </c>
      <c r="AB335" s="16">
        <f t="shared" si="160"/>
        <v>-69401.721548469213</v>
      </c>
      <c r="AC335" s="16">
        <f t="shared" si="161"/>
        <v>-69401.721548469199</v>
      </c>
      <c r="AD335" s="16">
        <f t="shared" si="162"/>
        <v>-70101.721548469213</v>
      </c>
      <c r="AE335" s="14">
        <f>IF([1]Sheet2!AJ334=999999,"NA",[1]Sheet2!AJ334)</f>
        <v>0</v>
      </c>
      <c r="AF335" s="14">
        <f>IF([1]Sheet2!AK334=999999,"NA",[1]Sheet2!AK334)</f>
        <v>0</v>
      </c>
      <c r="AG335" s="14" t="str">
        <f>IF([1]Sheet2!AL334=999999,"NA",[1]Sheet2!AL334)</f>
        <v>NA</v>
      </c>
      <c r="AH335" s="14">
        <f>IF([1]Sheet2!AM334=999999,"NA",[1]Sheet2!AM334)</f>
        <v>33</v>
      </c>
      <c r="AI335" s="14">
        <f>IF([1]Sheet2!AN334=999999,"NA",[1]Sheet2!AN334)</f>
        <v>33</v>
      </c>
      <c r="AJ335" s="14">
        <f>IF([1]Sheet2!AO334=999999,"NA",[1]Sheet2!AO334)</f>
        <v>33</v>
      </c>
      <c r="AK335" s="14">
        <f>IF([1]Sheet2!AP334=999999,"NA",[1]Sheet2!AP334)</f>
        <v>0</v>
      </c>
      <c r="AL335" s="14">
        <f>IF([1]Sheet2!AQ334=999999,"NA",[1]Sheet2!AQ334)</f>
        <v>0</v>
      </c>
      <c r="AM335" s="14">
        <f>IF([1]Sheet2!AR334=999999,"NA",[1]Sheet2!AR334)</f>
        <v>33</v>
      </c>
      <c r="AN335" s="14">
        <f>IF([1]Sheet2!AS334=999999,"NA",[1]Sheet2!AS334)</f>
        <v>0</v>
      </c>
      <c r="AO335" s="14">
        <f>[1]Sheet2!P334</f>
        <v>0</v>
      </c>
      <c r="AP335" s="14">
        <f>[1]Sheet2!Q334</f>
        <v>0</v>
      </c>
      <c r="AQ335" s="14">
        <f>[1]Sheet2!R334</f>
        <v>0</v>
      </c>
      <c r="AR335" s="14">
        <f>[1]Sheet2!S334</f>
        <v>0</v>
      </c>
      <c r="AS335" s="14">
        <f>[1]Sheet2!T334</f>
        <v>0</v>
      </c>
      <c r="AT335" s="14">
        <f>[1]Sheet2!U334</f>
        <v>0</v>
      </c>
      <c r="AU335" s="14">
        <f>[1]Sheet2!V334</f>
        <v>0</v>
      </c>
      <c r="AV335" s="14">
        <f>[1]Sheet2!W334</f>
        <v>0</v>
      </c>
      <c r="AW335" s="14">
        <f>[1]Sheet2!X334</f>
        <v>0</v>
      </c>
      <c r="AX335" s="14">
        <f>[1]Sheet2!Y334</f>
        <v>0</v>
      </c>
      <c r="AY335" s="16">
        <f>Demand_LP!B$13/30</f>
        <v>849.16414262820524</v>
      </c>
      <c r="AZ335" s="16">
        <f>Demand_LP!C$13/30</f>
        <v>632.84239316239314</v>
      </c>
      <c r="BA335" s="16">
        <f>Demand_LP!D$13/30</f>
        <v>269.64247863247863</v>
      </c>
      <c r="BB335" s="16">
        <f>Demand_LP!E$13/30</f>
        <v>815.03102564102551</v>
      </c>
      <c r="BC335" s="16">
        <f>Demand_LP!F$13/30</f>
        <v>536.05500267094021</v>
      </c>
      <c r="BD335" s="16">
        <f>Demand_LP!G$13/30</f>
        <v>849.16414262820524</v>
      </c>
      <c r="BE335" s="16">
        <f>Demand_LP!H$13/30</f>
        <v>632.84239316239314</v>
      </c>
      <c r="BF335" s="16">
        <f>Demand_LP!I$13/30</f>
        <v>536.05500267094021</v>
      </c>
      <c r="BG335" s="16">
        <f>Demand_LP!J$13/30</f>
        <v>536.05500267094021</v>
      </c>
      <c r="BH335" s="16">
        <f>Demand_LP!K$13/30</f>
        <v>536.05500267094021</v>
      </c>
      <c r="BI335" s="16" t="e">
        <f t="shared" si="163"/>
        <v>#VALUE!</v>
      </c>
      <c r="BJ335" s="16">
        <f t="shared" si="164"/>
        <v>-190725.09213675192</v>
      </c>
      <c r="BK335" s="16">
        <f t="shared" si="165"/>
        <v>-95750.466324786568</v>
      </c>
      <c r="BL335" s="16">
        <f t="shared" si="166"/>
        <v>-251401.34049659083</v>
      </c>
      <c r="BM335" s="16">
        <f t="shared" si="167"/>
        <v>-153084.8324544926</v>
      </c>
      <c r="BN335" s="16">
        <f t="shared" si="168"/>
        <v>-262561.19030986243</v>
      </c>
      <c r="BO335" s="16">
        <f t="shared" si="169"/>
        <v>-193082.6716239317</v>
      </c>
      <c r="BP335" s="16">
        <f t="shared" si="170"/>
        <v>-154196.51637286317</v>
      </c>
      <c r="BQ335" s="16">
        <f t="shared" si="171"/>
        <v>-151186.51637286329</v>
      </c>
      <c r="BR335" s="16">
        <f t="shared" si="172"/>
        <v>-152386.5163728632</v>
      </c>
      <c r="BS335" s="14">
        <f>IF([1]Sheet2!CA334=999999,"NA",[1]Sheet2!CA334)</f>
        <v>64092.483627136768</v>
      </c>
      <c r="BT335" s="14">
        <f>IF([1]Sheet2!CB334=999999,"NA",[1]Sheet2!CB334)</f>
        <v>0</v>
      </c>
      <c r="BU335" s="14">
        <f>IF([1]Sheet2!CC334=999999,"NA",[1]Sheet2!CC334)</f>
        <v>33</v>
      </c>
      <c r="BV335" s="14">
        <f>IF([1]Sheet2!CD334=999999,"NA",[1]Sheet2!CD334)</f>
        <v>33</v>
      </c>
      <c r="BW335" s="14">
        <f>IF([1]Sheet2!CE334=999999,"NA",[1]Sheet2!CE334)</f>
        <v>2</v>
      </c>
      <c r="BX335" s="14">
        <f>IF([1]Sheet2!CF334=999999,"NA",[1]Sheet2!CF334)</f>
        <v>33</v>
      </c>
      <c r="BY335" s="14">
        <f>IF([1]Sheet2!CG334=999999,"NA",[1]Sheet2!CG334)</f>
        <v>0</v>
      </c>
      <c r="BZ335" s="14">
        <f>IF([1]Sheet2!CH334=999999,"NA",[1]Sheet2!CH334)</f>
        <v>33</v>
      </c>
      <c r="CA335" s="14">
        <f>IF([1]Sheet2!CI334=999999,"NA",[1]Sheet2!CI334)</f>
        <v>33</v>
      </c>
      <c r="CB335" s="14">
        <f>IF([1]Sheet2!CJ334=999999,"NA",[1]Sheet2!CJ334)</f>
        <v>33</v>
      </c>
      <c r="CC335" s="14">
        <f>[1]Sheet2!BG334</f>
        <v>0</v>
      </c>
      <c r="CD335" s="14">
        <f>[1]Sheet2!BH334</f>
        <v>0</v>
      </c>
      <c r="CE335" s="14">
        <f>[1]Sheet2!BI334</f>
        <v>0</v>
      </c>
      <c r="CF335" s="14">
        <f>[1]Sheet2!BJ334</f>
        <v>0</v>
      </c>
      <c r="CG335" s="14">
        <f>[1]Sheet2!BK334</f>
        <v>0</v>
      </c>
      <c r="CH335" s="14">
        <f>[1]Sheet2!BL334</f>
        <v>0</v>
      </c>
      <c r="CI335" s="14">
        <f>[1]Sheet2!BM334</f>
        <v>0</v>
      </c>
      <c r="CJ335" s="14">
        <f>[1]Sheet2!BN334</f>
        <v>0</v>
      </c>
      <c r="CK335" s="14">
        <f>[1]Sheet2!BO334</f>
        <v>0</v>
      </c>
      <c r="CL335" s="14">
        <f>[1]Sheet2!BP334</f>
        <v>0</v>
      </c>
      <c r="CM335" s="16">
        <f>Demand_SW!B$13/30</f>
        <v>144.23076923076923</v>
      </c>
      <c r="CN335" s="16">
        <f>Demand_SW!C$13/30</f>
        <v>0</v>
      </c>
      <c r="CO335" s="16">
        <f>Demand_SW!D$13/30</f>
        <v>0</v>
      </c>
      <c r="CP335" s="16">
        <f>Demand_SW!E$13/30</f>
        <v>0</v>
      </c>
      <c r="CQ335" s="16">
        <f>Demand_SW!F$13/30</f>
        <v>0</v>
      </c>
      <c r="CR335" s="16">
        <f>Demand_SW!G$13/30</f>
        <v>144.23076923076923</v>
      </c>
      <c r="CS335" s="16">
        <f>Demand_SW!H$13/30</f>
        <v>0</v>
      </c>
      <c r="CT335" s="16">
        <f>Demand_SW!I$13/30</f>
        <v>0</v>
      </c>
      <c r="CU335" s="16">
        <f>Demand_SW!J$13/30</f>
        <v>0</v>
      </c>
      <c r="CV335" s="16">
        <f>Demand_SW!K$13/30</f>
        <v>0</v>
      </c>
      <c r="CW335" s="16">
        <f t="shared" si="173"/>
        <v>55586.923076923093</v>
      </c>
      <c r="CX335" s="16">
        <f t="shared" si="174"/>
        <v>20683.923076923078</v>
      </c>
      <c r="CY335" s="16">
        <f t="shared" si="175"/>
        <v>0</v>
      </c>
      <c r="CZ335" s="16">
        <f t="shared" si="176"/>
        <v>0</v>
      </c>
      <c r="DA335" s="16">
        <f t="shared" si="177"/>
        <v>0</v>
      </c>
      <c r="DB335" s="16">
        <f t="shared" si="178"/>
        <v>-43942.307692307644</v>
      </c>
      <c r="DC335" s="16">
        <f t="shared" si="179"/>
        <v>20683.923076923078</v>
      </c>
      <c r="DD335" s="16">
        <f t="shared" si="180"/>
        <v>0</v>
      </c>
      <c r="DE335" s="16">
        <f t="shared" si="181"/>
        <v>0</v>
      </c>
      <c r="DF335" s="16">
        <f t="shared" si="182"/>
        <v>0</v>
      </c>
      <c r="DG335" s="14">
        <f>IF([1]Sheet2!DR334=999999,"NA",[1]Sheet2!DR334)</f>
        <v>73103</v>
      </c>
      <c r="DH335" s="14">
        <f>IF([1]Sheet2!DS334=999999,"NA",[1]Sheet2!DS334)</f>
        <v>33</v>
      </c>
      <c r="DI335" s="14">
        <f>IF([1]Sheet2!DT334=999999,"NA",[1]Sheet2!DT334)</f>
        <v>33</v>
      </c>
      <c r="DJ335" s="14" t="str">
        <f>IF([1]Sheet2!DU334=999999,"NA",[1]Sheet2!DU334)</f>
        <v>NA</v>
      </c>
      <c r="DK335" s="14" t="str">
        <f>IF([1]Sheet2!DV334=999999,"NA",[1]Sheet2!DV334)</f>
        <v>NA</v>
      </c>
      <c r="DL335" s="14" t="str">
        <f>IF([1]Sheet2!DW334=999999,"NA",[1]Sheet2!DW334)</f>
        <v>NA</v>
      </c>
      <c r="DM335" s="14">
        <f>IF([1]Sheet2!DX334=999999,"NA",[1]Sheet2!DX334)</f>
        <v>33</v>
      </c>
      <c r="DN335" s="14">
        <f>IF([1]Sheet2!DY334=999999,"NA",[1]Sheet2!DY334)</f>
        <v>33</v>
      </c>
      <c r="DO335" s="14" t="str">
        <f>IF([1]Sheet2!DZ334=999999,"NA",[1]Sheet2!DZ334)</f>
        <v>NA</v>
      </c>
      <c r="DP335" s="14" t="str">
        <f>IF([1]Sheet2!EA334=999999,"NA",[1]Sheet2!EA334)</f>
        <v>NA</v>
      </c>
      <c r="DQ335" s="14">
        <f>[1]Sheet2!CX334</f>
        <v>0</v>
      </c>
      <c r="DR335" s="14">
        <f>[1]Sheet2!CY334</f>
        <v>0</v>
      </c>
      <c r="DS335" s="14">
        <f>[1]Sheet2!CZ334</f>
        <v>0</v>
      </c>
      <c r="DT335" s="14">
        <f>[1]Sheet2!DA334</f>
        <v>0</v>
      </c>
      <c r="DU335" s="14">
        <f>[1]Sheet2!DB334</f>
        <v>0</v>
      </c>
      <c r="DV335" s="14">
        <f>[1]Sheet2!DC334</f>
        <v>0</v>
      </c>
      <c r="DW335" s="14">
        <f>[1]Sheet2!DD334</f>
        <v>0</v>
      </c>
      <c r="DX335" s="14">
        <f>[1]Sheet2!DE334</f>
        <v>0</v>
      </c>
      <c r="DY335" s="14">
        <f>[1]Sheet2!DF334</f>
        <v>0</v>
      </c>
      <c r="DZ335" s="14">
        <f>[1]Sheet2!DG334</f>
        <v>0</v>
      </c>
    </row>
    <row r="336" spans="1:130" x14ac:dyDescent="0.25">
      <c r="A336" s="15">
        <v>43798</v>
      </c>
      <c r="B336" s="1"/>
      <c r="C336" s="1"/>
      <c r="D336" s="1"/>
      <c r="E336" s="14">
        <f>[1]Sheet2!N335</f>
        <v>0</v>
      </c>
      <c r="F336" s="14">
        <f>[1]Sheet2!BE335</f>
        <v>0</v>
      </c>
      <c r="G336" s="14">
        <f>[1]Sheet2!CV335</f>
        <v>288.46153846153851</v>
      </c>
      <c r="H336" s="1"/>
      <c r="I336" s="1"/>
      <c r="J336" s="1"/>
      <c r="K336" s="16">
        <f>Demand_CWRS!B$13/30</f>
        <v>111.92954594017094</v>
      </c>
      <c r="L336" s="16">
        <f>Demand_CWRS!C$13/30</f>
        <v>550.01145299145287</v>
      </c>
      <c r="M336" s="16">
        <f>Demand_CWRS!D$13/30</f>
        <v>0</v>
      </c>
      <c r="N336" s="16">
        <f>Demand_CWRS!E$13/30</f>
        <v>105.42606837606837</v>
      </c>
      <c r="O336" s="16">
        <f>Demand_CWRS!F$13/30</f>
        <v>220.33041399572647</v>
      </c>
      <c r="P336" s="16">
        <f>Demand_CWRS!G$13/30</f>
        <v>111.92954594017094</v>
      </c>
      <c r="Q336" s="16">
        <f>Demand_CWRS!H$13/30</f>
        <v>550.01145299145287</v>
      </c>
      <c r="R336" s="16">
        <f>Demand_CWRS!I$13/30</f>
        <v>220.33041399572647</v>
      </c>
      <c r="S336" s="16">
        <f>Demand_CWRS!J$13/30</f>
        <v>220.33041399572647</v>
      </c>
      <c r="T336" s="16">
        <f>Demand_CWRS!K$13/30</f>
        <v>220.33041399572647</v>
      </c>
      <c r="U336" s="16">
        <f t="shared" si="153"/>
        <v>-42734.571414533159</v>
      </c>
      <c r="V336" s="16">
        <f t="shared" si="154"/>
        <v>-159836.08341880303</v>
      </c>
      <c r="W336" s="16">
        <f t="shared" si="155"/>
        <v>0</v>
      </c>
      <c r="X336" s="16">
        <f t="shared" si="156"/>
        <v>-36512.786378881166</v>
      </c>
      <c r="Y336" s="16">
        <f t="shared" si="157"/>
        <v>-72105.897443234295</v>
      </c>
      <c r="Z336" s="16">
        <f t="shared" si="158"/>
        <v>-42337.638890494753</v>
      </c>
      <c r="AA336" s="16">
        <f t="shared" si="159"/>
        <v>-159336.08341880303</v>
      </c>
      <c r="AB336" s="16">
        <f t="shared" si="160"/>
        <v>-69622.051962464946</v>
      </c>
      <c r="AC336" s="16">
        <f t="shared" si="161"/>
        <v>-69622.051962464931</v>
      </c>
      <c r="AD336" s="16">
        <f t="shared" si="162"/>
        <v>-70322.051962464946</v>
      </c>
      <c r="AE336" s="14">
        <f>IF([1]Sheet2!AJ335=999999,"NA",[1]Sheet2!AJ335)</f>
        <v>0</v>
      </c>
      <c r="AF336" s="14">
        <f>IF([1]Sheet2!AK335=999999,"NA",[1]Sheet2!AK335)</f>
        <v>0</v>
      </c>
      <c r="AG336" s="14" t="str">
        <f>IF([1]Sheet2!AL335=999999,"NA",[1]Sheet2!AL335)</f>
        <v>NA</v>
      </c>
      <c r="AH336" s="14">
        <f>IF([1]Sheet2!AM335=999999,"NA",[1]Sheet2!AM335)</f>
        <v>32</v>
      </c>
      <c r="AI336" s="14">
        <f>IF([1]Sheet2!AN335=999999,"NA",[1]Sheet2!AN335)</f>
        <v>32</v>
      </c>
      <c r="AJ336" s="14">
        <f>IF([1]Sheet2!AO335=999999,"NA",[1]Sheet2!AO335)</f>
        <v>32</v>
      </c>
      <c r="AK336" s="14">
        <f>IF([1]Sheet2!AP335=999999,"NA",[1]Sheet2!AP335)</f>
        <v>0</v>
      </c>
      <c r="AL336" s="14">
        <f>IF([1]Sheet2!AQ335=999999,"NA",[1]Sheet2!AQ335)</f>
        <v>0</v>
      </c>
      <c r="AM336" s="14">
        <f>IF([1]Sheet2!AR335=999999,"NA",[1]Sheet2!AR335)</f>
        <v>32</v>
      </c>
      <c r="AN336" s="14">
        <f>IF([1]Sheet2!AS335=999999,"NA",[1]Sheet2!AS335)</f>
        <v>0</v>
      </c>
      <c r="AO336" s="14">
        <f>[1]Sheet2!P335</f>
        <v>0</v>
      </c>
      <c r="AP336" s="14">
        <f>[1]Sheet2!Q335</f>
        <v>0</v>
      </c>
      <c r="AQ336" s="14">
        <f>[1]Sheet2!R335</f>
        <v>0</v>
      </c>
      <c r="AR336" s="14">
        <f>[1]Sheet2!S335</f>
        <v>0</v>
      </c>
      <c r="AS336" s="14">
        <f>[1]Sheet2!T335</f>
        <v>0</v>
      </c>
      <c r="AT336" s="14">
        <f>[1]Sheet2!U335</f>
        <v>0</v>
      </c>
      <c r="AU336" s="14">
        <f>[1]Sheet2!V335</f>
        <v>0</v>
      </c>
      <c r="AV336" s="14">
        <f>[1]Sheet2!W335</f>
        <v>0</v>
      </c>
      <c r="AW336" s="14">
        <f>[1]Sheet2!X335</f>
        <v>0</v>
      </c>
      <c r="AX336" s="14">
        <f>[1]Sheet2!Y335</f>
        <v>0</v>
      </c>
      <c r="AY336" s="16">
        <f>Demand_LP!B$13/30</f>
        <v>849.16414262820524</v>
      </c>
      <c r="AZ336" s="16">
        <f>Demand_LP!C$13/30</f>
        <v>632.84239316239314</v>
      </c>
      <c r="BA336" s="16">
        <f>Demand_LP!D$13/30</f>
        <v>269.64247863247863</v>
      </c>
      <c r="BB336" s="16">
        <f>Demand_LP!E$13/30</f>
        <v>815.03102564102551</v>
      </c>
      <c r="BC336" s="16">
        <f>Demand_LP!F$13/30</f>
        <v>536.05500267094021</v>
      </c>
      <c r="BD336" s="16">
        <f>Demand_LP!G$13/30</f>
        <v>849.16414262820524</v>
      </c>
      <c r="BE336" s="16">
        <f>Demand_LP!H$13/30</f>
        <v>632.84239316239314</v>
      </c>
      <c r="BF336" s="16">
        <f>Demand_LP!I$13/30</f>
        <v>536.05500267094021</v>
      </c>
      <c r="BG336" s="16">
        <f>Demand_LP!J$13/30</f>
        <v>536.05500267094021</v>
      </c>
      <c r="BH336" s="16">
        <f>Demand_LP!K$13/30</f>
        <v>536.05500267094021</v>
      </c>
      <c r="BI336" s="16" t="e">
        <f t="shared" si="163"/>
        <v>#VALUE!</v>
      </c>
      <c r="BJ336" s="16">
        <f t="shared" si="164"/>
        <v>-191357.93452991432</v>
      </c>
      <c r="BK336" s="16">
        <f t="shared" si="165"/>
        <v>-96020.108803419047</v>
      </c>
      <c r="BL336" s="16">
        <f t="shared" si="166"/>
        <v>-252216.37152223184</v>
      </c>
      <c r="BM336" s="16">
        <f t="shared" si="167"/>
        <v>-153620.88745716354</v>
      </c>
      <c r="BN336" s="16">
        <f t="shared" si="168"/>
        <v>-263410.35445249063</v>
      </c>
      <c r="BO336" s="16">
        <f t="shared" si="169"/>
        <v>-193715.5140170941</v>
      </c>
      <c r="BP336" s="16">
        <f t="shared" si="170"/>
        <v>-154732.57137553411</v>
      </c>
      <c r="BQ336" s="16">
        <f t="shared" si="171"/>
        <v>-151722.57137553423</v>
      </c>
      <c r="BR336" s="16">
        <f t="shared" si="172"/>
        <v>-152922.57137553414</v>
      </c>
      <c r="BS336" s="14">
        <f>IF([1]Sheet2!CA335=999999,"NA",[1]Sheet2!CA335)</f>
        <v>63556.428624465829</v>
      </c>
      <c r="BT336" s="14">
        <f>IF([1]Sheet2!CB335=999999,"NA",[1]Sheet2!CB335)</f>
        <v>0</v>
      </c>
      <c r="BU336" s="14">
        <f>IF([1]Sheet2!CC335=999999,"NA",[1]Sheet2!CC335)</f>
        <v>32</v>
      </c>
      <c r="BV336" s="14">
        <f>IF([1]Sheet2!CD335=999999,"NA",[1]Sheet2!CD335)</f>
        <v>32</v>
      </c>
      <c r="BW336" s="14">
        <f>IF([1]Sheet2!CE335=999999,"NA",[1]Sheet2!CE335)</f>
        <v>1</v>
      </c>
      <c r="BX336" s="14">
        <f>IF([1]Sheet2!CF335=999999,"NA",[1]Sheet2!CF335)</f>
        <v>32</v>
      </c>
      <c r="BY336" s="14">
        <f>IF([1]Sheet2!CG335=999999,"NA",[1]Sheet2!CG335)</f>
        <v>0</v>
      </c>
      <c r="BZ336" s="14">
        <f>IF([1]Sheet2!CH335=999999,"NA",[1]Sheet2!CH335)</f>
        <v>32</v>
      </c>
      <c r="CA336" s="14">
        <f>IF([1]Sheet2!CI335=999999,"NA",[1]Sheet2!CI335)</f>
        <v>32</v>
      </c>
      <c r="CB336" s="14">
        <f>IF([1]Sheet2!CJ335=999999,"NA",[1]Sheet2!CJ335)</f>
        <v>32</v>
      </c>
      <c r="CC336" s="14">
        <f>[1]Sheet2!BG335</f>
        <v>0</v>
      </c>
      <c r="CD336" s="14">
        <f>[1]Sheet2!BH335</f>
        <v>0</v>
      </c>
      <c r="CE336" s="14">
        <f>[1]Sheet2!BI335</f>
        <v>0</v>
      </c>
      <c r="CF336" s="14">
        <f>[1]Sheet2!BJ335</f>
        <v>0</v>
      </c>
      <c r="CG336" s="14">
        <f>[1]Sheet2!BK335</f>
        <v>0</v>
      </c>
      <c r="CH336" s="14">
        <f>[1]Sheet2!BL335</f>
        <v>0</v>
      </c>
      <c r="CI336" s="14">
        <f>[1]Sheet2!BM335</f>
        <v>0</v>
      </c>
      <c r="CJ336" s="14">
        <f>[1]Sheet2!BN335</f>
        <v>0</v>
      </c>
      <c r="CK336" s="14">
        <f>[1]Sheet2!BO335</f>
        <v>0</v>
      </c>
      <c r="CL336" s="14">
        <f>[1]Sheet2!BP335</f>
        <v>0</v>
      </c>
      <c r="CM336" s="16">
        <f>Demand_SW!B$13/30</f>
        <v>144.23076923076923</v>
      </c>
      <c r="CN336" s="16">
        <f>Demand_SW!C$13/30</f>
        <v>0</v>
      </c>
      <c r="CO336" s="16">
        <f>Demand_SW!D$13/30</f>
        <v>0</v>
      </c>
      <c r="CP336" s="16">
        <f>Demand_SW!E$13/30</f>
        <v>0</v>
      </c>
      <c r="CQ336" s="16">
        <f>Demand_SW!F$13/30</f>
        <v>0</v>
      </c>
      <c r="CR336" s="16">
        <f>Demand_SW!G$13/30</f>
        <v>144.23076923076923</v>
      </c>
      <c r="CS336" s="16">
        <f>Demand_SW!H$13/30</f>
        <v>0</v>
      </c>
      <c r="CT336" s="16">
        <f>Demand_SW!I$13/30</f>
        <v>0</v>
      </c>
      <c r="CU336" s="16">
        <f>Demand_SW!J$13/30</f>
        <v>0</v>
      </c>
      <c r="CV336" s="16">
        <f>Demand_SW!K$13/30</f>
        <v>0</v>
      </c>
      <c r="CW336" s="16">
        <f t="shared" si="173"/>
        <v>55442.692307692327</v>
      </c>
      <c r="CX336" s="16">
        <f t="shared" si="174"/>
        <v>20683.923076923078</v>
      </c>
      <c r="CY336" s="16">
        <f t="shared" si="175"/>
        <v>0</v>
      </c>
      <c r="CZ336" s="16">
        <f t="shared" si="176"/>
        <v>0</v>
      </c>
      <c r="DA336" s="16">
        <f t="shared" si="177"/>
        <v>0</v>
      </c>
      <c r="DB336" s="16">
        <f t="shared" si="178"/>
        <v>-44086.53846153841</v>
      </c>
      <c r="DC336" s="16">
        <f t="shared" si="179"/>
        <v>20683.923076923078</v>
      </c>
      <c r="DD336" s="16">
        <f t="shared" si="180"/>
        <v>0</v>
      </c>
      <c r="DE336" s="16">
        <f t="shared" si="181"/>
        <v>0</v>
      </c>
      <c r="DF336" s="16">
        <f t="shared" si="182"/>
        <v>0</v>
      </c>
      <c r="DG336" s="14">
        <f>IF([1]Sheet2!DR335=999999,"NA",[1]Sheet2!DR335)</f>
        <v>73103</v>
      </c>
      <c r="DH336" s="14">
        <f>IF([1]Sheet2!DS335=999999,"NA",[1]Sheet2!DS335)</f>
        <v>32</v>
      </c>
      <c r="DI336" s="14">
        <f>IF([1]Sheet2!DT335=999999,"NA",[1]Sheet2!DT335)</f>
        <v>32</v>
      </c>
      <c r="DJ336" s="14" t="str">
        <f>IF([1]Sheet2!DU335=999999,"NA",[1]Sheet2!DU335)</f>
        <v>NA</v>
      </c>
      <c r="DK336" s="14" t="str">
        <f>IF([1]Sheet2!DV335=999999,"NA",[1]Sheet2!DV335)</f>
        <v>NA</v>
      </c>
      <c r="DL336" s="14" t="str">
        <f>IF([1]Sheet2!DW335=999999,"NA",[1]Sheet2!DW335)</f>
        <v>NA</v>
      </c>
      <c r="DM336" s="14">
        <f>IF([1]Sheet2!DX335=999999,"NA",[1]Sheet2!DX335)</f>
        <v>32</v>
      </c>
      <c r="DN336" s="14">
        <f>IF([1]Sheet2!DY335=999999,"NA",[1]Sheet2!DY335)</f>
        <v>32</v>
      </c>
      <c r="DO336" s="14" t="str">
        <f>IF([1]Sheet2!DZ335=999999,"NA",[1]Sheet2!DZ335)</f>
        <v>NA</v>
      </c>
      <c r="DP336" s="14" t="str">
        <f>IF([1]Sheet2!EA335=999999,"NA",[1]Sheet2!EA335)</f>
        <v>NA</v>
      </c>
      <c r="DQ336" s="14">
        <f>[1]Sheet2!CX335</f>
        <v>0</v>
      </c>
      <c r="DR336" s="14">
        <f>[1]Sheet2!CY335</f>
        <v>0</v>
      </c>
      <c r="DS336" s="14">
        <f>[1]Sheet2!CZ335</f>
        <v>0</v>
      </c>
      <c r="DT336" s="14">
        <f>[1]Sheet2!DA335</f>
        <v>0</v>
      </c>
      <c r="DU336" s="14">
        <f>[1]Sheet2!DB335</f>
        <v>0</v>
      </c>
      <c r="DV336" s="14">
        <f>[1]Sheet2!DC335</f>
        <v>0</v>
      </c>
      <c r="DW336" s="14">
        <f>[1]Sheet2!DD335</f>
        <v>0</v>
      </c>
      <c r="DX336" s="14">
        <f>[1]Sheet2!DE335</f>
        <v>0</v>
      </c>
      <c r="DY336" s="14">
        <f>[1]Sheet2!DF335</f>
        <v>0</v>
      </c>
      <c r="DZ336" s="14">
        <f>[1]Sheet2!DG335</f>
        <v>0</v>
      </c>
    </row>
    <row r="337" spans="1:130" x14ac:dyDescent="0.25">
      <c r="A337" s="15">
        <v>43799</v>
      </c>
      <c r="B337" s="1"/>
      <c r="C337" s="1"/>
      <c r="D337" s="1"/>
      <c r="E337" s="14">
        <f>[1]Sheet2!N336</f>
        <v>0</v>
      </c>
      <c r="F337" s="14">
        <f>[1]Sheet2!BE336</f>
        <v>48000</v>
      </c>
      <c r="G337" s="14">
        <f>[1]Sheet2!CV336</f>
        <v>288.46153846153851</v>
      </c>
      <c r="H337" s="1"/>
      <c r="I337" s="1"/>
      <c r="J337" s="1"/>
      <c r="K337" s="16">
        <f>Demand_CWRS!B$13/30</f>
        <v>111.92954594017094</v>
      </c>
      <c r="L337" s="16">
        <f>Demand_CWRS!C$13/30</f>
        <v>550.01145299145287</v>
      </c>
      <c r="M337" s="16">
        <f>Demand_CWRS!D$13/30</f>
        <v>0</v>
      </c>
      <c r="N337" s="16">
        <f>Demand_CWRS!E$13/30</f>
        <v>105.42606837606837</v>
      </c>
      <c r="O337" s="16">
        <f>Demand_CWRS!F$13/30</f>
        <v>220.33041399572647</v>
      </c>
      <c r="P337" s="16">
        <f>Demand_CWRS!G$13/30</f>
        <v>111.92954594017094</v>
      </c>
      <c r="Q337" s="16">
        <f>Demand_CWRS!H$13/30</f>
        <v>550.01145299145287</v>
      </c>
      <c r="R337" s="16">
        <f>Demand_CWRS!I$13/30</f>
        <v>220.33041399572647</v>
      </c>
      <c r="S337" s="16">
        <f>Demand_CWRS!J$13/30</f>
        <v>220.33041399572647</v>
      </c>
      <c r="T337" s="16">
        <f>Demand_CWRS!K$13/30</f>
        <v>220.33041399572647</v>
      </c>
      <c r="U337" s="16">
        <f t="shared" si="153"/>
        <v>-42846.500960473328</v>
      </c>
      <c r="V337" s="16">
        <f t="shared" si="154"/>
        <v>-160386.09487179448</v>
      </c>
      <c r="W337" s="16">
        <f t="shared" si="155"/>
        <v>0</v>
      </c>
      <c r="X337" s="16">
        <f t="shared" si="156"/>
        <v>-36618.212447257232</v>
      </c>
      <c r="Y337" s="16">
        <f t="shared" si="157"/>
        <v>-72326.227857230027</v>
      </c>
      <c r="Z337" s="16">
        <f t="shared" si="158"/>
        <v>-42449.568436434922</v>
      </c>
      <c r="AA337" s="16">
        <f t="shared" si="159"/>
        <v>-159886.09487179448</v>
      </c>
      <c r="AB337" s="16">
        <f t="shared" si="160"/>
        <v>-69842.382376460679</v>
      </c>
      <c r="AC337" s="16">
        <f t="shared" si="161"/>
        <v>-69842.382376460664</v>
      </c>
      <c r="AD337" s="16">
        <f t="shared" si="162"/>
        <v>-70542.382376460679</v>
      </c>
      <c r="AE337" s="14">
        <f>IF([1]Sheet2!AJ336=999999,"NA",[1]Sheet2!AJ336)</f>
        <v>0</v>
      </c>
      <c r="AF337" s="14">
        <f>IF([1]Sheet2!AK336=999999,"NA",[1]Sheet2!AK336)</f>
        <v>0</v>
      </c>
      <c r="AG337" s="14" t="str">
        <f>IF([1]Sheet2!AL336=999999,"NA",[1]Sheet2!AL336)</f>
        <v>NA</v>
      </c>
      <c r="AH337" s="14">
        <f>IF([1]Sheet2!AM336=999999,"NA",[1]Sheet2!AM336)</f>
        <v>31</v>
      </c>
      <c r="AI337" s="14">
        <f>IF([1]Sheet2!AN336=999999,"NA",[1]Sheet2!AN336)</f>
        <v>31</v>
      </c>
      <c r="AJ337" s="14">
        <f>IF([1]Sheet2!AO336=999999,"NA",[1]Sheet2!AO336)</f>
        <v>31</v>
      </c>
      <c r="AK337" s="14">
        <f>IF([1]Sheet2!AP336=999999,"NA",[1]Sheet2!AP336)</f>
        <v>0</v>
      </c>
      <c r="AL337" s="14">
        <f>IF([1]Sheet2!AQ336=999999,"NA",[1]Sheet2!AQ336)</f>
        <v>0</v>
      </c>
      <c r="AM337" s="14">
        <f>IF([1]Sheet2!AR336=999999,"NA",[1]Sheet2!AR336)</f>
        <v>31</v>
      </c>
      <c r="AN337" s="14">
        <f>IF([1]Sheet2!AS336=999999,"NA",[1]Sheet2!AS336)</f>
        <v>0</v>
      </c>
      <c r="AO337" s="14">
        <f>[1]Sheet2!P336</f>
        <v>0</v>
      </c>
      <c r="AP337" s="14">
        <f>[1]Sheet2!Q336</f>
        <v>0</v>
      </c>
      <c r="AQ337" s="14">
        <f>[1]Sheet2!R336</f>
        <v>0</v>
      </c>
      <c r="AR337" s="14">
        <f>[1]Sheet2!S336</f>
        <v>0</v>
      </c>
      <c r="AS337" s="14">
        <f>[1]Sheet2!T336</f>
        <v>0</v>
      </c>
      <c r="AT337" s="14">
        <f>[1]Sheet2!U336</f>
        <v>0</v>
      </c>
      <c r="AU337" s="14">
        <f>[1]Sheet2!V336</f>
        <v>0</v>
      </c>
      <c r="AV337" s="14">
        <f>[1]Sheet2!W336</f>
        <v>0</v>
      </c>
      <c r="AW337" s="14">
        <f>[1]Sheet2!X336</f>
        <v>0</v>
      </c>
      <c r="AX337" s="14">
        <f>[1]Sheet2!Y336</f>
        <v>0</v>
      </c>
      <c r="AY337" s="16">
        <f>Demand_LP!B$13/30</f>
        <v>849.16414262820524</v>
      </c>
      <c r="AZ337" s="16">
        <f>Demand_LP!C$13/30</f>
        <v>632.84239316239314</v>
      </c>
      <c r="BA337" s="16">
        <f>Demand_LP!D$13/30</f>
        <v>269.64247863247863</v>
      </c>
      <c r="BB337" s="16">
        <f>Demand_LP!E$13/30</f>
        <v>815.03102564102551</v>
      </c>
      <c r="BC337" s="16">
        <f>Demand_LP!F$13/30</f>
        <v>536.05500267094021</v>
      </c>
      <c r="BD337" s="16">
        <f>Demand_LP!G$13/30</f>
        <v>849.16414262820524</v>
      </c>
      <c r="BE337" s="16">
        <f>Demand_LP!H$13/30</f>
        <v>632.84239316239314</v>
      </c>
      <c r="BF337" s="16">
        <f>Demand_LP!I$13/30</f>
        <v>536.05500267094021</v>
      </c>
      <c r="BG337" s="16">
        <f>Demand_LP!J$13/30</f>
        <v>536.05500267094021</v>
      </c>
      <c r="BH337" s="16">
        <f>Demand_LP!K$13/30</f>
        <v>536.05500267094021</v>
      </c>
      <c r="BI337" s="16" t="e">
        <f t="shared" si="163"/>
        <v>#VALUE!</v>
      </c>
      <c r="BJ337" s="16">
        <f t="shared" si="164"/>
        <v>-191990.77692307672</v>
      </c>
      <c r="BK337" s="16">
        <f t="shared" si="165"/>
        <v>-96289.751282051526</v>
      </c>
      <c r="BL337" s="16">
        <f t="shared" si="166"/>
        <v>-253031.40254787286</v>
      </c>
      <c r="BM337" s="16">
        <f t="shared" si="167"/>
        <v>-154156.94245983448</v>
      </c>
      <c r="BN337" s="16">
        <f t="shared" si="168"/>
        <v>-264259.51859511883</v>
      </c>
      <c r="BO337" s="16">
        <f t="shared" si="169"/>
        <v>-194348.3564102565</v>
      </c>
      <c r="BP337" s="16">
        <f t="shared" si="170"/>
        <v>-155268.62637820505</v>
      </c>
      <c r="BQ337" s="16">
        <f t="shared" si="171"/>
        <v>-152258.62637820517</v>
      </c>
      <c r="BR337" s="16">
        <f t="shared" si="172"/>
        <v>-153458.62637820508</v>
      </c>
      <c r="BS337" s="14">
        <f>IF([1]Sheet2!CA336=999999,"NA",[1]Sheet2!CA336)</f>
        <v>63020.37362179489</v>
      </c>
      <c r="BT337" s="14">
        <f>IF([1]Sheet2!CB336=999999,"NA",[1]Sheet2!CB336)</f>
        <v>0</v>
      </c>
      <c r="BU337" s="14">
        <f>IF([1]Sheet2!CC336=999999,"NA",[1]Sheet2!CC336)</f>
        <v>31</v>
      </c>
      <c r="BV337" s="14">
        <f>IF([1]Sheet2!CD336=999999,"NA",[1]Sheet2!CD336)</f>
        <v>31</v>
      </c>
      <c r="BW337" s="14">
        <f>IF([1]Sheet2!CE336=999999,"NA",[1]Sheet2!CE336)</f>
        <v>0</v>
      </c>
      <c r="BX337" s="14">
        <f>IF([1]Sheet2!CF336=999999,"NA",[1]Sheet2!CF336)</f>
        <v>31</v>
      </c>
      <c r="BY337" s="14">
        <f>IF([1]Sheet2!CG336=999999,"NA",[1]Sheet2!CG336)</f>
        <v>0</v>
      </c>
      <c r="BZ337" s="14">
        <f>IF([1]Sheet2!CH336=999999,"NA",[1]Sheet2!CH336)</f>
        <v>31</v>
      </c>
      <c r="CA337" s="14">
        <f>IF([1]Sheet2!CI336=999999,"NA",[1]Sheet2!CI336)</f>
        <v>31</v>
      </c>
      <c r="CB337" s="14">
        <f>IF([1]Sheet2!CJ336=999999,"NA",[1]Sheet2!CJ336)</f>
        <v>31</v>
      </c>
      <c r="CC337" s="14">
        <f>[1]Sheet2!BG336</f>
        <v>0</v>
      </c>
      <c r="CD337" s="14">
        <f>[1]Sheet2!BH336</f>
        <v>0</v>
      </c>
      <c r="CE337" s="14">
        <f>[1]Sheet2!BI336</f>
        <v>0</v>
      </c>
      <c r="CF337" s="14">
        <f>[1]Sheet2!BJ336</f>
        <v>0</v>
      </c>
      <c r="CG337" s="14">
        <f>[1]Sheet2!BK336</f>
        <v>0</v>
      </c>
      <c r="CH337" s="14">
        <f>[1]Sheet2!BL336</f>
        <v>0</v>
      </c>
      <c r="CI337" s="14">
        <f>[1]Sheet2!BM336</f>
        <v>0</v>
      </c>
      <c r="CJ337" s="14">
        <f>[1]Sheet2!BN336</f>
        <v>0</v>
      </c>
      <c r="CK337" s="14">
        <f>[1]Sheet2!BO336</f>
        <v>0</v>
      </c>
      <c r="CL337" s="14">
        <f>[1]Sheet2!BP336</f>
        <v>0</v>
      </c>
      <c r="CM337" s="16">
        <f>Demand_SW!B$13/30</f>
        <v>144.23076923076923</v>
      </c>
      <c r="CN337" s="16">
        <f>Demand_SW!C$13/30</f>
        <v>0</v>
      </c>
      <c r="CO337" s="16">
        <f>Demand_SW!D$13/30</f>
        <v>0</v>
      </c>
      <c r="CP337" s="16">
        <f>Demand_SW!E$13/30</f>
        <v>0</v>
      </c>
      <c r="CQ337" s="16">
        <f>Demand_SW!F$13/30</f>
        <v>0</v>
      </c>
      <c r="CR337" s="16">
        <f>Demand_SW!G$13/30</f>
        <v>144.23076923076923</v>
      </c>
      <c r="CS337" s="16">
        <f>Demand_SW!H$13/30</f>
        <v>0</v>
      </c>
      <c r="CT337" s="16">
        <f>Demand_SW!I$13/30</f>
        <v>0</v>
      </c>
      <c r="CU337" s="16">
        <f>Demand_SW!J$13/30</f>
        <v>0</v>
      </c>
      <c r="CV337" s="16">
        <f>Demand_SW!K$13/30</f>
        <v>0</v>
      </c>
      <c r="CW337" s="16">
        <f t="shared" si="173"/>
        <v>55298.461538461561</v>
      </c>
      <c r="CX337" s="16">
        <f t="shared" si="174"/>
        <v>20683.923076923078</v>
      </c>
      <c r="CY337" s="16">
        <f t="shared" si="175"/>
        <v>0</v>
      </c>
      <c r="CZ337" s="16">
        <f t="shared" si="176"/>
        <v>0</v>
      </c>
      <c r="DA337" s="16">
        <f t="shared" si="177"/>
        <v>0</v>
      </c>
      <c r="DB337" s="16">
        <f t="shared" si="178"/>
        <v>-44230.769230769176</v>
      </c>
      <c r="DC337" s="16">
        <f t="shared" si="179"/>
        <v>20683.923076923078</v>
      </c>
      <c r="DD337" s="16">
        <f t="shared" si="180"/>
        <v>0</v>
      </c>
      <c r="DE337" s="16">
        <f t="shared" si="181"/>
        <v>0</v>
      </c>
      <c r="DF337" s="16">
        <f t="shared" si="182"/>
        <v>0</v>
      </c>
      <c r="DG337" s="14">
        <f>IF([1]Sheet2!DR336=999999,"NA",[1]Sheet2!DR336)</f>
        <v>73103</v>
      </c>
      <c r="DH337" s="14">
        <f>IF([1]Sheet2!DS336=999999,"NA",[1]Sheet2!DS336)</f>
        <v>31</v>
      </c>
      <c r="DI337" s="14">
        <f>IF([1]Sheet2!DT336=999999,"NA",[1]Sheet2!DT336)</f>
        <v>31</v>
      </c>
      <c r="DJ337" s="14" t="str">
        <f>IF([1]Sheet2!DU336=999999,"NA",[1]Sheet2!DU336)</f>
        <v>NA</v>
      </c>
      <c r="DK337" s="14" t="str">
        <f>IF([1]Sheet2!DV336=999999,"NA",[1]Sheet2!DV336)</f>
        <v>NA</v>
      </c>
      <c r="DL337" s="14" t="str">
        <f>IF([1]Sheet2!DW336=999999,"NA",[1]Sheet2!DW336)</f>
        <v>NA</v>
      </c>
      <c r="DM337" s="14">
        <f>IF([1]Sheet2!DX336=999999,"NA",[1]Sheet2!DX336)</f>
        <v>31</v>
      </c>
      <c r="DN337" s="14">
        <f>IF([1]Sheet2!DY336=999999,"NA",[1]Sheet2!DY336)</f>
        <v>31</v>
      </c>
      <c r="DO337" s="14" t="str">
        <f>IF([1]Sheet2!DZ336=999999,"NA",[1]Sheet2!DZ336)</f>
        <v>NA</v>
      </c>
      <c r="DP337" s="14" t="str">
        <f>IF([1]Sheet2!EA336=999999,"NA",[1]Sheet2!EA336)</f>
        <v>NA</v>
      </c>
      <c r="DQ337" s="14">
        <f>[1]Sheet2!CX336</f>
        <v>0</v>
      </c>
      <c r="DR337" s="14">
        <f>[1]Sheet2!CY336</f>
        <v>0</v>
      </c>
      <c r="DS337" s="14">
        <f>[1]Sheet2!CZ336</f>
        <v>0</v>
      </c>
      <c r="DT337" s="14">
        <f>[1]Sheet2!DA336</f>
        <v>0</v>
      </c>
      <c r="DU337" s="14">
        <f>[1]Sheet2!DB336</f>
        <v>0</v>
      </c>
      <c r="DV337" s="14">
        <f>[1]Sheet2!DC336</f>
        <v>0</v>
      </c>
      <c r="DW337" s="14">
        <f>[1]Sheet2!DD336</f>
        <v>0</v>
      </c>
      <c r="DX337" s="14">
        <f>[1]Sheet2!DE336</f>
        <v>0</v>
      </c>
      <c r="DY337" s="14">
        <f>[1]Sheet2!DF336</f>
        <v>0</v>
      </c>
      <c r="DZ337" s="14">
        <f>[1]Sheet2!DG336</f>
        <v>0</v>
      </c>
    </row>
    <row r="338" spans="1:130" x14ac:dyDescent="0.25">
      <c r="A338" s="15">
        <v>43800</v>
      </c>
      <c r="B338" s="1"/>
      <c r="C338" s="1"/>
      <c r="D338" s="1"/>
      <c r="E338" s="14">
        <f>[1]Sheet2!N337</f>
        <v>48000</v>
      </c>
      <c r="F338" s="14">
        <f>[1]Sheet2!BE337</f>
        <v>0</v>
      </c>
      <c r="G338" s="14">
        <f>[1]Sheet2!CV337</f>
        <v>279.15632754342431</v>
      </c>
      <c r="H338" s="1"/>
      <c r="I338" s="1"/>
      <c r="J338" s="1"/>
      <c r="K338" s="16">
        <f>Demand_CWRS!B$14/31</f>
        <v>95.176711124896599</v>
      </c>
      <c r="L338" s="16">
        <f>Demand_CWRS!C$14/31</f>
        <v>526.22795698924722</v>
      </c>
      <c r="M338" s="16">
        <f>Demand_CWRS!D$14/31</f>
        <v>0</v>
      </c>
      <c r="N338" s="16">
        <f>Demand_CWRS!E$14/31</f>
        <v>102.37076095947063</v>
      </c>
      <c r="O338" s="16">
        <f>Demand_CWRS!F$14/31</f>
        <v>219.86823562861866</v>
      </c>
      <c r="P338" s="16">
        <f>Demand_CWRS!G$14/31</f>
        <v>95.176711124896599</v>
      </c>
      <c r="Q338" s="16">
        <f>Demand_CWRS!H$14/31</f>
        <v>526.22795698924722</v>
      </c>
      <c r="R338" s="16">
        <f>Demand_CWRS!I$14/31</f>
        <v>219.86823562861866</v>
      </c>
      <c r="S338" s="16">
        <f>Demand_CWRS!J$14/31</f>
        <v>219.86823562861866</v>
      </c>
      <c r="T338" s="16">
        <f>Demand_CWRS!K$14/31</f>
        <v>219.86823562861866</v>
      </c>
      <c r="U338" s="16">
        <f t="shared" si="153"/>
        <v>-42941.677671598227</v>
      </c>
      <c r="V338" s="16">
        <f t="shared" si="154"/>
        <v>-160912.32282878374</v>
      </c>
      <c r="W338" s="16">
        <f t="shared" si="155"/>
        <v>0</v>
      </c>
      <c r="X338" s="16">
        <f t="shared" si="156"/>
        <v>-36720.583208216703</v>
      </c>
      <c r="Y338" s="16">
        <f t="shared" si="157"/>
        <v>-72546.096092858643</v>
      </c>
      <c r="Z338" s="16">
        <f t="shared" si="158"/>
        <v>-42544.745147559821</v>
      </c>
      <c r="AA338" s="16">
        <f t="shared" si="159"/>
        <v>-160412.32282878374</v>
      </c>
      <c r="AB338" s="16">
        <f t="shared" si="160"/>
        <v>-70062.250612089294</v>
      </c>
      <c r="AC338" s="16">
        <f t="shared" si="161"/>
        <v>-70062.250612089279</v>
      </c>
      <c r="AD338" s="16">
        <f t="shared" si="162"/>
        <v>-70762.250612089294</v>
      </c>
      <c r="AE338" s="14">
        <f>IF([1]Sheet2!AJ337=999999,"NA",[1]Sheet2!AJ337)</f>
        <v>0</v>
      </c>
      <c r="AF338" s="14">
        <f>IF([1]Sheet2!AK337=999999,"NA",[1]Sheet2!AK337)</f>
        <v>0</v>
      </c>
      <c r="AG338" s="14" t="str">
        <f>IF([1]Sheet2!AL337=999999,"NA",[1]Sheet2!AL337)</f>
        <v>NA</v>
      </c>
      <c r="AH338" s="14">
        <f>IF([1]Sheet2!AM337=999999,"NA",[1]Sheet2!AM337)</f>
        <v>30</v>
      </c>
      <c r="AI338" s="14">
        <f>IF([1]Sheet2!AN337=999999,"NA",[1]Sheet2!AN337)</f>
        <v>30</v>
      </c>
      <c r="AJ338" s="14">
        <f>IF([1]Sheet2!AO337=999999,"NA",[1]Sheet2!AO337)</f>
        <v>30</v>
      </c>
      <c r="AK338" s="14">
        <f>IF([1]Sheet2!AP337=999999,"NA",[1]Sheet2!AP337)</f>
        <v>0</v>
      </c>
      <c r="AL338" s="14">
        <f>IF([1]Sheet2!AQ337=999999,"NA",[1]Sheet2!AQ337)</f>
        <v>0</v>
      </c>
      <c r="AM338" s="14">
        <f>IF([1]Sheet2!AR337=999999,"NA",[1]Sheet2!AR337)</f>
        <v>30</v>
      </c>
      <c r="AN338" s="14">
        <f>IF([1]Sheet2!AS337=999999,"NA",[1]Sheet2!AS337)</f>
        <v>0</v>
      </c>
      <c r="AO338" s="14">
        <f>[1]Sheet2!P337</f>
        <v>0</v>
      </c>
      <c r="AP338" s="14">
        <f>[1]Sheet2!Q337</f>
        <v>0</v>
      </c>
      <c r="AQ338" s="14">
        <f>[1]Sheet2!R337</f>
        <v>0</v>
      </c>
      <c r="AR338" s="14">
        <f>[1]Sheet2!S337</f>
        <v>0</v>
      </c>
      <c r="AS338" s="14">
        <f>[1]Sheet2!T337</f>
        <v>0</v>
      </c>
      <c r="AT338" s="14">
        <f>[1]Sheet2!U337</f>
        <v>0</v>
      </c>
      <c r="AU338" s="14">
        <f>[1]Sheet2!V337</f>
        <v>0</v>
      </c>
      <c r="AV338" s="14">
        <f>[1]Sheet2!W337</f>
        <v>0</v>
      </c>
      <c r="AW338" s="14">
        <f>[1]Sheet2!X337</f>
        <v>0</v>
      </c>
      <c r="AX338" s="14">
        <f>[1]Sheet2!Y337</f>
        <v>0</v>
      </c>
      <c r="AY338" s="16">
        <f>Demand_LP!B$14/31</f>
        <v>868.56315911910667</v>
      </c>
      <c r="AZ338" s="16">
        <f>Demand_LP!C$14/31</f>
        <v>608.40066170388752</v>
      </c>
      <c r="BA338" s="16">
        <f>Demand_LP!D$14/31</f>
        <v>251.20087262200158</v>
      </c>
      <c r="BB338" s="16">
        <f>Demand_LP!E$14/31</f>
        <v>807.45938378825463</v>
      </c>
      <c r="BC338" s="16">
        <f>Demand_LP!F$14/31</f>
        <v>539.59842069892466</v>
      </c>
      <c r="BD338" s="16">
        <f>Demand_LP!G$14/31</f>
        <v>868.56315911910667</v>
      </c>
      <c r="BE338" s="16">
        <f>Demand_LP!H$14/31</f>
        <v>608.40066170388752</v>
      </c>
      <c r="BF338" s="16">
        <f>Demand_LP!I$14/31</f>
        <v>539.59842069892466</v>
      </c>
      <c r="BG338" s="16">
        <f>Demand_LP!J$14/31</f>
        <v>539.59842069892466</v>
      </c>
      <c r="BH338" s="16">
        <f>Demand_LP!K$14/31</f>
        <v>539.59842069892466</v>
      </c>
      <c r="BI338" s="16" t="e">
        <f t="shared" si="163"/>
        <v>#VALUE!</v>
      </c>
      <c r="BJ338" s="16">
        <f t="shared" si="164"/>
        <v>-192599.17758478061</v>
      </c>
      <c r="BK338" s="16">
        <f t="shared" si="165"/>
        <v>-96540.952154673534</v>
      </c>
      <c r="BL338" s="16">
        <f t="shared" si="166"/>
        <v>-253838.86193166111</v>
      </c>
      <c r="BM338" s="16">
        <f t="shared" si="167"/>
        <v>-154696.5408805334</v>
      </c>
      <c r="BN338" s="16">
        <f t="shared" si="168"/>
        <v>-265128.08175423794</v>
      </c>
      <c r="BO338" s="16">
        <f t="shared" si="169"/>
        <v>-194956.7570719604</v>
      </c>
      <c r="BP338" s="16">
        <f t="shared" si="170"/>
        <v>-155808.22479890398</v>
      </c>
      <c r="BQ338" s="16">
        <f t="shared" si="171"/>
        <v>-152798.22479890409</v>
      </c>
      <c r="BR338" s="16">
        <f t="shared" si="172"/>
        <v>-153998.224798904</v>
      </c>
      <c r="BS338" s="14">
        <f>IF([1]Sheet2!CA337=999999,"NA",[1]Sheet2!CA337)</f>
        <v>62480.775201095967</v>
      </c>
      <c r="BT338" s="14">
        <f>IF([1]Sheet2!CB337=999999,"NA",[1]Sheet2!CB337)</f>
        <v>0</v>
      </c>
      <c r="BU338" s="14">
        <f>IF([1]Sheet2!CC337=999999,"NA",[1]Sheet2!CC337)</f>
        <v>30</v>
      </c>
      <c r="BV338" s="14">
        <f>IF([1]Sheet2!CD337=999999,"NA",[1]Sheet2!CD337)</f>
        <v>30</v>
      </c>
      <c r="BW338" s="14">
        <f>IF([1]Sheet2!CE337=999999,"NA",[1]Sheet2!CE337)</f>
        <v>0</v>
      </c>
      <c r="BX338" s="14">
        <f>IF([1]Sheet2!CF337=999999,"NA",[1]Sheet2!CF337)</f>
        <v>30</v>
      </c>
      <c r="BY338" s="14">
        <f>IF([1]Sheet2!CG337=999999,"NA",[1]Sheet2!CG337)</f>
        <v>0</v>
      </c>
      <c r="BZ338" s="14">
        <f>IF([1]Sheet2!CH337=999999,"NA",[1]Sheet2!CH337)</f>
        <v>30</v>
      </c>
      <c r="CA338" s="14">
        <f>IF([1]Sheet2!CI337=999999,"NA",[1]Sheet2!CI337)</f>
        <v>30</v>
      </c>
      <c r="CB338" s="14">
        <f>IF([1]Sheet2!CJ337=999999,"NA",[1]Sheet2!CJ337)</f>
        <v>30</v>
      </c>
      <c r="CC338" s="14">
        <f>[1]Sheet2!BG337</f>
        <v>0</v>
      </c>
      <c r="CD338" s="14">
        <f>[1]Sheet2!BH337</f>
        <v>0</v>
      </c>
      <c r="CE338" s="14">
        <f>[1]Sheet2!BI337</f>
        <v>0</v>
      </c>
      <c r="CF338" s="14">
        <f>[1]Sheet2!BJ337</f>
        <v>0</v>
      </c>
      <c r="CG338" s="14">
        <f>[1]Sheet2!BK337</f>
        <v>0</v>
      </c>
      <c r="CH338" s="14">
        <f>[1]Sheet2!BL337</f>
        <v>0</v>
      </c>
      <c r="CI338" s="14">
        <f>[1]Sheet2!BM337</f>
        <v>0</v>
      </c>
      <c r="CJ338" s="14">
        <f>[1]Sheet2!BN337</f>
        <v>0</v>
      </c>
      <c r="CK338" s="14">
        <f>[1]Sheet2!BO337</f>
        <v>0</v>
      </c>
      <c r="CL338" s="14">
        <f>[1]Sheet2!BP337</f>
        <v>0</v>
      </c>
      <c r="CM338" s="16">
        <f>Demand_SW!B$14/31</f>
        <v>139.57816377171216</v>
      </c>
      <c r="CN338" s="16">
        <f>Demand_SW!C$14/31</f>
        <v>0</v>
      </c>
      <c r="CO338" s="16">
        <f>Demand_SW!D$14/31</f>
        <v>0</v>
      </c>
      <c r="CP338" s="16">
        <f>Demand_SW!E$14/31</f>
        <v>0</v>
      </c>
      <c r="CQ338" s="16">
        <f>Demand_SW!F$14/31</f>
        <v>0</v>
      </c>
      <c r="CR338" s="16">
        <f>Demand_SW!G$14/31</f>
        <v>139.57816377171216</v>
      </c>
      <c r="CS338" s="16">
        <f>Demand_SW!H$14/31</f>
        <v>0</v>
      </c>
      <c r="CT338" s="16">
        <f>Demand_SW!I$14/31</f>
        <v>0</v>
      </c>
      <c r="CU338" s="16">
        <f>Demand_SW!J$14/31</f>
        <v>0</v>
      </c>
      <c r="CV338" s="16">
        <f>Demand_SW!K$14/31</f>
        <v>0</v>
      </c>
      <c r="CW338" s="16">
        <f t="shared" si="173"/>
        <v>55158.883374689845</v>
      </c>
      <c r="CX338" s="16">
        <f t="shared" si="174"/>
        <v>20683.923076923078</v>
      </c>
      <c r="CY338" s="16">
        <f t="shared" si="175"/>
        <v>0</v>
      </c>
      <c r="CZ338" s="16">
        <f t="shared" si="176"/>
        <v>0</v>
      </c>
      <c r="DA338" s="16">
        <f t="shared" si="177"/>
        <v>0</v>
      </c>
      <c r="DB338" s="16">
        <f t="shared" si="178"/>
        <v>-44370.347394540891</v>
      </c>
      <c r="DC338" s="16">
        <f t="shared" si="179"/>
        <v>20683.923076923078</v>
      </c>
      <c r="DD338" s="16">
        <f t="shared" si="180"/>
        <v>0</v>
      </c>
      <c r="DE338" s="16">
        <f t="shared" si="181"/>
        <v>0</v>
      </c>
      <c r="DF338" s="16">
        <f t="shared" si="182"/>
        <v>0</v>
      </c>
      <c r="DG338" s="14">
        <f>IF([1]Sheet2!DR337=999999,"NA",[1]Sheet2!DR337)</f>
        <v>73103</v>
      </c>
      <c r="DH338" s="14">
        <f>IF([1]Sheet2!DS337=999999,"NA",[1]Sheet2!DS337)</f>
        <v>30</v>
      </c>
      <c r="DI338" s="14">
        <f>IF([1]Sheet2!DT337=999999,"NA",[1]Sheet2!DT337)</f>
        <v>30</v>
      </c>
      <c r="DJ338" s="14" t="str">
        <f>IF([1]Sheet2!DU337=999999,"NA",[1]Sheet2!DU337)</f>
        <v>NA</v>
      </c>
      <c r="DK338" s="14" t="str">
        <f>IF([1]Sheet2!DV337=999999,"NA",[1]Sheet2!DV337)</f>
        <v>NA</v>
      </c>
      <c r="DL338" s="14" t="str">
        <f>IF([1]Sheet2!DW337=999999,"NA",[1]Sheet2!DW337)</f>
        <v>NA</v>
      </c>
      <c r="DM338" s="14">
        <f>IF([1]Sheet2!DX337=999999,"NA",[1]Sheet2!DX337)</f>
        <v>30</v>
      </c>
      <c r="DN338" s="14">
        <f>IF([1]Sheet2!DY337=999999,"NA",[1]Sheet2!DY337)</f>
        <v>30</v>
      </c>
      <c r="DO338" s="14" t="str">
        <f>IF([1]Sheet2!DZ337=999999,"NA",[1]Sheet2!DZ337)</f>
        <v>NA</v>
      </c>
      <c r="DP338" s="14" t="str">
        <f>IF([1]Sheet2!EA337=999999,"NA",[1]Sheet2!EA337)</f>
        <v>NA</v>
      </c>
      <c r="DQ338" s="14">
        <f>[1]Sheet2!CX337</f>
        <v>0</v>
      </c>
      <c r="DR338" s="14">
        <f>[1]Sheet2!CY337</f>
        <v>0</v>
      </c>
      <c r="DS338" s="14">
        <f>[1]Sheet2!CZ337</f>
        <v>0</v>
      </c>
      <c r="DT338" s="14">
        <f>[1]Sheet2!DA337</f>
        <v>0</v>
      </c>
      <c r="DU338" s="14">
        <f>[1]Sheet2!DB337</f>
        <v>0</v>
      </c>
      <c r="DV338" s="14">
        <f>[1]Sheet2!DC337</f>
        <v>0</v>
      </c>
      <c r="DW338" s="14">
        <f>[1]Sheet2!DD337</f>
        <v>0</v>
      </c>
      <c r="DX338" s="14">
        <f>[1]Sheet2!DE337</f>
        <v>0</v>
      </c>
      <c r="DY338" s="14">
        <f>[1]Sheet2!DF337</f>
        <v>0</v>
      </c>
      <c r="DZ338" s="14">
        <f>[1]Sheet2!DG337</f>
        <v>0</v>
      </c>
    </row>
    <row r="339" spans="1:130" x14ac:dyDescent="0.25">
      <c r="A339" s="15">
        <v>43801</v>
      </c>
      <c r="B339" s="1"/>
      <c r="C339" s="1"/>
      <c r="D339" s="1"/>
      <c r="E339" s="14">
        <f>[1]Sheet2!N338</f>
        <v>0</v>
      </c>
      <c r="F339" s="14">
        <f>[1]Sheet2!BE338</f>
        <v>0</v>
      </c>
      <c r="G339" s="14">
        <f>[1]Sheet2!CV338</f>
        <v>279.15632754342431</v>
      </c>
      <c r="H339" s="1"/>
      <c r="I339" s="1"/>
      <c r="J339" s="1"/>
      <c r="K339" s="16">
        <f>Demand_CWRS!B$14/31</f>
        <v>95.176711124896599</v>
      </c>
      <c r="L339" s="16">
        <f>Demand_CWRS!C$14/31</f>
        <v>526.22795698924722</v>
      </c>
      <c r="M339" s="16">
        <f>Demand_CWRS!D$14/31</f>
        <v>0</v>
      </c>
      <c r="N339" s="16">
        <f>Demand_CWRS!E$14/31</f>
        <v>102.37076095947063</v>
      </c>
      <c r="O339" s="16">
        <f>Demand_CWRS!F$14/31</f>
        <v>219.86823562861866</v>
      </c>
      <c r="P339" s="16">
        <f>Demand_CWRS!G$14/31</f>
        <v>95.176711124896599</v>
      </c>
      <c r="Q339" s="16">
        <f>Demand_CWRS!H$14/31</f>
        <v>526.22795698924722</v>
      </c>
      <c r="R339" s="16">
        <f>Demand_CWRS!I$14/31</f>
        <v>219.86823562861866</v>
      </c>
      <c r="S339" s="16">
        <f>Demand_CWRS!J$14/31</f>
        <v>219.86823562861866</v>
      </c>
      <c r="T339" s="16">
        <f>Demand_CWRS!K$14/31</f>
        <v>219.86823562861866</v>
      </c>
      <c r="U339" s="16">
        <f t="shared" si="153"/>
        <v>-43036.854382723126</v>
      </c>
      <c r="V339" s="16">
        <f t="shared" si="154"/>
        <v>-161438.550785773</v>
      </c>
      <c r="W339" s="16">
        <f t="shared" si="155"/>
        <v>0</v>
      </c>
      <c r="X339" s="16">
        <f t="shared" si="156"/>
        <v>-36822.953969176175</v>
      </c>
      <c r="Y339" s="16">
        <f t="shared" si="157"/>
        <v>-72765.964328487258</v>
      </c>
      <c r="Z339" s="16">
        <f t="shared" si="158"/>
        <v>-42639.92185868472</v>
      </c>
      <c r="AA339" s="16">
        <f t="shared" si="159"/>
        <v>-160938.550785773</v>
      </c>
      <c r="AB339" s="16">
        <f t="shared" si="160"/>
        <v>-70282.118847717909</v>
      </c>
      <c r="AC339" s="16">
        <f t="shared" si="161"/>
        <v>-70282.118847717895</v>
      </c>
      <c r="AD339" s="16">
        <f t="shared" si="162"/>
        <v>-70982.118847717909</v>
      </c>
      <c r="AE339" s="14">
        <f>IF([1]Sheet2!AJ338=999999,"NA",[1]Sheet2!AJ338)</f>
        <v>0</v>
      </c>
      <c r="AF339" s="14">
        <f>IF([1]Sheet2!AK338=999999,"NA",[1]Sheet2!AK338)</f>
        <v>0</v>
      </c>
      <c r="AG339" s="14" t="str">
        <f>IF([1]Sheet2!AL338=999999,"NA",[1]Sheet2!AL338)</f>
        <v>NA</v>
      </c>
      <c r="AH339" s="14">
        <f>IF([1]Sheet2!AM338=999999,"NA",[1]Sheet2!AM338)</f>
        <v>29</v>
      </c>
      <c r="AI339" s="14">
        <f>IF([1]Sheet2!AN338=999999,"NA",[1]Sheet2!AN338)</f>
        <v>29</v>
      </c>
      <c r="AJ339" s="14">
        <f>IF([1]Sheet2!AO338=999999,"NA",[1]Sheet2!AO338)</f>
        <v>29</v>
      </c>
      <c r="AK339" s="14">
        <f>IF([1]Sheet2!AP338=999999,"NA",[1]Sheet2!AP338)</f>
        <v>0</v>
      </c>
      <c r="AL339" s="14">
        <f>IF([1]Sheet2!AQ338=999999,"NA",[1]Sheet2!AQ338)</f>
        <v>0</v>
      </c>
      <c r="AM339" s="14">
        <f>IF([1]Sheet2!AR338=999999,"NA",[1]Sheet2!AR338)</f>
        <v>29</v>
      </c>
      <c r="AN339" s="14">
        <f>IF([1]Sheet2!AS338=999999,"NA",[1]Sheet2!AS338)</f>
        <v>0</v>
      </c>
      <c r="AO339" s="14">
        <f>[1]Sheet2!P338</f>
        <v>0</v>
      </c>
      <c r="AP339" s="14">
        <f>[1]Sheet2!Q338</f>
        <v>0</v>
      </c>
      <c r="AQ339" s="14">
        <f>[1]Sheet2!R338</f>
        <v>0</v>
      </c>
      <c r="AR339" s="14">
        <f>[1]Sheet2!S338</f>
        <v>0</v>
      </c>
      <c r="AS339" s="14">
        <f>[1]Sheet2!T338</f>
        <v>0</v>
      </c>
      <c r="AT339" s="14">
        <f>[1]Sheet2!U338</f>
        <v>0</v>
      </c>
      <c r="AU339" s="14">
        <f>[1]Sheet2!V338</f>
        <v>0</v>
      </c>
      <c r="AV339" s="14">
        <f>[1]Sheet2!W338</f>
        <v>0</v>
      </c>
      <c r="AW339" s="14">
        <f>[1]Sheet2!X338</f>
        <v>0</v>
      </c>
      <c r="AX339" s="14">
        <f>[1]Sheet2!Y338</f>
        <v>0</v>
      </c>
      <c r="AY339" s="16">
        <f>Demand_LP!B$14/31</f>
        <v>868.56315911910667</v>
      </c>
      <c r="AZ339" s="16">
        <f>Demand_LP!C$14/31</f>
        <v>608.40066170388752</v>
      </c>
      <c r="BA339" s="16">
        <f>Demand_LP!D$14/31</f>
        <v>251.20087262200158</v>
      </c>
      <c r="BB339" s="16">
        <f>Demand_LP!E$14/31</f>
        <v>807.45938378825463</v>
      </c>
      <c r="BC339" s="16">
        <f>Demand_LP!F$14/31</f>
        <v>539.59842069892466</v>
      </c>
      <c r="BD339" s="16">
        <f>Demand_LP!G$14/31</f>
        <v>868.56315911910667</v>
      </c>
      <c r="BE339" s="16">
        <f>Demand_LP!H$14/31</f>
        <v>608.40066170388752</v>
      </c>
      <c r="BF339" s="16">
        <f>Demand_LP!I$14/31</f>
        <v>539.59842069892466</v>
      </c>
      <c r="BG339" s="16">
        <f>Demand_LP!J$14/31</f>
        <v>539.59842069892466</v>
      </c>
      <c r="BH339" s="16">
        <f>Demand_LP!K$14/31</f>
        <v>539.59842069892466</v>
      </c>
      <c r="BI339" s="16" t="e">
        <f t="shared" si="163"/>
        <v>#VALUE!</v>
      </c>
      <c r="BJ339" s="16">
        <f t="shared" si="164"/>
        <v>-193207.57824648451</v>
      </c>
      <c r="BK339" s="16">
        <f t="shared" si="165"/>
        <v>-96792.153027295542</v>
      </c>
      <c r="BL339" s="16">
        <f t="shared" si="166"/>
        <v>-254646.32131544937</v>
      </c>
      <c r="BM339" s="16">
        <f t="shared" si="167"/>
        <v>-155236.13930123232</v>
      </c>
      <c r="BN339" s="16">
        <f t="shared" si="168"/>
        <v>-265996.64491335704</v>
      </c>
      <c r="BO339" s="16">
        <f t="shared" si="169"/>
        <v>-195565.15773366429</v>
      </c>
      <c r="BP339" s="16">
        <f t="shared" si="170"/>
        <v>-156347.8232196029</v>
      </c>
      <c r="BQ339" s="16">
        <f t="shared" si="171"/>
        <v>-153337.82321960301</v>
      </c>
      <c r="BR339" s="16">
        <f t="shared" si="172"/>
        <v>-154537.82321960293</v>
      </c>
      <c r="BS339" s="14">
        <f>IF([1]Sheet2!CA338=999999,"NA",[1]Sheet2!CA338)</f>
        <v>61941.176780397043</v>
      </c>
      <c r="BT339" s="14">
        <f>IF([1]Sheet2!CB338=999999,"NA",[1]Sheet2!CB338)</f>
        <v>0</v>
      </c>
      <c r="BU339" s="14">
        <f>IF([1]Sheet2!CC338=999999,"NA",[1]Sheet2!CC338)</f>
        <v>29</v>
      </c>
      <c r="BV339" s="14">
        <f>IF([1]Sheet2!CD338=999999,"NA",[1]Sheet2!CD338)</f>
        <v>29</v>
      </c>
      <c r="BW339" s="14">
        <f>IF([1]Sheet2!CE338=999999,"NA",[1]Sheet2!CE338)</f>
        <v>0</v>
      </c>
      <c r="BX339" s="14">
        <f>IF([1]Sheet2!CF338=999999,"NA",[1]Sheet2!CF338)</f>
        <v>29</v>
      </c>
      <c r="BY339" s="14">
        <f>IF([1]Sheet2!CG338=999999,"NA",[1]Sheet2!CG338)</f>
        <v>0</v>
      </c>
      <c r="BZ339" s="14">
        <f>IF([1]Sheet2!CH338=999999,"NA",[1]Sheet2!CH338)</f>
        <v>29</v>
      </c>
      <c r="CA339" s="14">
        <f>IF([1]Sheet2!CI338=999999,"NA",[1]Sheet2!CI338)</f>
        <v>29</v>
      </c>
      <c r="CB339" s="14">
        <f>IF([1]Sheet2!CJ338=999999,"NA",[1]Sheet2!CJ338)</f>
        <v>29</v>
      </c>
      <c r="CC339" s="14">
        <f>[1]Sheet2!BG338</f>
        <v>0</v>
      </c>
      <c r="CD339" s="14">
        <f>[1]Sheet2!BH338</f>
        <v>0</v>
      </c>
      <c r="CE339" s="14">
        <f>[1]Sheet2!BI338</f>
        <v>0</v>
      </c>
      <c r="CF339" s="14">
        <f>[1]Sheet2!BJ338</f>
        <v>0</v>
      </c>
      <c r="CG339" s="14">
        <f>[1]Sheet2!BK338</f>
        <v>0</v>
      </c>
      <c r="CH339" s="14">
        <f>[1]Sheet2!BL338</f>
        <v>0</v>
      </c>
      <c r="CI339" s="14">
        <f>[1]Sheet2!BM338</f>
        <v>0</v>
      </c>
      <c r="CJ339" s="14">
        <f>[1]Sheet2!BN338</f>
        <v>0</v>
      </c>
      <c r="CK339" s="14">
        <f>[1]Sheet2!BO338</f>
        <v>0</v>
      </c>
      <c r="CL339" s="14">
        <f>[1]Sheet2!BP338</f>
        <v>0</v>
      </c>
      <c r="CM339" s="16">
        <f>Demand_SW!B$14/31</f>
        <v>139.57816377171216</v>
      </c>
      <c r="CN339" s="16">
        <f>Demand_SW!C$14/31</f>
        <v>0</v>
      </c>
      <c r="CO339" s="16">
        <f>Demand_SW!D$14/31</f>
        <v>0</v>
      </c>
      <c r="CP339" s="16">
        <f>Demand_SW!E$14/31</f>
        <v>0</v>
      </c>
      <c r="CQ339" s="16">
        <f>Demand_SW!F$14/31</f>
        <v>0</v>
      </c>
      <c r="CR339" s="16">
        <f>Demand_SW!G$14/31</f>
        <v>139.57816377171216</v>
      </c>
      <c r="CS339" s="16">
        <f>Demand_SW!H$14/31</f>
        <v>0</v>
      </c>
      <c r="CT339" s="16">
        <f>Demand_SW!I$14/31</f>
        <v>0</v>
      </c>
      <c r="CU339" s="16">
        <f>Demand_SW!J$14/31</f>
        <v>0</v>
      </c>
      <c r="CV339" s="16">
        <f>Demand_SW!K$14/31</f>
        <v>0</v>
      </c>
      <c r="CW339" s="16">
        <f t="shared" si="173"/>
        <v>55019.30521091813</v>
      </c>
      <c r="CX339" s="16">
        <f t="shared" si="174"/>
        <v>20683.923076923078</v>
      </c>
      <c r="CY339" s="16">
        <f t="shared" si="175"/>
        <v>0</v>
      </c>
      <c r="CZ339" s="16">
        <f t="shared" si="176"/>
        <v>0</v>
      </c>
      <c r="DA339" s="16">
        <f t="shared" si="177"/>
        <v>0</v>
      </c>
      <c r="DB339" s="16">
        <f t="shared" si="178"/>
        <v>-44509.925558312607</v>
      </c>
      <c r="DC339" s="16">
        <f t="shared" si="179"/>
        <v>20683.923076923078</v>
      </c>
      <c r="DD339" s="16">
        <f t="shared" si="180"/>
        <v>0</v>
      </c>
      <c r="DE339" s="16">
        <f t="shared" si="181"/>
        <v>0</v>
      </c>
      <c r="DF339" s="16">
        <f t="shared" si="182"/>
        <v>0</v>
      </c>
      <c r="DG339" s="14">
        <f>IF([1]Sheet2!DR338=999999,"NA",[1]Sheet2!DR338)</f>
        <v>73103</v>
      </c>
      <c r="DH339" s="14">
        <f>IF([1]Sheet2!DS338=999999,"NA",[1]Sheet2!DS338)</f>
        <v>29</v>
      </c>
      <c r="DI339" s="14">
        <f>IF([1]Sheet2!DT338=999999,"NA",[1]Sheet2!DT338)</f>
        <v>29</v>
      </c>
      <c r="DJ339" s="14" t="str">
        <f>IF([1]Sheet2!DU338=999999,"NA",[1]Sheet2!DU338)</f>
        <v>NA</v>
      </c>
      <c r="DK339" s="14" t="str">
        <f>IF([1]Sheet2!DV338=999999,"NA",[1]Sheet2!DV338)</f>
        <v>NA</v>
      </c>
      <c r="DL339" s="14" t="str">
        <f>IF([1]Sheet2!DW338=999999,"NA",[1]Sheet2!DW338)</f>
        <v>NA</v>
      </c>
      <c r="DM339" s="14">
        <f>IF([1]Sheet2!DX338=999999,"NA",[1]Sheet2!DX338)</f>
        <v>29</v>
      </c>
      <c r="DN339" s="14">
        <f>IF([1]Sheet2!DY338=999999,"NA",[1]Sheet2!DY338)</f>
        <v>29</v>
      </c>
      <c r="DO339" s="14" t="str">
        <f>IF([1]Sheet2!DZ338=999999,"NA",[1]Sheet2!DZ338)</f>
        <v>NA</v>
      </c>
      <c r="DP339" s="14" t="str">
        <f>IF([1]Sheet2!EA338=999999,"NA",[1]Sheet2!EA338)</f>
        <v>NA</v>
      </c>
      <c r="DQ339" s="14">
        <f>[1]Sheet2!CX338</f>
        <v>0</v>
      </c>
      <c r="DR339" s="14">
        <f>[1]Sheet2!CY338</f>
        <v>0</v>
      </c>
      <c r="DS339" s="14">
        <f>[1]Sheet2!CZ338</f>
        <v>0</v>
      </c>
      <c r="DT339" s="14">
        <f>[1]Sheet2!DA338</f>
        <v>0</v>
      </c>
      <c r="DU339" s="14">
        <f>[1]Sheet2!DB338</f>
        <v>0</v>
      </c>
      <c r="DV339" s="14">
        <f>[1]Sheet2!DC338</f>
        <v>0</v>
      </c>
      <c r="DW339" s="14">
        <f>[1]Sheet2!DD338</f>
        <v>0</v>
      </c>
      <c r="DX339" s="14">
        <f>[1]Sheet2!DE338</f>
        <v>0</v>
      </c>
      <c r="DY339" s="14">
        <f>[1]Sheet2!DF338</f>
        <v>0</v>
      </c>
      <c r="DZ339" s="14">
        <f>[1]Sheet2!DG338</f>
        <v>0</v>
      </c>
    </row>
    <row r="340" spans="1:130" x14ac:dyDescent="0.25">
      <c r="A340" s="15">
        <v>43802</v>
      </c>
      <c r="B340" s="1"/>
      <c r="C340" s="1"/>
      <c r="D340" s="1"/>
      <c r="E340" s="14">
        <f>[1]Sheet2!N339</f>
        <v>0</v>
      </c>
      <c r="F340" s="14">
        <f>[1]Sheet2!BE339</f>
        <v>0</v>
      </c>
      <c r="G340" s="14">
        <f>[1]Sheet2!CV339</f>
        <v>279.15632754342431</v>
      </c>
      <c r="H340" s="1"/>
      <c r="I340" s="1"/>
      <c r="J340" s="1"/>
      <c r="K340" s="16">
        <f>Demand_CWRS!B$14/31</f>
        <v>95.176711124896599</v>
      </c>
      <c r="L340" s="16">
        <f>Demand_CWRS!C$14/31</f>
        <v>526.22795698924722</v>
      </c>
      <c r="M340" s="16">
        <f>Demand_CWRS!D$14/31</f>
        <v>0</v>
      </c>
      <c r="N340" s="16">
        <f>Demand_CWRS!E$14/31</f>
        <v>102.37076095947063</v>
      </c>
      <c r="O340" s="16">
        <f>Demand_CWRS!F$14/31</f>
        <v>219.86823562861866</v>
      </c>
      <c r="P340" s="16">
        <f>Demand_CWRS!G$14/31</f>
        <v>95.176711124896599</v>
      </c>
      <c r="Q340" s="16">
        <f>Demand_CWRS!H$14/31</f>
        <v>526.22795698924722</v>
      </c>
      <c r="R340" s="16">
        <f>Demand_CWRS!I$14/31</f>
        <v>219.86823562861866</v>
      </c>
      <c r="S340" s="16">
        <f>Demand_CWRS!J$14/31</f>
        <v>219.86823562861866</v>
      </c>
      <c r="T340" s="16">
        <f>Demand_CWRS!K$14/31</f>
        <v>219.86823562861866</v>
      </c>
      <c r="U340" s="16">
        <f t="shared" si="153"/>
        <v>-43132.031093848025</v>
      </c>
      <c r="V340" s="16">
        <f t="shared" si="154"/>
        <v>-161964.77874276225</v>
      </c>
      <c r="W340" s="16">
        <f t="shared" si="155"/>
        <v>0</v>
      </c>
      <c r="X340" s="16">
        <f t="shared" si="156"/>
        <v>-36925.324730135646</v>
      </c>
      <c r="Y340" s="16">
        <f t="shared" si="157"/>
        <v>-72985.832564115874</v>
      </c>
      <c r="Z340" s="16">
        <f t="shared" si="158"/>
        <v>-42735.098569809619</v>
      </c>
      <c r="AA340" s="16">
        <f t="shared" si="159"/>
        <v>-161464.77874276225</v>
      </c>
      <c r="AB340" s="16">
        <f t="shared" si="160"/>
        <v>-70501.987083346525</v>
      </c>
      <c r="AC340" s="16">
        <f t="shared" si="161"/>
        <v>-70501.98708334651</v>
      </c>
      <c r="AD340" s="16">
        <f t="shared" si="162"/>
        <v>-71201.987083346525</v>
      </c>
      <c r="AE340" s="14">
        <f>IF([1]Sheet2!AJ339=999999,"NA",[1]Sheet2!AJ339)</f>
        <v>0</v>
      </c>
      <c r="AF340" s="14">
        <f>IF([1]Sheet2!AK339=999999,"NA",[1]Sheet2!AK339)</f>
        <v>0</v>
      </c>
      <c r="AG340" s="14" t="str">
        <f>IF([1]Sheet2!AL339=999999,"NA",[1]Sheet2!AL339)</f>
        <v>NA</v>
      </c>
      <c r="AH340" s="14">
        <f>IF([1]Sheet2!AM339=999999,"NA",[1]Sheet2!AM339)</f>
        <v>28</v>
      </c>
      <c r="AI340" s="14">
        <f>IF([1]Sheet2!AN339=999999,"NA",[1]Sheet2!AN339)</f>
        <v>28</v>
      </c>
      <c r="AJ340" s="14">
        <f>IF([1]Sheet2!AO339=999999,"NA",[1]Sheet2!AO339)</f>
        <v>28</v>
      </c>
      <c r="AK340" s="14">
        <f>IF([1]Sheet2!AP339=999999,"NA",[1]Sheet2!AP339)</f>
        <v>0</v>
      </c>
      <c r="AL340" s="14">
        <f>IF([1]Sheet2!AQ339=999999,"NA",[1]Sheet2!AQ339)</f>
        <v>0</v>
      </c>
      <c r="AM340" s="14">
        <f>IF([1]Sheet2!AR339=999999,"NA",[1]Sheet2!AR339)</f>
        <v>28</v>
      </c>
      <c r="AN340" s="14">
        <f>IF([1]Sheet2!AS339=999999,"NA",[1]Sheet2!AS339)</f>
        <v>0</v>
      </c>
      <c r="AO340" s="14">
        <f>[1]Sheet2!P339</f>
        <v>0</v>
      </c>
      <c r="AP340" s="14">
        <f>[1]Sheet2!Q339</f>
        <v>0</v>
      </c>
      <c r="AQ340" s="14">
        <f>[1]Sheet2!R339</f>
        <v>0</v>
      </c>
      <c r="AR340" s="14">
        <f>[1]Sheet2!S339</f>
        <v>0</v>
      </c>
      <c r="AS340" s="14">
        <f>[1]Sheet2!T339</f>
        <v>0</v>
      </c>
      <c r="AT340" s="14">
        <f>[1]Sheet2!U339</f>
        <v>0</v>
      </c>
      <c r="AU340" s="14">
        <f>[1]Sheet2!V339</f>
        <v>0</v>
      </c>
      <c r="AV340" s="14">
        <f>[1]Sheet2!W339</f>
        <v>0</v>
      </c>
      <c r="AW340" s="14">
        <f>[1]Sheet2!X339</f>
        <v>0</v>
      </c>
      <c r="AX340" s="14">
        <f>[1]Sheet2!Y339</f>
        <v>0</v>
      </c>
      <c r="AY340" s="16">
        <f>Demand_LP!B$14/31</f>
        <v>868.56315911910667</v>
      </c>
      <c r="AZ340" s="16">
        <f>Demand_LP!C$14/31</f>
        <v>608.40066170388752</v>
      </c>
      <c r="BA340" s="16">
        <f>Demand_LP!D$14/31</f>
        <v>251.20087262200158</v>
      </c>
      <c r="BB340" s="16">
        <f>Demand_LP!E$14/31</f>
        <v>807.45938378825463</v>
      </c>
      <c r="BC340" s="16">
        <f>Demand_LP!F$14/31</f>
        <v>539.59842069892466</v>
      </c>
      <c r="BD340" s="16">
        <f>Demand_LP!G$14/31</f>
        <v>868.56315911910667</v>
      </c>
      <c r="BE340" s="16">
        <f>Demand_LP!H$14/31</f>
        <v>608.40066170388752</v>
      </c>
      <c r="BF340" s="16">
        <f>Demand_LP!I$14/31</f>
        <v>539.59842069892466</v>
      </c>
      <c r="BG340" s="16">
        <f>Demand_LP!J$14/31</f>
        <v>539.59842069892466</v>
      </c>
      <c r="BH340" s="16">
        <f>Demand_LP!K$14/31</f>
        <v>539.59842069892466</v>
      </c>
      <c r="BI340" s="16" t="e">
        <f t="shared" si="163"/>
        <v>#VALUE!</v>
      </c>
      <c r="BJ340" s="16">
        <f t="shared" si="164"/>
        <v>-193815.97890818841</v>
      </c>
      <c r="BK340" s="16">
        <f t="shared" si="165"/>
        <v>-97043.353899917551</v>
      </c>
      <c r="BL340" s="16">
        <f t="shared" si="166"/>
        <v>-255453.78069923763</v>
      </c>
      <c r="BM340" s="16">
        <f t="shared" si="167"/>
        <v>-155775.73772193125</v>
      </c>
      <c r="BN340" s="16">
        <f t="shared" si="168"/>
        <v>-266865.20807247615</v>
      </c>
      <c r="BO340" s="16">
        <f t="shared" si="169"/>
        <v>-196173.55839536819</v>
      </c>
      <c r="BP340" s="16">
        <f t="shared" si="170"/>
        <v>-156887.42164030182</v>
      </c>
      <c r="BQ340" s="16">
        <f t="shared" si="171"/>
        <v>-153877.42164030194</v>
      </c>
      <c r="BR340" s="16">
        <f t="shared" si="172"/>
        <v>-155077.42164030185</v>
      </c>
      <c r="BS340" s="14">
        <f>IF([1]Sheet2!CA339=999999,"NA",[1]Sheet2!CA339)</f>
        <v>61401.57835969812</v>
      </c>
      <c r="BT340" s="14">
        <f>IF([1]Sheet2!CB339=999999,"NA",[1]Sheet2!CB339)</f>
        <v>0</v>
      </c>
      <c r="BU340" s="14">
        <f>IF([1]Sheet2!CC339=999999,"NA",[1]Sheet2!CC339)</f>
        <v>28</v>
      </c>
      <c r="BV340" s="14">
        <f>IF([1]Sheet2!CD339=999999,"NA",[1]Sheet2!CD339)</f>
        <v>28</v>
      </c>
      <c r="BW340" s="14">
        <f>IF([1]Sheet2!CE339=999999,"NA",[1]Sheet2!CE339)</f>
        <v>0</v>
      </c>
      <c r="BX340" s="14">
        <f>IF([1]Sheet2!CF339=999999,"NA",[1]Sheet2!CF339)</f>
        <v>28</v>
      </c>
      <c r="BY340" s="14">
        <f>IF([1]Sheet2!CG339=999999,"NA",[1]Sheet2!CG339)</f>
        <v>0</v>
      </c>
      <c r="BZ340" s="14">
        <f>IF([1]Sheet2!CH339=999999,"NA",[1]Sheet2!CH339)</f>
        <v>28</v>
      </c>
      <c r="CA340" s="14">
        <f>IF([1]Sheet2!CI339=999999,"NA",[1]Sheet2!CI339)</f>
        <v>28</v>
      </c>
      <c r="CB340" s="14">
        <f>IF([1]Sheet2!CJ339=999999,"NA",[1]Sheet2!CJ339)</f>
        <v>28</v>
      </c>
      <c r="CC340" s="14">
        <f>[1]Sheet2!BG339</f>
        <v>0</v>
      </c>
      <c r="CD340" s="14">
        <f>[1]Sheet2!BH339</f>
        <v>0</v>
      </c>
      <c r="CE340" s="14">
        <f>[1]Sheet2!BI339</f>
        <v>0</v>
      </c>
      <c r="CF340" s="14">
        <f>[1]Sheet2!BJ339</f>
        <v>0</v>
      </c>
      <c r="CG340" s="14">
        <f>[1]Sheet2!BK339</f>
        <v>0</v>
      </c>
      <c r="CH340" s="14">
        <f>[1]Sheet2!BL339</f>
        <v>0</v>
      </c>
      <c r="CI340" s="14">
        <f>[1]Sheet2!BM339</f>
        <v>0</v>
      </c>
      <c r="CJ340" s="14">
        <f>[1]Sheet2!BN339</f>
        <v>0</v>
      </c>
      <c r="CK340" s="14">
        <f>[1]Sheet2!BO339</f>
        <v>0</v>
      </c>
      <c r="CL340" s="14">
        <f>[1]Sheet2!BP339</f>
        <v>0</v>
      </c>
      <c r="CM340" s="16">
        <f>Demand_SW!B$14/31</f>
        <v>139.57816377171216</v>
      </c>
      <c r="CN340" s="16">
        <f>Demand_SW!C$14/31</f>
        <v>0</v>
      </c>
      <c r="CO340" s="16">
        <f>Demand_SW!D$14/31</f>
        <v>0</v>
      </c>
      <c r="CP340" s="16">
        <f>Demand_SW!E$14/31</f>
        <v>0</v>
      </c>
      <c r="CQ340" s="16">
        <f>Demand_SW!F$14/31</f>
        <v>0</v>
      </c>
      <c r="CR340" s="16">
        <f>Demand_SW!G$14/31</f>
        <v>139.57816377171216</v>
      </c>
      <c r="CS340" s="16">
        <f>Demand_SW!H$14/31</f>
        <v>0</v>
      </c>
      <c r="CT340" s="16">
        <f>Demand_SW!I$14/31</f>
        <v>0</v>
      </c>
      <c r="CU340" s="16">
        <f>Demand_SW!J$14/31</f>
        <v>0</v>
      </c>
      <c r="CV340" s="16">
        <f>Demand_SW!K$14/31</f>
        <v>0</v>
      </c>
      <c r="CW340" s="16">
        <f t="shared" si="173"/>
        <v>54879.727047146414</v>
      </c>
      <c r="CX340" s="16">
        <f t="shared" si="174"/>
        <v>20683.923076923078</v>
      </c>
      <c r="CY340" s="16">
        <f t="shared" si="175"/>
        <v>0</v>
      </c>
      <c r="CZ340" s="16">
        <f t="shared" si="176"/>
        <v>0</v>
      </c>
      <c r="DA340" s="16">
        <f t="shared" si="177"/>
        <v>0</v>
      </c>
      <c r="DB340" s="16">
        <f t="shared" si="178"/>
        <v>-44649.503722084322</v>
      </c>
      <c r="DC340" s="16">
        <f t="shared" si="179"/>
        <v>20683.923076923078</v>
      </c>
      <c r="DD340" s="16">
        <f t="shared" si="180"/>
        <v>0</v>
      </c>
      <c r="DE340" s="16">
        <f t="shared" si="181"/>
        <v>0</v>
      </c>
      <c r="DF340" s="16">
        <f t="shared" si="182"/>
        <v>0</v>
      </c>
      <c r="DG340" s="14">
        <f>IF([1]Sheet2!DR339=999999,"NA",[1]Sheet2!DR339)</f>
        <v>73103</v>
      </c>
      <c r="DH340" s="14">
        <f>IF([1]Sheet2!DS339=999999,"NA",[1]Sheet2!DS339)</f>
        <v>28</v>
      </c>
      <c r="DI340" s="14">
        <f>IF([1]Sheet2!DT339=999999,"NA",[1]Sheet2!DT339)</f>
        <v>28</v>
      </c>
      <c r="DJ340" s="14" t="str">
        <f>IF([1]Sheet2!DU339=999999,"NA",[1]Sheet2!DU339)</f>
        <v>NA</v>
      </c>
      <c r="DK340" s="14" t="str">
        <f>IF([1]Sheet2!DV339=999999,"NA",[1]Sheet2!DV339)</f>
        <v>NA</v>
      </c>
      <c r="DL340" s="14" t="str">
        <f>IF([1]Sheet2!DW339=999999,"NA",[1]Sheet2!DW339)</f>
        <v>NA</v>
      </c>
      <c r="DM340" s="14">
        <f>IF([1]Sheet2!DX339=999999,"NA",[1]Sheet2!DX339)</f>
        <v>28</v>
      </c>
      <c r="DN340" s="14">
        <f>IF([1]Sheet2!DY339=999999,"NA",[1]Sheet2!DY339)</f>
        <v>28</v>
      </c>
      <c r="DO340" s="14" t="str">
        <f>IF([1]Sheet2!DZ339=999999,"NA",[1]Sheet2!DZ339)</f>
        <v>NA</v>
      </c>
      <c r="DP340" s="14" t="str">
        <f>IF([1]Sheet2!EA339=999999,"NA",[1]Sheet2!EA339)</f>
        <v>NA</v>
      </c>
      <c r="DQ340" s="14">
        <f>[1]Sheet2!CX339</f>
        <v>0</v>
      </c>
      <c r="DR340" s="14">
        <f>[1]Sheet2!CY339</f>
        <v>0</v>
      </c>
      <c r="DS340" s="14">
        <f>[1]Sheet2!CZ339</f>
        <v>0</v>
      </c>
      <c r="DT340" s="14">
        <f>[1]Sheet2!DA339</f>
        <v>0</v>
      </c>
      <c r="DU340" s="14">
        <f>[1]Sheet2!DB339</f>
        <v>0</v>
      </c>
      <c r="DV340" s="14">
        <f>[1]Sheet2!DC339</f>
        <v>0</v>
      </c>
      <c r="DW340" s="14">
        <f>[1]Sheet2!DD339</f>
        <v>0</v>
      </c>
      <c r="DX340" s="14">
        <f>[1]Sheet2!DE339</f>
        <v>0</v>
      </c>
      <c r="DY340" s="14">
        <f>[1]Sheet2!DF339</f>
        <v>0</v>
      </c>
      <c r="DZ340" s="14">
        <f>[1]Sheet2!DG339</f>
        <v>0</v>
      </c>
    </row>
    <row r="341" spans="1:130" x14ac:dyDescent="0.25">
      <c r="A341" s="15">
        <v>43803</v>
      </c>
      <c r="B341" s="1"/>
      <c r="C341" s="1"/>
      <c r="D341" s="1"/>
      <c r="E341" s="14">
        <f>[1]Sheet2!N340</f>
        <v>0</v>
      </c>
      <c r="F341" s="14">
        <f>[1]Sheet2!BE340</f>
        <v>0</v>
      </c>
      <c r="G341" s="14">
        <f>[1]Sheet2!CV340</f>
        <v>279.15632754342431</v>
      </c>
      <c r="H341" s="1"/>
      <c r="I341" s="1"/>
      <c r="J341" s="1"/>
      <c r="K341" s="16">
        <f>Demand_CWRS!B$14/31</f>
        <v>95.176711124896599</v>
      </c>
      <c r="L341" s="16">
        <f>Demand_CWRS!C$14/31</f>
        <v>526.22795698924722</v>
      </c>
      <c r="M341" s="16">
        <f>Demand_CWRS!D$14/31</f>
        <v>0</v>
      </c>
      <c r="N341" s="16">
        <f>Demand_CWRS!E$14/31</f>
        <v>102.37076095947063</v>
      </c>
      <c r="O341" s="16">
        <f>Demand_CWRS!F$14/31</f>
        <v>219.86823562861866</v>
      </c>
      <c r="P341" s="16">
        <f>Demand_CWRS!G$14/31</f>
        <v>95.176711124896599</v>
      </c>
      <c r="Q341" s="16">
        <f>Demand_CWRS!H$14/31</f>
        <v>526.22795698924722</v>
      </c>
      <c r="R341" s="16">
        <f>Demand_CWRS!I$14/31</f>
        <v>219.86823562861866</v>
      </c>
      <c r="S341" s="16">
        <f>Demand_CWRS!J$14/31</f>
        <v>219.86823562861866</v>
      </c>
      <c r="T341" s="16">
        <f>Demand_CWRS!K$14/31</f>
        <v>219.86823562861866</v>
      </c>
      <c r="U341" s="16">
        <f t="shared" si="153"/>
        <v>-43227.207804972924</v>
      </c>
      <c r="V341" s="16">
        <f t="shared" si="154"/>
        <v>-162491.00669975151</v>
      </c>
      <c r="W341" s="16">
        <f t="shared" si="155"/>
        <v>0</v>
      </c>
      <c r="X341" s="16">
        <f t="shared" si="156"/>
        <v>-37027.695491095117</v>
      </c>
      <c r="Y341" s="16">
        <f t="shared" si="157"/>
        <v>-73205.700799744489</v>
      </c>
      <c r="Z341" s="16">
        <f t="shared" si="158"/>
        <v>-42830.275280934518</v>
      </c>
      <c r="AA341" s="16">
        <f t="shared" si="159"/>
        <v>-161991.00669975151</v>
      </c>
      <c r="AB341" s="16">
        <f t="shared" si="160"/>
        <v>-70721.85531897514</v>
      </c>
      <c r="AC341" s="16">
        <f t="shared" si="161"/>
        <v>-70721.855318975126</v>
      </c>
      <c r="AD341" s="16">
        <f t="shared" si="162"/>
        <v>-71421.85531897514</v>
      </c>
      <c r="AE341" s="14">
        <f>IF([1]Sheet2!AJ340=999999,"NA",[1]Sheet2!AJ340)</f>
        <v>0</v>
      </c>
      <c r="AF341" s="14">
        <f>IF([1]Sheet2!AK340=999999,"NA",[1]Sheet2!AK340)</f>
        <v>0</v>
      </c>
      <c r="AG341" s="14" t="str">
        <f>IF([1]Sheet2!AL340=999999,"NA",[1]Sheet2!AL340)</f>
        <v>NA</v>
      </c>
      <c r="AH341" s="14">
        <f>IF([1]Sheet2!AM340=999999,"NA",[1]Sheet2!AM340)</f>
        <v>27</v>
      </c>
      <c r="AI341" s="14">
        <f>IF([1]Sheet2!AN340=999999,"NA",[1]Sheet2!AN340)</f>
        <v>27</v>
      </c>
      <c r="AJ341" s="14">
        <f>IF([1]Sheet2!AO340=999999,"NA",[1]Sheet2!AO340)</f>
        <v>27</v>
      </c>
      <c r="AK341" s="14">
        <f>IF([1]Sheet2!AP340=999999,"NA",[1]Sheet2!AP340)</f>
        <v>0</v>
      </c>
      <c r="AL341" s="14">
        <f>IF([1]Sheet2!AQ340=999999,"NA",[1]Sheet2!AQ340)</f>
        <v>0</v>
      </c>
      <c r="AM341" s="14">
        <f>IF([1]Sheet2!AR340=999999,"NA",[1]Sheet2!AR340)</f>
        <v>27</v>
      </c>
      <c r="AN341" s="14">
        <f>IF([1]Sheet2!AS340=999999,"NA",[1]Sheet2!AS340)</f>
        <v>0</v>
      </c>
      <c r="AO341" s="14">
        <f>[1]Sheet2!P340</f>
        <v>0</v>
      </c>
      <c r="AP341" s="14">
        <f>[1]Sheet2!Q340</f>
        <v>0</v>
      </c>
      <c r="AQ341" s="14">
        <f>[1]Sheet2!R340</f>
        <v>0</v>
      </c>
      <c r="AR341" s="14">
        <f>[1]Sheet2!S340</f>
        <v>0</v>
      </c>
      <c r="AS341" s="14">
        <f>[1]Sheet2!T340</f>
        <v>0</v>
      </c>
      <c r="AT341" s="14">
        <f>[1]Sheet2!U340</f>
        <v>0</v>
      </c>
      <c r="AU341" s="14">
        <f>[1]Sheet2!V340</f>
        <v>0</v>
      </c>
      <c r="AV341" s="14">
        <f>[1]Sheet2!W340</f>
        <v>0</v>
      </c>
      <c r="AW341" s="14">
        <f>[1]Sheet2!X340</f>
        <v>0</v>
      </c>
      <c r="AX341" s="14">
        <f>[1]Sheet2!Y340</f>
        <v>0</v>
      </c>
      <c r="AY341" s="16">
        <f>Demand_LP!B$14/31</f>
        <v>868.56315911910667</v>
      </c>
      <c r="AZ341" s="16">
        <f>Demand_LP!C$14/31</f>
        <v>608.40066170388752</v>
      </c>
      <c r="BA341" s="16">
        <f>Demand_LP!D$14/31</f>
        <v>251.20087262200158</v>
      </c>
      <c r="BB341" s="16">
        <f>Demand_LP!E$14/31</f>
        <v>807.45938378825463</v>
      </c>
      <c r="BC341" s="16">
        <f>Demand_LP!F$14/31</f>
        <v>539.59842069892466</v>
      </c>
      <c r="BD341" s="16">
        <f>Demand_LP!G$14/31</f>
        <v>868.56315911910667</v>
      </c>
      <c r="BE341" s="16">
        <f>Demand_LP!H$14/31</f>
        <v>608.40066170388752</v>
      </c>
      <c r="BF341" s="16">
        <f>Demand_LP!I$14/31</f>
        <v>539.59842069892466</v>
      </c>
      <c r="BG341" s="16">
        <f>Demand_LP!J$14/31</f>
        <v>539.59842069892466</v>
      </c>
      <c r="BH341" s="16">
        <f>Demand_LP!K$14/31</f>
        <v>539.59842069892466</v>
      </c>
      <c r="BI341" s="16" t="e">
        <f t="shared" si="163"/>
        <v>#VALUE!</v>
      </c>
      <c r="BJ341" s="16">
        <f t="shared" si="164"/>
        <v>-194424.37956989231</v>
      </c>
      <c r="BK341" s="16">
        <f t="shared" si="165"/>
        <v>-97294.554772539559</v>
      </c>
      <c r="BL341" s="16">
        <f t="shared" si="166"/>
        <v>-256261.24008302588</v>
      </c>
      <c r="BM341" s="16">
        <f t="shared" si="167"/>
        <v>-156315.33614263017</v>
      </c>
      <c r="BN341" s="16">
        <f t="shared" si="168"/>
        <v>-267733.77123159525</v>
      </c>
      <c r="BO341" s="16">
        <f t="shared" si="169"/>
        <v>-196781.95905707209</v>
      </c>
      <c r="BP341" s="16">
        <f t="shared" si="170"/>
        <v>-157427.02006100075</v>
      </c>
      <c r="BQ341" s="16">
        <f t="shared" si="171"/>
        <v>-154417.02006100086</v>
      </c>
      <c r="BR341" s="16">
        <f t="shared" si="172"/>
        <v>-155617.02006100077</v>
      </c>
      <c r="BS341" s="14">
        <f>IF([1]Sheet2!CA340=999999,"NA",[1]Sheet2!CA340)</f>
        <v>60861.979938999197</v>
      </c>
      <c r="BT341" s="14">
        <f>IF([1]Sheet2!CB340=999999,"NA",[1]Sheet2!CB340)</f>
        <v>0</v>
      </c>
      <c r="BU341" s="14">
        <f>IF([1]Sheet2!CC340=999999,"NA",[1]Sheet2!CC340)</f>
        <v>27</v>
      </c>
      <c r="BV341" s="14">
        <f>IF([1]Sheet2!CD340=999999,"NA",[1]Sheet2!CD340)</f>
        <v>27</v>
      </c>
      <c r="BW341" s="14">
        <f>IF([1]Sheet2!CE340=999999,"NA",[1]Sheet2!CE340)</f>
        <v>0</v>
      </c>
      <c r="BX341" s="14">
        <f>IF([1]Sheet2!CF340=999999,"NA",[1]Sheet2!CF340)</f>
        <v>27</v>
      </c>
      <c r="BY341" s="14">
        <f>IF([1]Sheet2!CG340=999999,"NA",[1]Sheet2!CG340)</f>
        <v>0</v>
      </c>
      <c r="BZ341" s="14">
        <f>IF([1]Sheet2!CH340=999999,"NA",[1]Sheet2!CH340)</f>
        <v>27</v>
      </c>
      <c r="CA341" s="14">
        <f>IF([1]Sheet2!CI340=999999,"NA",[1]Sheet2!CI340)</f>
        <v>27</v>
      </c>
      <c r="CB341" s="14">
        <f>IF([1]Sheet2!CJ340=999999,"NA",[1]Sheet2!CJ340)</f>
        <v>27</v>
      </c>
      <c r="CC341" s="14">
        <f>[1]Sheet2!BG340</f>
        <v>0</v>
      </c>
      <c r="CD341" s="14">
        <f>[1]Sheet2!BH340</f>
        <v>0</v>
      </c>
      <c r="CE341" s="14">
        <f>[1]Sheet2!BI340</f>
        <v>0</v>
      </c>
      <c r="CF341" s="14">
        <f>[1]Sheet2!BJ340</f>
        <v>0</v>
      </c>
      <c r="CG341" s="14">
        <f>[1]Sheet2!BK340</f>
        <v>0</v>
      </c>
      <c r="CH341" s="14">
        <f>[1]Sheet2!BL340</f>
        <v>0</v>
      </c>
      <c r="CI341" s="14">
        <f>[1]Sheet2!BM340</f>
        <v>0</v>
      </c>
      <c r="CJ341" s="14">
        <f>[1]Sheet2!BN340</f>
        <v>0</v>
      </c>
      <c r="CK341" s="14">
        <f>[1]Sheet2!BO340</f>
        <v>0</v>
      </c>
      <c r="CL341" s="14">
        <f>[1]Sheet2!BP340</f>
        <v>0</v>
      </c>
      <c r="CM341" s="16">
        <f>Demand_SW!B$14/31</f>
        <v>139.57816377171216</v>
      </c>
      <c r="CN341" s="16">
        <f>Demand_SW!C$14/31</f>
        <v>0</v>
      </c>
      <c r="CO341" s="16">
        <f>Demand_SW!D$14/31</f>
        <v>0</v>
      </c>
      <c r="CP341" s="16">
        <f>Demand_SW!E$14/31</f>
        <v>0</v>
      </c>
      <c r="CQ341" s="16">
        <f>Demand_SW!F$14/31</f>
        <v>0</v>
      </c>
      <c r="CR341" s="16">
        <f>Demand_SW!G$14/31</f>
        <v>139.57816377171216</v>
      </c>
      <c r="CS341" s="16">
        <f>Demand_SW!H$14/31</f>
        <v>0</v>
      </c>
      <c r="CT341" s="16">
        <f>Demand_SW!I$14/31</f>
        <v>0</v>
      </c>
      <c r="CU341" s="16">
        <f>Demand_SW!J$14/31</f>
        <v>0</v>
      </c>
      <c r="CV341" s="16">
        <f>Demand_SW!K$14/31</f>
        <v>0</v>
      </c>
      <c r="CW341" s="16">
        <f t="shared" si="173"/>
        <v>54740.148883374699</v>
      </c>
      <c r="CX341" s="16">
        <f t="shared" si="174"/>
        <v>20683.923076923078</v>
      </c>
      <c r="CY341" s="16">
        <f t="shared" si="175"/>
        <v>0</v>
      </c>
      <c r="CZ341" s="16">
        <f t="shared" si="176"/>
        <v>0</v>
      </c>
      <c r="DA341" s="16">
        <f t="shared" si="177"/>
        <v>0</v>
      </c>
      <c r="DB341" s="16">
        <f t="shared" si="178"/>
        <v>-44789.081885856038</v>
      </c>
      <c r="DC341" s="16">
        <f t="shared" si="179"/>
        <v>20683.923076923078</v>
      </c>
      <c r="DD341" s="16">
        <f t="shared" si="180"/>
        <v>0</v>
      </c>
      <c r="DE341" s="16">
        <f t="shared" si="181"/>
        <v>0</v>
      </c>
      <c r="DF341" s="16">
        <f t="shared" si="182"/>
        <v>0</v>
      </c>
      <c r="DG341" s="14">
        <f>IF([1]Sheet2!DR340=999999,"NA",[1]Sheet2!DR340)</f>
        <v>73103</v>
      </c>
      <c r="DH341" s="14">
        <f>IF([1]Sheet2!DS340=999999,"NA",[1]Sheet2!DS340)</f>
        <v>27</v>
      </c>
      <c r="DI341" s="14">
        <f>IF([1]Sheet2!DT340=999999,"NA",[1]Sheet2!DT340)</f>
        <v>27</v>
      </c>
      <c r="DJ341" s="14" t="str">
        <f>IF([1]Sheet2!DU340=999999,"NA",[1]Sheet2!DU340)</f>
        <v>NA</v>
      </c>
      <c r="DK341" s="14" t="str">
        <f>IF([1]Sheet2!DV340=999999,"NA",[1]Sheet2!DV340)</f>
        <v>NA</v>
      </c>
      <c r="DL341" s="14" t="str">
        <f>IF([1]Sheet2!DW340=999999,"NA",[1]Sheet2!DW340)</f>
        <v>NA</v>
      </c>
      <c r="DM341" s="14">
        <f>IF([1]Sheet2!DX340=999999,"NA",[1]Sheet2!DX340)</f>
        <v>27</v>
      </c>
      <c r="DN341" s="14">
        <f>IF([1]Sheet2!DY340=999999,"NA",[1]Sheet2!DY340)</f>
        <v>27</v>
      </c>
      <c r="DO341" s="14" t="str">
        <f>IF([1]Sheet2!DZ340=999999,"NA",[1]Sheet2!DZ340)</f>
        <v>NA</v>
      </c>
      <c r="DP341" s="14" t="str">
        <f>IF([1]Sheet2!EA340=999999,"NA",[1]Sheet2!EA340)</f>
        <v>NA</v>
      </c>
      <c r="DQ341" s="14">
        <f>[1]Sheet2!CX340</f>
        <v>0</v>
      </c>
      <c r="DR341" s="14">
        <f>[1]Sheet2!CY340</f>
        <v>0</v>
      </c>
      <c r="DS341" s="14">
        <f>[1]Sheet2!CZ340</f>
        <v>0</v>
      </c>
      <c r="DT341" s="14">
        <f>[1]Sheet2!DA340</f>
        <v>0</v>
      </c>
      <c r="DU341" s="14">
        <f>[1]Sheet2!DB340</f>
        <v>0</v>
      </c>
      <c r="DV341" s="14">
        <f>[1]Sheet2!DC340</f>
        <v>0</v>
      </c>
      <c r="DW341" s="14">
        <f>[1]Sheet2!DD340</f>
        <v>0</v>
      </c>
      <c r="DX341" s="14">
        <f>[1]Sheet2!DE340</f>
        <v>0</v>
      </c>
      <c r="DY341" s="14">
        <f>[1]Sheet2!DF340</f>
        <v>0</v>
      </c>
      <c r="DZ341" s="14">
        <f>[1]Sheet2!DG340</f>
        <v>0</v>
      </c>
    </row>
    <row r="342" spans="1:130" x14ac:dyDescent="0.25">
      <c r="A342" s="15">
        <v>43804</v>
      </c>
      <c r="B342" s="1"/>
      <c r="C342" s="1"/>
      <c r="D342" s="1"/>
      <c r="E342" s="14">
        <f>[1]Sheet2!N341</f>
        <v>0</v>
      </c>
      <c r="F342" s="14">
        <f>[1]Sheet2!BE341</f>
        <v>0</v>
      </c>
      <c r="G342" s="14">
        <f>[1]Sheet2!CV341</f>
        <v>279.15632754342431</v>
      </c>
      <c r="H342" s="1"/>
      <c r="I342" s="1"/>
      <c r="J342" s="1"/>
      <c r="K342" s="16">
        <f>Demand_CWRS!B$14/31</f>
        <v>95.176711124896599</v>
      </c>
      <c r="L342" s="16">
        <f>Demand_CWRS!C$14/31</f>
        <v>526.22795698924722</v>
      </c>
      <c r="M342" s="16">
        <f>Demand_CWRS!D$14/31</f>
        <v>0</v>
      </c>
      <c r="N342" s="16">
        <f>Demand_CWRS!E$14/31</f>
        <v>102.37076095947063</v>
      </c>
      <c r="O342" s="16">
        <f>Demand_CWRS!F$14/31</f>
        <v>219.86823562861866</v>
      </c>
      <c r="P342" s="16">
        <f>Demand_CWRS!G$14/31</f>
        <v>95.176711124896599</v>
      </c>
      <c r="Q342" s="16">
        <f>Demand_CWRS!H$14/31</f>
        <v>526.22795698924722</v>
      </c>
      <c r="R342" s="16">
        <f>Demand_CWRS!I$14/31</f>
        <v>219.86823562861866</v>
      </c>
      <c r="S342" s="16">
        <f>Demand_CWRS!J$14/31</f>
        <v>219.86823562861866</v>
      </c>
      <c r="T342" s="16">
        <f>Demand_CWRS!K$14/31</f>
        <v>219.86823562861866</v>
      </c>
      <c r="U342" s="16">
        <f t="shared" si="153"/>
        <v>-43322.384516097824</v>
      </c>
      <c r="V342" s="16">
        <f t="shared" si="154"/>
        <v>-163017.23465674077</v>
      </c>
      <c r="W342" s="16">
        <f t="shared" si="155"/>
        <v>0</v>
      </c>
      <c r="X342" s="16">
        <f t="shared" si="156"/>
        <v>-37130.066252054588</v>
      </c>
      <c r="Y342" s="16">
        <f t="shared" si="157"/>
        <v>-73425.569035373104</v>
      </c>
      <c r="Z342" s="16">
        <f t="shared" si="158"/>
        <v>-42925.451992059418</v>
      </c>
      <c r="AA342" s="16">
        <f t="shared" si="159"/>
        <v>-162517.23465674077</v>
      </c>
      <c r="AB342" s="16">
        <f t="shared" si="160"/>
        <v>-70941.723554603755</v>
      </c>
      <c r="AC342" s="16">
        <f t="shared" si="161"/>
        <v>-70941.723554603741</v>
      </c>
      <c r="AD342" s="16">
        <f t="shared" si="162"/>
        <v>-71641.723554603755</v>
      </c>
      <c r="AE342" s="14">
        <f>IF([1]Sheet2!AJ341=999999,"NA",[1]Sheet2!AJ341)</f>
        <v>0</v>
      </c>
      <c r="AF342" s="14">
        <f>IF([1]Sheet2!AK341=999999,"NA",[1]Sheet2!AK341)</f>
        <v>0</v>
      </c>
      <c r="AG342" s="14" t="str">
        <f>IF([1]Sheet2!AL341=999999,"NA",[1]Sheet2!AL341)</f>
        <v>NA</v>
      </c>
      <c r="AH342" s="14">
        <f>IF([1]Sheet2!AM341=999999,"NA",[1]Sheet2!AM341)</f>
        <v>26</v>
      </c>
      <c r="AI342" s="14">
        <f>IF([1]Sheet2!AN341=999999,"NA",[1]Sheet2!AN341)</f>
        <v>26</v>
      </c>
      <c r="AJ342" s="14">
        <f>IF([1]Sheet2!AO341=999999,"NA",[1]Sheet2!AO341)</f>
        <v>26</v>
      </c>
      <c r="AK342" s="14">
        <f>IF([1]Sheet2!AP341=999999,"NA",[1]Sheet2!AP341)</f>
        <v>0</v>
      </c>
      <c r="AL342" s="14">
        <f>IF([1]Sheet2!AQ341=999999,"NA",[1]Sheet2!AQ341)</f>
        <v>0</v>
      </c>
      <c r="AM342" s="14">
        <f>IF([1]Sheet2!AR341=999999,"NA",[1]Sheet2!AR341)</f>
        <v>26</v>
      </c>
      <c r="AN342" s="14">
        <f>IF([1]Sheet2!AS341=999999,"NA",[1]Sheet2!AS341)</f>
        <v>0</v>
      </c>
      <c r="AO342" s="14">
        <f>[1]Sheet2!P341</f>
        <v>0</v>
      </c>
      <c r="AP342" s="14">
        <f>[1]Sheet2!Q341</f>
        <v>0</v>
      </c>
      <c r="AQ342" s="14">
        <f>[1]Sheet2!R341</f>
        <v>0</v>
      </c>
      <c r="AR342" s="14">
        <f>[1]Sheet2!S341</f>
        <v>0</v>
      </c>
      <c r="AS342" s="14">
        <f>[1]Sheet2!T341</f>
        <v>0</v>
      </c>
      <c r="AT342" s="14">
        <f>[1]Sheet2!U341</f>
        <v>0</v>
      </c>
      <c r="AU342" s="14">
        <f>[1]Sheet2!V341</f>
        <v>0</v>
      </c>
      <c r="AV342" s="14">
        <f>[1]Sheet2!W341</f>
        <v>0</v>
      </c>
      <c r="AW342" s="14">
        <f>[1]Sheet2!X341</f>
        <v>0</v>
      </c>
      <c r="AX342" s="14">
        <f>[1]Sheet2!Y341</f>
        <v>0</v>
      </c>
      <c r="AY342" s="16">
        <f>Demand_LP!B$14/31</f>
        <v>868.56315911910667</v>
      </c>
      <c r="AZ342" s="16">
        <f>Demand_LP!C$14/31</f>
        <v>608.40066170388752</v>
      </c>
      <c r="BA342" s="16">
        <f>Demand_LP!D$14/31</f>
        <v>251.20087262200158</v>
      </c>
      <c r="BB342" s="16">
        <f>Demand_LP!E$14/31</f>
        <v>807.45938378825463</v>
      </c>
      <c r="BC342" s="16">
        <f>Demand_LP!F$14/31</f>
        <v>539.59842069892466</v>
      </c>
      <c r="BD342" s="16">
        <f>Demand_LP!G$14/31</f>
        <v>868.56315911910667</v>
      </c>
      <c r="BE342" s="16">
        <f>Demand_LP!H$14/31</f>
        <v>608.40066170388752</v>
      </c>
      <c r="BF342" s="16">
        <f>Demand_LP!I$14/31</f>
        <v>539.59842069892466</v>
      </c>
      <c r="BG342" s="16">
        <f>Demand_LP!J$14/31</f>
        <v>539.59842069892466</v>
      </c>
      <c r="BH342" s="16">
        <f>Demand_LP!K$14/31</f>
        <v>539.59842069892466</v>
      </c>
      <c r="BI342" s="16" t="e">
        <f t="shared" si="163"/>
        <v>#VALUE!</v>
      </c>
      <c r="BJ342" s="16">
        <f t="shared" si="164"/>
        <v>-195032.7802315962</v>
      </c>
      <c r="BK342" s="16">
        <f t="shared" si="165"/>
        <v>-97545.755645161567</v>
      </c>
      <c r="BL342" s="16">
        <f t="shared" si="166"/>
        <v>-257068.69946681414</v>
      </c>
      <c r="BM342" s="16">
        <f t="shared" si="167"/>
        <v>-156854.93456332909</v>
      </c>
      <c r="BN342" s="16">
        <f t="shared" si="168"/>
        <v>-268602.33439071436</v>
      </c>
      <c r="BO342" s="16">
        <f t="shared" si="169"/>
        <v>-197390.35971877599</v>
      </c>
      <c r="BP342" s="16">
        <f t="shared" si="170"/>
        <v>-157966.61848169967</v>
      </c>
      <c r="BQ342" s="16">
        <f t="shared" si="171"/>
        <v>-154956.61848169978</v>
      </c>
      <c r="BR342" s="16">
        <f t="shared" si="172"/>
        <v>-156156.6184816997</v>
      </c>
      <c r="BS342" s="14">
        <f>IF([1]Sheet2!CA341=999999,"NA",[1]Sheet2!CA341)</f>
        <v>60322.381518300273</v>
      </c>
      <c r="BT342" s="14">
        <f>IF([1]Sheet2!CB341=999999,"NA",[1]Sheet2!CB341)</f>
        <v>0</v>
      </c>
      <c r="BU342" s="14">
        <f>IF([1]Sheet2!CC341=999999,"NA",[1]Sheet2!CC341)</f>
        <v>26</v>
      </c>
      <c r="BV342" s="14">
        <f>IF([1]Sheet2!CD341=999999,"NA",[1]Sheet2!CD341)</f>
        <v>26</v>
      </c>
      <c r="BW342" s="14">
        <f>IF([1]Sheet2!CE341=999999,"NA",[1]Sheet2!CE341)</f>
        <v>0</v>
      </c>
      <c r="BX342" s="14">
        <f>IF([1]Sheet2!CF341=999999,"NA",[1]Sheet2!CF341)</f>
        <v>26</v>
      </c>
      <c r="BY342" s="14">
        <f>IF([1]Sheet2!CG341=999999,"NA",[1]Sheet2!CG341)</f>
        <v>0</v>
      </c>
      <c r="BZ342" s="14">
        <f>IF([1]Sheet2!CH341=999999,"NA",[1]Sheet2!CH341)</f>
        <v>26</v>
      </c>
      <c r="CA342" s="14">
        <f>IF([1]Sheet2!CI341=999999,"NA",[1]Sheet2!CI341)</f>
        <v>26</v>
      </c>
      <c r="CB342" s="14">
        <f>IF([1]Sheet2!CJ341=999999,"NA",[1]Sheet2!CJ341)</f>
        <v>26</v>
      </c>
      <c r="CC342" s="14">
        <f>[1]Sheet2!BG341</f>
        <v>0</v>
      </c>
      <c r="CD342" s="14">
        <f>[1]Sheet2!BH341</f>
        <v>0</v>
      </c>
      <c r="CE342" s="14">
        <f>[1]Sheet2!BI341</f>
        <v>0</v>
      </c>
      <c r="CF342" s="14">
        <f>[1]Sheet2!BJ341</f>
        <v>0</v>
      </c>
      <c r="CG342" s="14">
        <f>[1]Sheet2!BK341</f>
        <v>0</v>
      </c>
      <c r="CH342" s="14">
        <f>[1]Sheet2!BL341</f>
        <v>0</v>
      </c>
      <c r="CI342" s="14">
        <f>[1]Sheet2!BM341</f>
        <v>0</v>
      </c>
      <c r="CJ342" s="14">
        <f>[1]Sheet2!BN341</f>
        <v>0</v>
      </c>
      <c r="CK342" s="14">
        <f>[1]Sheet2!BO341</f>
        <v>0</v>
      </c>
      <c r="CL342" s="14">
        <f>[1]Sheet2!BP341</f>
        <v>0</v>
      </c>
      <c r="CM342" s="16">
        <f>Demand_SW!B$14/31</f>
        <v>139.57816377171216</v>
      </c>
      <c r="CN342" s="16">
        <f>Demand_SW!C$14/31</f>
        <v>0</v>
      </c>
      <c r="CO342" s="16">
        <f>Demand_SW!D$14/31</f>
        <v>0</v>
      </c>
      <c r="CP342" s="16">
        <f>Demand_SW!E$14/31</f>
        <v>0</v>
      </c>
      <c r="CQ342" s="16">
        <f>Demand_SW!F$14/31</f>
        <v>0</v>
      </c>
      <c r="CR342" s="16">
        <f>Demand_SW!G$14/31</f>
        <v>139.57816377171216</v>
      </c>
      <c r="CS342" s="16">
        <f>Demand_SW!H$14/31</f>
        <v>0</v>
      </c>
      <c r="CT342" s="16">
        <f>Demand_SW!I$14/31</f>
        <v>0</v>
      </c>
      <c r="CU342" s="16">
        <f>Demand_SW!J$14/31</f>
        <v>0</v>
      </c>
      <c r="CV342" s="16">
        <f>Demand_SW!K$14/31</f>
        <v>0</v>
      </c>
      <c r="CW342" s="16">
        <f t="shared" si="173"/>
        <v>54600.570719602983</v>
      </c>
      <c r="CX342" s="16">
        <f t="shared" si="174"/>
        <v>20683.923076923078</v>
      </c>
      <c r="CY342" s="16">
        <f t="shared" si="175"/>
        <v>0</v>
      </c>
      <c r="CZ342" s="16">
        <f t="shared" si="176"/>
        <v>0</v>
      </c>
      <c r="DA342" s="16">
        <f t="shared" si="177"/>
        <v>0</v>
      </c>
      <c r="DB342" s="16">
        <f t="shared" si="178"/>
        <v>-44928.660049627753</v>
      </c>
      <c r="DC342" s="16">
        <f t="shared" si="179"/>
        <v>20683.923076923078</v>
      </c>
      <c r="DD342" s="16">
        <f t="shared" si="180"/>
        <v>0</v>
      </c>
      <c r="DE342" s="16">
        <f t="shared" si="181"/>
        <v>0</v>
      </c>
      <c r="DF342" s="16">
        <f t="shared" si="182"/>
        <v>0</v>
      </c>
      <c r="DG342" s="14">
        <f>IF([1]Sheet2!DR341=999999,"NA",[1]Sheet2!DR341)</f>
        <v>73103</v>
      </c>
      <c r="DH342" s="14">
        <f>IF([1]Sheet2!DS341=999999,"NA",[1]Sheet2!DS341)</f>
        <v>26</v>
      </c>
      <c r="DI342" s="14">
        <f>IF([1]Sheet2!DT341=999999,"NA",[1]Sheet2!DT341)</f>
        <v>26</v>
      </c>
      <c r="DJ342" s="14" t="str">
        <f>IF([1]Sheet2!DU341=999999,"NA",[1]Sheet2!DU341)</f>
        <v>NA</v>
      </c>
      <c r="DK342" s="14" t="str">
        <f>IF([1]Sheet2!DV341=999999,"NA",[1]Sheet2!DV341)</f>
        <v>NA</v>
      </c>
      <c r="DL342" s="14" t="str">
        <f>IF([1]Sheet2!DW341=999999,"NA",[1]Sheet2!DW341)</f>
        <v>NA</v>
      </c>
      <c r="DM342" s="14">
        <f>IF([1]Sheet2!DX341=999999,"NA",[1]Sheet2!DX341)</f>
        <v>26</v>
      </c>
      <c r="DN342" s="14">
        <f>IF([1]Sheet2!DY341=999999,"NA",[1]Sheet2!DY341)</f>
        <v>26</v>
      </c>
      <c r="DO342" s="14" t="str">
        <f>IF([1]Sheet2!DZ341=999999,"NA",[1]Sheet2!DZ341)</f>
        <v>NA</v>
      </c>
      <c r="DP342" s="14" t="str">
        <f>IF([1]Sheet2!EA341=999999,"NA",[1]Sheet2!EA341)</f>
        <v>NA</v>
      </c>
      <c r="DQ342" s="14">
        <f>[1]Sheet2!CX341</f>
        <v>0</v>
      </c>
      <c r="DR342" s="14">
        <f>[1]Sheet2!CY341</f>
        <v>0</v>
      </c>
      <c r="DS342" s="14">
        <f>[1]Sheet2!CZ341</f>
        <v>0</v>
      </c>
      <c r="DT342" s="14">
        <f>[1]Sheet2!DA341</f>
        <v>0</v>
      </c>
      <c r="DU342" s="14">
        <f>[1]Sheet2!DB341</f>
        <v>0</v>
      </c>
      <c r="DV342" s="14">
        <f>[1]Sheet2!DC341</f>
        <v>0</v>
      </c>
      <c r="DW342" s="14">
        <f>[1]Sheet2!DD341</f>
        <v>0</v>
      </c>
      <c r="DX342" s="14">
        <f>[1]Sheet2!DE341</f>
        <v>0</v>
      </c>
      <c r="DY342" s="14">
        <f>[1]Sheet2!DF341</f>
        <v>0</v>
      </c>
      <c r="DZ342" s="14">
        <f>[1]Sheet2!DG341</f>
        <v>0</v>
      </c>
    </row>
    <row r="343" spans="1:130" x14ac:dyDescent="0.25">
      <c r="A343" s="15">
        <v>43805</v>
      </c>
      <c r="B343" s="1"/>
      <c r="C343" s="1"/>
      <c r="D343" s="1"/>
      <c r="E343" s="14">
        <f>[1]Sheet2!N342</f>
        <v>0</v>
      </c>
      <c r="F343" s="14">
        <f>[1]Sheet2!BE342</f>
        <v>0</v>
      </c>
      <c r="G343" s="14">
        <f>[1]Sheet2!CV342</f>
        <v>279.15632754342431</v>
      </c>
      <c r="H343" s="1"/>
      <c r="I343" s="1"/>
      <c r="J343" s="1"/>
      <c r="K343" s="16">
        <f>Demand_CWRS!B$14/31</f>
        <v>95.176711124896599</v>
      </c>
      <c r="L343" s="16">
        <f>Demand_CWRS!C$14/31</f>
        <v>526.22795698924722</v>
      </c>
      <c r="M343" s="16">
        <f>Demand_CWRS!D$14/31</f>
        <v>0</v>
      </c>
      <c r="N343" s="16">
        <f>Demand_CWRS!E$14/31</f>
        <v>102.37076095947063</v>
      </c>
      <c r="O343" s="16">
        <f>Demand_CWRS!F$14/31</f>
        <v>219.86823562861866</v>
      </c>
      <c r="P343" s="16">
        <f>Demand_CWRS!G$14/31</f>
        <v>95.176711124896599</v>
      </c>
      <c r="Q343" s="16">
        <f>Demand_CWRS!H$14/31</f>
        <v>526.22795698924722</v>
      </c>
      <c r="R343" s="16">
        <f>Demand_CWRS!I$14/31</f>
        <v>219.86823562861866</v>
      </c>
      <c r="S343" s="16">
        <f>Demand_CWRS!J$14/31</f>
        <v>219.86823562861866</v>
      </c>
      <c r="T343" s="16">
        <f>Demand_CWRS!K$14/31</f>
        <v>219.86823562861866</v>
      </c>
      <c r="U343" s="16">
        <f t="shared" si="153"/>
        <v>-43417.561227222723</v>
      </c>
      <c r="V343" s="16">
        <f t="shared" si="154"/>
        <v>-163543.46261373002</v>
      </c>
      <c r="W343" s="16">
        <f t="shared" si="155"/>
        <v>0</v>
      </c>
      <c r="X343" s="16">
        <f t="shared" si="156"/>
        <v>-37232.43701301406</v>
      </c>
      <c r="Y343" s="16">
        <f t="shared" si="157"/>
        <v>-73645.43727100172</v>
      </c>
      <c r="Z343" s="16">
        <f t="shared" si="158"/>
        <v>-43020.628703184317</v>
      </c>
      <c r="AA343" s="16">
        <f t="shared" si="159"/>
        <v>-163043.46261373002</v>
      </c>
      <c r="AB343" s="16">
        <f t="shared" si="160"/>
        <v>-71161.591790232371</v>
      </c>
      <c r="AC343" s="16">
        <f t="shared" si="161"/>
        <v>-71161.591790232356</v>
      </c>
      <c r="AD343" s="16">
        <f t="shared" si="162"/>
        <v>-71861.591790232371</v>
      </c>
      <c r="AE343" s="14">
        <f>IF([1]Sheet2!AJ342=999999,"NA",[1]Sheet2!AJ342)</f>
        <v>0</v>
      </c>
      <c r="AF343" s="14">
        <f>IF([1]Sheet2!AK342=999999,"NA",[1]Sheet2!AK342)</f>
        <v>0</v>
      </c>
      <c r="AG343" s="14" t="str">
        <f>IF([1]Sheet2!AL342=999999,"NA",[1]Sheet2!AL342)</f>
        <v>NA</v>
      </c>
      <c r="AH343" s="14">
        <f>IF([1]Sheet2!AM342=999999,"NA",[1]Sheet2!AM342)</f>
        <v>25</v>
      </c>
      <c r="AI343" s="14">
        <f>IF([1]Sheet2!AN342=999999,"NA",[1]Sheet2!AN342)</f>
        <v>25</v>
      </c>
      <c r="AJ343" s="14">
        <f>IF([1]Sheet2!AO342=999999,"NA",[1]Sheet2!AO342)</f>
        <v>25</v>
      </c>
      <c r="AK343" s="14">
        <f>IF([1]Sheet2!AP342=999999,"NA",[1]Sheet2!AP342)</f>
        <v>0</v>
      </c>
      <c r="AL343" s="14">
        <f>IF([1]Sheet2!AQ342=999999,"NA",[1]Sheet2!AQ342)</f>
        <v>0</v>
      </c>
      <c r="AM343" s="14">
        <f>IF([1]Sheet2!AR342=999999,"NA",[1]Sheet2!AR342)</f>
        <v>25</v>
      </c>
      <c r="AN343" s="14">
        <f>IF([1]Sheet2!AS342=999999,"NA",[1]Sheet2!AS342)</f>
        <v>0</v>
      </c>
      <c r="AO343" s="14">
        <f>[1]Sheet2!P342</f>
        <v>0</v>
      </c>
      <c r="AP343" s="14">
        <f>[1]Sheet2!Q342</f>
        <v>0</v>
      </c>
      <c r="AQ343" s="14">
        <f>[1]Sheet2!R342</f>
        <v>0</v>
      </c>
      <c r="AR343" s="14">
        <f>[1]Sheet2!S342</f>
        <v>0</v>
      </c>
      <c r="AS343" s="14">
        <f>[1]Sheet2!T342</f>
        <v>0</v>
      </c>
      <c r="AT343" s="14">
        <f>[1]Sheet2!U342</f>
        <v>0</v>
      </c>
      <c r="AU343" s="14">
        <f>[1]Sheet2!V342</f>
        <v>0</v>
      </c>
      <c r="AV343" s="14">
        <f>[1]Sheet2!W342</f>
        <v>0</v>
      </c>
      <c r="AW343" s="14">
        <f>[1]Sheet2!X342</f>
        <v>0</v>
      </c>
      <c r="AX343" s="14">
        <f>[1]Sheet2!Y342</f>
        <v>0</v>
      </c>
      <c r="AY343" s="16">
        <f>Demand_LP!B$14/31</f>
        <v>868.56315911910667</v>
      </c>
      <c r="AZ343" s="16">
        <f>Demand_LP!C$14/31</f>
        <v>608.40066170388752</v>
      </c>
      <c r="BA343" s="16">
        <f>Demand_LP!D$14/31</f>
        <v>251.20087262200158</v>
      </c>
      <c r="BB343" s="16">
        <f>Demand_LP!E$14/31</f>
        <v>807.45938378825463</v>
      </c>
      <c r="BC343" s="16">
        <f>Demand_LP!F$14/31</f>
        <v>539.59842069892466</v>
      </c>
      <c r="BD343" s="16">
        <f>Demand_LP!G$14/31</f>
        <v>868.56315911910667</v>
      </c>
      <c r="BE343" s="16">
        <f>Demand_LP!H$14/31</f>
        <v>608.40066170388752</v>
      </c>
      <c r="BF343" s="16">
        <f>Demand_LP!I$14/31</f>
        <v>539.59842069892466</v>
      </c>
      <c r="BG343" s="16">
        <f>Demand_LP!J$14/31</f>
        <v>539.59842069892466</v>
      </c>
      <c r="BH343" s="16">
        <f>Demand_LP!K$14/31</f>
        <v>539.59842069892466</v>
      </c>
      <c r="BI343" s="16" t="e">
        <f t="shared" si="163"/>
        <v>#VALUE!</v>
      </c>
      <c r="BJ343" s="16">
        <f t="shared" si="164"/>
        <v>-195641.1808933001</v>
      </c>
      <c r="BK343" s="16">
        <f t="shared" si="165"/>
        <v>-97796.956517783576</v>
      </c>
      <c r="BL343" s="16">
        <f t="shared" si="166"/>
        <v>-257876.1588506024</v>
      </c>
      <c r="BM343" s="16">
        <f t="shared" si="167"/>
        <v>-157394.53298402802</v>
      </c>
      <c r="BN343" s="16">
        <f t="shared" si="168"/>
        <v>-269470.89754983346</v>
      </c>
      <c r="BO343" s="16">
        <f t="shared" si="169"/>
        <v>-197998.76038047989</v>
      </c>
      <c r="BP343" s="16">
        <f t="shared" si="170"/>
        <v>-158506.21690239859</v>
      </c>
      <c r="BQ343" s="16">
        <f t="shared" si="171"/>
        <v>-155496.21690239871</v>
      </c>
      <c r="BR343" s="16">
        <f t="shared" si="172"/>
        <v>-156696.21690239862</v>
      </c>
      <c r="BS343" s="14">
        <f>IF([1]Sheet2!CA342=999999,"NA",[1]Sheet2!CA342)</f>
        <v>59782.78309760135</v>
      </c>
      <c r="BT343" s="14">
        <f>IF([1]Sheet2!CB342=999999,"NA",[1]Sheet2!CB342)</f>
        <v>0</v>
      </c>
      <c r="BU343" s="14">
        <f>IF([1]Sheet2!CC342=999999,"NA",[1]Sheet2!CC342)</f>
        <v>25</v>
      </c>
      <c r="BV343" s="14">
        <f>IF([1]Sheet2!CD342=999999,"NA",[1]Sheet2!CD342)</f>
        <v>25</v>
      </c>
      <c r="BW343" s="14">
        <f>IF([1]Sheet2!CE342=999999,"NA",[1]Sheet2!CE342)</f>
        <v>0</v>
      </c>
      <c r="BX343" s="14">
        <f>IF([1]Sheet2!CF342=999999,"NA",[1]Sheet2!CF342)</f>
        <v>25</v>
      </c>
      <c r="BY343" s="14">
        <f>IF([1]Sheet2!CG342=999999,"NA",[1]Sheet2!CG342)</f>
        <v>0</v>
      </c>
      <c r="BZ343" s="14">
        <f>IF([1]Sheet2!CH342=999999,"NA",[1]Sheet2!CH342)</f>
        <v>25</v>
      </c>
      <c r="CA343" s="14">
        <f>IF([1]Sheet2!CI342=999999,"NA",[1]Sheet2!CI342)</f>
        <v>25</v>
      </c>
      <c r="CB343" s="14">
        <f>IF([1]Sheet2!CJ342=999999,"NA",[1]Sheet2!CJ342)</f>
        <v>25</v>
      </c>
      <c r="CC343" s="14">
        <f>[1]Sheet2!BG342</f>
        <v>0</v>
      </c>
      <c r="CD343" s="14">
        <f>[1]Sheet2!BH342</f>
        <v>0</v>
      </c>
      <c r="CE343" s="14">
        <f>[1]Sheet2!BI342</f>
        <v>0</v>
      </c>
      <c r="CF343" s="14">
        <f>[1]Sheet2!BJ342</f>
        <v>0</v>
      </c>
      <c r="CG343" s="14">
        <f>[1]Sheet2!BK342</f>
        <v>0</v>
      </c>
      <c r="CH343" s="14">
        <f>[1]Sheet2!BL342</f>
        <v>0</v>
      </c>
      <c r="CI343" s="14">
        <f>[1]Sheet2!BM342</f>
        <v>0</v>
      </c>
      <c r="CJ343" s="14">
        <f>[1]Sheet2!BN342</f>
        <v>0</v>
      </c>
      <c r="CK343" s="14">
        <f>[1]Sheet2!BO342</f>
        <v>0</v>
      </c>
      <c r="CL343" s="14">
        <f>[1]Sheet2!BP342</f>
        <v>0</v>
      </c>
      <c r="CM343" s="16">
        <f>Demand_SW!B$14/31</f>
        <v>139.57816377171216</v>
      </c>
      <c r="CN343" s="16">
        <f>Demand_SW!C$14/31</f>
        <v>0</v>
      </c>
      <c r="CO343" s="16">
        <f>Demand_SW!D$14/31</f>
        <v>0</v>
      </c>
      <c r="CP343" s="16">
        <f>Demand_SW!E$14/31</f>
        <v>0</v>
      </c>
      <c r="CQ343" s="16">
        <f>Demand_SW!F$14/31</f>
        <v>0</v>
      </c>
      <c r="CR343" s="16">
        <f>Demand_SW!G$14/31</f>
        <v>139.57816377171216</v>
      </c>
      <c r="CS343" s="16">
        <f>Demand_SW!H$14/31</f>
        <v>0</v>
      </c>
      <c r="CT343" s="16">
        <f>Demand_SW!I$14/31</f>
        <v>0</v>
      </c>
      <c r="CU343" s="16">
        <f>Demand_SW!J$14/31</f>
        <v>0</v>
      </c>
      <c r="CV343" s="16">
        <f>Demand_SW!K$14/31</f>
        <v>0</v>
      </c>
      <c r="CW343" s="16">
        <f t="shared" si="173"/>
        <v>54460.992555831268</v>
      </c>
      <c r="CX343" s="16">
        <f t="shared" si="174"/>
        <v>20683.923076923078</v>
      </c>
      <c r="CY343" s="16">
        <f t="shared" si="175"/>
        <v>0</v>
      </c>
      <c r="CZ343" s="16">
        <f t="shared" si="176"/>
        <v>0</v>
      </c>
      <c r="DA343" s="16">
        <f t="shared" si="177"/>
        <v>0</v>
      </c>
      <c r="DB343" s="16">
        <f t="shared" si="178"/>
        <v>-45068.238213399469</v>
      </c>
      <c r="DC343" s="16">
        <f t="shared" si="179"/>
        <v>20683.923076923078</v>
      </c>
      <c r="DD343" s="16">
        <f t="shared" si="180"/>
        <v>0</v>
      </c>
      <c r="DE343" s="16">
        <f t="shared" si="181"/>
        <v>0</v>
      </c>
      <c r="DF343" s="16">
        <f t="shared" si="182"/>
        <v>0</v>
      </c>
      <c r="DG343" s="14">
        <f>IF([1]Sheet2!DR342=999999,"NA",[1]Sheet2!DR342)</f>
        <v>73103</v>
      </c>
      <c r="DH343" s="14">
        <f>IF([1]Sheet2!DS342=999999,"NA",[1]Sheet2!DS342)</f>
        <v>25</v>
      </c>
      <c r="DI343" s="14">
        <f>IF([1]Sheet2!DT342=999999,"NA",[1]Sheet2!DT342)</f>
        <v>25</v>
      </c>
      <c r="DJ343" s="14" t="str">
        <f>IF([1]Sheet2!DU342=999999,"NA",[1]Sheet2!DU342)</f>
        <v>NA</v>
      </c>
      <c r="DK343" s="14" t="str">
        <f>IF([1]Sheet2!DV342=999999,"NA",[1]Sheet2!DV342)</f>
        <v>NA</v>
      </c>
      <c r="DL343" s="14" t="str">
        <f>IF([1]Sheet2!DW342=999999,"NA",[1]Sheet2!DW342)</f>
        <v>NA</v>
      </c>
      <c r="DM343" s="14">
        <f>IF([1]Sheet2!DX342=999999,"NA",[1]Sheet2!DX342)</f>
        <v>25</v>
      </c>
      <c r="DN343" s="14">
        <f>IF([1]Sheet2!DY342=999999,"NA",[1]Sheet2!DY342)</f>
        <v>25</v>
      </c>
      <c r="DO343" s="14" t="str">
        <f>IF([1]Sheet2!DZ342=999999,"NA",[1]Sheet2!DZ342)</f>
        <v>NA</v>
      </c>
      <c r="DP343" s="14" t="str">
        <f>IF([1]Sheet2!EA342=999999,"NA",[1]Sheet2!EA342)</f>
        <v>NA</v>
      </c>
      <c r="DQ343" s="14">
        <f>[1]Sheet2!CX342</f>
        <v>0</v>
      </c>
      <c r="DR343" s="14">
        <f>[1]Sheet2!CY342</f>
        <v>0</v>
      </c>
      <c r="DS343" s="14">
        <f>[1]Sheet2!CZ342</f>
        <v>0</v>
      </c>
      <c r="DT343" s="14">
        <f>[1]Sheet2!DA342</f>
        <v>0</v>
      </c>
      <c r="DU343" s="14">
        <f>[1]Sheet2!DB342</f>
        <v>0</v>
      </c>
      <c r="DV343" s="14">
        <f>[1]Sheet2!DC342</f>
        <v>0</v>
      </c>
      <c r="DW343" s="14">
        <f>[1]Sheet2!DD342</f>
        <v>0</v>
      </c>
      <c r="DX343" s="14">
        <f>[1]Sheet2!DE342</f>
        <v>0</v>
      </c>
      <c r="DY343" s="14">
        <f>[1]Sheet2!DF342</f>
        <v>0</v>
      </c>
      <c r="DZ343" s="14">
        <f>[1]Sheet2!DG342</f>
        <v>0</v>
      </c>
    </row>
    <row r="344" spans="1:130" x14ac:dyDescent="0.25">
      <c r="A344" s="15">
        <v>43806</v>
      </c>
      <c r="B344" s="1"/>
      <c r="C344" s="1"/>
      <c r="D344" s="1"/>
      <c r="E344" s="14">
        <f>[1]Sheet2!N343</f>
        <v>0</v>
      </c>
      <c r="F344" s="14">
        <f>[1]Sheet2!BE343</f>
        <v>48000</v>
      </c>
      <c r="G344" s="14">
        <f>[1]Sheet2!CV343</f>
        <v>279.15632754342431</v>
      </c>
      <c r="H344" s="1"/>
      <c r="I344" s="1"/>
      <c r="J344" s="1"/>
      <c r="K344" s="16">
        <f>Demand_CWRS!B$14/31</f>
        <v>95.176711124896599</v>
      </c>
      <c r="L344" s="16">
        <f>Demand_CWRS!C$14/31</f>
        <v>526.22795698924722</v>
      </c>
      <c r="M344" s="16">
        <f>Demand_CWRS!D$14/31</f>
        <v>0</v>
      </c>
      <c r="N344" s="16">
        <f>Demand_CWRS!E$14/31</f>
        <v>102.37076095947063</v>
      </c>
      <c r="O344" s="16">
        <f>Demand_CWRS!F$14/31</f>
        <v>219.86823562861866</v>
      </c>
      <c r="P344" s="16">
        <f>Demand_CWRS!G$14/31</f>
        <v>95.176711124896599</v>
      </c>
      <c r="Q344" s="16">
        <f>Demand_CWRS!H$14/31</f>
        <v>526.22795698924722</v>
      </c>
      <c r="R344" s="16">
        <f>Demand_CWRS!I$14/31</f>
        <v>219.86823562861866</v>
      </c>
      <c r="S344" s="16">
        <f>Demand_CWRS!J$14/31</f>
        <v>219.86823562861866</v>
      </c>
      <c r="T344" s="16">
        <f>Demand_CWRS!K$14/31</f>
        <v>219.86823562861866</v>
      </c>
      <c r="U344" s="16">
        <f t="shared" si="153"/>
        <v>-43512.737938347622</v>
      </c>
      <c r="V344" s="16">
        <f t="shared" si="154"/>
        <v>-164069.69057071928</v>
      </c>
      <c r="W344" s="16">
        <f t="shared" si="155"/>
        <v>0</v>
      </c>
      <c r="X344" s="16">
        <f t="shared" si="156"/>
        <v>-37334.807773973531</v>
      </c>
      <c r="Y344" s="16">
        <f t="shared" si="157"/>
        <v>-73865.305506630335</v>
      </c>
      <c r="Z344" s="16">
        <f t="shared" si="158"/>
        <v>-43115.805414309216</v>
      </c>
      <c r="AA344" s="16">
        <f t="shared" si="159"/>
        <v>-163569.69057071928</v>
      </c>
      <c r="AB344" s="16">
        <f t="shared" si="160"/>
        <v>-71381.460025860986</v>
      </c>
      <c r="AC344" s="16">
        <f t="shared" si="161"/>
        <v>-71381.460025860972</v>
      </c>
      <c r="AD344" s="16">
        <f t="shared" si="162"/>
        <v>-72081.460025860986</v>
      </c>
      <c r="AE344" s="14">
        <f>IF([1]Sheet2!AJ343=999999,"NA",[1]Sheet2!AJ343)</f>
        <v>0</v>
      </c>
      <c r="AF344" s="14">
        <f>IF([1]Sheet2!AK343=999999,"NA",[1]Sheet2!AK343)</f>
        <v>0</v>
      </c>
      <c r="AG344" s="14" t="str">
        <f>IF([1]Sheet2!AL343=999999,"NA",[1]Sheet2!AL343)</f>
        <v>NA</v>
      </c>
      <c r="AH344" s="14">
        <f>IF([1]Sheet2!AM343=999999,"NA",[1]Sheet2!AM343)</f>
        <v>24</v>
      </c>
      <c r="AI344" s="14">
        <f>IF([1]Sheet2!AN343=999999,"NA",[1]Sheet2!AN343)</f>
        <v>24</v>
      </c>
      <c r="AJ344" s="14">
        <f>IF([1]Sheet2!AO343=999999,"NA",[1]Sheet2!AO343)</f>
        <v>24</v>
      </c>
      <c r="AK344" s="14">
        <f>IF([1]Sheet2!AP343=999999,"NA",[1]Sheet2!AP343)</f>
        <v>0</v>
      </c>
      <c r="AL344" s="14">
        <f>IF([1]Sheet2!AQ343=999999,"NA",[1]Sheet2!AQ343)</f>
        <v>0</v>
      </c>
      <c r="AM344" s="14">
        <f>IF([1]Sheet2!AR343=999999,"NA",[1]Sheet2!AR343)</f>
        <v>24</v>
      </c>
      <c r="AN344" s="14">
        <f>IF([1]Sheet2!AS343=999999,"NA",[1]Sheet2!AS343)</f>
        <v>0</v>
      </c>
      <c r="AO344" s="14">
        <f>[1]Sheet2!P343</f>
        <v>0</v>
      </c>
      <c r="AP344" s="14">
        <f>[1]Sheet2!Q343</f>
        <v>0</v>
      </c>
      <c r="AQ344" s="14">
        <f>[1]Sheet2!R343</f>
        <v>0</v>
      </c>
      <c r="AR344" s="14">
        <f>[1]Sheet2!S343</f>
        <v>0</v>
      </c>
      <c r="AS344" s="14">
        <f>[1]Sheet2!T343</f>
        <v>0</v>
      </c>
      <c r="AT344" s="14">
        <f>[1]Sheet2!U343</f>
        <v>0</v>
      </c>
      <c r="AU344" s="14">
        <f>[1]Sheet2!V343</f>
        <v>0</v>
      </c>
      <c r="AV344" s="14">
        <f>[1]Sheet2!W343</f>
        <v>0</v>
      </c>
      <c r="AW344" s="14">
        <f>[1]Sheet2!X343</f>
        <v>0</v>
      </c>
      <c r="AX344" s="14">
        <f>[1]Sheet2!Y343</f>
        <v>0</v>
      </c>
      <c r="AY344" s="16">
        <f>Demand_LP!B$14/31</f>
        <v>868.56315911910667</v>
      </c>
      <c r="AZ344" s="16">
        <f>Demand_LP!C$14/31</f>
        <v>608.40066170388752</v>
      </c>
      <c r="BA344" s="16">
        <f>Demand_LP!D$14/31</f>
        <v>251.20087262200158</v>
      </c>
      <c r="BB344" s="16">
        <f>Demand_LP!E$14/31</f>
        <v>807.45938378825463</v>
      </c>
      <c r="BC344" s="16">
        <f>Demand_LP!F$14/31</f>
        <v>539.59842069892466</v>
      </c>
      <c r="BD344" s="16">
        <f>Demand_LP!G$14/31</f>
        <v>868.56315911910667</v>
      </c>
      <c r="BE344" s="16">
        <f>Demand_LP!H$14/31</f>
        <v>608.40066170388752</v>
      </c>
      <c r="BF344" s="16">
        <f>Demand_LP!I$14/31</f>
        <v>539.59842069892466</v>
      </c>
      <c r="BG344" s="16">
        <f>Demand_LP!J$14/31</f>
        <v>539.59842069892466</v>
      </c>
      <c r="BH344" s="16">
        <f>Demand_LP!K$14/31</f>
        <v>539.59842069892466</v>
      </c>
      <c r="BI344" s="16" t="e">
        <f t="shared" si="163"/>
        <v>#VALUE!</v>
      </c>
      <c r="BJ344" s="16">
        <f t="shared" si="164"/>
        <v>-196249.581555004</v>
      </c>
      <c r="BK344" s="16">
        <f t="shared" si="165"/>
        <v>-98048.157390405584</v>
      </c>
      <c r="BL344" s="16">
        <f t="shared" si="166"/>
        <v>-258683.61823439065</v>
      </c>
      <c r="BM344" s="16">
        <f t="shared" si="167"/>
        <v>-157934.13140472694</v>
      </c>
      <c r="BN344" s="16">
        <f t="shared" si="168"/>
        <v>-270339.46070895257</v>
      </c>
      <c r="BO344" s="16">
        <f t="shared" si="169"/>
        <v>-198607.16104218378</v>
      </c>
      <c r="BP344" s="16">
        <f t="shared" si="170"/>
        <v>-159045.81532309751</v>
      </c>
      <c r="BQ344" s="16">
        <f t="shared" si="171"/>
        <v>-156035.81532309763</v>
      </c>
      <c r="BR344" s="16">
        <f t="shared" si="172"/>
        <v>-157235.81532309754</v>
      </c>
      <c r="BS344" s="14">
        <f>IF([1]Sheet2!CA343=999999,"NA",[1]Sheet2!CA343)</f>
        <v>59243.184676902427</v>
      </c>
      <c r="BT344" s="14">
        <f>IF([1]Sheet2!CB343=999999,"NA",[1]Sheet2!CB343)</f>
        <v>0</v>
      </c>
      <c r="BU344" s="14">
        <f>IF([1]Sheet2!CC343=999999,"NA",[1]Sheet2!CC343)</f>
        <v>24</v>
      </c>
      <c r="BV344" s="14">
        <f>IF([1]Sheet2!CD343=999999,"NA",[1]Sheet2!CD343)</f>
        <v>24</v>
      </c>
      <c r="BW344" s="14">
        <f>IF([1]Sheet2!CE343=999999,"NA",[1]Sheet2!CE343)</f>
        <v>0</v>
      </c>
      <c r="BX344" s="14">
        <f>IF([1]Sheet2!CF343=999999,"NA",[1]Sheet2!CF343)</f>
        <v>24</v>
      </c>
      <c r="BY344" s="14">
        <f>IF([1]Sheet2!CG343=999999,"NA",[1]Sheet2!CG343)</f>
        <v>0</v>
      </c>
      <c r="BZ344" s="14">
        <f>IF([1]Sheet2!CH343=999999,"NA",[1]Sheet2!CH343)</f>
        <v>24</v>
      </c>
      <c r="CA344" s="14">
        <f>IF([1]Sheet2!CI343=999999,"NA",[1]Sheet2!CI343)</f>
        <v>24</v>
      </c>
      <c r="CB344" s="14">
        <f>IF([1]Sheet2!CJ343=999999,"NA",[1]Sheet2!CJ343)</f>
        <v>24</v>
      </c>
      <c r="CC344" s="14">
        <f>[1]Sheet2!BG343</f>
        <v>0</v>
      </c>
      <c r="CD344" s="14">
        <f>[1]Sheet2!BH343</f>
        <v>0</v>
      </c>
      <c r="CE344" s="14">
        <f>[1]Sheet2!BI343</f>
        <v>0</v>
      </c>
      <c r="CF344" s="14">
        <f>[1]Sheet2!BJ343</f>
        <v>0</v>
      </c>
      <c r="CG344" s="14">
        <f>[1]Sheet2!BK343</f>
        <v>0</v>
      </c>
      <c r="CH344" s="14">
        <f>[1]Sheet2!BL343</f>
        <v>0</v>
      </c>
      <c r="CI344" s="14">
        <f>[1]Sheet2!BM343</f>
        <v>0</v>
      </c>
      <c r="CJ344" s="14">
        <f>[1]Sheet2!BN343</f>
        <v>0</v>
      </c>
      <c r="CK344" s="14">
        <f>[1]Sheet2!BO343</f>
        <v>0</v>
      </c>
      <c r="CL344" s="14">
        <f>[1]Sheet2!BP343</f>
        <v>0</v>
      </c>
      <c r="CM344" s="16">
        <f>Demand_SW!B$14/31</f>
        <v>139.57816377171216</v>
      </c>
      <c r="CN344" s="16">
        <f>Demand_SW!C$14/31</f>
        <v>0</v>
      </c>
      <c r="CO344" s="16">
        <f>Demand_SW!D$14/31</f>
        <v>0</v>
      </c>
      <c r="CP344" s="16">
        <f>Demand_SW!E$14/31</f>
        <v>0</v>
      </c>
      <c r="CQ344" s="16">
        <f>Demand_SW!F$14/31</f>
        <v>0</v>
      </c>
      <c r="CR344" s="16">
        <f>Demand_SW!G$14/31</f>
        <v>139.57816377171216</v>
      </c>
      <c r="CS344" s="16">
        <f>Demand_SW!H$14/31</f>
        <v>0</v>
      </c>
      <c r="CT344" s="16">
        <f>Demand_SW!I$14/31</f>
        <v>0</v>
      </c>
      <c r="CU344" s="16">
        <f>Demand_SW!J$14/31</f>
        <v>0</v>
      </c>
      <c r="CV344" s="16">
        <f>Demand_SW!K$14/31</f>
        <v>0</v>
      </c>
      <c r="CW344" s="16">
        <f t="shared" si="173"/>
        <v>54321.414392059552</v>
      </c>
      <c r="CX344" s="16">
        <f t="shared" si="174"/>
        <v>20683.923076923078</v>
      </c>
      <c r="CY344" s="16">
        <f t="shared" si="175"/>
        <v>0</v>
      </c>
      <c r="CZ344" s="16">
        <f t="shared" si="176"/>
        <v>0</v>
      </c>
      <c r="DA344" s="16">
        <f t="shared" si="177"/>
        <v>0</v>
      </c>
      <c r="DB344" s="16">
        <f t="shared" si="178"/>
        <v>-45207.816377171184</v>
      </c>
      <c r="DC344" s="16">
        <f t="shared" si="179"/>
        <v>20683.923076923078</v>
      </c>
      <c r="DD344" s="16">
        <f t="shared" si="180"/>
        <v>0</v>
      </c>
      <c r="DE344" s="16">
        <f t="shared" si="181"/>
        <v>0</v>
      </c>
      <c r="DF344" s="16">
        <f t="shared" si="182"/>
        <v>0</v>
      </c>
      <c r="DG344" s="14">
        <f>IF([1]Sheet2!DR343=999999,"NA",[1]Sheet2!DR343)</f>
        <v>73103</v>
      </c>
      <c r="DH344" s="14">
        <f>IF([1]Sheet2!DS343=999999,"NA",[1]Sheet2!DS343)</f>
        <v>24</v>
      </c>
      <c r="DI344" s="14">
        <f>IF([1]Sheet2!DT343=999999,"NA",[1]Sheet2!DT343)</f>
        <v>24</v>
      </c>
      <c r="DJ344" s="14" t="str">
        <f>IF([1]Sheet2!DU343=999999,"NA",[1]Sheet2!DU343)</f>
        <v>NA</v>
      </c>
      <c r="DK344" s="14" t="str">
        <f>IF([1]Sheet2!DV343=999999,"NA",[1]Sheet2!DV343)</f>
        <v>NA</v>
      </c>
      <c r="DL344" s="14" t="str">
        <f>IF([1]Sheet2!DW343=999999,"NA",[1]Sheet2!DW343)</f>
        <v>NA</v>
      </c>
      <c r="DM344" s="14">
        <f>IF([1]Sheet2!DX343=999999,"NA",[1]Sheet2!DX343)</f>
        <v>24</v>
      </c>
      <c r="DN344" s="14">
        <f>IF([1]Sheet2!DY343=999999,"NA",[1]Sheet2!DY343)</f>
        <v>24</v>
      </c>
      <c r="DO344" s="14" t="str">
        <f>IF([1]Sheet2!DZ343=999999,"NA",[1]Sheet2!DZ343)</f>
        <v>NA</v>
      </c>
      <c r="DP344" s="14" t="str">
        <f>IF([1]Sheet2!EA343=999999,"NA",[1]Sheet2!EA343)</f>
        <v>NA</v>
      </c>
      <c r="DQ344" s="14">
        <f>[1]Sheet2!CX343</f>
        <v>0</v>
      </c>
      <c r="DR344" s="14">
        <f>[1]Sheet2!CY343</f>
        <v>0</v>
      </c>
      <c r="DS344" s="14">
        <f>[1]Sheet2!CZ343</f>
        <v>0</v>
      </c>
      <c r="DT344" s="14">
        <f>[1]Sheet2!DA343</f>
        <v>0</v>
      </c>
      <c r="DU344" s="14">
        <f>[1]Sheet2!DB343</f>
        <v>0</v>
      </c>
      <c r="DV344" s="14">
        <f>[1]Sheet2!DC343</f>
        <v>0</v>
      </c>
      <c r="DW344" s="14">
        <f>[1]Sheet2!DD343</f>
        <v>0</v>
      </c>
      <c r="DX344" s="14">
        <f>[1]Sheet2!DE343</f>
        <v>0</v>
      </c>
      <c r="DY344" s="14">
        <f>[1]Sheet2!DF343</f>
        <v>0</v>
      </c>
      <c r="DZ344" s="14">
        <f>[1]Sheet2!DG343</f>
        <v>0</v>
      </c>
    </row>
    <row r="345" spans="1:130" x14ac:dyDescent="0.25">
      <c r="A345" s="15">
        <v>43807</v>
      </c>
      <c r="B345" s="1"/>
      <c r="C345" s="1"/>
      <c r="D345" s="1"/>
      <c r="E345" s="14">
        <f>[1]Sheet2!N344</f>
        <v>0</v>
      </c>
      <c r="F345" s="14">
        <f>[1]Sheet2!BE344</f>
        <v>0</v>
      </c>
      <c r="G345" s="14">
        <f>[1]Sheet2!CV344</f>
        <v>279.15632754342431</v>
      </c>
      <c r="H345" s="1"/>
      <c r="I345" s="1"/>
      <c r="J345" s="1"/>
      <c r="K345" s="16">
        <f>Demand_CWRS!B$14/31</f>
        <v>95.176711124896599</v>
      </c>
      <c r="L345" s="16">
        <f>Demand_CWRS!C$14/31</f>
        <v>526.22795698924722</v>
      </c>
      <c r="M345" s="16">
        <f>Demand_CWRS!D$14/31</f>
        <v>0</v>
      </c>
      <c r="N345" s="16">
        <f>Demand_CWRS!E$14/31</f>
        <v>102.37076095947063</v>
      </c>
      <c r="O345" s="16">
        <f>Demand_CWRS!F$14/31</f>
        <v>219.86823562861866</v>
      </c>
      <c r="P345" s="16">
        <f>Demand_CWRS!G$14/31</f>
        <v>95.176711124896599</v>
      </c>
      <c r="Q345" s="16">
        <f>Demand_CWRS!H$14/31</f>
        <v>526.22795698924722</v>
      </c>
      <c r="R345" s="16">
        <f>Demand_CWRS!I$14/31</f>
        <v>219.86823562861866</v>
      </c>
      <c r="S345" s="16">
        <f>Demand_CWRS!J$14/31</f>
        <v>219.86823562861866</v>
      </c>
      <c r="T345" s="16">
        <f>Demand_CWRS!K$14/31</f>
        <v>219.86823562861866</v>
      </c>
      <c r="U345" s="16">
        <f t="shared" si="153"/>
        <v>-43607.914649472521</v>
      </c>
      <c r="V345" s="16">
        <f t="shared" si="154"/>
        <v>-164595.91852770853</v>
      </c>
      <c r="W345" s="16">
        <f t="shared" si="155"/>
        <v>0</v>
      </c>
      <c r="X345" s="16">
        <f t="shared" si="156"/>
        <v>-37437.178534933002</v>
      </c>
      <c r="Y345" s="16">
        <f t="shared" si="157"/>
        <v>-74085.17374225895</v>
      </c>
      <c r="Z345" s="16">
        <f t="shared" si="158"/>
        <v>-43210.982125434115</v>
      </c>
      <c r="AA345" s="16">
        <f t="shared" si="159"/>
        <v>-164095.91852770853</v>
      </c>
      <c r="AB345" s="16">
        <f t="shared" si="160"/>
        <v>-71601.328261489602</v>
      </c>
      <c r="AC345" s="16">
        <f t="shared" si="161"/>
        <v>-71601.328261489587</v>
      </c>
      <c r="AD345" s="16">
        <f t="shared" si="162"/>
        <v>-72301.328261489602</v>
      </c>
      <c r="AE345" s="14">
        <f>IF([1]Sheet2!AJ344=999999,"NA",[1]Sheet2!AJ344)</f>
        <v>0</v>
      </c>
      <c r="AF345" s="14">
        <f>IF([1]Sheet2!AK344=999999,"NA",[1]Sheet2!AK344)</f>
        <v>0</v>
      </c>
      <c r="AG345" s="14" t="str">
        <f>IF([1]Sheet2!AL344=999999,"NA",[1]Sheet2!AL344)</f>
        <v>NA</v>
      </c>
      <c r="AH345" s="14">
        <f>IF([1]Sheet2!AM344=999999,"NA",[1]Sheet2!AM344)</f>
        <v>23</v>
      </c>
      <c r="AI345" s="14">
        <f>IF([1]Sheet2!AN344=999999,"NA",[1]Sheet2!AN344)</f>
        <v>23</v>
      </c>
      <c r="AJ345" s="14">
        <f>IF([1]Sheet2!AO344=999999,"NA",[1]Sheet2!AO344)</f>
        <v>23</v>
      </c>
      <c r="AK345" s="14">
        <f>IF([1]Sheet2!AP344=999999,"NA",[1]Sheet2!AP344)</f>
        <v>0</v>
      </c>
      <c r="AL345" s="14">
        <f>IF([1]Sheet2!AQ344=999999,"NA",[1]Sheet2!AQ344)</f>
        <v>0</v>
      </c>
      <c r="AM345" s="14">
        <f>IF([1]Sheet2!AR344=999999,"NA",[1]Sheet2!AR344)</f>
        <v>23</v>
      </c>
      <c r="AN345" s="14">
        <f>IF([1]Sheet2!AS344=999999,"NA",[1]Sheet2!AS344)</f>
        <v>0</v>
      </c>
      <c r="AO345" s="14">
        <f>[1]Sheet2!P344</f>
        <v>0</v>
      </c>
      <c r="AP345" s="14">
        <f>[1]Sheet2!Q344</f>
        <v>0</v>
      </c>
      <c r="AQ345" s="14">
        <f>[1]Sheet2!R344</f>
        <v>0</v>
      </c>
      <c r="AR345" s="14">
        <f>[1]Sheet2!S344</f>
        <v>0</v>
      </c>
      <c r="AS345" s="14">
        <f>[1]Sheet2!T344</f>
        <v>0</v>
      </c>
      <c r="AT345" s="14">
        <f>[1]Sheet2!U344</f>
        <v>0</v>
      </c>
      <c r="AU345" s="14">
        <f>[1]Sheet2!V344</f>
        <v>0</v>
      </c>
      <c r="AV345" s="14">
        <f>[1]Sheet2!W344</f>
        <v>0</v>
      </c>
      <c r="AW345" s="14">
        <f>[1]Sheet2!X344</f>
        <v>0</v>
      </c>
      <c r="AX345" s="14">
        <f>[1]Sheet2!Y344</f>
        <v>0</v>
      </c>
      <c r="AY345" s="16">
        <f>Demand_LP!B$14/31</f>
        <v>868.56315911910667</v>
      </c>
      <c r="AZ345" s="16">
        <f>Demand_LP!C$14/31</f>
        <v>608.40066170388752</v>
      </c>
      <c r="BA345" s="16">
        <f>Demand_LP!D$14/31</f>
        <v>251.20087262200158</v>
      </c>
      <c r="BB345" s="16">
        <f>Demand_LP!E$14/31</f>
        <v>807.45938378825463</v>
      </c>
      <c r="BC345" s="16">
        <f>Demand_LP!F$14/31</f>
        <v>539.59842069892466</v>
      </c>
      <c r="BD345" s="16">
        <f>Demand_LP!G$14/31</f>
        <v>868.56315911910667</v>
      </c>
      <c r="BE345" s="16">
        <f>Demand_LP!H$14/31</f>
        <v>608.40066170388752</v>
      </c>
      <c r="BF345" s="16">
        <f>Demand_LP!I$14/31</f>
        <v>539.59842069892466</v>
      </c>
      <c r="BG345" s="16">
        <f>Demand_LP!J$14/31</f>
        <v>539.59842069892466</v>
      </c>
      <c r="BH345" s="16">
        <f>Demand_LP!K$14/31</f>
        <v>539.59842069892466</v>
      </c>
      <c r="BI345" s="16" t="e">
        <f t="shared" si="163"/>
        <v>#VALUE!</v>
      </c>
      <c r="BJ345" s="16">
        <f t="shared" si="164"/>
        <v>-196857.9822167079</v>
      </c>
      <c r="BK345" s="16">
        <f t="shared" si="165"/>
        <v>-98299.358263027592</v>
      </c>
      <c r="BL345" s="16">
        <f t="shared" si="166"/>
        <v>-259491.07761817891</v>
      </c>
      <c r="BM345" s="16">
        <f t="shared" si="167"/>
        <v>-158473.72982542586</v>
      </c>
      <c r="BN345" s="16">
        <f t="shared" si="168"/>
        <v>-271208.02386807167</v>
      </c>
      <c r="BO345" s="16">
        <f t="shared" si="169"/>
        <v>-199215.56170388768</v>
      </c>
      <c r="BP345" s="16">
        <f t="shared" si="170"/>
        <v>-159585.41374379644</v>
      </c>
      <c r="BQ345" s="16">
        <f t="shared" si="171"/>
        <v>-156575.41374379655</v>
      </c>
      <c r="BR345" s="16">
        <f t="shared" si="172"/>
        <v>-157775.41374379647</v>
      </c>
      <c r="BS345" s="14">
        <f>IF([1]Sheet2!CA344=999999,"NA",[1]Sheet2!CA344)</f>
        <v>58703.586256203504</v>
      </c>
      <c r="BT345" s="14">
        <f>IF([1]Sheet2!CB344=999999,"NA",[1]Sheet2!CB344)</f>
        <v>0</v>
      </c>
      <c r="BU345" s="14">
        <f>IF([1]Sheet2!CC344=999999,"NA",[1]Sheet2!CC344)</f>
        <v>23</v>
      </c>
      <c r="BV345" s="14">
        <f>IF([1]Sheet2!CD344=999999,"NA",[1]Sheet2!CD344)</f>
        <v>23</v>
      </c>
      <c r="BW345" s="14">
        <f>IF([1]Sheet2!CE344=999999,"NA",[1]Sheet2!CE344)</f>
        <v>0</v>
      </c>
      <c r="BX345" s="14">
        <f>IF([1]Sheet2!CF344=999999,"NA",[1]Sheet2!CF344)</f>
        <v>23</v>
      </c>
      <c r="BY345" s="14">
        <f>IF([1]Sheet2!CG344=999999,"NA",[1]Sheet2!CG344)</f>
        <v>0</v>
      </c>
      <c r="BZ345" s="14">
        <f>IF([1]Sheet2!CH344=999999,"NA",[1]Sheet2!CH344)</f>
        <v>23</v>
      </c>
      <c r="CA345" s="14">
        <f>IF([1]Sheet2!CI344=999999,"NA",[1]Sheet2!CI344)</f>
        <v>23</v>
      </c>
      <c r="CB345" s="14">
        <f>IF([1]Sheet2!CJ344=999999,"NA",[1]Sheet2!CJ344)</f>
        <v>23</v>
      </c>
      <c r="CC345" s="14">
        <f>[1]Sheet2!BG344</f>
        <v>0</v>
      </c>
      <c r="CD345" s="14">
        <f>[1]Sheet2!BH344</f>
        <v>0</v>
      </c>
      <c r="CE345" s="14">
        <f>[1]Sheet2!BI344</f>
        <v>0</v>
      </c>
      <c r="CF345" s="14">
        <f>[1]Sheet2!BJ344</f>
        <v>0</v>
      </c>
      <c r="CG345" s="14">
        <f>[1]Sheet2!BK344</f>
        <v>0</v>
      </c>
      <c r="CH345" s="14">
        <f>[1]Sheet2!BL344</f>
        <v>0</v>
      </c>
      <c r="CI345" s="14">
        <f>[1]Sheet2!BM344</f>
        <v>0</v>
      </c>
      <c r="CJ345" s="14">
        <f>[1]Sheet2!BN344</f>
        <v>0</v>
      </c>
      <c r="CK345" s="14">
        <f>[1]Sheet2!BO344</f>
        <v>0</v>
      </c>
      <c r="CL345" s="14">
        <f>[1]Sheet2!BP344</f>
        <v>0</v>
      </c>
      <c r="CM345" s="16">
        <f>Demand_SW!B$14/31</f>
        <v>139.57816377171216</v>
      </c>
      <c r="CN345" s="16">
        <f>Demand_SW!C$14/31</f>
        <v>0</v>
      </c>
      <c r="CO345" s="16">
        <f>Demand_SW!D$14/31</f>
        <v>0</v>
      </c>
      <c r="CP345" s="16">
        <f>Demand_SW!E$14/31</f>
        <v>0</v>
      </c>
      <c r="CQ345" s="16">
        <f>Demand_SW!F$14/31</f>
        <v>0</v>
      </c>
      <c r="CR345" s="16">
        <f>Demand_SW!G$14/31</f>
        <v>139.57816377171216</v>
      </c>
      <c r="CS345" s="16">
        <f>Demand_SW!H$14/31</f>
        <v>0</v>
      </c>
      <c r="CT345" s="16">
        <f>Demand_SW!I$14/31</f>
        <v>0</v>
      </c>
      <c r="CU345" s="16">
        <f>Demand_SW!J$14/31</f>
        <v>0</v>
      </c>
      <c r="CV345" s="16">
        <f>Demand_SW!K$14/31</f>
        <v>0</v>
      </c>
      <c r="CW345" s="16">
        <f t="shared" si="173"/>
        <v>54181.836228287837</v>
      </c>
      <c r="CX345" s="16">
        <f t="shared" si="174"/>
        <v>20683.923076923078</v>
      </c>
      <c r="CY345" s="16">
        <f t="shared" si="175"/>
        <v>0</v>
      </c>
      <c r="CZ345" s="16">
        <f t="shared" si="176"/>
        <v>0</v>
      </c>
      <c r="DA345" s="16">
        <f t="shared" si="177"/>
        <v>0</v>
      </c>
      <c r="DB345" s="16">
        <f t="shared" si="178"/>
        <v>-45347.3945409429</v>
      </c>
      <c r="DC345" s="16">
        <f t="shared" si="179"/>
        <v>20683.923076923078</v>
      </c>
      <c r="DD345" s="16">
        <f t="shared" si="180"/>
        <v>0</v>
      </c>
      <c r="DE345" s="16">
        <f t="shared" si="181"/>
        <v>0</v>
      </c>
      <c r="DF345" s="16">
        <f t="shared" si="182"/>
        <v>0</v>
      </c>
      <c r="DG345" s="14">
        <f>IF([1]Sheet2!DR344=999999,"NA",[1]Sheet2!DR344)</f>
        <v>73103</v>
      </c>
      <c r="DH345" s="14">
        <f>IF([1]Sheet2!DS344=999999,"NA",[1]Sheet2!DS344)</f>
        <v>23</v>
      </c>
      <c r="DI345" s="14">
        <f>IF([1]Sheet2!DT344=999999,"NA",[1]Sheet2!DT344)</f>
        <v>23</v>
      </c>
      <c r="DJ345" s="14" t="str">
        <f>IF([1]Sheet2!DU344=999999,"NA",[1]Sheet2!DU344)</f>
        <v>NA</v>
      </c>
      <c r="DK345" s="14" t="str">
        <f>IF([1]Sheet2!DV344=999999,"NA",[1]Sheet2!DV344)</f>
        <v>NA</v>
      </c>
      <c r="DL345" s="14" t="str">
        <f>IF([1]Sheet2!DW344=999999,"NA",[1]Sheet2!DW344)</f>
        <v>NA</v>
      </c>
      <c r="DM345" s="14">
        <f>IF([1]Sheet2!DX344=999999,"NA",[1]Sheet2!DX344)</f>
        <v>23</v>
      </c>
      <c r="DN345" s="14">
        <f>IF([1]Sheet2!DY344=999999,"NA",[1]Sheet2!DY344)</f>
        <v>23</v>
      </c>
      <c r="DO345" s="14" t="str">
        <f>IF([1]Sheet2!DZ344=999999,"NA",[1]Sheet2!DZ344)</f>
        <v>NA</v>
      </c>
      <c r="DP345" s="14" t="str">
        <f>IF([1]Sheet2!EA344=999999,"NA",[1]Sheet2!EA344)</f>
        <v>NA</v>
      </c>
      <c r="DQ345" s="14">
        <f>[1]Sheet2!CX344</f>
        <v>0</v>
      </c>
      <c r="DR345" s="14">
        <f>[1]Sheet2!CY344</f>
        <v>0</v>
      </c>
      <c r="DS345" s="14">
        <f>[1]Sheet2!CZ344</f>
        <v>0</v>
      </c>
      <c r="DT345" s="14">
        <f>[1]Sheet2!DA344</f>
        <v>0</v>
      </c>
      <c r="DU345" s="14">
        <f>[1]Sheet2!DB344</f>
        <v>0</v>
      </c>
      <c r="DV345" s="14">
        <f>[1]Sheet2!DC344</f>
        <v>0</v>
      </c>
      <c r="DW345" s="14">
        <f>[1]Sheet2!DD344</f>
        <v>0</v>
      </c>
      <c r="DX345" s="14">
        <f>[1]Sheet2!DE344</f>
        <v>0</v>
      </c>
      <c r="DY345" s="14">
        <f>[1]Sheet2!DF344</f>
        <v>0</v>
      </c>
      <c r="DZ345" s="14">
        <f>[1]Sheet2!DG344</f>
        <v>0</v>
      </c>
    </row>
    <row r="346" spans="1:130" x14ac:dyDescent="0.25">
      <c r="A346" s="15">
        <v>43808</v>
      </c>
      <c r="B346" s="1"/>
      <c r="C346" s="1"/>
      <c r="D346" s="1"/>
      <c r="E346" s="14">
        <f>[1]Sheet2!N345</f>
        <v>0</v>
      </c>
      <c r="F346" s="14">
        <f>[1]Sheet2!BE345</f>
        <v>0</v>
      </c>
      <c r="G346" s="14">
        <f>[1]Sheet2!CV345</f>
        <v>279.15632754342431</v>
      </c>
      <c r="H346" s="1"/>
      <c r="I346" s="1"/>
      <c r="J346" s="1"/>
      <c r="K346" s="16">
        <f>Demand_CWRS!B$14/31</f>
        <v>95.176711124896599</v>
      </c>
      <c r="L346" s="16">
        <f>Demand_CWRS!C$14/31</f>
        <v>526.22795698924722</v>
      </c>
      <c r="M346" s="16">
        <f>Demand_CWRS!D$14/31</f>
        <v>0</v>
      </c>
      <c r="N346" s="16">
        <f>Demand_CWRS!E$14/31</f>
        <v>102.37076095947063</v>
      </c>
      <c r="O346" s="16">
        <f>Demand_CWRS!F$14/31</f>
        <v>219.86823562861866</v>
      </c>
      <c r="P346" s="16">
        <f>Demand_CWRS!G$14/31</f>
        <v>95.176711124896599</v>
      </c>
      <c r="Q346" s="16">
        <f>Demand_CWRS!H$14/31</f>
        <v>526.22795698924722</v>
      </c>
      <c r="R346" s="16">
        <f>Demand_CWRS!I$14/31</f>
        <v>219.86823562861866</v>
      </c>
      <c r="S346" s="16">
        <f>Demand_CWRS!J$14/31</f>
        <v>219.86823562861866</v>
      </c>
      <c r="T346" s="16">
        <f>Demand_CWRS!K$14/31</f>
        <v>219.86823562861866</v>
      </c>
      <c r="U346" s="16">
        <f t="shared" si="153"/>
        <v>-43703.09136059742</v>
      </c>
      <c r="V346" s="16">
        <f t="shared" si="154"/>
        <v>-165122.14648469779</v>
      </c>
      <c r="W346" s="16">
        <f t="shared" si="155"/>
        <v>0</v>
      </c>
      <c r="X346" s="16">
        <f t="shared" si="156"/>
        <v>-37539.549295892473</v>
      </c>
      <c r="Y346" s="16">
        <f t="shared" si="157"/>
        <v>-74305.041977887566</v>
      </c>
      <c r="Z346" s="16">
        <f t="shared" si="158"/>
        <v>-43306.158836559014</v>
      </c>
      <c r="AA346" s="16">
        <f t="shared" si="159"/>
        <v>-164622.14648469779</v>
      </c>
      <c r="AB346" s="16">
        <f t="shared" si="160"/>
        <v>-71821.196497118217</v>
      </c>
      <c r="AC346" s="16">
        <f t="shared" si="161"/>
        <v>-71821.196497118202</v>
      </c>
      <c r="AD346" s="16">
        <f t="shared" si="162"/>
        <v>-72521.196497118217</v>
      </c>
      <c r="AE346" s="14">
        <f>IF([1]Sheet2!AJ345=999999,"NA",[1]Sheet2!AJ345)</f>
        <v>0</v>
      </c>
      <c r="AF346" s="14">
        <f>IF([1]Sheet2!AK345=999999,"NA",[1]Sheet2!AK345)</f>
        <v>0</v>
      </c>
      <c r="AG346" s="14" t="str">
        <f>IF([1]Sheet2!AL345=999999,"NA",[1]Sheet2!AL345)</f>
        <v>NA</v>
      </c>
      <c r="AH346" s="14">
        <f>IF([1]Sheet2!AM345=999999,"NA",[1]Sheet2!AM345)</f>
        <v>22</v>
      </c>
      <c r="AI346" s="14">
        <f>IF([1]Sheet2!AN345=999999,"NA",[1]Sheet2!AN345)</f>
        <v>22</v>
      </c>
      <c r="AJ346" s="14">
        <f>IF([1]Sheet2!AO345=999999,"NA",[1]Sheet2!AO345)</f>
        <v>22</v>
      </c>
      <c r="AK346" s="14">
        <f>IF([1]Sheet2!AP345=999999,"NA",[1]Sheet2!AP345)</f>
        <v>0</v>
      </c>
      <c r="AL346" s="14">
        <f>IF([1]Sheet2!AQ345=999999,"NA",[1]Sheet2!AQ345)</f>
        <v>0</v>
      </c>
      <c r="AM346" s="14">
        <f>IF([1]Sheet2!AR345=999999,"NA",[1]Sheet2!AR345)</f>
        <v>22</v>
      </c>
      <c r="AN346" s="14">
        <f>IF([1]Sheet2!AS345=999999,"NA",[1]Sheet2!AS345)</f>
        <v>0</v>
      </c>
      <c r="AO346" s="14">
        <f>[1]Sheet2!P345</f>
        <v>0</v>
      </c>
      <c r="AP346" s="14">
        <f>[1]Sheet2!Q345</f>
        <v>0</v>
      </c>
      <c r="AQ346" s="14">
        <f>[1]Sheet2!R345</f>
        <v>0</v>
      </c>
      <c r="AR346" s="14">
        <f>[1]Sheet2!S345</f>
        <v>0</v>
      </c>
      <c r="AS346" s="14">
        <f>[1]Sheet2!T345</f>
        <v>0</v>
      </c>
      <c r="AT346" s="14">
        <f>[1]Sheet2!U345</f>
        <v>0</v>
      </c>
      <c r="AU346" s="14">
        <f>[1]Sheet2!V345</f>
        <v>0</v>
      </c>
      <c r="AV346" s="14">
        <f>[1]Sheet2!W345</f>
        <v>0</v>
      </c>
      <c r="AW346" s="14">
        <f>[1]Sheet2!X345</f>
        <v>0</v>
      </c>
      <c r="AX346" s="14">
        <f>[1]Sheet2!Y345</f>
        <v>0</v>
      </c>
      <c r="AY346" s="16">
        <f>Demand_LP!B$14/31</f>
        <v>868.56315911910667</v>
      </c>
      <c r="AZ346" s="16">
        <f>Demand_LP!C$14/31</f>
        <v>608.40066170388752</v>
      </c>
      <c r="BA346" s="16">
        <f>Demand_LP!D$14/31</f>
        <v>251.20087262200158</v>
      </c>
      <c r="BB346" s="16">
        <f>Demand_LP!E$14/31</f>
        <v>807.45938378825463</v>
      </c>
      <c r="BC346" s="16">
        <f>Demand_LP!F$14/31</f>
        <v>539.59842069892466</v>
      </c>
      <c r="BD346" s="16">
        <f>Demand_LP!G$14/31</f>
        <v>868.56315911910667</v>
      </c>
      <c r="BE346" s="16">
        <f>Demand_LP!H$14/31</f>
        <v>608.40066170388752</v>
      </c>
      <c r="BF346" s="16">
        <f>Demand_LP!I$14/31</f>
        <v>539.59842069892466</v>
      </c>
      <c r="BG346" s="16">
        <f>Demand_LP!J$14/31</f>
        <v>539.59842069892466</v>
      </c>
      <c r="BH346" s="16">
        <f>Demand_LP!K$14/31</f>
        <v>539.59842069892466</v>
      </c>
      <c r="BI346" s="16" t="e">
        <f t="shared" si="163"/>
        <v>#VALUE!</v>
      </c>
      <c r="BJ346" s="16">
        <f t="shared" si="164"/>
        <v>-197466.38287841179</v>
      </c>
      <c r="BK346" s="16">
        <f t="shared" si="165"/>
        <v>-98550.559135649601</v>
      </c>
      <c r="BL346" s="16">
        <f t="shared" si="166"/>
        <v>-260298.53700196717</v>
      </c>
      <c r="BM346" s="16">
        <f t="shared" si="167"/>
        <v>-159013.32824612479</v>
      </c>
      <c r="BN346" s="16">
        <f t="shared" si="168"/>
        <v>-272076.58702719078</v>
      </c>
      <c r="BO346" s="16">
        <f t="shared" si="169"/>
        <v>-199823.96236559158</v>
      </c>
      <c r="BP346" s="16">
        <f t="shared" si="170"/>
        <v>-160125.01216449536</v>
      </c>
      <c r="BQ346" s="16">
        <f t="shared" si="171"/>
        <v>-157115.01216449548</v>
      </c>
      <c r="BR346" s="16">
        <f t="shared" si="172"/>
        <v>-158315.01216449539</v>
      </c>
      <c r="BS346" s="14">
        <f>IF([1]Sheet2!CA345=999999,"NA",[1]Sheet2!CA345)</f>
        <v>58163.98783550458</v>
      </c>
      <c r="BT346" s="14">
        <f>IF([1]Sheet2!CB345=999999,"NA",[1]Sheet2!CB345)</f>
        <v>0</v>
      </c>
      <c r="BU346" s="14">
        <f>IF([1]Sheet2!CC345=999999,"NA",[1]Sheet2!CC345)</f>
        <v>22</v>
      </c>
      <c r="BV346" s="14">
        <f>IF([1]Sheet2!CD345=999999,"NA",[1]Sheet2!CD345)</f>
        <v>22</v>
      </c>
      <c r="BW346" s="14">
        <f>IF([1]Sheet2!CE345=999999,"NA",[1]Sheet2!CE345)</f>
        <v>0</v>
      </c>
      <c r="BX346" s="14">
        <f>IF([1]Sheet2!CF345=999999,"NA",[1]Sheet2!CF345)</f>
        <v>22</v>
      </c>
      <c r="BY346" s="14">
        <f>IF([1]Sheet2!CG345=999999,"NA",[1]Sheet2!CG345)</f>
        <v>0</v>
      </c>
      <c r="BZ346" s="14">
        <f>IF([1]Sheet2!CH345=999999,"NA",[1]Sheet2!CH345)</f>
        <v>22</v>
      </c>
      <c r="CA346" s="14">
        <f>IF([1]Sheet2!CI345=999999,"NA",[1]Sheet2!CI345)</f>
        <v>22</v>
      </c>
      <c r="CB346" s="14">
        <f>IF([1]Sheet2!CJ345=999999,"NA",[1]Sheet2!CJ345)</f>
        <v>22</v>
      </c>
      <c r="CC346" s="14">
        <f>[1]Sheet2!BG345</f>
        <v>0</v>
      </c>
      <c r="CD346" s="14">
        <f>[1]Sheet2!BH345</f>
        <v>0</v>
      </c>
      <c r="CE346" s="14">
        <f>[1]Sheet2!BI345</f>
        <v>0</v>
      </c>
      <c r="CF346" s="14">
        <f>[1]Sheet2!BJ345</f>
        <v>0</v>
      </c>
      <c r="CG346" s="14">
        <f>[1]Sheet2!BK345</f>
        <v>0</v>
      </c>
      <c r="CH346" s="14">
        <f>[1]Sheet2!BL345</f>
        <v>0</v>
      </c>
      <c r="CI346" s="14">
        <f>[1]Sheet2!BM345</f>
        <v>0</v>
      </c>
      <c r="CJ346" s="14">
        <f>[1]Sheet2!BN345</f>
        <v>0</v>
      </c>
      <c r="CK346" s="14">
        <f>[1]Sheet2!BO345</f>
        <v>0</v>
      </c>
      <c r="CL346" s="14">
        <f>[1]Sheet2!BP345</f>
        <v>0</v>
      </c>
      <c r="CM346" s="16">
        <f>Demand_SW!B$14/31</f>
        <v>139.57816377171216</v>
      </c>
      <c r="CN346" s="16">
        <f>Demand_SW!C$14/31</f>
        <v>0</v>
      </c>
      <c r="CO346" s="16">
        <f>Demand_SW!D$14/31</f>
        <v>0</v>
      </c>
      <c r="CP346" s="16">
        <f>Demand_SW!E$14/31</f>
        <v>0</v>
      </c>
      <c r="CQ346" s="16">
        <f>Demand_SW!F$14/31</f>
        <v>0</v>
      </c>
      <c r="CR346" s="16">
        <f>Demand_SW!G$14/31</f>
        <v>139.57816377171216</v>
      </c>
      <c r="CS346" s="16">
        <f>Demand_SW!H$14/31</f>
        <v>0</v>
      </c>
      <c r="CT346" s="16">
        <f>Demand_SW!I$14/31</f>
        <v>0</v>
      </c>
      <c r="CU346" s="16">
        <f>Demand_SW!J$14/31</f>
        <v>0</v>
      </c>
      <c r="CV346" s="16">
        <f>Demand_SW!K$14/31</f>
        <v>0</v>
      </c>
      <c r="CW346" s="16">
        <f t="shared" si="173"/>
        <v>54042.258064516122</v>
      </c>
      <c r="CX346" s="16">
        <f t="shared" si="174"/>
        <v>20683.923076923078</v>
      </c>
      <c r="CY346" s="16">
        <f t="shared" si="175"/>
        <v>0</v>
      </c>
      <c r="CZ346" s="16">
        <f t="shared" si="176"/>
        <v>0</v>
      </c>
      <c r="DA346" s="16">
        <f t="shared" si="177"/>
        <v>0</v>
      </c>
      <c r="DB346" s="16">
        <f t="shared" si="178"/>
        <v>-45486.972704714615</v>
      </c>
      <c r="DC346" s="16">
        <f t="shared" si="179"/>
        <v>20683.923076923078</v>
      </c>
      <c r="DD346" s="16">
        <f t="shared" si="180"/>
        <v>0</v>
      </c>
      <c r="DE346" s="16">
        <f t="shared" si="181"/>
        <v>0</v>
      </c>
      <c r="DF346" s="16">
        <f t="shared" si="182"/>
        <v>0</v>
      </c>
      <c r="DG346" s="14">
        <f>IF([1]Sheet2!DR345=999999,"NA",[1]Sheet2!DR345)</f>
        <v>73103</v>
      </c>
      <c r="DH346" s="14">
        <f>IF([1]Sheet2!DS345=999999,"NA",[1]Sheet2!DS345)</f>
        <v>22</v>
      </c>
      <c r="DI346" s="14">
        <f>IF([1]Sheet2!DT345=999999,"NA",[1]Sheet2!DT345)</f>
        <v>22</v>
      </c>
      <c r="DJ346" s="14" t="str">
        <f>IF([1]Sheet2!DU345=999999,"NA",[1]Sheet2!DU345)</f>
        <v>NA</v>
      </c>
      <c r="DK346" s="14" t="str">
        <f>IF([1]Sheet2!DV345=999999,"NA",[1]Sheet2!DV345)</f>
        <v>NA</v>
      </c>
      <c r="DL346" s="14" t="str">
        <f>IF([1]Sheet2!DW345=999999,"NA",[1]Sheet2!DW345)</f>
        <v>NA</v>
      </c>
      <c r="DM346" s="14">
        <f>IF([1]Sheet2!DX345=999999,"NA",[1]Sheet2!DX345)</f>
        <v>22</v>
      </c>
      <c r="DN346" s="14">
        <f>IF([1]Sheet2!DY345=999999,"NA",[1]Sheet2!DY345)</f>
        <v>22</v>
      </c>
      <c r="DO346" s="14" t="str">
        <f>IF([1]Sheet2!DZ345=999999,"NA",[1]Sheet2!DZ345)</f>
        <v>NA</v>
      </c>
      <c r="DP346" s="14" t="str">
        <f>IF([1]Sheet2!EA345=999999,"NA",[1]Sheet2!EA345)</f>
        <v>NA</v>
      </c>
      <c r="DQ346" s="14">
        <f>[1]Sheet2!CX345</f>
        <v>0</v>
      </c>
      <c r="DR346" s="14">
        <f>[1]Sheet2!CY345</f>
        <v>0</v>
      </c>
      <c r="DS346" s="14">
        <f>[1]Sheet2!CZ345</f>
        <v>0</v>
      </c>
      <c r="DT346" s="14">
        <f>[1]Sheet2!DA345</f>
        <v>0</v>
      </c>
      <c r="DU346" s="14">
        <f>[1]Sheet2!DB345</f>
        <v>0</v>
      </c>
      <c r="DV346" s="14">
        <f>[1]Sheet2!DC345</f>
        <v>0</v>
      </c>
      <c r="DW346" s="14">
        <f>[1]Sheet2!DD345</f>
        <v>0</v>
      </c>
      <c r="DX346" s="14">
        <f>[1]Sheet2!DE345</f>
        <v>0</v>
      </c>
      <c r="DY346" s="14">
        <f>[1]Sheet2!DF345</f>
        <v>0</v>
      </c>
      <c r="DZ346" s="14">
        <f>[1]Sheet2!DG345</f>
        <v>0</v>
      </c>
    </row>
    <row r="347" spans="1:130" x14ac:dyDescent="0.25">
      <c r="A347" s="15">
        <v>43809</v>
      </c>
      <c r="B347" s="1"/>
      <c r="C347" s="1"/>
      <c r="D347" s="1"/>
      <c r="E347" s="14">
        <f>[1]Sheet2!N346</f>
        <v>0</v>
      </c>
      <c r="F347" s="14">
        <f>[1]Sheet2!BE346</f>
        <v>0</v>
      </c>
      <c r="G347" s="14">
        <f>[1]Sheet2!CV346</f>
        <v>279.15632754342431</v>
      </c>
      <c r="H347" s="1"/>
      <c r="I347" s="1"/>
      <c r="J347" s="1"/>
      <c r="K347" s="16">
        <f>Demand_CWRS!B$14/31</f>
        <v>95.176711124896599</v>
      </c>
      <c r="L347" s="16">
        <f>Demand_CWRS!C$14/31</f>
        <v>526.22795698924722</v>
      </c>
      <c r="M347" s="16">
        <f>Demand_CWRS!D$14/31</f>
        <v>0</v>
      </c>
      <c r="N347" s="16">
        <f>Demand_CWRS!E$14/31</f>
        <v>102.37076095947063</v>
      </c>
      <c r="O347" s="16">
        <f>Demand_CWRS!F$14/31</f>
        <v>219.86823562861866</v>
      </c>
      <c r="P347" s="16">
        <f>Demand_CWRS!G$14/31</f>
        <v>95.176711124896599</v>
      </c>
      <c r="Q347" s="16">
        <f>Demand_CWRS!H$14/31</f>
        <v>526.22795698924722</v>
      </c>
      <c r="R347" s="16">
        <f>Demand_CWRS!I$14/31</f>
        <v>219.86823562861866</v>
      </c>
      <c r="S347" s="16">
        <f>Demand_CWRS!J$14/31</f>
        <v>219.86823562861866</v>
      </c>
      <c r="T347" s="16">
        <f>Demand_CWRS!K$14/31</f>
        <v>219.86823562861866</v>
      </c>
      <c r="U347" s="16">
        <f t="shared" si="153"/>
        <v>-43798.268071722319</v>
      </c>
      <c r="V347" s="16">
        <f t="shared" si="154"/>
        <v>-165648.37444168705</v>
      </c>
      <c r="W347" s="16">
        <f t="shared" si="155"/>
        <v>0</v>
      </c>
      <c r="X347" s="16">
        <f t="shared" si="156"/>
        <v>-37641.920056851945</v>
      </c>
      <c r="Y347" s="16">
        <f t="shared" si="157"/>
        <v>-74524.910213516181</v>
      </c>
      <c r="Z347" s="16">
        <f t="shared" si="158"/>
        <v>-43401.335547683913</v>
      </c>
      <c r="AA347" s="16">
        <f t="shared" si="159"/>
        <v>-165148.37444168705</v>
      </c>
      <c r="AB347" s="16">
        <f t="shared" si="160"/>
        <v>-72041.064732746832</v>
      </c>
      <c r="AC347" s="16">
        <f t="shared" si="161"/>
        <v>-72041.064732746818</v>
      </c>
      <c r="AD347" s="16">
        <f t="shared" si="162"/>
        <v>-72741.064732746832</v>
      </c>
      <c r="AE347" s="14">
        <f>IF([1]Sheet2!AJ346=999999,"NA",[1]Sheet2!AJ346)</f>
        <v>0</v>
      </c>
      <c r="AF347" s="14">
        <f>IF([1]Sheet2!AK346=999999,"NA",[1]Sheet2!AK346)</f>
        <v>0</v>
      </c>
      <c r="AG347" s="14" t="str">
        <f>IF([1]Sheet2!AL346=999999,"NA",[1]Sheet2!AL346)</f>
        <v>NA</v>
      </c>
      <c r="AH347" s="14">
        <f>IF([1]Sheet2!AM346=999999,"NA",[1]Sheet2!AM346)</f>
        <v>21</v>
      </c>
      <c r="AI347" s="14">
        <f>IF([1]Sheet2!AN346=999999,"NA",[1]Sheet2!AN346)</f>
        <v>21</v>
      </c>
      <c r="AJ347" s="14">
        <f>IF([1]Sheet2!AO346=999999,"NA",[1]Sheet2!AO346)</f>
        <v>21</v>
      </c>
      <c r="AK347" s="14">
        <f>IF([1]Sheet2!AP346=999999,"NA",[1]Sheet2!AP346)</f>
        <v>0</v>
      </c>
      <c r="AL347" s="14">
        <f>IF([1]Sheet2!AQ346=999999,"NA",[1]Sheet2!AQ346)</f>
        <v>0</v>
      </c>
      <c r="AM347" s="14">
        <f>IF([1]Sheet2!AR346=999999,"NA",[1]Sheet2!AR346)</f>
        <v>21</v>
      </c>
      <c r="AN347" s="14">
        <f>IF([1]Sheet2!AS346=999999,"NA",[1]Sheet2!AS346)</f>
        <v>0</v>
      </c>
      <c r="AO347" s="14">
        <f>[1]Sheet2!P346</f>
        <v>0</v>
      </c>
      <c r="AP347" s="14">
        <f>[1]Sheet2!Q346</f>
        <v>0</v>
      </c>
      <c r="AQ347" s="14">
        <f>[1]Sheet2!R346</f>
        <v>0</v>
      </c>
      <c r="AR347" s="14">
        <f>[1]Sheet2!S346</f>
        <v>0</v>
      </c>
      <c r="AS347" s="14">
        <f>[1]Sheet2!T346</f>
        <v>0</v>
      </c>
      <c r="AT347" s="14">
        <f>[1]Sheet2!U346</f>
        <v>0</v>
      </c>
      <c r="AU347" s="14">
        <f>[1]Sheet2!V346</f>
        <v>0</v>
      </c>
      <c r="AV347" s="14">
        <f>[1]Sheet2!W346</f>
        <v>0</v>
      </c>
      <c r="AW347" s="14">
        <f>[1]Sheet2!X346</f>
        <v>0</v>
      </c>
      <c r="AX347" s="14">
        <f>[1]Sheet2!Y346</f>
        <v>0</v>
      </c>
      <c r="AY347" s="16">
        <f>Demand_LP!B$14/31</f>
        <v>868.56315911910667</v>
      </c>
      <c r="AZ347" s="16">
        <f>Demand_LP!C$14/31</f>
        <v>608.40066170388752</v>
      </c>
      <c r="BA347" s="16">
        <f>Demand_LP!D$14/31</f>
        <v>251.20087262200158</v>
      </c>
      <c r="BB347" s="16">
        <f>Demand_LP!E$14/31</f>
        <v>807.45938378825463</v>
      </c>
      <c r="BC347" s="16">
        <f>Demand_LP!F$14/31</f>
        <v>539.59842069892466</v>
      </c>
      <c r="BD347" s="16">
        <f>Demand_LP!G$14/31</f>
        <v>868.56315911910667</v>
      </c>
      <c r="BE347" s="16">
        <f>Demand_LP!H$14/31</f>
        <v>608.40066170388752</v>
      </c>
      <c r="BF347" s="16">
        <f>Demand_LP!I$14/31</f>
        <v>539.59842069892466</v>
      </c>
      <c r="BG347" s="16">
        <f>Demand_LP!J$14/31</f>
        <v>539.59842069892466</v>
      </c>
      <c r="BH347" s="16">
        <f>Demand_LP!K$14/31</f>
        <v>539.59842069892466</v>
      </c>
      <c r="BI347" s="16" t="e">
        <f t="shared" si="163"/>
        <v>#VALUE!</v>
      </c>
      <c r="BJ347" s="16">
        <f t="shared" si="164"/>
        <v>-198074.78354011569</v>
      </c>
      <c r="BK347" s="16">
        <f t="shared" si="165"/>
        <v>-98801.760008271609</v>
      </c>
      <c r="BL347" s="16">
        <f t="shared" si="166"/>
        <v>-261105.99638575542</v>
      </c>
      <c r="BM347" s="16">
        <f t="shared" si="167"/>
        <v>-159552.92666682371</v>
      </c>
      <c r="BN347" s="16">
        <f t="shared" si="168"/>
        <v>-272945.15018630988</v>
      </c>
      <c r="BO347" s="16">
        <f t="shared" si="169"/>
        <v>-200432.36302729548</v>
      </c>
      <c r="BP347" s="16">
        <f t="shared" si="170"/>
        <v>-160664.61058519428</v>
      </c>
      <c r="BQ347" s="16">
        <f t="shared" si="171"/>
        <v>-157654.6105851944</v>
      </c>
      <c r="BR347" s="16">
        <f t="shared" si="172"/>
        <v>-158854.61058519431</v>
      </c>
      <c r="BS347" s="14">
        <f>IF([1]Sheet2!CA346=999999,"NA",[1]Sheet2!CA346)</f>
        <v>57624.389414805657</v>
      </c>
      <c r="BT347" s="14">
        <f>IF([1]Sheet2!CB346=999999,"NA",[1]Sheet2!CB346)</f>
        <v>0</v>
      </c>
      <c r="BU347" s="14">
        <f>IF([1]Sheet2!CC346=999999,"NA",[1]Sheet2!CC346)</f>
        <v>21</v>
      </c>
      <c r="BV347" s="14">
        <f>IF([1]Sheet2!CD346=999999,"NA",[1]Sheet2!CD346)</f>
        <v>21</v>
      </c>
      <c r="BW347" s="14">
        <f>IF([1]Sheet2!CE346=999999,"NA",[1]Sheet2!CE346)</f>
        <v>0</v>
      </c>
      <c r="BX347" s="14">
        <f>IF([1]Sheet2!CF346=999999,"NA",[1]Sheet2!CF346)</f>
        <v>21</v>
      </c>
      <c r="BY347" s="14">
        <f>IF([1]Sheet2!CG346=999999,"NA",[1]Sheet2!CG346)</f>
        <v>0</v>
      </c>
      <c r="BZ347" s="14">
        <f>IF([1]Sheet2!CH346=999999,"NA",[1]Sheet2!CH346)</f>
        <v>21</v>
      </c>
      <c r="CA347" s="14">
        <f>IF([1]Sheet2!CI346=999999,"NA",[1]Sheet2!CI346)</f>
        <v>21</v>
      </c>
      <c r="CB347" s="14">
        <f>IF([1]Sheet2!CJ346=999999,"NA",[1]Sheet2!CJ346)</f>
        <v>21</v>
      </c>
      <c r="CC347" s="14">
        <f>[1]Sheet2!BG346</f>
        <v>0</v>
      </c>
      <c r="CD347" s="14">
        <f>[1]Sheet2!BH346</f>
        <v>0</v>
      </c>
      <c r="CE347" s="14">
        <f>[1]Sheet2!BI346</f>
        <v>0</v>
      </c>
      <c r="CF347" s="14">
        <f>[1]Sheet2!BJ346</f>
        <v>0</v>
      </c>
      <c r="CG347" s="14">
        <f>[1]Sheet2!BK346</f>
        <v>0</v>
      </c>
      <c r="CH347" s="14">
        <f>[1]Sheet2!BL346</f>
        <v>0</v>
      </c>
      <c r="CI347" s="14">
        <f>[1]Sheet2!BM346</f>
        <v>0</v>
      </c>
      <c r="CJ347" s="14">
        <f>[1]Sheet2!BN346</f>
        <v>0</v>
      </c>
      <c r="CK347" s="14">
        <f>[1]Sheet2!BO346</f>
        <v>0</v>
      </c>
      <c r="CL347" s="14">
        <f>[1]Sheet2!BP346</f>
        <v>0</v>
      </c>
      <c r="CM347" s="16">
        <f>Demand_SW!B$14/31</f>
        <v>139.57816377171216</v>
      </c>
      <c r="CN347" s="16">
        <f>Demand_SW!C$14/31</f>
        <v>0</v>
      </c>
      <c r="CO347" s="16">
        <f>Demand_SW!D$14/31</f>
        <v>0</v>
      </c>
      <c r="CP347" s="16">
        <f>Demand_SW!E$14/31</f>
        <v>0</v>
      </c>
      <c r="CQ347" s="16">
        <f>Demand_SW!F$14/31</f>
        <v>0</v>
      </c>
      <c r="CR347" s="16">
        <f>Demand_SW!G$14/31</f>
        <v>139.57816377171216</v>
      </c>
      <c r="CS347" s="16">
        <f>Demand_SW!H$14/31</f>
        <v>0</v>
      </c>
      <c r="CT347" s="16">
        <f>Demand_SW!I$14/31</f>
        <v>0</v>
      </c>
      <c r="CU347" s="16">
        <f>Demand_SW!J$14/31</f>
        <v>0</v>
      </c>
      <c r="CV347" s="16">
        <f>Demand_SW!K$14/31</f>
        <v>0</v>
      </c>
      <c r="CW347" s="16">
        <f t="shared" si="173"/>
        <v>53902.679900744406</v>
      </c>
      <c r="CX347" s="16">
        <f t="shared" si="174"/>
        <v>20683.923076923078</v>
      </c>
      <c r="CY347" s="16">
        <f t="shared" si="175"/>
        <v>0</v>
      </c>
      <c r="CZ347" s="16">
        <f t="shared" si="176"/>
        <v>0</v>
      </c>
      <c r="DA347" s="16">
        <f t="shared" si="177"/>
        <v>0</v>
      </c>
      <c r="DB347" s="16">
        <f t="shared" si="178"/>
        <v>-45626.550868486331</v>
      </c>
      <c r="DC347" s="16">
        <f t="shared" si="179"/>
        <v>20683.923076923078</v>
      </c>
      <c r="DD347" s="16">
        <f t="shared" si="180"/>
        <v>0</v>
      </c>
      <c r="DE347" s="16">
        <f t="shared" si="181"/>
        <v>0</v>
      </c>
      <c r="DF347" s="16">
        <f t="shared" si="182"/>
        <v>0</v>
      </c>
      <c r="DG347" s="14">
        <f>IF([1]Sheet2!DR346=999999,"NA",[1]Sheet2!DR346)</f>
        <v>73103</v>
      </c>
      <c r="DH347" s="14">
        <f>IF([1]Sheet2!DS346=999999,"NA",[1]Sheet2!DS346)</f>
        <v>21</v>
      </c>
      <c r="DI347" s="14">
        <f>IF([1]Sheet2!DT346=999999,"NA",[1]Sheet2!DT346)</f>
        <v>21</v>
      </c>
      <c r="DJ347" s="14" t="str">
        <f>IF([1]Sheet2!DU346=999999,"NA",[1]Sheet2!DU346)</f>
        <v>NA</v>
      </c>
      <c r="DK347" s="14" t="str">
        <f>IF([1]Sheet2!DV346=999999,"NA",[1]Sheet2!DV346)</f>
        <v>NA</v>
      </c>
      <c r="DL347" s="14" t="str">
        <f>IF([1]Sheet2!DW346=999999,"NA",[1]Sheet2!DW346)</f>
        <v>NA</v>
      </c>
      <c r="DM347" s="14">
        <f>IF([1]Sheet2!DX346=999999,"NA",[1]Sheet2!DX346)</f>
        <v>21</v>
      </c>
      <c r="DN347" s="14">
        <f>IF([1]Sheet2!DY346=999999,"NA",[1]Sheet2!DY346)</f>
        <v>21</v>
      </c>
      <c r="DO347" s="14" t="str">
        <f>IF([1]Sheet2!DZ346=999999,"NA",[1]Sheet2!DZ346)</f>
        <v>NA</v>
      </c>
      <c r="DP347" s="14" t="str">
        <f>IF([1]Sheet2!EA346=999999,"NA",[1]Sheet2!EA346)</f>
        <v>NA</v>
      </c>
      <c r="DQ347" s="14">
        <f>[1]Sheet2!CX346</f>
        <v>0</v>
      </c>
      <c r="DR347" s="14">
        <f>[1]Sheet2!CY346</f>
        <v>0</v>
      </c>
      <c r="DS347" s="14">
        <f>[1]Sheet2!CZ346</f>
        <v>0</v>
      </c>
      <c r="DT347" s="14">
        <f>[1]Sheet2!DA346</f>
        <v>0</v>
      </c>
      <c r="DU347" s="14">
        <f>[1]Sheet2!DB346</f>
        <v>0</v>
      </c>
      <c r="DV347" s="14">
        <f>[1]Sheet2!DC346</f>
        <v>0</v>
      </c>
      <c r="DW347" s="14">
        <f>[1]Sheet2!DD346</f>
        <v>0</v>
      </c>
      <c r="DX347" s="14">
        <f>[1]Sheet2!DE346</f>
        <v>0</v>
      </c>
      <c r="DY347" s="14">
        <f>[1]Sheet2!DF346</f>
        <v>0</v>
      </c>
      <c r="DZ347" s="14">
        <f>[1]Sheet2!DG346</f>
        <v>0</v>
      </c>
    </row>
    <row r="348" spans="1:130" x14ac:dyDescent="0.25">
      <c r="A348" s="15">
        <v>43810</v>
      </c>
      <c r="B348" s="1"/>
      <c r="C348" s="1"/>
      <c r="D348" s="1"/>
      <c r="E348" s="14">
        <f>[1]Sheet2!N347</f>
        <v>0</v>
      </c>
      <c r="F348" s="14">
        <f>[1]Sheet2!BE347</f>
        <v>0</v>
      </c>
      <c r="G348" s="14">
        <f>[1]Sheet2!CV347</f>
        <v>279.15632754342431</v>
      </c>
      <c r="H348" s="1"/>
      <c r="I348" s="1"/>
      <c r="J348" s="1"/>
      <c r="K348" s="16">
        <f>Demand_CWRS!B$14/31</f>
        <v>95.176711124896599</v>
      </c>
      <c r="L348" s="16">
        <f>Demand_CWRS!C$14/31</f>
        <v>526.22795698924722</v>
      </c>
      <c r="M348" s="16">
        <f>Demand_CWRS!D$14/31</f>
        <v>0</v>
      </c>
      <c r="N348" s="16">
        <f>Demand_CWRS!E$14/31</f>
        <v>102.37076095947063</v>
      </c>
      <c r="O348" s="16">
        <f>Demand_CWRS!F$14/31</f>
        <v>219.86823562861866</v>
      </c>
      <c r="P348" s="16">
        <f>Demand_CWRS!G$14/31</f>
        <v>95.176711124896599</v>
      </c>
      <c r="Q348" s="16">
        <f>Demand_CWRS!H$14/31</f>
        <v>526.22795698924722</v>
      </c>
      <c r="R348" s="16">
        <f>Demand_CWRS!I$14/31</f>
        <v>219.86823562861866</v>
      </c>
      <c r="S348" s="16">
        <f>Demand_CWRS!J$14/31</f>
        <v>219.86823562861866</v>
      </c>
      <c r="T348" s="16">
        <f>Demand_CWRS!K$14/31</f>
        <v>219.86823562861866</v>
      </c>
      <c r="U348" s="16">
        <f t="shared" si="153"/>
        <v>-43893.444782847218</v>
      </c>
      <c r="V348" s="16">
        <f t="shared" si="154"/>
        <v>-166174.6023986763</v>
      </c>
      <c r="W348" s="16">
        <f t="shared" si="155"/>
        <v>0</v>
      </c>
      <c r="X348" s="16">
        <f t="shared" si="156"/>
        <v>-37744.290817811416</v>
      </c>
      <c r="Y348" s="16">
        <f t="shared" si="157"/>
        <v>-74744.778449144796</v>
      </c>
      <c r="Z348" s="16">
        <f t="shared" si="158"/>
        <v>-43496.512258808812</v>
      </c>
      <c r="AA348" s="16">
        <f t="shared" si="159"/>
        <v>-165674.6023986763</v>
      </c>
      <c r="AB348" s="16">
        <f t="shared" si="160"/>
        <v>-72260.932968375448</v>
      </c>
      <c r="AC348" s="16">
        <f t="shared" si="161"/>
        <v>-72260.932968375433</v>
      </c>
      <c r="AD348" s="16">
        <f t="shared" si="162"/>
        <v>-72960.932968375448</v>
      </c>
      <c r="AE348" s="14">
        <f>IF([1]Sheet2!AJ347=999999,"NA",[1]Sheet2!AJ347)</f>
        <v>0</v>
      </c>
      <c r="AF348" s="14">
        <f>IF([1]Sheet2!AK347=999999,"NA",[1]Sheet2!AK347)</f>
        <v>0</v>
      </c>
      <c r="AG348" s="14" t="str">
        <f>IF([1]Sheet2!AL347=999999,"NA",[1]Sheet2!AL347)</f>
        <v>NA</v>
      </c>
      <c r="AH348" s="14">
        <f>IF([1]Sheet2!AM347=999999,"NA",[1]Sheet2!AM347)</f>
        <v>20</v>
      </c>
      <c r="AI348" s="14">
        <f>IF([1]Sheet2!AN347=999999,"NA",[1]Sheet2!AN347)</f>
        <v>20</v>
      </c>
      <c r="AJ348" s="14">
        <f>IF([1]Sheet2!AO347=999999,"NA",[1]Sheet2!AO347)</f>
        <v>20</v>
      </c>
      <c r="AK348" s="14">
        <f>IF([1]Sheet2!AP347=999999,"NA",[1]Sheet2!AP347)</f>
        <v>0</v>
      </c>
      <c r="AL348" s="14">
        <f>IF([1]Sheet2!AQ347=999999,"NA",[1]Sheet2!AQ347)</f>
        <v>0</v>
      </c>
      <c r="AM348" s="14">
        <f>IF([1]Sheet2!AR347=999999,"NA",[1]Sheet2!AR347)</f>
        <v>20</v>
      </c>
      <c r="AN348" s="14">
        <f>IF([1]Sheet2!AS347=999999,"NA",[1]Sheet2!AS347)</f>
        <v>0</v>
      </c>
      <c r="AO348" s="14">
        <f>[1]Sheet2!P347</f>
        <v>0</v>
      </c>
      <c r="AP348" s="14">
        <f>[1]Sheet2!Q347</f>
        <v>0</v>
      </c>
      <c r="AQ348" s="14">
        <f>[1]Sheet2!R347</f>
        <v>0</v>
      </c>
      <c r="AR348" s="14">
        <f>[1]Sheet2!S347</f>
        <v>0</v>
      </c>
      <c r="AS348" s="14">
        <f>[1]Sheet2!T347</f>
        <v>0</v>
      </c>
      <c r="AT348" s="14">
        <f>[1]Sheet2!U347</f>
        <v>0</v>
      </c>
      <c r="AU348" s="14">
        <f>[1]Sheet2!V347</f>
        <v>0</v>
      </c>
      <c r="AV348" s="14">
        <f>[1]Sheet2!W347</f>
        <v>0</v>
      </c>
      <c r="AW348" s="14">
        <f>[1]Sheet2!X347</f>
        <v>0</v>
      </c>
      <c r="AX348" s="14">
        <f>[1]Sheet2!Y347</f>
        <v>0</v>
      </c>
      <c r="AY348" s="16">
        <f>Demand_LP!B$14/31</f>
        <v>868.56315911910667</v>
      </c>
      <c r="AZ348" s="16">
        <f>Demand_LP!C$14/31</f>
        <v>608.40066170388752</v>
      </c>
      <c r="BA348" s="16">
        <f>Demand_LP!D$14/31</f>
        <v>251.20087262200158</v>
      </c>
      <c r="BB348" s="16">
        <f>Demand_LP!E$14/31</f>
        <v>807.45938378825463</v>
      </c>
      <c r="BC348" s="16">
        <f>Demand_LP!F$14/31</f>
        <v>539.59842069892466</v>
      </c>
      <c r="BD348" s="16">
        <f>Demand_LP!G$14/31</f>
        <v>868.56315911910667</v>
      </c>
      <c r="BE348" s="16">
        <f>Demand_LP!H$14/31</f>
        <v>608.40066170388752</v>
      </c>
      <c r="BF348" s="16">
        <f>Demand_LP!I$14/31</f>
        <v>539.59842069892466</v>
      </c>
      <c r="BG348" s="16">
        <f>Demand_LP!J$14/31</f>
        <v>539.59842069892466</v>
      </c>
      <c r="BH348" s="16">
        <f>Demand_LP!K$14/31</f>
        <v>539.59842069892466</v>
      </c>
      <c r="BI348" s="16" t="e">
        <f t="shared" si="163"/>
        <v>#VALUE!</v>
      </c>
      <c r="BJ348" s="16">
        <f t="shared" si="164"/>
        <v>-198683.18420181959</v>
      </c>
      <c r="BK348" s="16">
        <f t="shared" si="165"/>
        <v>-99052.960880893617</v>
      </c>
      <c r="BL348" s="16">
        <f t="shared" si="166"/>
        <v>-261913.45576954368</v>
      </c>
      <c r="BM348" s="16">
        <f t="shared" si="167"/>
        <v>-160092.52508752263</v>
      </c>
      <c r="BN348" s="16">
        <f t="shared" si="168"/>
        <v>-273813.71334542899</v>
      </c>
      <c r="BO348" s="16">
        <f t="shared" si="169"/>
        <v>-201040.76368899937</v>
      </c>
      <c r="BP348" s="16">
        <f t="shared" si="170"/>
        <v>-161204.20900589321</v>
      </c>
      <c r="BQ348" s="16">
        <f t="shared" si="171"/>
        <v>-158194.20900589332</v>
      </c>
      <c r="BR348" s="16">
        <f t="shared" si="172"/>
        <v>-159394.20900589324</v>
      </c>
      <c r="BS348" s="14">
        <f>IF([1]Sheet2!CA347=999999,"NA",[1]Sheet2!CA347)</f>
        <v>57084.790994106734</v>
      </c>
      <c r="BT348" s="14">
        <f>IF([1]Sheet2!CB347=999999,"NA",[1]Sheet2!CB347)</f>
        <v>0</v>
      </c>
      <c r="BU348" s="14">
        <f>IF([1]Sheet2!CC347=999999,"NA",[1]Sheet2!CC347)</f>
        <v>20</v>
      </c>
      <c r="BV348" s="14">
        <f>IF([1]Sheet2!CD347=999999,"NA",[1]Sheet2!CD347)</f>
        <v>20</v>
      </c>
      <c r="BW348" s="14">
        <f>IF([1]Sheet2!CE347=999999,"NA",[1]Sheet2!CE347)</f>
        <v>0</v>
      </c>
      <c r="BX348" s="14">
        <f>IF([1]Sheet2!CF347=999999,"NA",[1]Sheet2!CF347)</f>
        <v>20</v>
      </c>
      <c r="BY348" s="14">
        <f>IF([1]Sheet2!CG347=999999,"NA",[1]Sheet2!CG347)</f>
        <v>0</v>
      </c>
      <c r="BZ348" s="14">
        <f>IF([1]Sheet2!CH347=999999,"NA",[1]Sheet2!CH347)</f>
        <v>20</v>
      </c>
      <c r="CA348" s="14">
        <f>IF([1]Sheet2!CI347=999999,"NA",[1]Sheet2!CI347)</f>
        <v>20</v>
      </c>
      <c r="CB348" s="14">
        <f>IF([1]Sheet2!CJ347=999999,"NA",[1]Sheet2!CJ347)</f>
        <v>20</v>
      </c>
      <c r="CC348" s="14">
        <f>[1]Sheet2!BG347</f>
        <v>0</v>
      </c>
      <c r="CD348" s="14">
        <f>[1]Sheet2!BH347</f>
        <v>0</v>
      </c>
      <c r="CE348" s="14">
        <f>[1]Sheet2!BI347</f>
        <v>0</v>
      </c>
      <c r="CF348" s="14">
        <f>[1]Sheet2!BJ347</f>
        <v>0</v>
      </c>
      <c r="CG348" s="14">
        <f>[1]Sheet2!BK347</f>
        <v>0</v>
      </c>
      <c r="CH348" s="14">
        <f>[1]Sheet2!BL347</f>
        <v>0</v>
      </c>
      <c r="CI348" s="14">
        <f>[1]Sheet2!BM347</f>
        <v>0</v>
      </c>
      <c r="CJ348" s="14">
        <f>[1]Sheet2!BN347</f>
        <v>0</v>
      </c>
      <c r="CK348" s="14">
        <f>[1]Sheet2!BO347</f>
        <v>0</v>
      </c>
      <c r="CL348" s="14">
        <f>[1]Sheet2!BP347</f>
        <v>0</v>
      </c>
      <c r="CM348" s="16">
        <f>Demand_SW!B$14/31</f>
        <v>139.57816377171216</v>
      </c>
      <c r="CN348" s="16">
        <f>Demand_SW!C$14/31</f>
        <v>0</v>
      </c>
      <c r="CO348" s="16">
        <f>Demand_SW!D$14/31</f>
        <v>0</v>
      </c>
      <c r="CP348" s="16">
        <f>Demand_SW!E$14/31</f>
        <v>0</v>
      </c>
      <c r="CQ348" s="16">
        <f>Demand_SW!F$14/31</f>
        <v>0</v>
      </c>
      <c r="CR348" s="16">
        <f>Demand_SW!G$14/31</f>
        <v>139.57816377171216</v>
      </c>
      <c r="CS348" s="16">
        <f>Demand_SW!H$14/31</f>
        <v>0</v>
      </c>
      <c r="CT348" s="16">
        <f>Demand_SW!I$14/31</f>
        <v>0</v>
      </c>
      <c r="CU348" s="16">
        <f>Demand_SW!J$14/31</f>
        <v>0</v>
      </c>
      <c r="CV348" s="16">
        <f>Demand_SW!K$14/31</f>
        <v>0</v>
      </c>
      <c r="CW348" s="16">
        <f t="shared" si="173"/>
        <v>53763.101736972691</v>
      </c>
      <c r="CX348" s="16">
        <f t="shared" si="174"/>
        <v>20683.923076923078</v>
      </c>
      <c r="CY348" s="16">
        <f t="shared" si="175"/>
        <v>0</v>
      </c>
      <c r="CZ348" s="16">
        <f t="shared" si="176"/>
        <v>0</v>
      </c>
      <c r="DA348" s="16">
        <f t="shared" si="177"/>
        <v>0</v>
      </c>
      <c r="DB348" s="16">
        <f t="shared" si="178"/>
        <v>-45766.129032258046</v>
      </c>
      <c r="DC348" s="16">
        <f t="shared" si="179"/>
        <v>20683.923076923078</v>
      </c>
      <c r="DD348" s="16">
        <f t="shared" si="180"/>
        <v>0</v>
      </c>
      <c r="DE348" s="16">
        <f t="shared" si="181"/>
        <v>0</v>
      </c>
      <c r="DF348" s="16">
        <f t="shared" si="182"/>
        <v>0</v>
      </c>
      <c r="DG348" s="14">
        <f>IF([1]Sheet2!DR347=999999,"NA",[1]Sheet2!DR347)</f>
        <v>73103</v>
      </c>
      <c r="DH348" s="14">
        <f>IF([1]Sheet2!DS347=999999,"NA",[1]Sheet2!DS347)</f>
        <v>20</v>
      </c>
      <c r="DI348" s="14">
        <f>IF([1]Sheet2!DT347=999999,"NA",[1]Sheet2!DT347)</f>
        <v>20</v>
      </c>
      <c r="DJ348" s="14" t="str">
        <f>IF([1]Sheet2!DU347=999999,"NA",[1]Sheet2!DU347)</f>
        <v>NA</v>
      </c>
      <c r="DK348" s="14" t="str">
        <f>IF([1]Sheet2!DV347=999999,"NA",[1]Sheet2!DV347)</f>
        <v>NA</v>
      </c>
      <c r="DL348" s="14" t="str">
        <f>IF([1]Sheet2!DW347=999999,"NA",[1]Sheet2!DW347)</f>
        <v>NA</v>
      </c>
      <c r="DM348" s="14">
        <f>IF([1]Sheet2!DX347=999999,"NA",[1]Sheet2!DX347)</f>
        <v>20</v>
      </c>
      <c r="DN348" s="14">
        <f>IF([1]Sheet2!DY347=999999,"NA",[1]Sheet2!DY347)</f>
        <v>20</v>
      </c>
      <c r="DO348" s="14" t="str">
        <f>IF([1]Sheet2!DZ347=999999,"NA",[1]Sheet2!DZ347)</f>
        <v>NA</v>
      </c>
      <c r="DP348" s="14" t="str">
        <f>IF([1]Sheet2!EA347=999999,"NA",[1]Sheet2!EA347)</f>
        <v>NA</v>
      </c>
      <c r="DQ348" s="14">
        <f>[1]Sheet2!CX347</f>
        <v>0</v>
      </c>
      <c r="DR348" s="14">
        <f>[1]Sheet2!CY347</f>
        <v>0</v>
      </c>
      <c r="DS348" s="14">
        <f>[1]Sheet2!CZ347</f>
        <v>0</v>
      </c>
      <c r="DT348" s="14">
        <f>[1]Sheet2!DA347</f>
        <v>0</v>
      </c>
      <c r="DU348" s="14">
        <f>[1]Sheet2!DB347</f>
        <v>0</v>
      </c>
      <c r="DV348" s="14">
        <f>[1]Sheet2!DC347</f>
        <v>0</v>
      </c>
      <c r="DW348" s="14">
        <f>[1]Sheet2!DD347</f>
        <v>0</v>
      </c>
      <c r="DX348" s="14">
        <f>[1]Sheet2!DE347</f>
        <v>0</v>
      </c>
      <c r="DY348" s="14">
        <f>[1]Sheet2!DF347</f>
        <v>0</v>
      </c>
      <c r="DZ348" s="14">
        <f>[1]Sheet2!DG347</f>
        <v>0</v>
      </c>
    </row>
    <row r="349" spans="1:130" x14ac:dyDescent="0.25">
      <c r="A349" s="15">
        <v>43811</v>
      </c>
      <c r="B349" s="1"/>
      <c r="C349" s="1"/>
      <c r="D349" s="1"/>
      <c r="E349" s="14">
        <f>[1]Sheet2!N348</f>
        <v>0</v>
      </c>
      <c r="F349" s="14">
        <f>[1]Sheet2!BE348</f>
        <v>0</v>
      </c>
      <c r="G349" s="14">
        <f>[1]Sheet2!CV348</f>
        <v>279.15632754342431</v>
      </c>
      <c r="H349" s="1"/>
      <c r="I349" s="1"/>
      <c r="J349" s="1"/>
      <c r="K349" s="16">
        <f>Demand_CWRS!B$14/31</f>
        <v>95.176711124896599</v>
      </c>
      <c r="L349" s="16">
        <f>Demand_CWRS!C$14/31</f>
        <v>526.22795698924722</v>
      </c>
      <c r="M349" s="16">
        <f>Demand_CWRS!D$14/31</f>
        <v>0</v>
      </c>
      <c r="N349" s="16">
        <f>Demand_CWRS!E$14/31</f>
        <v>102.37076095947063</v>
      </c>
      <c r="O349" s="16">
        <f>Demand_CWRS!F$14/31</f>
        <v>219.86823562861866</v>
      </c>
      <c r="P349" s="16">
        <f>Demand_CWRS!G$14/31</f>
        <v>95.176711124896599</v>
      </c>
      <c r="Q349" s="16">
        <f>Demand_CWRS!H$14/31</f>
        <v>526.22795698924722</v>
      </c>
      <c r="R349" s="16">
        <f>Demand_CWRS!I$14/31</f>
        <v>219.86823562861866</v>
      </c>
      <c r="S349" s="16">
        <f>Demand_CWRS!J$14/31</f>
        <v>219.86823562861866</v>
      </c>
      <c r="T349" s="16">
        <f>Demand_CWRS!K$14/31</f>
        <v>219.86823562861866</v>
      </c>
      <c r="U349" s="16">
        <f t="shared" si="153"/>
        <v>-43988.621493972118</v>
      </c>
      <c r="V349" s="16">
        <f t="shared" si="154"/>
        <v>-166700.83035566556</v>
      </c>
      <c r="W349" s="16">
        <f t="shared" si="155"/>
        <v>0</v>
      </c>
      <c r="X349" s="16">
        <f t="shared" si="156"/>
        <v>-37846.661578770887</v>
      </c>
      <c r="Y349" s="16">
        <f t="shared" si="157"/>
        <v>-74964.646684773412</v>
      </c>
      <c r="Z349" s="16">
        <f t="shared" si="158"/>
        <v>-43591.688969933712</v>
      </c>
      <c r="AA349" s="16">
        <f t="shared" si="159"/>
        <v>-166200.83035566556</v>
      </c>
      <c r="AB349" s="16">
        <f t="shared" si="160"/>
        <v>-72480.801204004063</v>
      </c>
      <c r="AC349" s="16">
        <f t="shared" si="161"/>
        <v>-72480.801204004048</v>
      </c>
      <c r="AD349" s="16">
        <f t="shared" si="162"/>
        <v>-73180.801204004063</v>
      </c>
      <c r="AE349" s="14">
        <f>IF([1]Sheet2!AJ348=999999,"NA",[1]Sheet2!AJ348)</f>
        <v>0</v>
      </c>
      <c r="AF349" s="14">
        <f>IF([1]Sheet2!AK348=999999,"NA",[1]Sheet2!AK348)</f>
        <v>0</v>
      </c>
      <c r="AG349" s="14" t="str">
        <f>IF([1]Sheet2!AL348=999999,"NA",[1]Sheet2!AL348)</f>
        <v>NA</v>
      </c>
      <c r="AH349" s="14">
        <f>IF([1]Sheet2!AM348=999999,"NA",[1]Sheet2!AM348)</f>
        <v>19</v>
      </c>
      <c r="AI349" s="14">
        <f>IF([1]Sheet2!AN348=999999,"NA",[1]Sheet2!AN348)</f>
        <v>19</v>
      </c>
      <c r="AJ349" s="14">
        <f>IF([1]Sheet2!AO348=999999,"NA",[1]Sheet2!AO348)</f>
        <v>19</v>
      </c>
      <c r="AK349" s="14">
        <f>IF([1]Sheet2!AP348=999999,"NA",[1]Sheet2!AP348)</f>
        <v>0</v>
      </c>
      <c r="AL349" s="14">
        <f>IF([1]Sheet2!AQ348=999999,"NA",[1]Sheet2!AQ348)</f>
        <v>0</v>
      </c>
      <c r="AM349" s="14">
        <f>IF([1]Sheet2!AR348=999999,"NA",[1]Sheet2!AR348)</f>
        <v>19</v>
      </c>
      <c r="AN349" s="14">
        <f>IF([1]Sheet2!AS348=999999,"NA",[1]Sheet2!AS348)</f>
        <v>0</v>
      </c>
      <c r="AO349" s="14">
        <f>[1]Sheet2!P348</f>
        <v>0</v>
      </c>
      <c r="AP349" s="14">
        <f>[1]Sheet2!Q348</f>
        <v>0</v>
      </c>
      <c r="AQ349" s="14">
        <f>[1]Sheet2!R348</f>
        <v>0</v>
      </c>
      <c r="AR349" s="14">
        <f>[1]Sheet2!S348</f>
        <v>0</v>
      </c>
      <c r="AS349" s="14">
        <f>[1]Sheet2!T348</f>
        <v>0</v>
      </c>
      <c r="AT349" s="14">
        <f>[1]Sheet2!U348</f>
        <v>0</v>
      </c>
      <c r="AU349" s="14">
        <f>[1]Sheet2!V348</f>
        <v>0</v>
      </c>
      <c r="AV349" s="14">
        <f>[1]Sheet2!W348</f>
        <v>0</v>
      </c>
      <c r="AW349" s="14">
        <f>[1]Sheet2!X348</f>
        <v>0</v>
      </c>
      <c r="AX349" s="14">
        <f>[1]Sheet2!Y348</f>
        <v>0</v>
      </c>
      <c r="AY349" s="16">
        <f>Demand_LP!B$14/31</f>
        <v>868.56315911910667</v>
      </c>
      <c r="AZ349" s="16">
        <f>Demand_LP!C$14/31</f>
        <v>608.40066170388752</v>
      </c>
      <c r="BA349" s="16">
        <f>Demand_LP!D$14/31</f>
        <v>251.20087262200158</v>
      </c>
      <c r="BB349" s="16">
        <f>Demand_LP!E$14/31</f>
        <v>807.45938378825463</v>
      </c>
      <c r="BC349" s="16">
        <f>Demand_LP!F$14/31</f>
        <v>539.59842069892466</v>
      </c>
      <c r="BD349" s="16">
        <f>Demand_LP!G$14/31</f>
        <v>868.56315911910667</v>
      </c>
      <c r="BE349" s="16">
        <f>Demand_LP!H$14/31</f>
        <v>608.40066170388752</v>
      </c>
      <c r="BF349" s="16">
        <f>Demand_LP!I$14/31</f>
        <v>539.59842069892466</v>
      </c>
      <c r="BG349" s="16">
        <f>Demand_LP!J$14/31</f>
        <v>539.59842069892466</v>
      </c>
      <c r="BH349" s="16">
        <f>Demand_LP!K$14/31</f>
        <v>539.59842069892466</v>
      </c>
      <c r="BI349" s="16" t="e">
        <f t="shared" si="163"/>
        <v>#VALUE!</v>
      </c>
      <c r="BJ349" s="16">
        <f t="shared" si="164"/>
        <v>-199291.58486352349</v>
      </c>
      <c r="BK349" s="16">
        <f t="shared" si="165"/>
        <v>-99304.161753515626</v>
      </c>
      <c r="BL349" s="16">
        <f t="shared" si="166"/>
        <v>-262720.91515333194</v>
      </c>
      <c r="BM349" s="16">
        <f t="shared" si="167"/>
        <v>-160632.12350822156</v>
      </c>
      <c r="BN349" s="16">
        <f t="shared" si="168"/>
        <v>-274682.27650454809</v>
      </c>
      <c r="BO349" s="16">
        <f t="shared" si="169"/>
        <v>-201649.16435070327</v>
      </c>
      <c r="BP349" s="16">
        <f t="shared" si="170"/>
        <v>-161743.80742659213</v>
      </c>
      <c r="BQ349" s="16">
        <f t="shared" si="171"/>
        <v>-158733.80742659225</v>
      </c>
      <c r="BR349" s="16">
        <f t="shared" si="172"/>
        <v>-159933.80742659216</v>
      </c>
      <c r="BS349" s="14">
        <f>IF([1]Sheet2!CA348=999999,"NA",[1]Sheet2!CA348)</f>
        <v>56545.19257340781</v>
      </c>
      <c r="BT349" s="14">
        <f>IF([1]Sheet2!CB348=999999,"NA",[1]Sheet2!CB348)</f>
        <v>0</v>
      </c>
      <c r="BU349" s="14">
        <f>IF([1]Sheet2!CC348=999999,"NA",[1]Sheet2!CC348)</f>
        <v>19</v>
      </c>
      <c r="BV349" s="14">
        <f>IF([1]Sheet2!CD348=999999,"NA",[1]Sheet2!CD348)</f>
        <v>19</v>
      </c>
      <c r="BW349" s="14">
        <f>IF([1]Sheet2!CE348=999999,"NA",[1]Sheet2!CE348)</f>
        <v>0</v>
      </c>
      <c r="BX349" s="14">
        <f>IF([1]Sheet2!CF348=999999,"NA",[1]Sheet2!CF348)</f>
        <v>19</v>
      </c>
      <c r="BY349" s="14">
        <f>IF([1]Sheet2!CG348=999999,"NA",[1]Sheet2!CG348)</f>
        <v>0</v>
      </c>
      <c r="BZ349" s="14">
        <f>IF([1]Sheet2!CH348=999999,"NA",[1]Sheet2!CH348)</f>
        <v>19</v>
      </c>
      <c r="CA349" s="14">
        <f>IF([1]Sheet2!CI348=999999,"NA",[1]Sheet2!CI348)</f>
        <v>19</v>
      </c>
      <c r="CB349" s="14">
        <f>IF([1]Sheet2!CJ348=999999,"NA",[1]Sheet2!CJ348)</f>
        <v>19</v>
      </c>
      <c r="CC349" s="14">
        <f>[1]Sheet2!BG348</f>
        <v>0</v>
      </c>
      <c r="CD349" s="14">
        <f>[1]Sheet2!BH348</f>
        <v>0</v>
      </c>
      <c r="CE349" s="14">
        <f>[1]Sheet2!BI348</f>
        <v>0</v>
      </c>
      <c r="CF349" s="14">
        <f>[1]Sheet2!BJ348</f>
        <v>0</v>
      </c>
      <c r="CG349" s="14">
        <f>[1]Sheet2!BK348</f>
        <v>0</v>
      </c>
      <c r="CH349" s="14">
        <f>[1]Sheet2!BL348</f>
        <v>0</v>
      </c>
      <c r="CI349" s="14">
        <f>[1]Sheet2!BM348</f>
        <v>0</v>
      </c>
      <c r="CJ349" s="14">
        <f>[1]Sheet2!BN348</f>
        <v>0</v>
      </c>
      <c r="CK349" s="14">
        <f>[1]Sheet2!BO348</f>
        <v>0</v>
      </c>
      <c r="CL349" s="14">
        <f>[1]Sheet2!BP348</f>
        <v>0</v>
      </c>
      <c r="CM349" s="16">
        <f>Demand_SW!B$14/31</f>
        <v>139.57816377171216</v>
      </c>
      <c r="CN349" s="16">
        <f>Demand_SW!C$14/31</f>
        <v>0</v>
      </c>
      <c r="CO349" s="16">
        <f>Demand_SW!D$14/31</f>
        <v>0</v>
      </c>
      <c r="CP349" s="16">
        <f>Demand_SW!E$14/31</f>
        <v>0</v>
      </c>
      <c r="CQ349" s="16">
        <f>Demand_SW!F$14/31</f>
        <v>0</v>
      </c>
      <c r="CR349" s="16">
        <f>Demand_SW!G$14/31</f>
        <v>139.57816377171216</v>
      </c>
      <c r="CS349" s="16">
        <f>Demand_SW!H$14/31</f>
        <v>0</v>
      </c>
      <c r="CT349" s="16">
        <f>Demand_SW!I$14/31</f>
        <v>0</v>
      </c>
      <c r="CU349" s="16">
        <f>Demand_SW!J$14/31</f>
        <v>0</v>
      </c>
      <c r="CV349" s="16">
        <f>Demand_SW!K$14/31</f>
        <v>0</v>
      </c>
      <c r="CW349" s="16">
        <f t="shared" si="173"/>
        <v>53623.523573200975</v>
      </c>
      <c r="CX349" s="16">
        <f t="shared" si="174"/>
        <v>20683.923076923078</v>
      </c>
      <c r="CY349" s="16">
        <f t="shared" si="175"/>
        <v>0</v>
      </c>
      <c r="CZ349" s="16">
        <f t="shared" si="176"/>
        <v>0</v>
      </c>
      <c r="DA349" s="16">
        <f t="shared" si="177"/>
        <v>0</v>
      </c>
      <c r="DB349" s="16">
        <f t="shared" si="178"/>
        <v>-45905.707196029762</v>
      </c>
      <c r="DC349" s="16">
        <f t="shared" si="179"/>
        <v>20683.923076923078</v>
      </c>
      <c r="DD349" s="16">
        <f t="shared" si="180"/>
        <v>0</v>
      </c>
      <c r="DE349" s="16">
        <f t="shared" si="181"/>
        <v>0</v>
      </c>
      <c r="DF349" s="16">
        <f t="shared" si="182"/>
        <v>0</v>
      </c>
      <c r="DG349" s="14">
        <f>IF([1]Sheet2!DR348=999999,"NA",[1]Sheet2!DR348)</f>
        <v>73103</v>
      </c>
      <c r="DH349" s="14">
        <f>IF([1]Sheet2!DS348=999999,"NA",[1]Sheet2!DS348)</f>
        <v>19</v>
      </c>
      <c r="DI349" s="14">
        <f>IF([1]Sheet2!DT348=999999,"NA",[1]Sheet2!DT348)</f>
        <v>19</v>
      </c>
      <c r="DJ349" s="14" t="str">
        <f>IF([1]Sheet2!DU348=999999,"NA",[1]Sheet2!DU348)</f>
        <v>NA</v>
      </c>
      <c r="DK349" s="14" t="str">
        <f>IF([1]Sheet2!DV348=999999,"NA",[1]Sheet2!DV348)</f>
        <v>NA</v>
      </c>
      <c r="DL349" s="14" t="str">
        <f>IF([1]Sheet2!DW348=999999,"NA",[1]Sheet2!DW348)</f>
        <v>NA</v>
      </c>
      <c r="DM349" s="14">
        <f>IF([1]Sheet2!DX348=999999,"NA",[1]Sheet2!DX348)</f>
        <v>19</v>
      </c>
      <c r="DN349" s="14">
        <f>IF([1]Sheet2!DY348=999999,"NA",[1]Sheet2!DY348)</f>
        <v>19</v>
      </c>
      <c r="DO349" s="14" t="str">
        <f>IF([1]Sheet2!DZ348=999999,"NA",[1]Sheet2!DZ348)</f>
        <v>NA</v>
      </c>
      <c r="DP349" s="14" t="str">
        <f>IF([1]Sheet2!EA348=999999,"NA",[1]Sheet2!EA348)</f>
        <v>NA</v>
      </c>
      <c r="DQ349" s="14">
        <f>[1]Sheet2!CX348</f>
        <v>0</v>
      </c>
      <c r="DR349" s="14">
        <f>[1]Sheet2!CY348</f>
        <v>0</v>
      </c>
      <c r="DS349" s="14">
        <f>[1]Sheet2!CZ348</f>
        <v>0</v>
      </c>
      <c r="DT349" s="14">
        <f>[1]Sheet2!DA348</f>
        <v>0</v>
      </c>
      <c r="DU349" s="14">
        <f>[1]Sheet2!DB348</f>
        <v>0</v>
      </c>
      <c r="DV349" s="14">
        <f>[1]Sheet2!DC348</f>
        <v>0</v>
      </c>
      <c r="DW349" s="14">
        <f>[1]Sheet2!DD348</f>
        <v>0</v>
      </c>
      <c r="DX349" s="14">
        <f>[1]Sheet2!DE348</f>
        <v>0</v>
      </c>
      <c r="DY349" s="14">
        <f>[1]Sheet2!DF348</f>
        <v>0</v>
      </c>
      <c r="DZ349" s="14">
        <f>[1]Sheet2!DG348</f>
        <v>0</v>
      </c>
    </row>
    <row r="350" spans="1:130" x14ac:dyDescent="0.25">
      <c r="A350" s="15">
        <v>43812</v>
      </c>
      <c r="B350" s="1"/>
      <c r="C350" s="1"/>
      <c r="D350" s="1"/>
      <c r="E350" s="14">
        <f>[1]Sheet2!N349</f>
        <v>0</v>
      </c>
      <c r="F350" s="14">
        <f>[1]Sheet2!BE349</f>
        <v>0</v>
      </c>
      <c r="G350" s="14">
        <f>[1]Sheet2!CV349</f>
        <v>279.15632754342431</v>
      </c>
      <c r="H350" s="1"/>
      <c r="I350" s="1"/>
      <c r="J350" s="1"/>
      <c r="K350" s="16">
        <f>Demand_CWRS!B$14/31</f>
        <v>95.176711124896599</v>
      </c>
      <c r="L350" s="16">
        <f>Demand_CWRS!C$14/31</f>
        <v>526.22795698924722</v>
      </c>
      <c r="M350" s="16">
        <f>Demand_CWRS!D$14/31</f>
        <v>0</v>
      </c>
      <c r="N350" s="16">
        <f>Demand_CWRS!E$14/31</f>
        <v>102.37076095947063</v>
      </c>
      <c r="O350" s="16">
        <f>Demand_CWRS!F$14/31</f>
        <v>219.86823562861866</v>
      </c>
      <c r="P350" s="16">
        <f>Demand_CWRS!G$14/31</f>
        <v>95.176711124896599</v>
      </c>
      <c r="Q350" s="16">
        <f>Demand_CWRS!H$14/31</f>
        <v>526.22795698924722</v>
      </c>
      <c r="R350" s="16">
        <f>Demand_CWRS!I$14/31</f>
        <v>219.86823562861866</v>
      </c>
      <c r="S350" s="16">
        <f>Demand_CWRS!J$14/31</f>
        <v>219.86823562861866</v>
      </c>
      <c r="T350" s="16">
        <f>Demand_CWRS!K$14/31</f>
        <v>219.86823562861866</v>
      </c>
      <c r="U350" s="16">
        <f t="shared" si="153"/>
        <v>-44083.798205097017</v>
      </c>
      <c r="V350" s="16">
        <f t="shared" si="154"/>
        <v>-167227.05831265482</v>
      </c>
      <c r="W350" s="16">
        <f t="shared" si="155"/>
        <v>0</v>
      </c>
      <c r="X350" s="16">
        <f t="shared" si="156"/>
        <v>-37949.032339730358</v>
      </c>
      <c r="Y350" s="16">
        <f t="shared" si="157"/>
        <v>-75184.514920402027</v>
      </c>
      <c r="Z350" s="16">
        <f t="shared" si="158"/>
        <v>-43686.865681058611</v>
      </c>
      <c r="AA350" s="16">
        <f t="shared" si="159"/>
        <v>-166727.05831265482</v>
      </c>
      <c r="AB350" s="16">
        <f t="shared" si="160"/>
        <v>-72700.669439632678</v>
      </c>
      <c r="AC350" s="16">
        <f t="shared" si="161"/>
        <v>-72700.669439632664</v>
      </c>
      <c r="AD350" s="16">
        <f t="shared" si="162"/>
        <v>-73400.669439632678</v>
      </c>
      <c r="AE350" s="14">
        <f>IF([1]Sheet2!AJ349=999999,"NA",[1]Sheet2!AJ349)</f>
        <v>0</v>
      </c>
      <c r="AF350" s="14">
        <f>IF([1]Sheet2!AK349=999999,"NA",[1]Sheet2!AK349)</f>
        <v>0</v>
      </c>
      <c r="AG350" s="14" t="str">
        <f>IF([1]Sheet2!AL349=999999,"NA",[1]Sheet2!AL349)</f>
        <v>NA</v>
      </c>
      <c r="AH350" s="14">
        <f>IF([1]Sheet2!AM349=999999,"NA",[1]Sheet2!AM349)</f>
        <v>18</v>
      </c>
      <c r="AI350" s="14">
        <f>IF([1]Sheet2!AN349=999999,"NA",[1]Sheet2!AN349)</f>
        <v>18</v>
      </c>
      <c r="AJ350" s="14">
        <f>IF([1]Sheet2!AO349=999999,"NA",[1]Sheet2!AO349)</f>
        <v>18</v>
      </c>
      <c r="AK350" s="14">
        <f>IF([1]Sheet2!AP349=999999,"NA",[1]Sheet2!AP349)</f>
        <v>0</v>
      </c>
      <c r="AL350" s="14">
        <f>IF([1]Sheet2!AQ349=999999,"NA",[1]Sheet2!AQ349)</f>
        <v>0</v>
      </c>
      <c r="AM350" s="14">
        <f>IF([1]Sheet2!AR349=999999,"NA",[1]Sheet2!AR349)</f>
        <v>18</v>
      </c>
      <c r="AN350" s="14">
        <f>IF([1]Sheet2!AS349=999999,"NA",[1]Sheet2!AS349)</f>
        <v>0</v>
      </c>
      <c r="AO350" s="14">
        <f>[1]Sheet2!P349</f>
        <v>0</v>
      </c>
      <c r="AP350" s="14">
        <f>[1]Sheet2!Q349</f>
        <v>0</v>
      </c>
      <c r="AQ350" s="14">
        <f>[1]Sheet2!R349</f>
        <v>0</v>
      </c>
      <c r="AR350" s="14">
        <f>[1]Sheet2!S349</f>
        <v>0</v>
      </c>
      <c r="AS350" s="14">
        <f>[1]Sheet2!T349</f>
        <v>0</v>
      </c>
      <c r="AT350" s="14">
        <f>[1]Sheet2!U349</f>
        <v>0</v>
      </c>
      <c r="AU350" s="14">
        <f>[1]Sheet2!V349</f>
        <v>0</v>
      </c>
      <c r="AV350" s="14">
        <f>[1]Sheet2!W349</f>
        <v>0</v>
      </c>
      <c r="AW350" s="14">
        <f>[1]Sheet2!X349</f>
        <v>0</v>
      </c>
      <c r="AX350" s="14">
        <f>[1]Sheet2!Y349</f>
        <v>0</v>
      </c>
      <c r="AY350" s="16">
        <f>Demand_LP!B$14/31</f>
        <v>868.56315911910667</v>
      </c>
      <c r="AZ350" s="16">
        <f>Demand_LP!C$14/31</f>
        <v>608.40066170388752</v>
      </c>
      <c r="BA350" s="16">
        <f>Demand_LP!D$14/31</f>
        <v>251.20087262200158</v>
      </c>
      <c r="BB350" s="16">
        <f>Demand_LP!E$14/31</f>
        <v>807.45938378825463</v>
      </c>
      <c r="BC350" s="16">
        <f>Demand_LP!F$14/31</f>
        <v>539.59842069892466</v>
      </c>
      <c r="BD350" s="16">
        <f>Demand_LP!G$14/31</f>
        <v>868.56315911910667</v>
      </c>
      <c r="BE350" s="16">
        <f>Demand_LP!H$14/31</f>
        <v>608.40066170388752</v>
      </c>
      <c r="BF350" s="16">
        <f>Demand_LP!I$14/31</f>
        <v>539.59842069892466</v>
      </c>
      <c r="BG350" s="16">
        <f>Demand_LP!J$14/31</f>
        <v>539.59842069892466</v>
      </c>
      <c r="BH350" s="16">
        <f>Demand_LP!K$14/31</f>
        <v>539.59842069892466</v>
      </c>
      <c r="BI350" s="16" t="e">
        <f t="shared" si="163"/>
        <v>#VALUE!</v>
      </c>
      <c r="BJ350" s="16">
        <f t="shared" si="164"/>
        <v>-199899.98552522738</v>
      </c>
      <c r="BK350" s="16">
        <f t="shared" si="165"/>
        <v>-99555.362626137634</v>
      </c>
      <c r="BL350" s="16">
        <f t="shared" si="166"/>
        <v>-263528.37453712017</v>
      </c>
      <c r="BM350" s="16">
        <f t="shared" si="167"/>
        <v>-161171.72192892048</v>
      </c>
      <c r="BN350" s="16">
        <f t="shared" si="168"/>
        <v>-275550.8396636672</v>
      </c>
      <c r="BO350" s="16">
        <f t="shared" si="169"/>
        <v>-202257.56501240717</v>
      </c>
      <c r="BP350" s="16">
        <f t="shared" si="170"/>
        <v>-162283.40584729105</v>
      </c>
      <c r="BQ350" s="16">
        <f t="shared" si="171"/>
        <v>-159273.40584729117</v>
      </c>
      <c r="BR350" s="16">
        <f t="shared" si="172"/>
        <v>-160473.40584729108</v>
      </c>
      <c r="BS350" s="14">
        <f>IF([1]Sheet2!CA349=999999,"NA",[1]Sheet2!CA349)</f>
        <v>56005.594152708887</v>
      </c>
      <c r="BT350" s="14">
        <f>IF([1]Sheet2!CB349=999999,"NA",[1]Sheet2!CB349)</f>
        <v>0</v>
      </c>
      <c r="BU350" s="14">
        <f>IF([1]Sheet2!CC349=999999,"NA",[1]Sheet2!CC349)</f>
        <v>18</v>
      </c>
      <c r="BV350" s="14">
        <f>IF([1]Sheet2!CD349=999999,"NA",[1]Sheet2!CD349)</f>
        <v>18</v>
      </c>
      <c r="BW350" s="14">
        <f>IF([1]Sheet2!CE349=999999,"NA",[1]Sheet2!CE349)</f>
        <v>0</v>
      </c>
      <c r="BX350" s="14">
        <f>IF([1]Sheet2!CF349=999999,"NA",[1]Sheet2!CF349)</f>
        <v>18</v>
      </c>
      <c r="BY350" s="14">
        <f>IF([1]Sheet2!CG349=999999,"NA",[1]Sheet2!CG349)</f>
        <v>0</v>
      </c>
      <c r="BZ350" s="14">
        <f>IF([1]Sheet2!CH349=999999,"NA",[1]Sheet2!CH349)</f>
        <v>18</v>
      </c>
      <c r="CA350" s="14">
        <f>IF([1]Sheet2!CI349=999999,"NA",[1]Sheet2!CI349)</f>
        <v>18</v>
      </c>
      <c r="CB350" s="14">
        <f>IF([1]Sheet2!CJ349=999999,"NA",[1]Sheet2!CJ349)</f>
        <v>18</v>
      </c>
      <c r="CC350" s="14">
        <f>[1]Sheet2!BG349</f>
        <v>0</v>
      </c>
      <c r="CD350" s="14">
        <f>[1]Sheet2!BH349</f>
        <v>0</v>
      </c>
      <c r="CE350" s="14">
        <f>[1]Sheet2!BI349</f>
        <v>0</v>
      </c>
      <c r="CF350" s="14">
        <f>[1]Sheet2!BJ349</f>
        <v>0</v>
      </c>
      <c r="CG350" s="14">
        <f>[1]Sheet2!BK349</f>
        <v>0</v>
      </c>
      <c r="CH350" s="14">
        <f>[1]Sheet2!BL349</f>
        <v>0</v>
      </c>
      <c r="CI350" s="14">
        <f>[1]Sheet2!BM349</f>
        <v>0</v>
      </c>
      <c r="CJ350" s="14">
        <f>[1]Sheet2!BN349</f>
        <v>0</v>
      </c>
      <c r="CK350" s="14">
        <f>[1]Sheet2!BO349</f>
        <v>0</v>
      </c>
      <c r="CL350" s="14">
        <f>[1]Sheet2!BP349</f>
        <v>0</v>
      </c>
      <c r="CM350" s="16">
        <f>Demand_SW!B$14/31</f>
        <v>139.57816377171216</v>
      </c>
      <c r="CN350" s="16">
        <f>Demand_SW!C$14/31</f>
        <v>0</v>
      </c>
      <c r="CO350" s="16">
        <f>Demand_SW!D$14/31</f>
        <v>0</v>
      </c>
      <c r="CP350" s="16">
        <f>Demand_SW!E$14/31</f>
        <v>0</v>
      </c>
      <c r="CQ350" s="16">
        <f>Demand_SW!F$14/31</f>
        <v>0</v>
      </c>
      <c r="CR350" s="16">
        <f>Demand_SW!G$14/31</f>
        <v>139.57816377171216</v>
      </c>
      <c r="CS350" s="16">
        <f>Demand_SW!H$14/31</f>
        <v>0</v>
      </c>
      <c r="CT350" s="16">
        <f>Demand_SW!I$14/31</f>
        <v>0</v>
      </c>
      <c r="CU350" s="16">
        <f>Demand_SW!J$14/31</f>
        <v>0</v>
      </c>
      <c r="CV350" s="16">
        <f>Demand_SW!K$14/31</f>
        <v>0</v>
      </c>
      <c r="CW350" s="16">
        <f t="shared" si="173"/>
        <v>53483.94540942926</v>
      </c>
      <c r="CX350" s="16">
        <f t="shared" si="174"/>
        <v>20683.923076923078</v>
      </c>
      <c r="CY350" s="16">
        <f t="shared" si="175"/>
        <v>0</v>
      </c>
      <c r="CZ350" s="16">
        <f t="shared" si="176"/>
        <v>0</v>
      </c>
      <c r="DA350" s="16">
        <f t="shared" si="177"/>
        <v>0</v>
      </c>
      <c r="DB350" s="16">
        <f t="shared" si="178"/>
        <v>-46045.285359801477</v>
      </c>
      <c r="DC350" s="16">
        <f t="shared" si="179"/>
        <v>20683.923076923078</v>
      </c>
      <c r="DD350" s="16">
        <f t="shared" si="180"/>
        <v>0</v>
      </c>
      <c r="DE350" s="16">
        <f t="shared" si="181"/>
        <v>0</v>
      </c>
      <c r="DF350" s="16">
        <f t="shared" si="182"/>
        <v>0</v>
      </c>
      <c r="DG350" s="14">
        <f>IF([1]Sheet2!DR349=999999,"NA",[1]Sheet2!DR349)</f>
        <v>73103</v>
      </c>
      <c r="DH350" s="14">
        <f>IF([1]Sheet2!DS349=999999,"NA",[1]Sheet2!DS349)</f>
        <v>18</v>
      </c>
      <c r="DI350" s="14">
        <f>IF([1]Sheet2!DT349=999999,"NA",[1]Sheet2!DT349)</f>
        <v>18</v>
      </c>
      <c r="DJ350" s="14" t="str">
        <f>IF([1]Sheet2!DU349=999999,"NA",[1]Sheet2!DU349)</f>
        <v>NA</v>
      </c>
      <c r="DK350" s="14" t="str">
        <f>IF([1]Sheet2!DV349=999999,"NA",[1]Sheet2!DV349)</f>
        <v>NA</v>
      </c>
      <c r="DL350" s="14" t="str">
        <f>IF([1]Sheet2!DW349=999999,"NA",[1]Sheet2!DW349)</f>
        <v>NA</v>
      </c>
      <c r="DM350" s="14">
        <f>IF([1]Sheet2!DX349=999999,"NA",[1]Sheet2!DX349)</f>
        <v>18</v>
      </c>
      <c r="DN350" s="14">
        <f>IF([1]Sheet2!DY349=999999,"NA",[1]Sheet2!DY349)</f>
        <v>18</v>
      </c>
      <c r="DO350" s="14" t="str">
        <f>IF([1]Sheet2!DZ349=999999,"NA",[1]Sheet2!DZ349)</f>
        <v>NA</v>
      </c>
      <c r="DP350" s="14" t="str">
        <f>IF([1]Sheet2!EA349=999999,"NA",[1]Sheet2!EA349)</f>
        <v>NA</v>
      </c>
      <c r="DQ350" s="14">
        <f>[1]Sheet2!CX349</f>
        <v>0</v>
      </c>
      <c r="DR350" s="14">
        <f>[1]Sheet2!CY349</f>
        <v>0</v>
      </c>
      <c r="DS350" s="14">
        <f>[1]Sheet2!CZ349</f>
        <v>0</v>
      </c>
      <c r="DT350" s="14">
        <f>[1]Sheet2!DA349</f>
        <v>0</v>
      </c>
      <c r="DU350" s="14">
        <f>[1]Sheet2!DB349</f>
        <v>0</v>
      </c>
      <c r="DV350" s="14">
        <f>[1]Sheet2!DC349</f>
        <v>0</v>
      </c>
      <c r="DW350" s="14">
        <f>[1]Sheet2!DD349</f>
        <v>0</v>
      </c>
      <c r="DX350" s="14">
        <f>[1]Sheet2!DE349</f>
        <v>0</v>
      </c>
      <c r="DY350" s="14">
        <f>[1]Sheet2!DF349</f>
        <v>0</v>
      </c>
      <c r="DZ350" s="14">
        <f>[1]Sheet2!DG349</f>
        <v>0</v>
      </c>
    </row>
    <row r="351" spans="1:130" x14ac:dyDescent="0.25">
      <c r="A351" s="15">
        <v>43813</v>
      </c>
      <c r="B351" s="1"/>
      <c r="C351" s="1"/>
      <c r="D351" s="1"/>
      <c r="E351" s="14">
        <f>[1]Sheet2!N350</f>
        <v>0</v>
      </c>
      <c r="F351" s="14">
        <f>[1]Sheet2!BE350</f>
        <v>48000</v>
      </c>
      <c r="G351" s="14">
        <f>[1]Sheet2!CV350</f>
        <v>279.15632754342431</v>
      </c>
      <c r="H351" s="1"/>
      <c r="I351" s="1"/>
      <c r="J351" s="1"/>
      <c r="K351" s="16">
        <f>Demand_CWRS!B$14/31</f>
        <v>95.176711124896599</v>
      </c>
      <c r="L351" s="16">
        <f>Demand_CWRS!C$14/31</f>
        <v>526.22795698924722</v>
      </c>
      <c r="M351" s="16">
        <f>Demand_CWRS!D$14/31</f>
        <v>0</v>
      </c>
      <c r="N351" s="16">
        <f>Demand_CWRS!E$14/31</f>
        <v>102.37076095947063</v>
      </c>
      <c r="O351" s="16">
        <f>Demand_CWRS!F$14/31</f>
        <v>219.86823562861866</v>
      </c>
      <c r="P351" s="16">
        <f>Demand_CWRS!G$14/31</f>
        <v>95.176711124896599</v>
      </c>
      <c r="Q351" s="16">
        <f>Demand_CWRS!H$14/31</f>
        <v>526.22795698924722</v>
      </c>
      <c r="R351" s="16">
        <f>Demand_CWRS!I$14/31</f>
        <v>219.86823562861866</v>
      </c>
      <c r="S351" s="16">
        <f>Demand_CWRS!J$14/31</f>
        <v>219.86823562861866</v>
      </c>
      <c r="T351" s="16">
        <f>Demand_CWRS!K$14/31</f>
        <v>219.86823562861866</v>
      </c>
      <c r="U351" s="16">
        <f t="shared" si="153"/>
        <v>-44178.974916221916</v>
      </c>
      <c r="V351" s="16">
        <f t="shared" si="154"/>
        <v>-167753.28626964407</v>
      </c>
      <c r="W351" s="16">
        <f t="shared" si="155"/>
        <v>0</v>
      </c>
      <c r="X351" s="16">
        <f t="shared" si="156"/>
        <v>-38051.403100689829</v>
      </c>
      <c r="Y351" s="16">
        <f t="shared" si="157"/>
        <v>-75404.383156030643</v>
      </c>
      <c r="Z351" s="16">
        <f t="shared" si="158"/>
        <v>-43782.04239218351</v>
      </c>
      <c r="AA351" s="16">
        <f t="shared" si="159"/>
        <v>-167253.28626964407</v>
      </c>
      <c r="AB351" s="16">
        <f t="shared" si="160"/>
        <v>-72920.537675261294</v>
      </c>
      <c r="AC351" s="16">
        <f t="shared" si="161"/>
        <v>-72920.537675261279</v>
      </c>
      <c r="AD351" s="16">
        <f t="shared" si="162"/>
        <v>-73620.537675261294</v>
      </c>
      <c r="AE351" s="14">
        <f>IF([1]Sheet2!AJ350=999999,"NA",[1]Sheet2!AJ350)</f>
        <v>0</v>
      </c>
      <c r="AF351" s="14">
        <f>IF([1]Sheet2!AK350=999999,"NA",[1]Sheet2!AK350)</f>
        <v>0</v>
      </c>
      <c r="AG351" s="14" t="str">
        <f>IF([1]Sheet2!AL350=999999,"NA",[1]Sheet2!AL350)</f>
        <v>NA</v>
      </c>
      <c r="AH351" s="14">
        <f>IF([1]Sheet2!AM350=999999,"NA",[1]Sheet2!AM350)</f>
        <v>17</v>
      </c>
      <c r="AI351" s="14">
        <f>IF([1]Sheet2!AN350=999999,"NA",[1]Sheet2!AN350)</f>
        <v>17</v>
      </c>
      <c r="AJ351" s="14">
        <f>IF([1]Sheet2!AO350=999999,"NA",[1]Sheet2!AO350)</f>
        <v>17</v>
      </c>
      <c r="AK351" s="14">
        <f>IF([1]Sheet2!AP350=999999,"NA",[1]Sheet2!AP350)</f>
        <v>0</v>
      </c>
      <c r="AL351" s="14">
        <f>IF([1]Sheet2!AQ350=999999,"NA",[1]Sheet2!AQ350)</f>
        <v>0</v>
      </c>
      <c r="AM351" s="14">
        <f>IF([1]Sheet2!AR350=999999,"NA",[1]Sheet2!AR350)</f>
        <v>17</v>
      </c>
      <c r="AN351" s="14">
        <f>IF([1]Sheet2!AS350=999999,"NA",[1]Sheet2!AS350)</f>
        <v>0</v>
      </c>
      <c r="AO351" s="14">
        <f>[1]Sheet2!P350</f>
        <v>0</v>
      </c>
      <c r="AP351" s="14">
        <f>[1]Sheet2!Q350</f>
        <v>0</v>
      </c>
      <c r="AQ351" s="14">
        <f>[1]Sheet2!R350</f>
        <v>0</v>
      </c>
      <c r="AR351" s="14">
        <f>[1]Sheet2!S350</f>
        <v>0</v>
      </c>
      <c r="AS351" s="14">
        <f>[1]Sheet2!T350</f>
        <v>0</v>
      </c>
      <c r="AT351" s="14">
        <f>[1]Sheet2!U350</f>
        <v>0</v>
      </c>
      <c r="AU351" s="14">
        <f>[1]Sheet2!V350</f>
        <v>0</v>
      </c>
      <c r="AV351" s="14">
        <f>[1]Sheet2!W350</f>
        <v>0</v>
      </c>
      <c r="AW351" s="14">
        <f>[1]Sheet2!X350</f>
        <v>0</v>
      </c>
      <c r="AX351" s="14">
        <f>[1]Sheet2!Y350</f>
        <v>0</v>
      </c>
      <c r="AY351" s="16">
        <f>Demand_LP!B$14/31</f>
        <v>868.56315911910667</v>
      </c>
      <c r="AZ351" s="16">
        <f>Demand_LP!C$14/31</f>
        <v>608.40066170388752</v>
      </c>
      <c r="BA351" s="16">
        <f>Demand_LP!D$14/31</f>
        <v>251.20087262200158</v>
      </c>
      <c r="BB351" s="16">
        <f>Demand_LP!E$14/31</f>
        <v>807.45938378825463</v>
      </c>
      <c r="BC351" s="16">
        <f>Demand_LP!F$14/31</f>
        <v>539.59842069892466</v>
      </c>
      <c r="BD351" s="16">
        <f>Demand_LP!G$14/31</f>
        <v>868.56315911910667</v>
      </c>
      <c r="BE351" s="16">
        <f>Demand_LP!H$14/31</f>
        <v>608.40066170388752</v>
      </c>
      <c r="BF351" s="16">
        <f>Demand_LP!I$14/31</f>
        <v>539.59842069892466</v>
      </c>
      <c r="BG351" s="16">
        <f>Demand_LP!J$14/31</f>
        <v>539.59842069892466</v>
      </c>
      <c r="BH351" s="16">
        <f>Demand_LP!K$14/31</f>
        <v>539.59842069892466</v>
      </c>
      <c r="BI351" s="16" t="e">
        <f t="shared" si="163"/>
        <v>#VALUE!</v>
      </c>
      <c r="BJ351" s="16">
        <f t="shared" si="164"/>
        <v>-200508.38618693128</v>
      </c>
      <c r="BK351" s="16">
        <f t="shared" si="165"/>
        <v>-99806.563498759642</v>
      </c>
      <c r="BL351" s="16">
        <f t="shared" si="166"/>
        <v>-264335.83392090839</v>
      </c>
      <c r="BM351" s="16">
        <f t="shared" si="167"/>
        <v>-161711.3203496194</v>
      </c>
      <c r="BN351" s="16">
        <f t="shared" si="168"/>
        <v>-276419.4028227863</v>
      </c>
      <c r="BO351" s="16">
        <f t="shared" si="169"/>
        <v>-202865.96567411107</v>
      </c>
      <c r="BP351" s="16">
        <f t="shared" si="170"/>
        <v>-162823.00426798998</v>
      </c>
      <c r="BQ351" s="16">
        <f t="shared" si="171"/>
        <v>-159813.00426799009</v>
      </c>
      <c r="BR351" s="16">
        <f t="shared" si="172"/>
        <v>-161013.00426799001</v>
      </c>
      <c r="BS351" s="14">
        <f>IF([1]Sheet2!CA350=999999,"NA",[1]Sheet2!CA350)</f>
        <v>55465.995732009964</v>
      </c>
      <c r="BT351" s="14">
        <f>IF([1]Sheet2!CB350=999999,"NA",[1]Sheet2!CB350)</f>
        <v>0</v>
      </c>
      <c r="BU351" s="14">
        <f>IF([1]Sheet2!CC350=999999,"NA",[1]Sheet2!CC350)</f>
        <v>17</v>
      </c>
      <c r="BV351" s="14">
        <f>IF([1]Sheet2!CD350=999999,"NA",[1]Sheet2!CD350)</f>
        <v>17</v>
      </c>
      <c r="BW351" s="14">
        <f>IF([1]Sheet2!CE350=999999,"NA",[1]Sheet2!CE350)</f>
        <v>0</v>
      </c>
      <c r="BX351" s="14">
        <f>IF([1]Sheet2!CF350=999999,"NA",[1]Sheet2!CF350)</f>
        <v>17</v>
      </c>
      <c r="BY351" s="14">
        <f>IF([1]Sheet2!CG350=999999,"NA",[1]Sheet2!CG350)</f>
        <v>0</v>
      </c>
      <c r="BZ351" s="14">
        <f>IF([1]Sheet2!CH350=999999,"NA",[1]Sheet2!CH350)</f>
        <v>17</v>
      </c>
      <c r="CA351" s="14">
        <f>IF([1]Sheet2!CI350=999999,"NA",[1]Sheet2!CI350)</f>
        <v>17</v>
      </c>
      <c r="CB351" s="14">
        <f>IF([1]Sheet2!CJ350=999999,"NA",[1]Sheet2!CJ350)</f>
        <v>17</v>
      </c>
      <c r="CC351" s="14">
        <f>[1]Sheet2!BG350</f>
        <v>0</v>
      </c>
      <c r="CD351" s="14">
        <f>[1]Sheet2!BH350</f>
        <v>0</v>
      </c>
      <c r="CE351" s="14">
        <f>[1]Sheet2!BI350</f>
        <v>0</v>
      </c>
      <c r="CF351" s="14">
        <f>[1]Sheet2!BJ350</f>
        <v>0</v>
      </c>
      <c r="CG351" s="14">
        <f>[1]Sheet2!BK350</f>
        <v>0</v>
      </c>
      <c r="CH351" s="14">
        <f>[1]Sheet2!BL350</f>
        <v>0</v>
      </c>
      <c r="CI351" s="14">
        <f>[1]Sheet2!BM350</f>
        <v>0</v>
      </c>
      <c r="CJ351" s="14">
        <f>[1]Sheet2!BN350</f>
        <v>0</v>
      </c>
      <c r="CK351" s="14">
        <f>[1]Sheet2!BO350</f>
        <v>0</v>
      </c>
      <c r="CL351" s="14">
        <f>[1]Sheet2!BP350</f>
        <v>0</v>
      </c>
      <c r="CM351" s="16">
        <f>Demand_SW!B$14/31</f>
        <v>139.57816377171216</v>
      </c>
      <c r="CN351" s="16">
        <f>Demand_SW!C$14/31</f>
        <v>0</v>
      </c>
      <c r="CO351" s="16">
        <f>Demand_SW!D$14/31</f>
        <v>0</v>
      </c>
      <c r="CP351" s="16">
        <f>Demand_SW!E$14/31</f>
        <v>0</v>
      </c>
      <c r="CQ351" s="16">
        <f>Demand_SW!F$14/31</f>
        <v>0</v>
      </c>
      <c r="CR351" s="16">
        <f>Demand_SW!G$14/31</f>
        <v>139.57816377171216</v>
      </c>
      <c r="CS351" s="16">
        <f>Demand_SW!H$14/31</f>
        <v>0</v>
      </c>
      <c r="CT351" s="16">
        <f>Demand_SW!I$14/31</f>
        <v>0</v>
      </c>
      <c r="CU351" s="16">
        <f>Demand_SW!J$14/31</f>
        <v>0</v>
      </c>
      <c r="CV351" s="16">
        <f>Demand_SW!K$14/31</f>
        <v>0</v>
      </c>
      <c r="CW351" s="16">
        <f t="shared" si="173"/>
        <v>53344.367245657544</v>
      </c>
      <c r="CX351" s="16">
        <f t="shared" si="174"/>
        <v>20683.923076923078</v>
      </c>
      <c r="CY351" s="16">
        <f t="shared" si="175"/>
        <v>0</v>
      </c>
      <c r="CZ351" s="16">
        <f t="shared" si="176"/>
        <v>0</v>
      </c>
      <c r="DA351" s="16">
        <f t="shared" si="177"/>
        <v>0</v>
      </c>
      <c r="DB351" s="16">
        <f t="shared" si="178"/>
        <v>-46184.863523573193</v>
      </c>
      <c r="DC351" s="16">
        <f t="shared" si="179"/>
        <v>20683.923076923078</v>
      </c>
      <c r="DD351" s="16">
        <f t="shared" si="180"/>
        <v>0</v>
      </c>
      <c r="DE351" s="16">
        <f t="shared" si="181"/>
        <v>0</v>
      </c>
      <c r="DF351" s="16">
        <f t="shared" si="182"/>
        <v>0</v>
      </c>
      <c r="DG351" s="14">
        <f>IF([1]Sheet2!DR350=999999,"NA",[1]Sheet2!DR350)</f>
        <v>73103</v>
      </c>
      <c r="DH351" s="14">
        <f>IF([1]Sheet2!DS350=999999,"NA",[1]Sheet2!DS350)</f>
        <v>17</v>
      </c>
      <c r="DI351" s="14">
        <f>IF([1]Sheet2!DT350=999999,"NA",[1]Sheet2!DT350)</f>
        <v>17</v>
      </c>
      <c r="DJ351" s="14" t="str">
        <f>IF([1]Sheet2!DU350=999999,"NA",[1]Sheet2!DU350)</f>
        <v>NA</v>
      </c>
      <c r="DK351" s="14" t="str">
        <f>IF([1]Sheet2!DV350=999999,"NA",[1]Sheet2!DV350)</f>
        <v>NA</v>
      </c>
      <c r="DL351" s="14" t="str">
        <f>IF([1]Sheet2!DW350=999999,"NA",[1]Sheet2!DW350)</f>
        <v>NA</v>
      </c>
      <c r="DM351" s="14">
        <f>IF([1]Sheet2!DX350=999999,"NA",[1]Sheet2!DX350)</f>
        <v>17</v>
      </c>
      <c r="DN351" s="14">
        <f>IF([1]Sheet2!DY350=999999,"NA",[1]Sheet2!DY350)</f>
        <v>17</v>
      </c>
      <c r="DO351" s="14" t="str">
        <f>IF([1]Sheet2!DZ350=999999,"NA",[1]Sheet2!DZ350)</f>
        <v>NA</v>
      </c>
      <c r="DP351" s="14" t="str">
        <f>IF([1]Sheet2!EA350=999999,"NA",[1]Sheet2!EA350)</f>
        <v>NA</v>
      </c>
      <c r="DQ351" s="14">
        <f>[1]Sheet2!CX350</f>
        <v>0</v>
      </c>
      <c r="DR351" s="14">
        <f>[1]Sheet2!CY350</f>
        <v>0</v>
      </c>
      <c r="DS351" s="14">
        <f>[1]Sheet2!CZ350</f>
        <v>0</v>
      </c>
      <c r="DT351" s="14">
        <f>[1]Sheet2!DA350</f>
        <v>0</v>
      </c>
      <c r="DU351" s="14">
        <f>[1]Sheet2!DB350</f>
        <v>0</v>
      </c>
      <c r="DV351" s="14">
        <f>[1]Sheet2!DC350</f>
        <v>0</v>
      </c>
      <c r="DW351" s="14">
        <f>[1]Sheet2!DD350</f>
        <v>0</v>
      </c>
      <c r="DX351" s="14">
        <f>[1]Sheet2!DE350</f>
        <v>0</v>
      </c>
      <c r="DY351" s="14">
        <f>[1]Sheet2!DF350</f>
        <v>0</v>
      </c>
      <c r="DZ351" s="14">
        <f>[1]Sheet2!DG350</f>
        <v>0</v>
      </c>
    </row>
    <row r="352" spans="1:130" x14ac:dyDescent="0.25">
      <c r="A352" s="15">
        <v>43814</v>
      </c>
      <c r="B352" s="1"/>
      <c r="C352" s="1"/>
      <c r="D352" s="1"/>
      <c r="E352" s="14">
        <f>[1]Sheet2!N351</f>
        <v>0</v>
      </c>
      <c r="F352" s="14">
        <f>[1]Sheet2!BE351</f>
        <v>0</v>
      </c>
      <c r="G352" s="14">
        <f>[1]Sheet2!CV351</f>
        <v>279.15632754342431</v>
      </c>
      <c r="H352" s="1"/>
      <c r="I352" s="1"/>
      <c r="J352" s="1"/>
      <c r="K352" s="16">
        <f>Demand_CWRS!B$14/31</f>
        <v>95.176711124896599</v>
      </c>
      <c r="L352" s="16">
        <f>Demand_CWRS!C$14/31</f>
        <v>526.22795698924722</v>
      </c>
      <c r="M352" s="16">
        <f>Demand_CWRS!D$14/31</f>
        <v>0</v>
      </c>
      <c r="N352" s="16">
        <f>Demand_CWRS!E$14/31</f>
        <v>102.37076095947063</v>
      </c>
      <c r="O352" s="16">
        <f>Demand_CWRS!F$14/31</f>
        <v>219.86823562861866</v>
      </c>
      <c r="P352" s="16">
        <f>Demand_CWRS!G$14/31</f>
        <v>95.176711124896599</v>
      </c>
      <c r="Q352" s="16">
        <f>Demand_CWRS!H$14/31</f>
        <v>526.22795698924722</v>
      </c>
      <c r="R352" s="16">
        <f>Demand_CWRS!I$14/31</f>
        <v>219.86823562861866</v>
      </c>
      <c r="S352" s="16">
        <f>Demand_CWRS!J$14/31</f>
        <v>219.86823562861866</v>
      </c>
      <c r="T352" s="16">
        <f>Demand_CWRS!K$14/31</f>
        <v>219.86823562861866</v>
      </c>
      <c r="U352" s="16">
        <f t="shared" si="153"/>
        <v>-44274.151627346815</v>
      </c>
      <c r="V352" s="16">
        <f t="shared" si="154"/>
        <v>-168279.51422663333</v>
      </c>
      <c r="W352" s="16">
        <f t="shared" si="155"/>
        <v>0</v>
      </c>
      <c r="X352" s="16">
        <f t="shared" si="156"/>
        <v>-38153.773861649301</v>
      </c>
      <c r="Y352" s="16">
        <f t="shared" si="157"/>
        <v>-75624.251391659258</v>
      </c>
      <c r="Z352" s="16">
        <f t="shared" si="158"/>
        <v>-43877.219103308409</v>
      </c>
      <c r="AA352" s="16">
        <f t="shared" si="159"/>
        <v>-167779.51422663333</v>
      </c>
      <c r="AB352" s="16">
        <f t="shared" si="160"/>
        <v>-73140.405910889909</v>
      </c>
      <c r="AC352" s="16">
        <f t="shared" si="161"/>
        <v>-73140.405910889895</v>
      </c>
      <c r="AD352" s="16">
        <f t="shared" si="162"/>
        <v>-73840.405910889909</v>
      </c>
      <c r="AE352" s="14">
        <f>IF([1]Sheet2!AJ351=999999,"NA",[1]Sheet2!AJ351)</f>
        <v>0</v>
      </c>
      <c r="AF352" s="14">
        <f>IF([1]Sheet2!AK351=999999,"NA",[1]Sheet2!AK351)</f>
        <v>0</v>
      </c>
      <c r="AG352" s="14" t="str">
        <f>IF([1]Sheet2!AL351=999999,"NA",[1]Sheet2!AL351)</f>
        <v>NA</v>
      </c>
      <c r="AH352" s="14">
        <f>IF([1]Sheet2!AM351=999999,"NA",[1]Sheet2!AM351)</f>
        <v>16</v>
      </c>
      <c r="AI352" s="14">
        <f>IF([1]Sheet2!AN351=999999,"NA",[1]Sheet2!AN351)</f>
        <v>16</v>
      </c>
      <c r="AJ352" s="14">
        <f>IF([1]Sheet2!AO351=999999,"NA",[1]Sheet2!AO351)</f>
        <v>16</v>
      </c>
      <c r="AK352" s="14">
        <f>IF([1]Sheet2!AP351=999999,"NA",[1]Sheet2!AP351)</f>
        <v>0</v>
      </c>
      <c r="AL352" s="14">
        <f>IF([1]Sheet2!AQ351=999999,"NA",[1]Sheet2!AQ351)</f>
        <v>0</v>
      </c>
      <c r="AM352" s="14">
        <f>IF([1]Sheet2!AR351=999999,"NA",[1]Sheet2!AR351)</f>
        <v>16</v>
      </c>
      <c r="AN352" s="14">
        <f>IF([1]Sheet2!AS351=999999,"NA",[1]Sheet2!AS351)</f>
        <v>0</v>
      </c>
      <c r="AO352" s="14">
        <f>[1]Sheet2!P351</f>
        <v>0</v>
      </c>
      <c r="AP352" s="14">
        <f>[1]Sheet2!Q351</f>
        <v>0</v>
      </c>
      <c r="AQ352" s="14">
        <f>[1]Sheet2!R351</f>
        <v>0</v>
      </c>
      <c r="AR352" s="14">
        <f>[1]Sheet2!S351</f>
        <v>0</v>
      </c>
      <c r="AS352" s="14">
        <f>[1]Sheet2!T351</f>
        <v>0</v>
      </c>
      <c r="AT352" s="14">
        <f>[1]Sheet2!U351</f>
        <v>0</v>
      </c>
      <c r="AU352" s="14">
        <f>[1]Sheet2!V351</f>
        <v>0</v>
      </c>
      <c r="AV352" s="14">
        <f>[1]Sheet2!W351</f>
        <v>0</v>
      </c>
      <c r="AW352" s="14">
        <f>[1]Sheet2!X351</f>
        <v>0</v>
      </c>
      <c r="AX352" s="14">
        <f>[1]Sheet2!Y351</f>
        <v>0</v>
      </c>
      <c r="AY352" s="16">
        <f>Demand_LP!B$14/31</f>
        <v>868.56315911910667</v>
      </c>
      <c r="AZ352" s="16">
        <f>Demand_LP!C$14/31</f>
        <v>608.40066170388752</v>
      </c>
      <c r="BA352" s="16">
        <f>Demand_LP!D$14/31</f>
        <v>251.20087262200158</v>
      </c>
      <c r="BB352" s="16">
        <f>Demand_LP!E$14/31</f>
        <v>807.45938378825463</v>
      </c>
      <c r="BC352" s="16">
        <f>Demand_LP!F$14/31</f>
        <v>539.59842069892466</v>
      </c>
      <c r="BD352" s="16">
        <f>Demand_LP!G$14/31</f>
        <v>868.56315911910667</v>
      </c>
      <c r="BE352" s="16">
        <f>Demand_LP!H$14/31</f>
        <v>608.40066170388752</v>
      </c>
      <c r="BF352" s="16">
        <f>Demand_LP!I$14/31</f>
        <v>539.59842069892466</v>
      </c>
      <c r="BG352" s="16">
        <f>Demand_LP!J$14/31</f>
        <v>539.59842069892466</v>
      </c>
      <c r="BH352" s="16">
        <f>Demand_LP!K$14/31</f>
        <v>539.59842069892466</v>
      </c>
      <c r="BI352" s="16" t="e">
        <f t="shared" si="163"/>
        <v>#VALUE!</v>
      </c>
      <c r="BJ352" s="16">
        <f t="shared" si="164"/>
        <v>-201116.78684863518</v>
      </c>
      <c r="BK352" s="16">
        <f t="shared" si="165"/>
        <v>-100057.76437138165</v>
      </c>
      <c r="BL352" s="16">
        <f t="shared" si="166"/>
        <v>-265143.29330469662</v>
      </c>
      <c r="BM352" s="16">
        <f t="shared" si="167"/>
        <v>-162250.91877031833</v>
      </c>
      <c r="BN352" s="16">
        <f t="shared" si="168"/>
        <v>-277287.96598190541</v>
      </c>
      <c r="BO352" s="16">
        <f t="shared" si="169"/>
        <v>-203474.36633581496</v>
      </c>
      <c r="BP352" s="16">
        <f t="shared" si="170"/>
        <v>-163362.6026886889</v>
      </c>
      <c r="BQ352" s="16">
        <f t="shared" si="171"/>
        <v>-160352.60268868902</v>
      </c>
      <c r="BR352" s="16">
        <f t="shared" si="172"/>
        <v>-161552.60268868893</v>
      </c>
      <c r="BS352" s="14">
        <f>IF([1]Sheet2!CA351=999999,"NA",[1]Sheet2!CA351)</f>
        <v>54926.397311311041</v>
      </c>
      <c r="BT352" s="14">
        <f>IF([1]Sheet2!CB351=999999,"NA",[1]Sheet2!CB351)</f>
        <v>0</v>
      </c>
      <c r="BU352" s="14">
        <f>IF([1]Sheet2!CC351=999999,"NA",[1]Sheet2!CC351)</f>
        <v>16</v>
      </c>
      <c r="BV352" s="14">
        <f>IF([1]Sheet2!CD351=999999,"NA",[1]Sheet2!CD351)</f>
        <v>16</v>
      </c>
      <c r="BW352" s="14">
        <f>IF([1]Sheet2!CE351=999999,"NA",[1]Sheet2!CE351)</f>
        <v>0</v>
      </c>
      <c r="BX352" s="14">
        <f>IF([1]Sheet2!CF351=999999,"NA",[1]Sheet2!CF351)</f>
        <v>16</v>
      </c>
      <c r="BY352" s="14">
        <f>IF([1]Sheet2!CG351=999999,"NA",[1]Sheet2!CG351)</f>
        <v>0</v>
      </c>
      <c r="BZ352" s="14">
        <f>IF([1]Sheet2!CH351=999999,"NA",[1]Sheet2!CH351)</f>
        <v>16</v>
      </c>
      <c r="CA352" s="14">
        <f>IF([1]Sheet2!CI351=999999,"NA",[1]Sheet2!CI351)</f>
        <v>16</v>
      </c>
      <c r="CB352" s="14">
        <f>IF([1]Sheet2!CJ351=999999,"NA",[1]Sheet2!CJ351)</f>
        <v>16</v>
      </c>
      <c r="CC352" s="14">
        <f>[1]Sheet2!BG351</f>
        <v>0</v>
      </c>
      <c r="CD352" s="14">
        <f>[1]Sheet2!BH351</f>
        <v>0</v>
      </c>
      <c r="CE352" s="14">
        <f>[1]Sheet2!BI351</f>
        <v>0</v>
      </c>
      <c r="CF352" s="14">
        <f>[1]Sheet2!BJ351</f>
        <v>0</v>
      </c>
      <c r="CG352" s="14">
        <f>[1]Sheet2!BK351</f>
        <v>0</v>
      </c>
      <c r="CH352" s="14">
        <f>[1]Sheet2!BL351</f>
        <v>0</v>
      </c>
      <c r="CI352" s="14">
        <f>[1]Sheet2!BM351</f>
        <v>0</v>
      </c>
      <c r="CJ352" s="14">
        <f>[1]Sheet2!BN351</f>
        <v>0</v>
      </c>
      <c r="CK352" s="14">
        <f>[1]Sheet2!BO351</f>
        <v>0</v>
      </c>
      <c r="CL352" s="14">
        <f>[1]Sheet2!BP351</f>
        <v>0</v>
      </c>
      <c r="CM352" s="16">
        <f>Demand_SW!B$14/31</f>
        <v>139.57816377171216</v>
      </c>
      <c r="CN352" s="16">
        <f>Demand_SW!C$14/31</f>
        <v>0</v>
      </c>
      <c r="CO352" s="16">
        <f>Demand_SW!D$14/31</f>
        <v>0</v>
      </c>
      <c r="CP352" s="16">
        <f>Demand_SW!E$14/31</f>
        <v>0</v>
      </c>
      <c r="CQ352" s="16">
        <f>Demand_SW!F$14/31</f>
        <v>0</v>
      </c>
      <c r="CR352" s="16">
        <f>Demand_SW!G$14/31</f>
        <v>139.57816377171216</v>
      </c>
      <c r="CS352" s="16">
        <f>Demand_SW!H$14/31</f>
        <v>0</v>
      </c>
      <c r="CT352" s="16">
        <f>Demand_SW!I$14/31</f>
        <v>0</v>
      </c>
      <c r="CU352" s="16">
        <f>Demand_SW!J$14/31</f>
        <v>0</v>
      </c>
      <c r="CV352" s="16">
        <f>Demand_SW!K$14/31</f>
        <v>0</v>
      </c>
      <c r="CW352" s="16">
        <f t="shared" si="173"/>
        <v>53204.789081885829</v>
      </c>
      <c r="CX352" s="16">
        <f t="shared" si="174"/>
        <v>20683.923076923078</v>
      </c>
      <c r="CY352" s="16">
        <f t="shared" si="175"/>
        <v>0</v>
      </c>
      <c r="CZ352" s="16">
        <f t="shared" si="176"/>
        <v>0</v>
      </c>
      <c r="DA352" s="16">
        <f t="shared" si="177"/>
        <v>0</v>
      </c>
      <c r="DB352" s="16">
        <f t="shared" si="178"/>
        <v>-46324.441687344908</v>
      </c>
      <c r="DC352" s="16">
        <f t="shared" si="179"/>
        <v>20683.923076923078</v>
      </c>
      <c r="DD352" s="16">
        <f t="shared" si="180"/>
        <v>0</v>
      </c>
      <c r="DE352" s="16">
        <f t="shared" si="181"/>
        <v>0</v>
      </c>
      <c r="DF352" s="16">
        <f t="shared" si="182"/>
        <v>0</v>
      </c>
      <c r="DG352" s="14">
        <f>IF([1]Sheet2!DR351=999999,"NA",[1]Sheet2!DR351)</f>
        <v>73103</v>
      </c>
      <c r="DH352" s="14">
        <f>IF([1]Sheet2!DS351=999999,"NA",[1]Sheet2!DS351)</f>
        <v>16</v>
      </c>
      <c r="DI352" s="14">
        <f>IF([1]Sheet2!DT351=999999,"NA",[1]Sheet2!DT351)</f>
        <v>16</v>
      </c>
      <c r="DJ352" s="14" t="str">
        <f>IF([1]Sheet2!DU351=999999,"NA",[1]Sheet2!DU351)</f>
        <v>NA</v>
      </c>
      <c r="DK352" s="14" t="str">
        <f>IF([1]Sheet2!DV351=999999,"NA",[1]Sheet2!DV351)</f>
        <v>NA</v>
      </c>
      <c r="DL352" s="14" t="str">
        <f>IF([1]Sheet2!DW351=999999,"NA",[1]Sheet2!DW351)</f>
        <v>NA</v>
      </c>
      <c r="DM352" s="14">
        <f>IF([1]Sheet2!DX351=999999,"NA",[1]Sheet2!DX351)</f>
        <v>16</v>
      </c>
      <c r="DN352" s="14">
        <f>IF([1]Sheet2!DY351=999999,"NA",[1]Sheet2!DY351)</f>
        <v>16</v>
      </c>
      <c r="DO352" s="14" t="str">
        <f>IF([1]Sheet2!DZ351=999999,"NA",[1]Sheet2!DZ351)</f>
        <v>NA</v>
      </c>
      <c r="DP352" s="14" t="str">
        <f>IF([1]Sheet2!EA351=999999,"NA",[1]Sheet2!EA351)</f>
        <v>NA</v>
      </c>
      <c r="DQ352" s="14">
        <f>[1]Sheet2!CX351</f>
        <v>0</v>
      </c>
      <c r="DR352" s="14">
        <f>[1]Sheet2!CY351</f>
        <v>0</v>
      </c>
      <c r="DS352" s="14">
        <f>[1]Sheet2!CZ351</f>
        <v>0</v>
      </c>
      <c r="DT352" s="14">
        <f>[1]Sheet2!DA351</f>
        <v>0</v>
      </c>
      <c r="DU352" s="14">
        <f>[1]Sheet2!DB351</f>
        <v>0</v>
      </c>
      <c r="DV352" s="14">
        <f>[1]Sheet2!DC351</f>
        <v>0</v>
      </c>
      <c r="DW352" s="14">
        <f>[1]Sheet2!DD351</f>
        <v>0</v>
      </c>
      <c r="DX352" s="14">
        <f>[1]Sheet2!DE351</f>
        <v>0</v>
      </c>
      <c r="DY352" s="14">
        <f>[1]Sheet2!DF351</f>
        <v>0</v>
      </c>
      <c r="DZ352" s="14">
        <f>[1]Sheet2!DG351</f>
        <v>0</v>
      </c>
    </row>
    <row r="353" spans="1:130" x14ac:dyDescent="0.25">
      <c r="A353" s="15">
        <v>43815</v>
      </c>
      <c r="B353" s="1"/>
      <c r="C353" s="1"/>
      <c r="D353" s="1"/>
      <c r="E353" s="14">
        <f>[1]Sheet2!N352</f>
        <v>0</v>
      </c>
      <c r="F353" s="14">
        <f>[1]Sheet2!BE352</f>
        <v>0</v>
      </c>
      <c r="G353" s="14">
        <f>[1]Sheet2!CV352</f>
        <v>279.15632754342431</v>
      </c>
      <c r="H353" s="1"/>
      <c r="I353" s="1"/>
      <c r="J353" s="1"/>
      <c r="K353" s="16">
        <f>Demand_CWRS!B$14/31</f>
        <v>95.176711124896599</v>
      </c>
      <c r="L353" s="16">
        <f>Demand_CWRS!C$14/31</f>
        <v>526.22795698924722</v>
      </c>
      <c r="M353" s="16">
        <f>Demand_CWRS!D$14/31</f>
        <v>0</v>
      </c>
      <c r="N353" s="16">
        <f>Demand_CWRS!E$14/31</f>
        <v>102.37076095947063</v>
      </c>
      <c r="O353" s="16">
        <f>Demand_CWRS!F$14/31</f>
        <v>219.86823562861866</v>
      </c>
      <c r="P353" s="16">
        <f>Demand_CWRS!G$14/31</f>
        <v>95.176711124896599</v>
      </c>
      <c r="Q353" s="16">
        <f>Demand_CWRS!H$14/31</f>
        <v>526.22795698924722</v>
      </c>
      <c r="R353" s="16">
        <f>Demand_CWRS!I$14/31</f>
        <v>219.86823562861866</v>
      </c>
      <c r="S353" s="16">
        <f>Demand_CWRS!J$14/31</f>
        <v>219.86823562861866</v>
      </c>
      <c r="T353" s="16">
        <f>Demand_CWRS!K$14/31</f>
        <v>219.86823562861866</v>
      </c>
      <c r="U353" s="16">
        <f t="shared" si="153"/>
        <v>-44369.328338471714</v>
      </c>
      <c r="V353" s="16">
        <f t="shared" si="154"/>
        <v>-168805.74218362258</v>
      </c>
      <c r="W353" s="16">
        <f t="shared" si="155"/>
        <v>0</v>
      </c>
      <c r="X353" s="16">
        <f t="shared" si="156"/>
        <v>-38256.144622608772</v>
      </c>
      <c r="Y353" s="16">
        <f t="shared" si="157"/>
        <v>-75844.119627287873</v>
      </c>
      <c r="Z353" s="16">
        <f t="shared" si="158"/>
        <v>-43972.395814433308</v>
      </c>
      <c r="AA353" s="16">
        <f t="shared" si="159"/>
        <v>-168305.74218362258</v>
      </c>
      <c r="AB353" s="16">
        <f t="shared" si="160"/>
        <v>-73360.274146518525</v>
      </c>
      <c r="AC353" s="16">
        <f t="shared" si="161"/>
        <v>-73360.27414651851</v>
      </c>
      <c r="AD353" s="16">
        <f t="shared" si="162"/>
        <v>-74060.274146518525</v>
      </c>
      <c r="AE353" s="14">
        <f>IF([1]Sheet2!AJ352=999999,"NA",[1]Sheet2!AJ352)</f>
        <v>0</v>
      </c>
      <c r="AF353" s="14">
        <f>IF([1]Sheet2!AK352=999999,"NA",[1]Sheet2!AK352)</f>
        <v>0</v>
      </c>
      <c r="AG353" s="14" t="str">
        <f>IF([1]Sheet2!AL352=999999,"NA",[1]Sheet2!AL352)</f>
        <v>NA</v>
      </c>
      <c r="AH353" s="14">
        <f>IF([1]Sheet2!AM352=999999,"NA",[1]Sheet2!AM352)</f>
        <v>15</v>
      </c>
      <c r="AI353" s="14">
        <f>IF([1]Sheet2!AN352=999999,"NA",[1]Sheet2!AN352)</f>
        <v>15</v>
      </c>
      <c r="AJ353" s="14">
        <f>IF([1]Sheet2!AO352=999999,"NA",[1]Sheet2!AO352)</f>
        <v>15</v>
      </c>
      <c r="AK353" s="14">
        <f>IF([1]Sheet2!AP352=999999,"NA",[1]Sheet2!AP352)</f>
        <v>0</v>
      </c>
      <c r="AL353" s="14">
        <f>IF([1]Sheet2!AQ352=999999,"NA",[1]Sheet2!AQ352)</f>
        <v>0</v>
      </c>
      <c r="AM353" s="14">
        <f>IF([1]Sheet2!AR352=999999,"NA",[1]Sheet2!AR352)</f>
        <v>15</v>
      </c>
      <c r="AN353" s="14">
        <f>IF([1]Sheet2!AS352=999999,"NA",[1]Sheet2!AS352)</f>
        <v>0</v>
      </c>
      <c r="AO353" s="14">
        <f>[1]Sheet2!P352</f>
        <v>0</v>
      </c>
      <c r="AP353" s="14">
        <f>[1]Sheet2!Q352</f>
        <v>0</v>
      </c>
      <c r="AQ353" s="14">
        <f>[1]Sheet2!R352</f>
        <v>0</v>
      </c>
      <c r="AR353" s="14">
        <f>[1]Sheet2!S352</f>
        <v>0</v>
      </c>
      <c r="AS353" s="14">
        <f>[1]Sheet2!T352</f>
        <v>0</v>
      </c>
      <c r="AT353" s="14">
        <f>[1]Sheet2!U352</f>
        <v>0</v>
      </c>
      <c r="AU353" s="14">
        <f>[1]Sheet2!V352</f>
        <v>0</v>
      </c>
      <c r="AV353" s="14">
        <f>[1]Sheet2!W352</f>
        <v>0</v>
      </c>
      <c r="AW353" s="14">
        <f>[1]Sheet2!X352</f>
        <v>0</v>
      </c>
      <c r="AX353" s="14">
        <f>[1]Sheet2!Y352</f>
        <v>0</v>
      </c>
      <c r="AY353" s="16">
        <f>Demand_LP!B$14/31</f>
        <v>868.56315911910667</v>
      </c>
      <c r="AZ353" s="16">
        <f>Demand_LP!C$14/31</f>
        <v>608.40066170388752</v>
      </c>
      <c r="BA353" s="16">
        <f>Demand_LP!D$14/31</f>
        <v>251.20087262200158</v>
      </c>
      <c r="BB353" s="16">
        <f>Demand_LP!E$14/31</f>
        <v>807.45938378825463</v>
      </c>
      <c r="BC353" s="16">
        <f>Demand_LP!F$14/31</f>
        <v>539.59842069892466</v>
      </c>
      <c r="BD353" s="16">
        <f>Demand_LP!G$14/31</f>
        <v>868.56315911910667</v>
      </c>
      <c r="BE353" s="16">
        <f>Demand_LP!H$14/31</f>
        <v>608.40066170388752</v>
      </c>
      <c r="BF353" s="16">
        <f>Demand_LP!I$14/31</f>
        <v>539.59842069892466</v>
      </c>
      <c r="BG353" s="16">
        <f>Demand_LP!J$14/31</f>
        <v>539.59842069892466</v>
      </c>
      <c r="BH353" s="16">
        <f>Demand_LP!K$14/31</f>
        <v>539.59842069892466</v>
      </c>
      <c r="BI353" s="16" t="e">
        <f t="shared" si="163"/>
        <v>#VALUE!</v>
      </c>
      <c r="BJ353" s="16">
        <f t="shared" si="164"/>
        <v>-201725.18751033908</v>
      </c>
      <c r="BK353" s="16">
        <f t="shared" si="165"/>
        <v>-100308.96524400366</v>
      </c>
      <c r="BL353" s="16">
        <f t="shared" si="166"/>
        <v>-265950.75268848485</v>
      </c>
      <c r="BM353" s="16">
        <f t="shared" si="167"/>
        <v>-162790.51719101725</v>
      </c>
      <c r="BN353" s="16">
        <f t="shared" si="168"/>
        <v>-278156.52914102451</v>
      </c>
      <c r="BO353" s="16">
        <f t="shared" si="169"/>
        <v>-204082.76699751886</v>
      </c>
      <c r="BP353" s="16">
        <f t="shared" si="170"/>
        <v>-163902.20110938782</v>
      </c>
      <c r="BQ353" s="16">
        <f t="shared" si="171"/>
        <v>-160892.20110938794</v>
      </c>
      <c r="BR353" s="16">
        <f t="shared" si="172"/>
        <v>-162092.20110938785</v>
      </c>
      <c r="BS353" s="14">
        <f>IF([1]Sheet2!CA352=999999,"NA",[1]Sheet2!CA352)</f>
        <v>54386.798890612117</v>
      </c>
      <c r="BT353" s="14">
        <f>IF([1]Sheet2!CB352=999999,"NA",[1]Sheet2!CB352)</f>
        <v>0</v>
      </c>
      <c r="BU353" s="14">
        <f>IF([1]Sheet2!CC352=999999,"NA",[1]Sheet2!CC352)</f>
        <v>15</v>
      </c>
      <c r="BV353" s="14">
        <f>IF([1]Sheet2!CD352=999999,"NA",[1]Sheet2!CD352)</f>
        <v>15</v>
      </c>
      <c r="BW353" s="14">
        <f>IF([1]Sheet2!CE352=999999,"NA",[1]Sheet2!CE352)</f>
        <v>0</v>
      </c>
      <c r="BX353" s="14">
        <f>IF([1]Sheet2!CF352=999999,"NA",[1]Sheet2!CF352)</f>
        <v>15</v>
      </c>
      <c r="BY353" s="14">
        <f>IF([1]Sheet2!CG352=999999,"NA",[1]Sheet2!CG352)</f>
        <v>0</v>
      </c>
      <c r="BZ353" s="14">
        <f>IF([1]Sheet2!CH352=999999,"NA",[1]Sheet2!CH352)</f>
        <v>15</v>
      </c>
      <c r="CA353" s="14">
        <f>IF([1]Sheet2!CI352=999999,"NA",[1]Sheet2!CI352)</f>
        <v>15</v>
      </c>
      <c r="CB353" s="14">
        <f>IF([1]Sheet2!CJ352=999999,"NA",[1]Sheet2!CJ352)</f>
        <v>15</v>
      </c>
      <c r="CC353" s="14">
        <f>[1]Sheet2!BG352</f>
        <v>0</v>
      </c>
      <c r="CD353" s="14">
        <f>[1]Sheet2!BH352</f>
        <v>0</v>
      </c>
      <c r="CE353" s="14">
        <f>[1]Sheet2!BI352</f>
        <v>0</v>
      </c>
      <c r="CF353" s="14">
        <f>[1]Sheet2!BJ352</f>
        <v>0</v>
      </c>
      <c r="CG353" s="14">
        <f>[1]Sheet2!BK352</f>
        <v>0</v>
      </c>
      <c r="CH353" s="14">
        <f>[1]Sheet2!BL352</f>
        <v>0</v>
      </c>
      <c r="CI353" s="14">
        <f>[1]Sheet2!BM352</f>
        <v>0</v>
      </c>
      <c r="CJ353" s="14">
        <f>[1]Sheet2!BN352</f>
        <v>0</v>
      </c>
      <c r="CK353" s="14">
        <f>[1]Sheet2!BO352</f>
        <v>0</v>
      </c>
      <c r="CL353" s="14">
        <f>[1]Sheet2!BP352</f>
        <v>0</v>
      </c>
      <c r="CM353" s="16">
        <f>Demand_SW!B$14/31</f>
        <v>139.57816377171216</v>
      </c>
      <c r="CN353" s="16">
        <f>Demand_SW!C$14/31</f>
        <v>0</v>
      </c>
      <c r="CO353" s="16">
        <f>Demand_SW!D$14/31</f>
        <v>0</v>
      </c>
      <c r="CP353" s="16">
        <f>Demand_SW!E$14/31</f>
        <v>0</v>
      </c>
      <c r="CQ353" s="16">
        <f>Demand_SW!F$14/31</f>
        <v>0</v>
      </c>
      <c r="CR353" s="16">
        <f>Demand_SW!G$14/31</f>
        <v>139.57816377171216</v>
      </c>
      <c r="CS353" s="16">
        <f>Demand_SW!H$14/31</f>
        <v>0</v>
      </c>
      <c r="CT353" s="16">
        <f>Demand_SW!I$14/31</f>
        <v>0</v>
      </c>
      <c r="CU353" s="16">
        <f>Demand_SW!J$14/31</f>
        <v>0</v>
      </c>
      <c r="CV353" s="16">
        <f>Demand_SW!K$14/31</f>
        <v>0</v>
      </c>
      <c r="CW353" s="16">
        <f t="shared" si="173"/>
        <v>53065.210918114113</v>
      </c>
      <c r="CX353" s="16">
        <f t="shared" si="174"/>
        <v>20683.923076923078</v>
      </c>
      <c r="CY353" s="16">
        <f t="shared" si="175"/>
        <v>0</v>
      </c>
      <c r="CZ353" s="16">
        <f t="shared" si="176"/>
        <v>0</v>
      </c>
      <c r="DA353" s="16">
        <f t="shared" si="177"/>
        <v>0</v>
      </c>
      <c r="DB353" s="16">
        <f t="shared" si="178"/>
        <v>-46464.019851116624</v>
      </c>
      <c r="DC353" s="16">
        <f t="shared" si="179"/>
        <v>20683.923076923078</v>
      </c>
      <c r="DD353" s="16">
        <f t="shared" si="180"/>
        <v>0</v>
      </c>
      <c r="DE353" s="16">
        <f t="shared" si="181"/>
        <v>0</v>
      </c>
      <c r="DF353" s="16">
        <f t="shared" si="182"/>
        <v>0</v>
      </c>
      <c r="DG353" s="14">
        <f>IF([1]Sheet2!DR352=999999,"NA",[1]Sheet2!DR352)</f>
        <v>73103</v>
      </c>
      <c r="DH353" s="14">
        <f>IF([1]Sheet2!DS352=999999,"NA",[1]Sheet2!DS352)</f>
        <v>15</v>
      </c>
      <c r="DI353" s="14">
        <f>IF([1]Sheet2!DT352=999999,"NA",[1]Sheet2!DT352)</f>
        <v>15</v>
      </c>
      <c r="DJ353" s="14" t="str">
        <f>IF([1]Sheet2!DU352=999999,"NA",[1]Sheet2!DU352)</f>
        <v>NA</v>
      </c>
      <c r="DK353" s="14" t="str">
        <f>IF([1]Sheet2!DV352=999999,"NA",[1]Sheet2!DV352)</f>
        <v>NA</v>
      </c>
      <c r="DL353" s="14" t="str">
        <f>IF([1]Sheet2!DW352=999999,"NA",[1]Sheet2!DW352)</f>
        <v>NA</v>
      </c>
      <c r="DM353" s="14">
        <f>IF([1]Sheet2!DX352=999999,"NA",[1]Sheet2!DX352)</f>
        <v>15</v>
      </c>
      <c r="DN353" s="14">
        <f>IF([1]Sheet2!DY352=999999,"NA",[1]Sheet2!DY352)</f>
        <v>15</v>
      </c>
      <c r="DO353" s="14" t="str">
        <f>IF([1]Sheet2!DZ352=999999,"NA",[1]Sheet2!DZ352)</f>
        <v>NA</v>
      </c>
      <c r="DP353" s="14" t="str">
        <f>IF([1]Sheet2!EA352=999999,"NA",[1]Sheet2!EA352)</f>
        <v>NA</v>
      </c>
      <c r="DQ353" s="14">
        <f>[1]Sheet2!CX352</f>
        <v>0</v>
      </c>
      <c r="DR353" s="14">
        <f>[1]Sheet2!CY352</f>
        <v>0</v>
      </c>
      <c r="DS353" s="14">
        <f>[1]Sheet2!CZ352</f>
        <v>0</v>
      </c>
      <c r="DT353" s="14">
        <f>[1]Sheet2!DA352</f>
        <v>0</v>
      </c>
      <c r="DU353" s="14">
        <f>[1]Sheet2!DB352</f>
        <v>0</v>
      </c>
      <c r="DV353" s="14">
        <f>[1]Sheet2!DC352</f>
        <v>0</v>
      </c>
      <c r="DW353" s="14">
        <f>[1]Sheet2!DD352</f>
        <v>0</v>
      </c>
      <c r="DX353" s="14">
        <f>[1]Sheet2!DE352</f>
        <v>0</v>
      </c>
      <c r="DY353" s="14">
        <f>[1]Sheet2!DF352</f>
        <v>0</v>
      </c>
      <c r="DZ353" s="14">
        <f>[1]Sheet2!DG352</f>
        <v>0</v>
      </c>
    </row>
    <row r="354" spans="1:130" x14ac:dyDescent="0.25">
      <c r="A354" s="15">
        <v>43816</v>
      </c>
      <c r="B354" s="1"/>
      <c r="C354" s="1"/>
      <c r="D354" s="1"/>
      <c r="E354" s="14">
        <f>[1]Sheet2!N353</f>
        <v>0</v>
      </c>
      <c r="F354" s="14">
        <f>[1]Sheet2!BE353</f>
        <v>0</v>
      </c>
      <c r="G354" s="14">
        <f>[1]Sheet2!CV353</f>
        <v>279.15632754342431</v>
      </c>
      <c r="H354" s="1"/>
      <c r="I354" s="1"/>
      <c r="J354" s="1"/>
      <c r="K354" s="16">
        <f>Demand_CWRS!B$14/31</f>
        <v>95.176711124896599</v>
      </c>
      <c r="L354" s="16">
        <f>Demand_CWRS!C$14/31</f>
        <v>526.22795698924722</v>
      </c>
      <c r="M354" s="16">
        <f>Demand_CWRS!D$14/31</f>
        <v>0</v>
      </c>
      <c r="N354" s="16">
        <f>Demand_CWRS!E$14/31</f>
        <v>102.37076095947063</v>
      </c>
      <c r="O354" s="16">
        <f>Demand_CWRS!F$14/31</f>
        <v>219.86823562861866</v>
      </c>
      <c r="P354" s="16">
        <f>Demand_CWRS!G$14/31</f>
        <v>95.176711124896599</v>
      </c>
      <c r="Q354" s="16">
        <f>Demand_CWRS!H$14/31</f>
        <v>526.22795698924722</v>
      </c>
      <c r="R354" s="16">
        <f>Demand_CWRS!I$14/31</f>
        <v>219.86823562861866</v>
      </c>
      <c r="S354" s="16">
        <f>Demand_CWRS!J$14/31</f>
        <v>219.86823562861866</v>
      </c>
      <c r="T354" s="16">
        <f>Demand_CWRS!K$14/31</f>
        <v>219.86823562861866</v>
      </c>
      <c r="U354" s="16">
        <f t="shared" si="153"/>
        <v>-44464.505049596613</v>
      </c>
      <c r="V354" s="16">
        <f t="shared" si="154"/>
        <v>-169331.97014061184</v>
      </c>
      <c r="W354" s="16">
        <f t="shared" si="155"/>
        <v>0</v>
      </c>
      <c r="X354" s="16">
        <f t="shared" si="156"/>
        <v>-38358.515383568243</v>
      </c>
      <c r="Y354" s="16">
        <f t="shared" si="157"/>
        <v>-76063.987862916489</v>
      </c>
      <c r="Z354" s="16">
        <f t="shared" si="158"/>
        <v>-44067.572525558207</v>
      </c>
      <c r="AA354" s="16">
        <f t="shared" si="159"/>
        <v>-168831.97014061184</v>
      </c>
      <c r="AB354" s="16">
        <f t="shared" si="160"/>
        <v>-73580.14238214714</v>
      </c>
      <c r="AC354" s="16">
        <f t="shared" si="161"/>
        <v>-73580.142382147125</v>
      </c>
      <c r="AD354" s="16">
        <f t="shared" si="162"/>
        <v>-74280.14238214714</v>
      </c>
      <c r="AE354" s="14">
        <f>IF([1]Sheet2!AJ353=999999,"NA",[1]Sheet2!AJ353)</f>
        <v>0</v>
      </c>
      <c r="AF354" s="14">
        <f>IF([1]Sheet2!AK353=999999,"NA",[1]Sheet2!AK353)</f>
        <v>0</v>
      </c>
      <c r="AG354" s="14" t="str">
        <f>IF([1]Sheet2!AL353=999999,"NA",[1]Sheet2!AL353)</f>
        <v>NA</v>
      </c>
      <c r="AH354" s="14">
        <f>IF([1]Sheet2!AM353=999999,"NA",[1]Sheet2!AM353)</f>
        <v>14</v>
      </c>
      <c r="AI354" s="14">
        <f>IF([1]Sheet2!AN353=999999,"NA",[1]Sheet2!AN353)</f>
        <v>14</v>
      </c>
      <c r="AJ354" s="14">
        <f>IF([1]Sheet2!AO353=999999,"NA",[1]Sheet2!AO353)</f>
        <v>14</v>
      </c>
      <c r="AK354" s="14">
        <f>IF([1]Sheet2!AP353=999999,"NA",[1]Sheet2!AP353)</f>
        <v>0</v>
      </c>
      <c r="AL354" s="14">
        <f>IF([1]Sheet2!AQ353=999999,"NA",[1]Sheet2!AQ353)</f>
        <v>0</v>
      </c>
      <c r="AM354" s="14">
        <f>IF([1]Sheet2!AR353=999999,"NA",[1]Sheet2!AR353)</f>
        <v>14</v>
      </c>
      <c r="AN354" s="14">
        <f>IF([1]Sheet2!AS353=999999,"NA",[1]Sheet2!AS353)</f>
        <v>0</v>
      </c>
      <c r="AO354" s="14">
        <f>[1]Sheet2!P353</f>
        <v>0</v>
      </c>
      <c r="AP354" s="14">
        <f>[1]Sheet2!Q353</f>
        <v>0</v>
      </c>
      <c r="AQ354" s="14">
        <f>[1]Sheet2!R353</f>
        <v>0</v>
      </c>
      <c r="AR354" s="14">
        <f>[1]Sheet2!S353</f>
        <v>0</v>
      </c>
      <c r="AS354" s="14">
        <f>[1]Sheet2!T353</f>
        <v>0</v>
      </c>
      <c r="AT354" s="14">
        <f>[1]Sheet2!U353</f>
        <v>0</v>
      </c>
      <c r="AU354" s="14">
        <f>[1]Sheet2!V353</f>
        <v>0</v>
      </c>
      <c r="AV354" s="14">
        <f>[1]Sheet2!W353</f>
        <v>0</v>
      </c>
      <c r="AW354" s="14">
        <f>[1]Sheet2!X353</f>
        <v>0</v>
      </c>
      <c r="AX354" s="14">
        <f>[1]Sheet2!Y353</f>
        <v>0</v>
      </c>
      <c r="AY354" s="16">
        <f>Demand_LP!B$14/31</f>
        <v>868.56315911910667</v>
      </c>
      <c r="AZ354" s="16">
        <f>Demand_LP!C$14/31</f>
        <v>608.40066170388752</v>
      </c>
      <c r="BA354" s="16">
        <f>Demand_LP!D$14/31</f>
        <v>251.20087262200158</v>
      </c>
      <c r="BB354" s="16">
        <f>Demand_LP!E$14/31</f>
        <v>807.45938378825463</v>
      </c>
      <c r="BC354" s="16">
        <f>Demand_LP!F$14/31</f>
        <v>539.59842069892466</v>
      </c>
      <c r="BD354" s="16">
        <f>Demand_LP!G$14/31</f>
        <v>868.56315911910667</v>
      </c>
      <c r="BE354" s="16">
        <f>Demand_LP!H$14/31</f>
        <v>608.40066170388752</v>
      </c>
      <c r="BF354" s="16">
        <f>Demand_LP!I$14/31</f>
        <v>539.59842069892466</v>
      </c>
      <c r="BG354" s="16">
        <f>Demand_LP!J$14/31</f>
        <v>539.59842069892466</v>
      </c>
      <c r="BH354" s="16">
        <f>Demand_LP!K$14/31</f>
        <v>539.59842069892466</v>
      </c>
      <c r="BI354" s="16" t="e">
        <f t="shared" si="163"/>
        <v>#VALUE!</v>
      </c>
      <c r="BJ354" s="16">
        <f t="shared" si="164"/>
        <v>-202333.58817204298</v>
      </c>
      <c r="BK354" s="16">
        <f t="shared" si="165"/>
        <v>-100560.16611662567</v>
      </c>
      <c r="BL354" s="16">
        <f t="shared" si="166"/>
        <v>-266758.21207227308</v>
      </c>
      <c r="BM354" s="16">
        <f t="shared" si="167"/>
        <v>-163330.11561171617</v>
      </c>
      <c r="BN354" s="16">
        <f t="shared" si="168"/>
        <v>-279025.09230014362</v>
      </c>
      <c r="BO354" s="16">
        <f t="shared" si="169"/>
        <v>-204691.16765922276</v>
      </c>
      <c r="BP354" s="16">
        <f t="shared" si="170"/>
        <v>-164441.79953008675</v>
      </c>
      <c r="BQ354" s="16">
        <f t="shared" si="171"/>
        <v>-161431.79953008686</v>
      </c>
      <c r="BR354" s="16">
        <f t="shared" si="172"/>
        <v>-162631.79953008678</v>
      </c>
      <c r="BS354" s="14">
        <f>IF([1]Sheet2!CA353=999999,"NA",[1]Sheet2!CA353)</f>
        <v>53847.200469913194</v>
      </c>
      <c r="BT354" s="14">
        <f>IF([1]Sheet2!CB353=999999,"NA",[1]Sheet2!CB353)</f>
        <v>0</v>
      </c>
      <c r="BU354" s="14">
        <f>IF([1]Sheet2!CC353=999999,"NA",[1]Sheet2!CC353)</f>
        <v>14</v>
      </c>
      <c r="BV354" s="14">
        <f>IF([1]Sheet2!CD353=999999,"NA",[1]Sheet2!CD353)</f>
        <v>14</v>
      </c>
      <c r="BW354" s="14">
        <f>IF([1]Sheet2!CE353=999999,"NA",[1]Sheet2!CE353)</f>
        <v>0</v>
      </c>
      <c r="BX354" s="14">
        <f>IF([1]Sheet2!CF353=999999,"NA",[1]Sheet2!CF353)</f>
        <v>14</v>
      </c>
      <c r="BY354" s="14">
        <f>IF([1]Sheet2!CG353=999999,"NA",[1]Sheet2!CG353)</f>
        <v>0</v>
      </c>
      <c r="BZ354" s="14">
        <f>IF([1]Sheet2!CH353=999999,"NA",[1]Sheet2!CH353)</f>
        <v>14</v>
      </c>
      <c r="CA354" s="14">
        <f>IF([1]Sheet2!CI353=999999,"NA",[1]Sheet2!CI353)</f>
        <v>14</v>
      </c>
      <c r="CB354" s="14">
        <f>IF([1]Sheet2!CJ353=999999,"NA",[1]Sheet2!CJ353)</f>
        <v>14</v>
      </c>
      <c r="CC354" s="14">
        <f>[1]Sheet2!BG353</f>
        <v>0</v>
      </c>
      <c r="CD354" s="14">
        <f>[1]Sheet2!BH353</f>
        <v>0</v>
      </c>
      <c r="CE354" s="14">
        <f>[1]Sheet2!BI353</f>
        <v>0</v>
      </c>
      <c r="CF354" s="14">
        <f>[1]Sheet2!BJ353</f>
        <v>0</v>
      </c>
      <c r="CG354" s="14">
        <f>[1]Sheet2!BK353</f>
        <v>0</v>
      </c>
      <c r="CH354" s="14">
        <f>[1]Sheet2!BL353</f>
        <v>0</v>
      </c>
      <c r="CI354" s="14">
        <f>[1]Sheet2!BM353</f>
        <v>0</v>
      </c>
      <c r="CJ354" s="14">
        <f>[1]Sheet2!BN353</f>
        <v>0</v>
      </c>
      <c r="CK354" s="14">
        <f>[1]Sheet2!BO353</f>
        <v>0</v>
      </c>
      <c r="CL354" s="14">
        <f>[1]Sheet2!BP353</f>
        <v>0</v>
      </c>
      <c r="CM354" s="16">
        <f>Demand_SW!B$14/31</f>
        <v>139.57816377171216</v>
      </c>
      <c r="CN354" s="16">
        <f>Demand_SW!C$14/31</f>
        <v>0</v>
      </c>
      <c r="CO354" s="16">
        <f>Demand_SW!D$14/31</f>
        <v>0</v>
      </c>
      <c r="CP354" s="16">
        <f>Demand_SW!E$14/31</f>
        <v>0</v>
      </c>
      <c r="CQ354" s="16">
        <f>Demand_SW!F$14/31</f>
        <v>0</v>
      </c>
      <c r="CR354" s="16">
        <f>Demand_SW!G$14/31</f>
        <v>139.57816377171216</v>
      </c>
      <c r="CS354" s="16">
        <f>Demand_SW!H$14/31</f>
        <v>0</v>
      </c>
      <c r="CT354" s="16">
        <f>Demand_SW!I$14/31</f>
        <v>0</v>
      </c>
      <c r="CU354" s="16">
        <f>Demand_SW!J$14/31</f>
        <v>0</v>
      </c>
      <c r="CV354" s="16">
        <f>Demand_SW!K$14/31</f>
        <v>0</v>
      </c>
      <c r="CW354" s="16">
        <f t="shared" si="173"/>
        <v>52925.632754342398</v>
      </c>
      <c r="CX354" s="16">
        <f t="shared" si="174"/>
        <v>20683.923076923078</v>
      </c>
      <c r="CY354" s="16">
        <f t="shared" si="175"/>
        <v>0</v>
      </c>
      <c r="CZ354" s="16">
        <f t="shared" si="176"/>
        <v>0</v>
      </c>
      <c r="DA354" s="16">
        <f t="shared" si="177"/>
        <v>0</v>
      </c>
      <c r="DB354" s="16">
        <f t="shared" si="178"/>
        <v>-46603.598014888339</v>
      </c>
      <c r="DC354" s="16">
        <f t="shared" si="179"/>
        <v>20683.923076923078</v>
      </c>
      <c r="DD354" s="16">
        <f t="shared" si="180"/>
        <v>0</v>
      </c>
      <c r="DE354" s="16">
        <f t="shared" si="181"/>
        <v>0</v>
      </c>
      <c r="DF354" s="16">
        <f t="shared" si="182"/>
        <v>0</v>
      </c>
      <c r="DG354" s="14">
        <f>IF([1]Sheet2!DR353=999999,"NA",[1]Sheet2!DR353)</f>
        <v>73103</v>
      </c>
      <c r="DH354" s="14">
        <f>IF([1]Sheet2!DS353=999999,"NA",[1]Sheet2!DS353)</f>
        <v>14</v>
      </c>
      <c r="DI354" s="14">
        <f>IF([1]Sheet2!DT353=999999,"NA",[1]Sheet2!DT353)</f>
        <v>14</v>
      </c>
      <c r="DJ354" s="14" t="str">
        <f>IF([1]Sheet2!DU353=999999,"NA",[1]Sheet2!DU353)</f>
        <v>NA</v>
      </c>
      <c r="DK354" s="14" t="str">
        <f>IF([1]Sheet2!DV353=999999,"NA",[1]Sheet2!DV353)</f>
        <v>NA</v>
      </c>
      <c r="DL354" s="14" t="str">
        <f>IF([1]Sheet2!DW353=999999,"NA",[1]Sheet2!DW353)</f>
        <v>NA</v>
      </c>
      <c r="DM354" s="14">
        <f>IF([1]Sheet2!DX353=999999,"NA",[1]Sheet2!DX353)</f>
        <v>14</v>
      </c>
      <c r="DN354" s="14">
        <f>IF([1]Sheet2!DY353=999999,"NA",[1]Sheet2!DY353)</f>
        <v>14</v>
      </c>
      <c r="DO354" s="14" t="str">
        <f>IF([1]Sheet2!DZ353=999999,"NA",[1]Sheet2!DZ353)</f>
        <v>NA</v>
      </c>
      <c r="DP354" s="14" t="str">
        <f>IF([1]Sheet2!EA353=999999,"NA",[1]Sheet2!EA353)</f>
        <v>NA</v>
      </c>
      <c r="DQ354" s="14">
        <f>[1]Sheet2!CX353</f>
        <v>0</v>
      </c>
      <c r="DR354" s="14">
        <f>[1]Sheet2!CY353</f>
        <v>0</v>
      </c>
      <c r="DS354" s="14">
        <f>[1]Sheet2!CZ353</f>
        <v>0</v>
      </c>
      <c r="DT354" s="14">
        <f>[1]Sheet2!DA353</f>
        <v>0</v>
      </c>
      <c r="DU354" s="14">
        <f>[1]Sheet2!DB353</f>
        <v>0</v>
      </c>
      <c r="DV354" s="14">
        <f>[1]Sheet2!DC353</f>
        <v>0</v>
      </c>
      <c r="DW354" s="14">
        <f>[1]Sheet2!DD353</f>
        <v>0</v>
      </c>
      <c r="DX354" s="14">
        <f>[1]Sheet2!DE353</f>
        <v>0</v>
      </c>
      <c r="DY354" s="14">
        <f>[1]Sheet2!DF353</f>
        <v>0</v>
      </c>
      <c r="DZ354" s="14">
        <f>[1]Sheet2!DG353</f>
        <v>0</v>
      </c>
    </row>
    <row r="355" spans="1:130" x14ac:dyDescent="0.25">
      <c r="A355" s="15">
        <v>43817</v>
      </c>
      <c r="B355" s="1"/>
      <c r="C355" s="1"/>
      <c r="D355" s="1"/>
      <c r="E355" s="14">
        <f>[1]Sheet2!N354</f>
        <v>0</v>
      </c>
      <c r="F355" s="14">
        <f>[1]Sheet2!BE354</f>
        <v>0</v>
      </c>
      <c r="G355" s="14">
        <f>[1]Sheet2!CV354</f>
        <v>279.15632754342431</v>
      </c>
      <c r="H355" s="1"/>
      <c r="I355" s="1"/>
      <c r="J355" s="1"/>
      <c r="K355" s="16">
        <f>Demand_CWRS!B$14/31</f>
        <v>95.176711124896599</v>
      </c>
      <c r="L355" s="16">
        <f>Demand_CWRS!C$14/31</f>
        <v>526.22795698924722</v>
      </c>
      <c r="M355" s="16">
        <f>Demand_CWRS!D$14/31</f>
        <v>0</v>
      </c>
      <c r="N355" s="16">
        <f>Demand_CWRS!E$14/31</f>
        <v>102.37076095947063</v>
      </c>
      <c r="O355" s="16">
        <f>Demand_CWRS!F$14/31</f>
        <v>219.86823562861866</v>
      </c>
      <c r="P355" s="16">
        <f>Demand_CWRS!G$14/31</f>
        <v>95.176711124896599</v>
      </c>
      <c r="Q355" s="16">
        <f>Demand_CWRS!H$14/31</f>
        <v>526.22795698924722</v>
      </c>
      <c r="R355" s="16">
        <f>Demand_CWRS!I$14/31</f>
        <v>219.86823562861866</v>
      </c>
      <c r="S355" s="16">
        <f>Demand_CWRS!J$14/31</f>
        <v>219.86823562861866</v>
      </c>
      <c r="T355" s="16">
        <f>Demand_CWRS!K$14/31</f>
        <v>219.86823562861866</v>
      </c>
      <c r="U355" s="16">
        <f t="shared" si="153"/>
        <v>-44559.681760721513</v>
      </c>
      <c r="V355" s="16">
        <f t="shared" si="154"/>
        <v>-169858.1980976011</v>
      </c>
      <c r="W355" s="16">
        <f t="shared" si="155"/>
        <v>0</v>
      </c>
      <c r="X355" s="16">
        <f t="shared" si="156"/>
        <v>-38460.886144527714</v>
      </c>
      <c r="Y355" s="16">
        <f t="shared" si="157"/>
        <v>-76283.856098545104</v>
      </c>
      <c r="Z355" s="16">
        <f t="shared" si="158"/>
        <v>-44162.749236683107</v>
      </c>
      <c r="AA355" s="16">
        <f t="shared" si="159"/>
        <v>-169358.1980976011</v>
      </c>
      <c r="AB355" s="16">
        <f t="shared" si="160"/>
        <v>-73800.010617775755</v>
      </c>
      <c r="AC355" s="16">
        <f t="shared" si="161"/>
        <v>-73800.010617775741</v>
      </c>
      <c r="AD355" s="16">
        <f t="shared" si="162"/>
        <v>-74500.010617775755</v>
      </c>
      <c r="AE355" s="14">
        <f>IF([1]Sheet2!AJ354=999999,"NA",[1]Sheet2!AJ354)</f>
        <v>0</v>
      </c>
      <c r="AF355" s="14">
        <f>IF([1]Sheet2!AK354=999999,"NA",[1]Sheet2!AK354)</f>
        <v>0</v>
      </c>
      <c r="AG355" s="14" t="str">
        <f>IF([1]Sheet2!AL354=999999,"NA",[1]Sheet2!AL354)</f>
        <v>NA</v>
      </c>
      <c r="AH355" s="14">
        <f>IF([1]Sheet2!AM354=999999,"NA",[1]Sheet2!AM354)</f>
        <v>13</v>
      </c>
      <c r="AI355" s="14">
        <f>IF([1]Sheet2!AN354=999999,"NA",[1]Sheet2!AN354)</f>
        <v>13</v>
      </c>
      <c r="AJ355" s="14">
        <f>IF([1]Sheet2!AO354=999999,"NA",[1]Sheet2!AO354)</f>
        <v>13</v>
      </c>
      <c r="AK355" s="14">
        <f>IF([1]Sheet2!AP354=999999,"NA",[1]Sheet2!AP354)</f>
        <v>0</v>
      </c>
      <c r="AL355" s="14">
        <f>IF([1]Sheet2!AQ354=999999,"NA",[1]Sheet2!AQ354)</f>
        <v>0</v>
      </c>
      <c r="AM355" s="14">
        <f>IF([1]Sheet2!AR354=999999,"NA",[1]Sheet2!AR354)</f>
        <v>13</v>
      </c>
      <c r="AN355" s="14">
        <f>IF([1]Sheet2!AS354=999999,"NA",[1]Sheet2!AS354)</f>
        <v>0</v>
      </c>
      <c r="AO355" s="14">
        <f>[1]Sheet2!P354</f>
        <v>0</v>
      </c>
      <c r="AP355" s="14">
        <f>[1]Sheet2!Q354</f>
        <v>0</v>
      </c>
      <c r="AQ355" s="14">
        <f>[1]Sheet2!R354</f>
        <v>0</v>
      </c>
      <c r="AR355" s="14">
        <f>[1]Sheet2!S354</f>
        <v>0</v>
      </c>
      <c r="AS355" s="14">
        <f>[1]Sheet2!T354</f>
        <v>0</v>
      </c>
      <c r="AT355" s="14">
        <f>[1]Sheet2!U354</f>
        <v>0</v>
      </c>
      <c r="AU355" s="14">
        <f>[1]Sheet2!V354</f>
        <v>0</v>
      </c>
      <c r="AV355" s="14">
        <f>[1]Sheet2!W354</f>
        <v>0</v>
      </c>
      <c r="AW355" s="14">
        <f>[1]Sheet2!X354</f>
        <v>0</v>
      </c>
      <c r="AX355" s="14">
        <f>[1]Sheet2!Y354</f>
        <v>0</v>
      </c>
      <c r="AY355" s="16">
        <f>Demand_LP!B$14/31</f>
        <v>868.56315911910667</v>
      </c>
      <c r="AZ355" s="16">
        <f>Demand_LP!C$14/31</f>
        <v>608.40066170388752</v>
      </c>
      <c r="BA355" s="16">
        <f>Demand_LP!D$14/31</f>
        <v>251.20087262200158</v>
      </c>
      <c r="BB355" s="16">
        <f>Demand_LP!E$14/31</f>
        <v>807.45938378825463</v>
      </c>
      <c r="BC355" s="16">
        <f>Demand_LP!F$14/31</f>
        <v>539.59842069892466</v>
      </c>
      <c r="BD355" s="16">
        <f>Demand_LP!G$14/31</f>
        <v>868.56315911910667</v>
      </c>
      <c r="BE355" s="16">
        <f>Demand_LP!H$14/31</f>
        <v>608.40066170388752</v>
      </c>
      <c r="BF355" s="16">
        <f>Demand_LP!I$14/31</f>
        <v>539.59842069892466</v>
      </c>
      <c r="BG355" s="16">
        <f>Demand_LP!J$14/31</f>
        <v>539.59842069892466</v>
      </c>
      <c r="BH355" s="16">
        <f>Demand_LP!K$14/31</f>
        <v>539.59842069892466</v>
      </c>
      <c r="BI355" s="16" t="e">
        <f t="shared" si="163"/>
        <v>#VALUE!</v>
      </c>
      <c r="BJ355" s="16">
        <f t="shared" si="164"/>
        <v>-202941.98883374687</v>
      </c>
      <c r="BK355" s="16">
        <f t="shared" si="165"/>
        <v>-100811.36698924768</v>
      </c>
      <c r="BL355" s="16">
        <f t="shared" si="166"/>
        <v>-267565.6714560613</v>
      </c>
      <c r="BM355" s="16">
        <f t="shared" si="167"/>
        <v>-163869.7140324151</v>
      </c>
      <c r="BN355" s="16">
        <f t="shared" si="168"/>
        <v>-279893.65545926272</v>
      </c>
      <c r="BO355" s="16">
        <f t="shared" si="169"/>
        <v>-205299.56832092666</v>
      </c>
      <c r="BP355" s="16">
        <f t="shared" si="170"/>
        <v>-164981.39795078567</v>
      </c>
      <c r="BQ355" s="16">
        <f t="shared" si="171"/>
        <v>-161971.39795078579</v>
      </c>
      <c r="BR355" s="16">
        <f t="shared" si="172"/>
        <v>-163171.3979507857</v>
      </c>
      <c r="BS355" s="14">
        <f>IF([1]Sheet2!CA354=999999,"NA",[1]Sheet2!CA354)</f>
        <v>53307.602049214271</v>
      </c>
      <c r="BT355" s="14">
        <f>IF([1]Sheet2!CB354=999999,"NA",[1]Sheet2!CB354)</f>
        <v>0</v>
      </c>
      <c r="BU355" s="14">
        <f>IF([1]Sheet2!CC354=999999,"NA",[1]Sheet2!CC354)</f>
        <v>13</v>
      </c>
      <c r="BV355" s="14">
        <f>IF([1]Sheet2!CD354=999999,"NA",[1]Sheet2!CD354)</f>
        <v>13</v>
      </c>
      <c r="BW355" s="14">
        <f>IF([1]Sheet2!CE354=999999,"NA",[1]Sheet2!CE354)</f>
        <v>0</v>
      </c>
      <c r="BX355" s="14">
        <f>IF([1]Sheet2!CF354=999999,"NA",[1]Sheet2!CF354)</f>
        <v>13</v>
      </c>
      <c r="BY355" s="14">
        <f>IF([1]Sheet2!CG354=999999,"NA",[1]Sheet2!CG354)</f>
        <v>0</v>
      </c>
      <c r="BZ355" s="14">
        <f>IF([1]Sheet2!CH354=999999,"NA",[1]Sheet2!CH354)</f>
        <v>13</v>
      </c>
      <c r="CA355" s="14">
        <f>IF([1]Sheet2!CI354=999999,"NA",[1]Sheet2!CI354)</f>
        <v>13</v>
      </c>
      <c r="CB355" s="14">
        <f>IF([1]Sheet2!CJ354=999999,"NA",[1]Sheet2!CJ354)</f>
        <v>13</v>
      </c>
      <c r="CC355" s="14">
        <f>[1]Sheet2!BG354</f>
        <v>0</v>
      </c>
      <c r="CD355" s="14">
        <f>[1]Sheet2!BH354</f>
        <v>0</v>
      </c>
      <c r="CE355" s="14">
        <f>[1]Sheet2!BI354</f>
        <v>0</v>
      </c>
      <c r="CF355" s="14">
        <f>[1]Sheet2!BJ354</f>
        <v>0</v>
      </c>
      <c r="CG355" s="14">
        <f>[1]Sheet2!BK354</f>
        <v>0</v>
      </c>
      <c r="CH355" s="14">
        <f>[1]Sheet2!BL354</f>
        <v>0</v>
      </c>
      <c r="CI355" s="14">
        <f>[1]Sheet2!BM354</f>
        <v>0</v>
      </c>
      <c r="CJ355" s="14">
        <f>[1]Sheet2!BN354</f>
        <v>0</v>
      </c>
      <c r="CK355" s="14">
        <f>[1]Sheet2!BO354</f>
        <v>0</v>
      </c>
      <c r="CL355" s="14">
        <f>[1]Sheet2!BP354</f>
        <v>0</v>
      </c>
      <c r="CM355" s="16">
        <f>Demand_SW!B$14/31</f>
        <v>139.57816377171216</v>
      </c>
      <c r="CN355" s="16">
        <f>Demand_SW!C$14/31</f>
        <v>0</v>
      </c>
      <c r="CO355" s="16">
        <f>Demand_SW!D$14/31</f>
        <v>0</v>
      </c>
      <c r="CP355" s="16">
        <f>Demand_SW!E$14/31</f>
        <v>0</v>
      </c>
      <c r="CQ355" s="16">
        <f>Demand_SW!F$14/31</f>
        <v>0</v>
      </c>
      <c r="CR355" s="16">
        <f>Demand_SW!G$14/31</f>
        <v>139.57816377171216</v>
      </c>
      <c r="CS355" s="16">
        <f>Demand_SW!H$14/31</f>
        <v>0</v>
      </c>
      <c r="CT355" s="16">
        <f>Demand_SW!I$14/31</f>
        <v>0</v>
      </c>
      <c r="CU355" s="16">
        <f>Demand_SW!J$14/31</f>
        <v>0</v>
      </c>
      <c r="CV355" s="16">
        <f>Demand_SW!K$14/31</f>
        <v>0</v>
      </c>
      <c r="CW355" s="16">
        <f t="shared" si="173"/>
        <v>52786.054590570682</v>
      </c>
      <c r="CX355" s="16">
        <f t="shared" si="174"/>
        <v>20683.923076923078</v>
      </c>
      <c r="CY355" s="16">
        <f t="shared" si="175"/>
        <v>0</v>
      </c>
      <c r="CZ355" s="16">
        <f t="shared" si="176"/>
        <v>0</v>
      </c>
      <c r="DA355" s="16">
        <f t="shared" si="177"/>
        <v>0</v>
      </c>
      <c r="DB355" s="16">
        <f t="shared" si="178"/>
        <v>-46743.176178660055</v>
      </c>
      <c r="DC355" s="16">
        <f t="shared" si="179"/>
        <v>20683.923076923078</v>
      </c>
      <c r="DD355" s="16">
        <f t="shared" si="180"/>
        <v>0</v>
      </c>
      <c r="DE355" s="16">
        <f t="shared" si="181"/>
        <v>0</v>
      </c>
      <c r="DF355" s="16">
        <f t="shared" si="182"/>
        <v>0</v>
      </c>
      <c r="DG355" s="14">
        <f>IF([1]Sheet2!DR354=999999,"NA",[1]Sheet2!DR354)</f>
        <v>73103</v>
      </c>
      <c r="DH355" s="14">
        <f>IF([1]Sheet2!DS354=999999,"NA",[1]Sheet2!DS354)</f>
        <v>13</v>
      </c>
      <c r="DI355" s="14">
        <f>IF([1]Sheet2!DT354=999999,"NA",[1]Sheet2!DT354)</f>
        <v>13</v>
      </c>
      <c r="DJ355" s="14" t="str">
        <f>IF([1]Sheet2!DU354=999999,"NA",[1]Sheet2!DU354)</f>
        <v>NA</v>
      </c>
      <c r="DK355" s="14" t="str">
        <f>IF([1]Sheet2!DV354=999999,"NA",[1]Sheet2!DV354)</f>
        <v>NA</v>
      </c>
      <c r="DL355" s="14" t="str">
        <f>IF([1]Sheet2!DW354=999999,"NA",[1]Sheet2!DW354)</f>
        <v>NA</v>
      </c>
      <c r="DM355" s="14">
        <f>IF([1]Sheet2!DX354=999999,"NA",[1]Sheet2!DX354)</f>
        <v>13</v>
      </c>
      <c r="DN355" s="14">
        <f>IF([1]Sheet2!DY354=999999,"NA",[1]Sheet2!DY354)</f>
        <v>13</v>
      </c>
      <c r="DO355" s="14" t="str">
        <f>IF([1]Sheet2!DZ354=999999,"NA",[1]Sheet2!DZ354)</f>
        <v>NA</v>
      </c>
      <c r="DP355" s="14" t="str">
        <f>IF([1]Sheet2!EA354=999999,"NA",[1]Sheet2!EA354)</f>
        <v>NA</v>
      </c>
      <c r="DQ355" s="14">
        <f>[1]Sheet2!CX354</f>
        <v>0</v>
      </c>
      <c r="DR355" s="14">
        <f>[1]Sheet2!CY354</f>
        <v>0</v>
      </c>
      <c r="DS355" s="14">
        <f>[1]Sheet2!CZ354</f>
        <v>0</v>
      </c>
      <c r="DT355" s="14">
        <f>[1]Sheet2!DA354</f>
        <v>0</v>
      </c>
      <c r="DU355" s="14">
        <f>[1]Sheet2!DB354</f>
        <v>0</v>
      </c>
      <c r="DV355" s="14">
        <f>[1]Sheet2!DC354</f>
        <v>0</v>
      </c>
      <c r="DW355" s="14">
        <f>[1]Sheet2!DD354</f>
        <v>0</v>
      </c>
      <c r="DX355" s="14">
        <f>[1]Sheet2!DE354</f>
        <v>0</v>
      </c>
      <c r="DY355" s="14">
        <f>[1]Sheet2!DF354</f>
        <v>0</v>
      </c>
      <c r="DZ355" s="14">
        <f>[1]Sheet2!DG354</f>
        <v>0</v>
      </c>
    </row>
    <row r="356" spans="1:130" x14ac:dyDescent="0.25">
      <c r="A356" s="15">
        <v>43818</v>
      </c>
      <c r="B356" s="1"/>
      <c r="C356" s="1"/>
      <c r="D356" s="1"/>
      <c r="E356" s="14">
        <f>[1]Sheet2!N355</f>
        <v>0</v>
      </c>
      <c r="F356" s="14">
        <f>[1]Sheet2!BE355</f>
        <v>0</v>
      </c>
      <c r="G356" s="14">
        <f>[1]Sheet2!CV355</f>
        <v>279.15632754342431</v>
      </c>
      <c r="H356" s="1"/>
      <c r="I356" s="1"/>
      <c r="J356" s="1"/>
      <c r="K356" s="16">
        <f>Demand_CWRS!B$14/31</f>
        <v>95.176711124896599</v>
      </c>
      <c r="L356" s="16">
        <f>Demand_CWRS!C$14/31</f>
        <v>526.22795698924722</v>
      </c>
      <c r="M356" s="16">
        <f>Demand_CWRS!D$14/31</f>
        <v>0</v>
      </c>
      <c r="N356" s="16">
        <f>Demand_CWRS!E$14/31</f>
        <v>102.37076095947063</v>
      </c>
      <c r="O356" s="16">
        <f>Demand_CWRS!F$14/31</f>
        <v>219.86823562861866</v>
      </c>
      <c r="P356" s="16">
        <f>Demand_CWRS!G$14/31</f>
        <v>95.176711124896599</v>
      </c>
      <c r="Q356" s="16">
        <f>Demand_CWRS!H$14/31</f>
        <v>526.22795698924722</v>
      </c>
      <c r="R356" s="16">
        <f>Demand_CWRS!I$14/31</f>
        <v>219.86823562861866</v>
      </c>
      <c r="S356" s="16">
        <f>Demand_CWRS!J$14/31</f>
        <v>219.86823562861866</v>
      </c>
      <c r="T356" s="16">
        <f>Demand_CWRS!K$14/31</f>
        <v>219.86823562861866</v>
      </c>
      <c r="U356" s="16">
        <f t="shared" si="153"/>
        <v>-44654.858471846412</v>
      </c>
      <c r="V356" s="16">
        <f t="shared" si="154"/>
        <v>-170384.42605459035</v>
      </c>
      <c r="W356" s="16">
        <f t="shared" si="155"/>
        <v>0</v>
      </c>
      <c r="X356" s="16">
        <f t="shared" si="156"/>
        <v>-38563.256905487186</v>
      </c>
      <c r="Y356" s="16">
        <f t="shared" si="157"/>
        <v>-76503.724334173719</v>
      </c>
      <c r="Z356" s="16">
        <f t="shared" si="158"/>
        <v>-44257.925947808006</v>
      </c>
      <c r="AA356" s="16">
        <f t="shared" si="159"/>
        <v>-169884.42605459035</v>
      </c>
      <c r="AB356" s="16">
        <f t="shared" si="160"/>
        <v>-74019.878853404371</v>
      </c>
      <c r="AC356" s="16">
        <f t="shared" si="161"/>
        <v>-74019.878853404356</v>
      </c>
      <c r="AD356" s="16">
        <f t="shared" si="162"/>
        <v>-74719.878853404371</v>
      </c>
      <c r="AE356" s="14">
        <f>IF([1]Sheet2!AJ355=999999,"NA",[1]Sheet2!AJ355)</f>
        <v>0</v>
      </c>
      <c r="AF356" s="14">
        <f>IF([1]Sheet2!AK355=999999,"NA",[1]Sheet2!AK355)</f>
        <v>0</v>
      </c>
      <c r="AG356" s="14" t="str">
        <f>IF([1]Sheet2!AL355=999999,"NA",[1]Sheet2!AL355)</f>
        <v>NA</v>
      </c>
      <c r="AH356" s="14">
        <f>IF([1]Sheet2!AM355=999999,"NA",[1]Sheet2!AM355)</f>
        <v>12</v>
      </c>
      <c r="AI356" s="14">
        <f>IF([1]Sheet2!AN355=999999,"NA",[1]Sheet2!AN355)</f>
        <v>12</v>
      </c>
      <c r="AJ356" s="14">
        <f>IF([1]Sheet2!AO355=999999,"NA",[1]Sheet2!AO355)</f>
        <v>12</v>
      </c>
      <c r="AK356" s="14">
        <f>IF([1]Sheet2!AP355=999999,"NA",[1]Sheet2!AP355)</f>
        <v>0</v>
      </c>
      <c r="AL356" s="14">
        <f>IF([1]Sheet2!AQ355=999999,"NA",[1]Sheet2!AQ355)</f>
        <v>0</v>
      </c>
      <c r="AM356" s="14">
        <f>IF([1]Sheet2!AR355=999999,"NA",[1]Sheet2!AR355)</f>
        <v>12</v>
      </c>
      <c r="AN356" s="14">
        <f>IF([1]Sheet2!AS355=999999,"NA",[1]Sheet2!AS355)</f>
        <v>0</v>
      </c>
      <c r="AO356" s="14">
        <f>[1]Sheet2!P355</f>
        <v>0</v>
      </c>
      <c r="AP356" s="14">
        <f>[1]Sheet2!Q355</f>
        <v>0</v>
      </c>
      <c r="AQ356" s="14">
        <f>[1]Sheet2!R355</f>
        <v>0</v>
      </c>
      <c r="AR356" s="14">
        <f>[1]Sheet2!S355</f>
        <v>0</v>
      </c>
      <c r="AS356" s="14">
        <f>[1]Sheet2!T355</f>
        <v>0</v>
      </c>
      <c r="AT356" s="14">
        <f>[1]Sheet2!U355</f>
        <v>0</v>
      </c>
      <c r="AU356" s="14">
        <f>[1]Sheet2!V355</f>
        <v>0</v>
      </c>
      <c r="AV356" s="14">
        <f>[1]Sheet2!W355</f>
        <v>0</v>
      </c>
      <c r="AW356" s="14">
        <f>[1]Sheet2!X355</f>
        <v>0</v>
      </c>
      <c r="AX356" s="14">
        <f>[1]Sheet2!Y355</f>
        <v>0</v>
      </c>
      <c r="AY356" s="16">
        <f>Demand_LP!B$14/31</f>
        <v>868.56315911910667</v>
      </c>
      <c r="AZ356" s="16">
        <f>Demand_LP!C$14/31</f>
        <v>608.40066170388752</v>
      </c>
      <c r="BA356" s="16">
        <f>Demand_LP!D$14/31</f>
        <v>251.20087262200158</v>
      </c>
      <c r="BB356" s="16">
        <f>Demand_LP!E$14/31</f>
        <v>807.45938378825463</v>
      </c>
      <c r="BC356" s="16">
        <f>Demand_LP!F$14/31</f>
        <v>539.59842069892466</v>
      </c>
      <c r="BD356" s="16">
        <f>Demand_LP!G$14/31</f>
        <v>868.56315911910667</v>
      </c>
      <c r="BE356" s="16">
        <f>Demand_LP!H$14/31</f>
        <v>608.40066170388752</v>
      </c>
      <c r="BF356" s="16">
        <f>Demand_LP!I$14/31</f>
        <v>539.59842069892466</v>
      </c>
      <c r="BG356" s="16">
        <f>Demand_LP!J$14/31</f>
        <v>539.59842069892466</v>
      </c>
      <c r="BH356" s="16">
        <f>Demand_LP!K$14/31</f>
        <v>539.59842069892466</v>
      </c>
      <c r="BI356" s="16" t="e">
        <f t="shared" si="163"/>
        <v>#VALUE!</v>
      </c>
      <c r="BJ356" s="16">
        <f t="shared" si="164"/>
        <v>-203550.38949545077</v>
      </c>
      <c r="BK356" s="16">
        <f t="shared" si="165"/>
        <v>-101062.56786186968</v>
      </c>
      <c r="BL356" s="16">
        <f t="shared" si="166"/>
        <v>-268373.13083984953</v>
      </c>
      <c r="BM356" s="16">
        <f t="shared" si="167"/>
        <v>-164409.31245311402</v>
      </c>
      <c r="BN356" s="16">
        <f t="shared" si="168"/>
        <v>-280762.21861838183</v>
      </c>
      <c r="BO356" s="16">
        <f t="shared" si="169"/>
        <v>-205907.96898263055</v>
      </c>
      <c r="BP356" s="16">
        <f t="shared" si="170"/>
        <v>-165520.99637148459</v>
      </c>
      <c r="BQ356" s="16">
        <f t="shared" si="171"/>
        <v>-162510.99637148471</v>
      </c>
      <c r="BR356" s="16">
        <f t="shared" si="172"/>
        <v>-163710.99637148462</v>
      </c>
      <c r="BS356" s="14">
        <f>IF([1]Sheet2!CA355=999999,"NA",[1]Sheet2!CA355)</f>
        <v>52768.003628515347</v>
      </c>
      <c r="BT356" s="14">
        <f>IF([1]Sheet2!CB355=999999,"NA",[1]Sheet2!CB355)</f>
        <v>0</v>
      </c>
      <c r="BU356" s="14">
        <f>IF([1]Sheet2!CC355=999999,"NA",[1]Sheet2!CC355)</f>
        <v>12</v>
      </c>
      <c r="BV356" s="14">
        <f>IF([1]Sheet2!CD355=999999,"NA",[1]Sheet2!CD355)</f>
        <v>12</v>
      </c>
      <c r="BW356" s="14">
        <f>IF([1]Sheet2!CE355=999999,"NA",[1]Sheet2!CE355)</f>
        <v>0</v>
      </c>
      <c r="BX356" s="14">
        <f>IF([1]Sheet2!CF355=999999,"NA",[1]Sheet2!CF355)</f>
        <v>12</v>
      </c>
      <c r="BY356" s="14">
        <f>IF([1]Sheet2!CG355=999999,"NA",[1]Sheet2!CG355)</f>
        <v>0</v>
      </c>
      <c r="BZ356" s="14">
        <f>IF([1]Sheet2!CH355=999999,"NA",[1]Sheet2!CH355)</f>
        <v>12</v>
      </c>
      <c r="CA356" s="14">
        <f>IF([1]Sheet2!CI355=999999,"NA",[1]Sheet2!CI355)</f>
        <v>12</v>
      </c>
      <c r="CB356" s="14">
        <f>IF([1]Sheet2!CJ355=999999,"NA",[1]Sheet2!CJ355)</f>
        <v>12</v>
      </c>
      <c r="CC356" s="14">
        <f>[1]Sheet2!BG355</f>
        <v>0</v>
      </c>
      <c r="CD356" s="14">
        <f>[1]Sheet2!BH355</f>
        <v>0</v>
      </c>
      <c r="CE356" s="14">
        <f>[1]Sheet2!BI355</f>
        <v>0</v>
      </c>
      <c r="CF356" s="14">
        <f>[1]Sheet2!BJ355</f>
        <v>0</v>
      </c>
      <c r="CG356" s="14">
        <f>[1]Sheet2!BK355</f>
        <v>0</v>
      </c>
      <c r="CH356" s="14">
        <f>[1]Sheet2!BL355</f>
        <v>0</v>
      </c>
      <c r="CI356" s="14">
        <f>[1]Sheet2!BM355</f>
        <v>0</v>
      </c>
      <c r="CJ356" s="14">
        <f>[1]Sheet2!BN355</f>
        <v>0</v>
      </c>
      <c r="CK356" s="14">
        <f>[1]Sheet2!BO355</f>
        <v>0</v>
      </c>
      <c r="CL356" s="14">
        <f>[1]Sheet2!BP355</f>
        <v>0</v>
      </c>
      <c r="CM356" s="16">
        <f>Demand_SW!B$14/31</f>
        <v>139.57816377171216</v>
      </c>
      <c r="CN356" s="16">
        <f>Demand_SW!C$14/31</f>
        <v>0</v>
      </c>
      <c r="CO356" s="16">
        <f>Demand_SW!D$14/31</f>
        <v>0</v>
      </c>
      <c r="CP356" s="16">
        <f>Demand_SW!E$14/31</f>
        <v>0</v>
      </c>
      <c r="CQ356" s="16">
        <f>Demand_SW!F$14/31</f>
        <v>0</v>
      </c>
      <c r="CR356" s="16">
        <f>Demand_SW!G$14/31</f>
        <v>139.57816377171216</v>
      </c>
      <c r="CS356" s="16">
        <f>Demand_SW!H$14/31</f>
        <v>0</v>
      </c>
      <c r="CT356" s="16">
        <f>Demand_SW!I$14/31</f>
        <v>0</v>
      </c>
      <c r="CU356" s="16">
        <f>Demand_SW!J$14/31</f>
        <v>0</v>
      </c>
      <c r="CV356" s="16">
        <f>Demand_SW!K$14/31</f>
        <v>0</v>
      </c>
      <c r="CW356" s="16">
        <f t="shared" si="173"/>
        <v>52646.476426798967</v>
      </c>
      <c r="CX356" s="16">
        <f t="shared" si="174"/>
        <v>20683.923076923078</v>
      </c>
      <c r="CY356" s="16">
        <f t="shared" si="175"/>
        <v>0</v>
      </c>
      <c r="CZ356" s="16">
        <f t="shared" si="176"/>
        <v>0</v>
      </c>
      <c r="DA356" s="16">
        <f t="shared" si="177"/>
        <v>0</v>
      </c>
      <c r="DB356" s="16">
        <f t="shared" si="178"/>
        <v>-46882.75434243177</v>
      </c>
      <c r="DC356" s="16">
        <f t="shared" si="179"/>
        <v>20683.923076923078</v>
      </c>
      <c r="DD356" s="16">
        <f t="shared" si="180"/>
        <v>0</v>
      </c>
      <c r="DE356" s="16">
        <f t="shared" si="181"/>
        <v>0</v>
      </c>
      <c r="DF356" s="16">
        <f t="shared" si="182"/>
        <v>0</v>
      </c>
      <c r="DG356" s="14">
        <f>IF([1]Sheet2!DR355=999999,"NA",[1]Sheet2!DR355)</f>
        <v>73103</v>
      </c>
      <c r="DH356" s="14">
        <f>IF([1]Sheet2!DS355=999999,"NA",[1]Sheet2!DS355)</f>
        <v>12</v>
      </c>
      <c r="DI356" s="14">
        <f>IF([1]Sheet2!DT355=999999,"NA",[1]Sheet2!DT355)</f>
        <v>12</v>
      </c>
      <c r="DJ356" s="14" t="str">
        <f>IF([1]Sheet2!DU355=999999,"NA",[1]Sheet2!DU355)</f>
        <v>NA</v>
      </c>
      <c r="DK356" s="14" t="str">
        <f>IF([1]Sheet2!DV355=999999,"NA",[1]Sheet2!DV355)</f>
        <v>NA</v>
      </c>
      <c r="DL356" s="14" t="str">
        <f>IF([1]Sheet2!DW355=999999,"NA",[1]Sheet2!DW355)</f>
        <v>NA</v>
      </c>
      <c r="DM356" s="14">
        <f>IF([1]Sheet2!DX355=999999,"NA",[1]Sheet2!DX355)</f>
        <v>12</v>
      </c>
      <c r="DN356" s="14">
        <f>IF([1]Sheet2!DY355=999999,"NA",[1]Sheet2!DY355)</f>
        <v>12</v>
      </c>
      <c r="DO356" s="14" t="str">
        <f>IF([1]Sheet2!DZ355=999999,"NA",[1]Sheet2!DZ355)</f>
        <v>NA</v>
      </c>
      <c r="DP356" s="14" t="str">
        <f>IF([1]Sheet2!EA355=999999,"NA",[1]Sheet2!EA355)</f>
        <v>NA</v>
      </c>
      <c r="DQ356" s="14">
        <f>[1]Sheet2!CX355</f>
        <v>0</v>
      </c>
      <c r="DR356" s="14">
        <f>[1]Sheet2!CY355</f>
        <v>0</v>
      </c>
      <c r="DS356" s="14">
        <f>[1]Sheet2!CZ355</f>
        <v>0</v>
      </c>
      <c r="DT356" s="14">
        <f>[1]Sheet2!DA355</f>
        <v>0</v>
      </c>
      <c r="DU356" s="14">
        <f>[1]Sheet2!DB355</f>
        <v>0</v>
      </c>
      <c r="DV356" s="14">
        <f>[1]Sheet2!DC355</f>
        <v>0</v>
      </c>
      <c r="DW356" s="14">
        <f>[1]Sheet2!DD355</f>
        <v>0</v>
      </c>
      <c r="DX356" s="14">
        <f>[1]Sheet2!DE355</f>
        <v>0</v>
      </c>
      <c r="DY356" s="14">
        <f>[1]Sheet2!DF355</f>
        <v>0</v>
      </c>
      <c r="DZ356" s="14">
        <f>[1]Sheet2!DG355</f>
        <v>0</v>
      </c>
    </row>
    <row r="357" spans="1:130" x14ac:dyDescent="0.25">
      <c r="A357" s="15">
        <v>43819</v>
      </c>
      <c r="B357" s="1"/>
      <c r="C357" s="1"/>
      <c r="D357" s="1"/>
      <c r="E357" s="14">
        <f>[1]Sheet2!N356</f>
        <v>0</v>
      </c>
      <c r="F357" s="14">
        <f>[1]Sheet2!BE356</f>
        <v>0</v>
      </c>
      <c r="G357" s="14">
        <f>[1]Sheet2!CV356</f>
        <v>279.15632754342431</v>
      </c>
      <c r="H357" s="1"/>
      <c r="I357" s="1"/>
      <c r="J357" s="1"/>
      <c r="K357" s="16">
        <f>Demand_CWRS!B$14/31</f>
        <v>95.176711124896599</v>
      </c>
      <c r="L357" s="16">
        <f>Demand_CWRS!C$14/31</f>
        <v>526.22795698924722</v>
      </c>
      <c r="M357" s="16">
        <f>Demand_CWRS!D$14/31</f>
        <v>0</v>
      </c>
      <c r="N357" s="16">
        <f>Demand_CWRS!E$14/31</f>
        <v>102.37076095947063</v>
      </c>
      <c r="O357" s="16">
        <f>Demand_CWRS!F$14/31</f>
        <v>219.86823562861866</v>
      </c>
      <c r="P357" s="16">
        <f>Demand_CWRS!G$14/31</f>
        <v>95.176711124896599</v>
      </c>
      <c r="Q357" s="16">
        <f>Demand_CWRS!H$14/31</f>
        <v>526.22795698924722</v>
      </c>
      <c r="R357" s="16">
        <f>Demand_CWRS!I$14/31</f>
        <v>219.86823562861866</v>
      </c>
      <c r="S357" s="16">
        <f>Demand_CWRS!J$14/31</f>
        <v>219.86823562861866</v>
      </c>
      <c r="T357" s="16">
        <f>Demand_CWRS!K$14/31</f>
        <v>219.86823562861866</v>
      </c>
      <c r="U357" s="16">
        <f t="shared" si="153"/>
        <v>-44750.035182971311</v>
      </c>
      <c r="V357" s="16">
        <f t="shared" si="154"/>
        <v>-170910.65401157961</v>
      </c>
      <c r="W357" s="16">
        <f t="shared" si="155"/>
        <v>0</v>
      </c>
      <c r="X357" s="16">
        <f t="shared" si="156"/>
        <v>-38665.627666446657</v>
      </c>
      <c r="Y357" s="16">
        <f t="shared" si="157"/>
        <v>-76723.592569802335</v>
      </c>
      <c r="Z357" s="16">
        <f t="shared" si="158"/>
        <v>-44353.102658932905</v>
      </c>
      <c r="AA357" s="16">
        <f t="shared" si="159"/>
        <v>-170410.65401157961</v>
      </c>
      <c r="AB357" s="16">
        <f t="shared" si="160"/>
        <v>-74239.747089032986</v>
      </c>
      <c r="AC357" s="16">
        <f t="shared" si="161"/>
        <v>-74239.747089032971</v>
      </c>
      <c r="AD357" s="16">
        <f t="shared" si="162"/>
        <v>-74939.747089032986</v>
      </c>
      <c r="AE357" s="14">
        <f>IF([1]Sheet2!AJ356=999999,"NA",[1]Sheet2!AJ356)</f>
        <v>0</v>
      </c>
      <c r="AF357" s="14">
        <f>IF([1]Sheet2!AK356=999999,"NA",[1]Sheet2!AK356)</f>
        <v>0</v>
      </c>
      <c r="AG357" s="14" t="str">
        <f>IF([1]Sheet2!AL356=999999,"NA",[1]Sheet2!AL356)</f>
        <v>NA</v>
      </c>
      <c r="AH357" s="14">
        <f>IF([1]Sheet2!AM356=999999,"NA",[1]Sheet2!AM356)</f>
        <v>11</v>
      </c>
      <c r="AI357" s="14">
        <f>IF([1]Sheet2!AN356=999999,"NA",[1]Sheet2!AN356)</f>
        <v>11</v>
      </c>
      <c r="AJ357" s="14">
        <f>IF([1]Sheet2!AO356=999999,"NA",[1]Sheet2!AO356)</f>
        <v>11</v>
      </c>
      <c r="AK357" s="14">
        <f>IF([1]Sheet2!AP356=999999,"NA",[1]Sheet2!AP356)</f>
        <v>0</v>
      </c>
      <c r="AL357" s="14">
        <f>IF([1]Sheet2!AQ356=999999,"NA",[1]Sheet2!AQ356)</f>
        <v>0</v>
      </c>
      <c r="AM357" s="14">
        <f>IF([1]Sheet2!AR356=999999,"NA",[1]Sheet2!AR356)</f>
        <v>11</v>
      </c>
      <c r="AN357" s="14">
        <f>IF([1]Sheet2!AS356=999999,"NA",[1]Sheet2!AS356)</f>
        <v>0</v>
      </c>
      <c r="AO357" s="14">
        <f>[1]Sheet2!P356</f>
        <v>0</v>
      </c>
      <c r="AP357" s="14">
        <f>[1]Sheet2!Q356</f>
        <v>0</v>
      </c>
      <c r="AQ357" s="14">
        <f>[1]Sheet2!R356</f>
        <v>0</v>
      </c>
      <c r="AR357" s="14">
        <f>[1]Sheet2!S356</f>
        <v>0</v>
      </c>
      <c r="AS357" s="14">
        <f>[1]Sheet2!T356</f>
        <v>0</v>
      </c>
      <c r="AT357" s="14">
        <f>[1]Sheet2!U356</f>
        <v>0</v>
      </c>
      <c r="AU357" s="14">
        <f>[1]Sheet2!V356</f>
        <v>0</v>
      </c>
      <c r="AV357" s="14">
        <f>[1]Sheet2!W356</f>
        <v>0</v>
      </c>
      <c r="AW357" s="14">
        <f>[1]Sheet2!X356</f>
        <v>0</v>
      </c>
      <c r="AX357" s="14">
        <f>[1]Sheet2!Y356</f>
        <v>0</v>
      </c>
      <c r="AY357" s="16">
        <f>Demand_LP!B$14/31</f>
        <v>868.56315911910667</v>
      </c>
      <c r="AZ357" s="16">
        <f>Demand_LP!C$14/31</f>
        <v>608.40066170388752</v>
      </c>
      <c r="BA357" s="16">
        <f>Demand_LP!D$14/31</f>
        <v>251.20087262200158</v>
      </c>
      <c r="BB357" s="16">
        <f>Demand_LP!E$14/31</f>
        <v>807.45938378825463</v>
      </c>
      <c r="BC357" s="16">
        <f>Demand_LP!F$14/31</f>
        <v>539.59842069892466</v>
      </c>
      <c r="BD357" s="16">
        <f>Demand_LP!G$14/31</f>
        <v>868.56315911910667</v>
      </c>
      <c r="BE357" s="16">
        <f>Demand_LP!H$14/31</f>
        <v>608.40066170388752</v>
      </c>
      <c r="BF357" s="16">
        <f>Demand_LP!I$14/31</f>
        <v>539.59842069892466</v>
      </c>
      <c r="BG357" s="16">
        <f>Demand_LP!J$14/31</f>
        <v>539.59842069892466</v>
      </c>
      <c r="BH357" s="16">
        <f>Demand_LP!K$14/31</f>
        <v>539.59842069892466</v>
      </c>
      <c r="BI357" s="16" t="e">
        <f t="shared" si="163"/>
        <v>#VALUE!</v>
      </c>
      <c r="BJ357" s="16">
        <f t="shared" si="164"/>
        <v>-204158.79015715467</v>
      </c>
      <c r="BK357" s="16">
        <f t="shared" si="165"/>
        <v>-101313.76873449169</v>
      </c>
      <c r="BL357" s="16">
        <f t="shared" si="166"/>
        <v>-269180.59022363776</v>
      </c>
      <c r="BM357" s="16">
        <f t="shared" si="167"/>
        <v>-164948.91087381294</v>
      </c>
      <c r="BN357" s="16">
        <f t="shared" si="168"/>
        <v>-281630.78177750093</v>
      </c>
      <c r="BO357" s="16">
        <f t="shared" si="169"/>
        <v>-206516.36964433445</v>
      </c>
      <c r="BP357" s="16">
        <f t="shared" si="170"/>
        <v>-166060.59479218352</v>
      </c>
      <c r="BQ357" s="16">
        <f t="shared" si="171"/>
        <v>-163050.59479218363</v>
      </c>
      <c r="BR357" s="16">
        <f t="shared" si="172"/>
        <v>-164250.59479218355</v>
      </c>
      <c r="BS357" s="14">
        <f>IF([1]Sheet2!CA356=999999,"NA",[1]Sheet2!CA356)</f>
        <v>52228.405207816424</v>
      </c>
      <c r="BT357" s="14">
        <f>IF([1]Sheet2!CB356=999999,"NA",[1]Sheet2!CB356)</f>
        <v>0</v>
      </c>
      <c r="BU357" s="14">
        <f>IF([1]Sheet2!CC356=999999,"NA",[1]Sheet2!CC356)</f>
        <v>11</v>
      </c>
      <c r="BV357" s="14">
        <f>IF([1]Sheet2!CD356=999999,"NA",[1]Sheet2!CD356)</f>
        <v>11</v>
      </c>
      <c r="BW357" s="14">
        <f>IF([1]Sheet2!CE356=999999,"NA",[1]Sheet2!CE356)</f>
        <v>0</v>
      </c>
      <c r="BX357" s="14">
        <f>IF([1]Sheet2!CF356=999999,"NA",[1]Sheet2!CF356)</f>
        <v>11</v>
      </c>
      <c r="BY357" s="14">
        <f>IF([1]Sheet2!CG356=999999,"NA",[1]Sheet2!CG356)</f>
        <v>0</v>
      </c>
      <c r="BZ357" s="14">
        <f>IF([1]Sheet2!CH356=999999,"NA",[1]Sheet2!CH356)</f>
        <v>11</v>
      </c>
      <c r="CA357" s="14">
        <f>IF([1]Sheet2!CI356=999999,"NA",[1]Sheet2!CI356)</f>
        <v>11</v>
      </c>
      <c r="CB357" s="14">
        <f>IF([1]Sheet2!CJ356=999999,"NA",[1]Sheet2!CJ356)</f>
        <v>11</v>
      </c>
      <c r="CC357" s="14">
        <f>[1]Sheet2!BG356</f>
        <v>0</v>
      </c>
      <c r="CD357" s="14">
        <f>[1]Sheet2!BH356</f>
        <v>0</v>
      </c>
      <c r="CE357" s="14">
        <f>[1]Sheet2!BI356</f>
        <v>0</v>
      </c>
      <c r="CF357" s="14">
        <f>[1]Sheet2!BJ356</f>
        <v>0</v>
      </c>
      <c r="CG357" s="14">
        <f>[1]Sheet2!BK356</f>
        <v>0</v>
      </c>
      <c r="CH357" s="14">
        <f>[1]Sheet2!BL356</f>
        <v>0</v>
      </c>
      <c r="CI357" s="14">
        <f>[1]Sheet2!BM356</f>
        <v>0</v>
      </c>
      <c r="CJ357" s="14">
        <f>[1]Sheet2!BN356</f>
        <v>0</v>
      </c>
      <c r="CK357" s="14">
        <f>[1]Sheet2!BO356</f>
        <v>0</v>
      </c>
      <c r="CL357" s="14">
        <f>[1]Sheet2!BP356</f>
        <v>0</v>
      </c>
      <c r="CM357" s="16">
        <f>Demand_SW!B$14/31</f>
        <v>139.57816377171216</v>
      </c>
      <c r="CN357" s="16">
        <f>Demand_SW!C$14/31</f>
        <v>0</v>
      </c>
      <c r="CO357" s="16">
        <f>Demand_SW!D$14/31</f>
        <v>0</v>
      </c>
      <c r="CP357" s="16">
        <f>Demand_SW!E$14/31</f>
        <v>0</v>
      </c>
      <c r="CQ357" s="16">
        <f>Demand_SW!F$14/31</f>
        <v>0</v>
      </c>
      <c r="CR357" s="16">
        <f>Demand_SW!G$14/31</f>
        <v>139.57816377171216</v>
      </c>
      <c r="CS357" s="16">
        <f>Demand_SW!H$14/31</f>
        <v>0</v>
      </c>
      <c r="CT357" s="16">
        <f>Demand_SW!I$14/31</f>
        <v>0</v>
      </c>
      <c r="CU357" s="16">
        <f>Demand_SW!J$14/31</f>
        <v>0</v>
      </c>
      <c r="CV357" s="16">
        <f>Demand_SW!K$14/31</f>
        <v>0</v>
      </c>
      <c r="CW357" s="16">
        <f t="shared" si="173"/>
        <v>52506.898263027251</v>
      </c>
      <c r="CX357" s="16">
        <f t="shared" si="174"/>
        <v>20683.923076923078</v>
      </c>
      <c r="CY357" s="16">
        <f t="shared" si="175"/>
        <v>0</v>
      </c>
      <c r="CZ357" s="16">
        <f t="shared" si="176"/>
        <v>0</v>
      </c>
      <c r="DA357" s="16">
        <f t="shared" si="177"/>
        <v>0</v>
      </c>
      <c r="DB357" s="16">
        <f t="shared" si="178"/>
        <v>-47022.332506203486</v>
      </c>
      <c r="DC357" s="16">
        <f t="shared" si="179"/>
        <v>20683.923076923078</v>
      </c>
      <c r="DD357" s="16">
        <f t="shared" si="180"/>
        <v>0</v>
      </c>
      <c r="DE357" s="16">
        <f t="shared" si="181"/>
        <v>0</v>
      </c>
      <c r="DF357" s="16">
        <f t="shared" si="182"/>
        <v>0</v>
      </c>
      <c r="DG357" s="14">
        <f>IF([1]Sheet2!DR356=999999,"NA",[1]Sheet2!DR356)</f>
        <v>73103</v>
      </c>
      <c r="DH357" s="14">
        <f>IF([1]Sheet2!DS356=999999,"NA",[1]Sheet2!DS356)</f>
        <v>11</v>
      </c>
      <c r="DI357" s="14">
        <f>IF([1]Sheet2!DT356=999999,"NA",[1]Sheet2!DT356)</f>
        <v>11</v>
      </c>
      <c r="DJ357" s="14" t="str">
        <f>IF([1]Sheet2!DU356=999999,"NA",[1]Sheet2!DU356)</f>
        <v>NA</v>
      </c>
      <c r="DK357" s="14" t="str">
        <f>IF([1]Sheet2!DV356=999999,"NA",[1]Sheet2!DV356)</f>
        <v>NA</v>
      </c>
      <c r="DL357" s="14" t="str">
        <f>IF([1]Sheet2!DW356=999999,"NA",[1]Sheet2!DW356)</f>
        <v>NA</v>
      </c>
      <c r="DM357" s="14">
        <f>IF([1]Sheet2!DX356=999999,"NA",[1]Sheet2!DX356)</f>
        <v>11</v>
      </c>
      <c r="DN357" s="14">
        <f>IF([1]Sheet2!DY356=999999,"NA",[1]Sheet2!DY356)</f>
        <v>11</v>
      </c>
      <c r="DO357" s="14" t="str">
        <f>IF([1]Sheet2!DZ356=999999,"NA",[1]Sheet2!DZ356)</f>
        <v>NA</v>
      </c>
      <c r="DP357" s="14" t="str">
        <f>IF([1]Sheet2!EA356=999999,"NA",[1]Sheet2!EA356)</f>
        <v>NA</v>
      </c>
      <c r="DQ357" s="14">
        <f>[1]Sheet2!CX356</f>
        <v>0</v>
      </c>
      <c r="DR357" s="14">
        <f>[1]Sheet2!CY356</f>
        <v>0</v>
      </c>
      <c r="DS357" s="14">
        <f>[1]Sheet2!CZ356</f>
        <v>0</v>
      </c>
      <c r="DT357" s="14">
        <f>[1]Sheet2!DA356</f>
        <v>0</v>
      </c>
      <c r="DU357" s="14">
        <f>[1]Sheet2!DB356</f>
        <v>0</v>
      </c>
      <c r="DV357" s="14">
        <f>[1]Sheet2!DC356</f>
        <v>0</v>
      </c>
      <c r="DW357" s="14">
        <f>[1]Sheet2!DD356</f>
        <v>0</v>
      </c>
      <c r="DX357" s="14">
        <f>[1]Sheet2!DE356</f>
        <v>0</v>
      </c>
      <c r="DY357" s="14">
        <f>[1]Sheet2!DF356</f>
        <v>0</v>
      </c>
      <c r="DZ357" s="14">
        <f>[1]Sheet2!DG356</f>
        <v>0</v>
      </c>
    </row>
    <row r="358" spans="1:130" x14ac:dyDescent="0.25">
      <c r="A358" s="15">
        <v>43820</v>
      </c>
      <c r="B358" s="1"/>
      <c r="C358" s="1"/>
      <c r="D358" s="1"/>
      <c r="E358" s="14">
        <f>[1]Sheet2!N357</f>
        <v>0</v>
      </c>
      <c r="F358" s="14">
        <f>[1]Sheet2!BE357</f>
        <v>48000</v>
      </c>
      <c r="G358" s="14">
        <f>[1]Sheet2!CV357</f>
        <v>279.15632754342431</v>
      </c>
      <c r="H358" s="1"/>
      <c r="I358" s="1"/>
      <c r="J358" s="1"/>
      <c r="K358" s="16">
        <f>Demand_CWRS!B$14/31</f>
        <v>95.176711124896599</v>
      </c>
      <c r="L358" s="16">
        <f>Demand_CWRS!C$14/31</f>
        <v>526.22795698924722</v>
      </c>
      <c r="M358" s="16">
        <f>Demand_CWRS!D$14/31</f>
        <v>0</v>
      </c>
      <c r="N358" s="16">
        <f>Demand_CWRS!E$14/31</f>
        <v>102.37076095947063</v>
      </c>
      <c r="O358" s="16">
        <f>Demand_CWRS!F$14/31</f>
        <v>219.86823562861866</v>
      </c>
      <c r="P358" s="16">
        <f>Demand_CWRS!G$14/31</f>
        <v>95.176711124896599</v>
      </c>
      <c r="Q358" s="16">
        <f>Demand_CWRS!H$14/31</f>
        <v>526.22795698924722</v>
      </c>
      <c r="R358" s="16">
        <f>Demand_CWRS!I$14/31</f>
        <v>219.86823562861866</v>
      </c>
      <c r="S358" s="16">
        <f>Demand_CWRS!J$14/31</f>
        <v>219.86823562861866</v>
      </c>
      <c r="T358" s="16">
        <f>Demand_CWRS!K$14/31</f>
        <v>219.86823562861866</v>
      </c>
      <c r="U358" s="16">
        <f t="shared" si="153"/>
        <v>-44845.21189409621</v>
      </c>
      <c r="V358" s="16">
        <f t="shared" si="154"/>
        <v>-171436.88196856886</v>
      </c>
      <c r="W358" s="16">
        <f t="shared" si="155"/>
        <v>0</v>
      </c>
      <c r="X358" s="16">
        <f t="shared" si="156"/>
        <v>-38767.998427406128</v>
      </c>
      <c r="Y358" s="16">
        <f t="shared" si="157"/>
        <v>-76943.46080543095</v>
      </c>
      <c r="Z358" s="16">
        <f t="shared" si="158"/>
        <v>-44448.279370057804</v>
      </c>
      <c r="AA358" s="16">
        <f t="shared" si="159"/>
        <v>-170936.88196856886</v>
      </c>
      <c r="AB358" s="16">
        <f t="shared" si="160"/>
        <v>-74459.615324661601</v>
      </c>
      <c r="AC358" s="16">
        <f t="shared" si="161"/>
        <v>-74459.615324661587</v>
      </c>
      <c r="AD358" s="16">
        <f t="shared" si="162"/>
        <v>-75159.615324661601</v>
      </c>
      <c r="AE358" s="14">
        <f>IF([1]Sheet2!AJ357=999999,"NA",[1]Sheet2!AJ357)</f>
        <v>0</v>
      </c>
      <c r="AF358" s="14">
        <f>IF([1]Sheet2!AK357=999999,"NA",[1]Sheet2!AK357)</f>
        <v>0</v>
      </c>
      <c r="AG358" s="14" t="str">
        <f>IF([1]Sheet2!AL357=999999,"NA",[1]Sheet2!AL357)</f>
        <v>NA</v>
      </c>
      <c r="AH358" s="14">
        <f>IF([1]Sheet2!AM357=999999,"NA",[1]Sheet2!AM357)</f>
        <v>10</v>
      </c>
      <c r="AI358" s="14">
        <f>IF([1]Sheet2!AN357=999999,"NA",[1]Sheet2!AN357)</f>
        <v>10</v>
      </c>
      <c r="AJ358" s="14">
        <f>IF([1]Sheet2!AO357=999999,"NA",[1]Sheet2!AO357)</f>
        <v>10</v>
      </c>
      <c r="AK358" s="14">
        <f>IF([1]Sheet2!AP357=999999,"NA",[1]Sheet2!AP357)</f>
        <v>0</v>
      </c>
      <c r="AL358" s="14">
        <f>IF([1]Sheet2!AQ357=999999,"NA",[1]Sheet2!AQ357)</f>
        <v>0</v>
      </c>
      <c r="AM358" s="14">
        <f>IF([1]Sheet2!AR357=999999,"NA",[1]Sheet2!AR357)</f>
        <v>10</v>
      </c>
      <c r="AN358" s="14">
        <f>IF([1]Sheet2!AS357=999999,"NA",[1]Sheet2!AS357)</f>
        <v>0</v>
      </c>
      <c r="AO358" s="14">
        <f>[1]Sheet2!P357</f>
        <v>0</v>
      </c>
      <c r="AP358" s="14">
        <f>[1]Sheet2!Q357</f>
        <v>0</v>
      </c>
      <c r="AQ358" s="14">
        <f>[1]Sheet2!R357</f>
        <v>0</v>
      </c>
      <c r="AR358" s="14">
        <f>[1]Sheet2!S357</f>
        <v>0</v>
      </c>
      <c r="AS358" s="14">
        <f>[1]Sheet2!T357</f>
        <v>0</v>
      </c>
      <c r="AT358" s="14">
        <f>[1]Sheet2!U357</f>
        <v>0</v>
      </c>
      <c r="AU358" s="14">
        <f>[1]Sheet2!V357</f>
        <v>0</v>
      </c>
      <c r="AV358" s="14">
        <f>[1]Sheet2!W357</f>
        <v>0</v>
      </c>
      <c r="AW358" s="14">
        <f>[1]Sheet2!X357</f>
        <v>0</v>
      </c>
      <c r="AX358" s="14">
        <f>[1]Sheet2!Y357</f>
        <v>0</v>
      </c>
      <c r="AY358" s="16">
        <f>Demand_LP!B$14/31</f>
        <v>868.56315911910667</v>
      </c>
      <c r="AZ358" s="16">
        <f>Demand_LP!C$14/31</f>
        <v>608.40066170388752</v>
      </c>
      <c r="BA358" s="16">
        <f>Demand_LP!D$14/31</f>
        <v>251.20087262200158</v>
      </c>
      <c r="BB358" s="16">
        <f>Demand_LP!E$14/31</f>
        <v>807.45938378825463</v>
      </c>
      <c r="BC358" s="16">
        <f>Demand_LP!F$14/31</f>
        <v>539.59842069892466</v>
      </c>
      <c r="BD358" s="16">
        <f>Demand_LP!G$14/31</f>
        <v>868.56315911910667</v>
      </c>
      <c r="BE358" s="16">
        <f>Demand_LP!H$14/31</f>
        <v>608.40066170388752</v>
      </c>
      <c r="BF358" s="16">
        <f>Demand_LP!I$14/31</f>
        <v>539.59842069892466</v>
      </c>
      <c r="BG358" s="16">
        <f>Demand_LP!J$14/31</f>
        <v>539.59842069892466</v>
      </c>
      <c r="BH358" s="16">
        <f>Demand_LP!K$14/31</f>
        <v>539.59842069892466</v>
      </c>
      <c r="BI358" s="16" t="e">
        <f t="shared" si="163"/>
        <v>#VALUE!</v>
      </c>
      <c r="BJ358" s="16">
        <f t="shared" si="164"/>
        <v>-204767.19081885857</v>
      </c>
      <c r="BK358" s="16">
        <f t="shared" si="165"/>
        <v>-101564.9696071137</v>
      </c>
      <c r="BL358" s="16">
        <f t="shared" si="166"/>
        <v>-269988.04960742599</v>
      </c>
      <c r="BM358" s="16">
        <f t="shared" si="167"/>
        <v>-165488.50929451187</v>
      </c>
      <c r="BN358" s="16">
        <f t="shared" si="168"/>
        <v>-282499.34493662004</v>
      </c>
      <c r="BO358" s="16">
        <f t="shared" si="169"/>
        <v>-207124.77030603835</v>
      </c>
      <c r="BP358" s="16">
        <f t="shared" si="170"/>
        <v>-166600.19321288244</v>
      </c>
      <c r="BQ358" s="16">
        <f t="shared" si="171"/>
        <v>-163590.19321288256</v>
      </c>
      <c r="BR358" s="16">
        <f t="shared" si="172"/>
        <v>-164790.19321288247</v>
      </c>
      <c r="BS358" s="14">
        <f>IF([1]Sheet2!CA357=999999,"NA",[1]Sheet2!CA357)</f>
        <v>51688.806787117501</v>
      </c>
      <c r="BT358" s="14">
        <f>IF([1]Sheet2!CB357=999999,"NA",[1]Sheet2!CB357)</f>
        <v>0</v>
      </c>
      <c r="BU358" s="14">
        <f>IF([1]Sheet2!CC357=999999,"NA",[1]Sheet2!CC357)</f>
        <v>10</v>
      </c>
      <c r="BV358" s="14">
        <f>IF([1]Sheet2!CD357=999999,"NA",[1]Sheet2!CD357)</f>
        <v>10</v>
      </c>
      <c r="BW358" s="14">
        <f>IF([1]Sheet2!CE357=999999,"NA",[1]Sheet2!CE357)</f>
        <v>0</v>
      </c>
      <c r="BX358" s="14">
        <f>IF([1]Sheet2!CF357=999999,"NA",[1]Sheet2!CF357)</f>
        <v>10</v>
      </c>
      <c r="BY358" s="14">
        <f>IF([1]Sheet2!CG357=999999,"NA",[1]Sheet2!CG357)</f>
        <v>0</v>
      </c>
      <c r="BZ358" s="14">
        <f>IF([1]Sheet2!CH357=999999,"NA",[1]Sheet2!CH357)</f>
        <v>10</v>
      </c>
      <c r="CA358" s="14">
        <f>IF([1]Sheet2!CI357=999999,"NA",[1]Sheet2!CI357)</f>
        <v>10</v>
      </c>
      <c r="CB358" s="14">
        <f>IF([1]Sheet2!CJ357=999999,"NA",[1]Sheet2!CJ357)</f>
        <v>10</v>
      </c>
      <c r="CC358" s="14">
        <f>[1]Sheet2!BG357</f>
        <v>0</v>
      </c>
      <c r="CD358" s="14">
        <f>[1]Sheet2!BH357</f>
        <v>0</v>
      </c>
      <c r="CE358" s="14">
        <f>[1]Sheet2!BI357</f>
        <v>0</v>
      </c>
      <c r="CF358" s="14">
        <f>[1]Sheet2!BJ357</f>
        <v>0</v>
      </c>
      <c r="CG358" s="14">
        <f>[1]Sheet2!BK357</f>
        <v>0</v>
      </c>
      <c r="CH358" s="14">
        <f>[1]Sheet2!BL357</f>
        <v>0</v>
      </c>
      <c r="CI358" s="14">
        <f>[1]Sheet2!BM357</f>
        <v>0</v>
      </c>
      <c r="CJ358" s="14">
        <f>[1]Sheet2!BN357</f>
        <v>0</v>
      </c>
      <c r="CK358" s="14">
        <f>[1]Sheet2!BO357</f>
        <v>0</v>
      </c>
      <c r="CL358" s="14">
        <f>[1]Sheet2!BP357</f>
        <v>0</v>
      </c>
      <c r="CM358" s="16">
        <f>Demand_SW!B$14/31</f>
        <v>139.57816377171216</v>
      </c>
      <c r="CN358" s="16">
        <f>Demand_SW!C$14/31</f>
        <v>0</v>
      </c>
      <c r="CO358" s="16">
        <f>Demand_SW!D$14/31</f>
        <v>0</v>
      </c>
      <c r="CP358" s="16">
        <f>Demand_SW!E$14/31</f>
        <v>0</v>
      </c>
      <c r="CQ358" s="16">
        <f>Demand_SW!F$14/31</f>
        <v>0</v>
      </c>
      <c r="CR358" s="16">
        <f>Demand_SW!G$14/31</f>
        <v>139.57816377171216</v>
      </c>
      <c r="CS358" s="16">
        <f>Demand_SW!H$14/31</f>
        <v>0</v>
      </c>
      <c r="CT358" s="16">
        <f>Demand_SW!I$14/31</f>
        <v>0</v>
      </c>
      <c r="CU358" s="16">
        <f>Demand_SW!J$14/31</f>
        <v>0</v>
      </c>
      <c r="CV358" s="16">
        <f>Demand_SW!K$14/31</f>
        <v>0</v>
      </c>
      <c r="CW358" s="16">
        <f t="shared" si="173"/>
        <v>52367.320099255536</v>
      </c>
      <c r="CX358" s="16">
        <f t="shared" si="174"/>
        <v>20683.923076923078</v>
      </c>
      <c r="CY358" s="16">
        <f t="shared" si="175"/>
        <v>0</v>
      </c>
      <c r="CZ358" s="16">
        <f t="shared" si="176"/>
        <v>0</v>
      </c>
      <c r="DA358" s="16">
        <f t="shared" si="177"/>
        <v>0</v>
      </c>
      <c r="DB358" s="16">
        <f t="shared" si="178"/>
        <v>-47161.910669975201</v>
      </c>
      <c r="DC358" s="16">
        <f t="shared" si="179"/>
        <v>20683.923076923078</v>
      </c>
      <c r="DD358" s="16">
        <f t="shared" si="180"/>
        <v>0</v>
      </c>
      <c r="DE358" s="16">
        <f t="shared" si="181"/>
        <v>0</v>
      </c>
      <c r="DF358" s="16">
        <f t="shared" si="182"/>
        <v>0</v>
      </c>
      <c r="DG358" s="14">
        <f>IF([1]Sheet2!DR357=999999,"NA",[1]Sheet2!DR357)</f>
        <v>73103</v>
      </c>
      <c r="DH358" s="14">
        <f>IF([1]Sheet2!DS357=999999,"NA",[1]Sheet2!DS357)</f>
        <v>10</v>
      </c>
      <c r="DI358" s="14">
        <f>IF([1]Sheet2!DT357=999999,"NA",[1]Sheet2!DT357)</f>
        <v>10</v>
      </c>
      <c r="DJ358" s="14" t="str">
        <f>IF([1]Sheet2!DU357=999999,"NA",[1]Sheet2!DU357)</f>
        <v>NA</v>
      </c>
      <c r="DK358" s="14" t="str">
        <f>IF([1]Sheet2!DV357=999999,"NA",[1]Sheet2!DV357)</f>
        <v>NA</v>
      </c>
      <c r="DL358" s="14" t="str">
        <f>IF([1]Sheet2!DW357=999999,"NA",[1]Sheet2!DW357)</f>
        <v>NA</v>
      </c>
      <c r="DM358" s="14">
        <f>IF([1]Sheet2!DX357=999999,"NA",[1]Sheet2!DX357)</f>
        <v>10</v>
      </c>
      <c r="DN358" s="14">
        <f>IF([1]Sheet2!DY357=999999,"NA",[1]Sheet2!DY357)</f>
        <v>10</v>
      </c>
      <c r="DO358" s="14" t="str">
        <f>IF([1]Sheet2!DZ357=999999,"NA",[1]Sheet2!DZ357)</f>
        <v>NA</v>
      </c>
      <c r="DP358" s="14" t="str">
        <f>IF([1]Sheet2!EA357=999999,"NA",[1]Sheet2!EA357)</f>
        <v>NA</v>
      </c>
      <c r="DQ358" s="14">
        <f>[1]Sheet2!CX357</f>
        <v>0</v>
      </c>
      <c r="DR358" s="14">
        <f>[1]Sheet2!CY357</f>
        <v>0</v>
      </c>
      <c r="DS358" s="14">
        <f>[1]Sheet2!CZ357</f>
        <v>0</v>
      </c>
      <c r="DT358" s="14">
        <f>[1]Sheet2!DA357</f>
        <v>0</v>
      </c>
      <c r="DU358" s="14">
        <f>[1]Sheet2!DB357</f>
        <v>0</v>
      </c>
      <c r="DV358" s="14">
        <f>[1]Sheet2!DC357</f>
        <v>0</v>
      </c>
      <c r="DW358" s="14">
        <f>[1]Sheet2!DD357</f>
        <v>0</v>
      </c>
      <c r="DX358" s="14">
        <f>[1]Sheet2!DE357</f>
        <v>0</v>
      </c>
      <c r="DY358" s="14">
        <f>[1]Sheet2!DF357</f>
        <v>0</v>
      </c>
      <c r="DZ358" s="14">
        <f>[1]Sheet2!DG357</f>
        <v>0</v>
      </c>
    </row>
    <row r="359" spans="1:130" x14ac:dyDescent="0.25">
      <c r="A359" s="15">
        <v>43821</v>
      </c>
      <c r="B359" s="1"/>
      <c r="C359" s="1"/>
      <c r="D359" s="1"/>
      <c r="E359" s="14">
        <f>[1]Sheet2!N358</f>
        <v>48000</v>
      </c>
      <c r="F359" s="14">
        <f>[1]Sheet2!BE358</f>
        <v>0</v>
      </c>
      <c r="G359" s="14">
        <f>[1]Sheet2!CV358</f>
        <v>279.15632754342431</v>
      </c>
      <c r="H359" s="1"/>
      <c r="I359" s="1"/>
      <c r="J359" s="1"/>
      <c r="K359" s="16">
        <f>Demand_CWRS!B$14/31</f>
        <v>95.176711124896599</v>
      </c>
      <c r="L359" s="16">
        <f>Demand_CWRS!C$14/31</f>
        <v>526.22795698924722</v>
      </c>
      <c r="M359" s="16">
        <f>Demand_CWRS!D$14/31</f>
        <v>0</v>
      </c>
      <c r="N359" s="16">
        <f>Demand_CWRS!E$14/31</f>
        <v>102.37076095947063</v>
      </c>
      <c r="O359" s="16">
        <f>Demand_CWRS!F$14/31</f>
        <v>219.86823562861866</v>
      </c>
      <c r="P359" s="16">
        <f>Demand_CWRS!G$14/31</f>
        <v>95.176711124896599</v>
      </c>
      <c r="Q359" s="16">
        <f>Demand_CWRS!H$14/31</f>
        <v>526.22795698924722</v>
      </c>
      <c r="R359" s="16">
        <f>Demand_CWRS!I$14/31</f>
        <v>219.86823562861866</v>
      </c>
      <c r="S359" s="16">
        <f>Demand_CWRS!J$14/31</f>
        <v>219.86823562861866</v>
      </c>
      <c r="T359" s="16">
        <f>Demand_CWRS!K$14/31</f>
        <v>219.86823562861866</v>
      </c>
      <c r="U359" s="16">
        <f t="shared" si="153"/>
        <v>-44940.388605221109</v>
      </c>
      <c r="V359" s="16">
        <f t="shared" si="154"/>
        <v>-171963.10992555812</v>
      </c>
      <c r="W359" s="16">
        <f t="shared" si="155"/>
        <v>0</v>
      </c>
      <c r="X359" s="16">
        <f t="shared" si="156"/>
        <v>-38870.369188365599</v>
      </c>
      <c r="Y359" s="16">
        <f t="shared" si="157"/>
        <v>-77163.329041059565</v>
      </c>
      <c r="Z359" s="16">
        <f t="shared" si="158"/>
        <v>-44543.456081182703</v>
      </c>
      <c r="AA359" s="16">
        <f t="shared" si="159"/>
        <v>-171463.10992555812</v>
      </c>
      <c r="AB359" s="16">
        <f t="shared" si="160"/>
        <v>-74679.483560290217</v>
      </c>
      <c r="AC359" s="16">
        <f t="shared" si="161"/>
        <v>-74679.483560290202</v>
      </c>
      <c r="AD359" s="16">
        <f t="shared" si="162"/>
        <v>-75379.483560290217</v>
      </c>
      <c r="AE359" s="14">
        <f>IF([1]Sheet2!AJ358=999999,"NA",[1]Sheet2!AJ358)</f>
        <v>0</v>
      </c>
      <c r="AF359" s="14">
        <f>IF([1]Sheet2!AK358=999999,"NA",[1]Sheet2!AK358)</f>
        <v>0</v>
      </c>
      <c r="AG359" s="14" t="str">
        <f>IF([1]Sheet2!AL358=999999,"NA",[1]Sheet2!AL358)</f>
        <v>NA</v>
      </c>
      <c r="AH359" s="14">
        <f>IF([1]Sheet2!AM358=999999,"NA",[1]Sheet2!AM358)</f>
        <v>9</v>
      </c>
      <c r="AI359" s="14">
        <f>IF([1]Sheet2!AN358=999999,"NA",[1]Sheet2!AN358)</f>
        <v>9</v>
      </c>
      <c r="AJ359" s="14">
        <f>IF([1]Sheet2!AO358=999999,"NA",[1]Sheet2!AO358)</f>
        <v>9</v>
      </c>
      <c r="AK359" s="14">
        <f>IF([1]Sheet2!AP358=999999,"NA",[1]Sheet2!AP358)</f>
        <v>0</v>
      </c>
      <c r="AL359" s="14">
        <f>IF([1]Sheet2!AQ358=999999,"NA",[1]Sheet2!AQ358)</f>
        <v>0</v>
      </c>
      <c r="AM359" s="14">
        <f>IF([1]Sheet2!AR358=999999,"NA",[1]Sheet2!AR358)</f>
        <v>9</v>
      </c>
      <c r="AN359" s="14">
        <f>IF([1]Sheet2!AS358=999999,"NA",[1]Sheet2!AS358)</f>
        <v>0</v>
      </c>
      <c r="AO359" s="14">
        <f>[1]Sheet2!P358</f>
        <v>0</v>
      </c>
      <c r="AP359" s="14">
        <f>[1]Sheet2!Q358</f>
        <v>0</v>
      </c>
      <c r="AQ359" s="14">
        <f>[1]Sheet2!R358</f>
        <v>0</v>
      </c>
      <c r="AR359" s="14">
        <f>[1]Sheet2!S358</f>
        <v>0</v>
      </c>
      <c r="AS359" s="14">
        <f>[1]Sheet2!T358</f>
        <v>0</v>
      </c>
      <c r="AT359" s="14">
        <f>[1]Sheet2!U358</f>
        <v>0</v>
      </c>
      <c r="AU359" s="14">
        <f>[1]Sheet2!V358</f>
        <v>0</v>
      </c>
      <c r="AV359" s="14">
        <f>[1]Sheet2!W358</f>
        <v>0</v>
      </c>
      <c r="AW359" s="14">
        <f>[1]Sheet2!X358</f>
        <v>0</v>
      </c>
      <c r="AX359" s="14">
        <f>[1]Sheet2!Y358</f>
        <v>0</v>
      </c>
      <c r="AY359" s="16">
        <f>Demand_LP!B$14/31</f>
        <v>868.56315911910667</v>
      </c>
      <c r="AZ359" s="16">
        <f>Demand_LP!C$14/31</f>
        <v>608.40066170388752</v>
      </c>
      <c r="BA359" s="16">
        <f>Demand_LP!D$14/31</f>
        <v>251.20087262200158</v>
      </c>
      <c r="BB359" s="16">
        <f>Demand_LP!E$14/31</f>
        <v>807.45938378825463</v>
      </c>
      <c r="BC359" s="16">
        <f>Demand_LP!F$14/31</f>
        <v>539.59842069892466</v>
      </c>
      <c r="BD359" s="16">
        <f>Demand_LP!G$14/31</f>
        <v>868.56315911910667</v>
      </c>
      <c r="BE359" s="16">
        <f>Demand_LP!H$14/31</f>
        <v>608.40066170388752</v>
      </c>
      <c r="BF359" s="16">
        <f>Demand_LP!I$14/31</f>
        <v>539.59842069892466</v>
      </c>
      <c r="BG359" s="16">
        <f>Demand_LP!J$14/31</f>
        <v>539.59842069892466</v>
      </c>
      <c r="BH359" s="16">
        <f>Demand_LP!K$14/31</f>
        <v>539.59842069892466</v>
      </c>
      <c r="BI359" s="16" t="e">
        <f t="shared" si="163"/>
        <v>#VALUE!</v>
      </c>
      <c r="BJ359" s="16">
        <f t="shared" si="164"/>
        <v>-205375.59148056246</v>
      </c>
      <c r="BK359" s="16">
        <f t="shared" si="165"/>
        <v>-101816.17047973571</v>
      </c>
      <c r="BL359" s="16">
        <f t="shared" si="166"/>
        <v>-270795.50899121421</v>
      </c>
      <c r="BM359" s="16">
        <f t="shared" si="167"/>
        <v>-166028.10771521079</v>
      </c>
      <c r="BN359" s="16">
        <f t="shared" si="168"/>
        <v>-283367.90809573914</v>
      </c>
      <c r="BO359" s="16">
        <f t="shared" si="169"/>
        <v>-207733.17096774225</v>
      </c>
      <c r="BP359" s="16">
        <f t="shared" si="170"/>
        <v>-167139.79163358136</v>
      </c>
      <c r="BQ359" s="16">
        <f t="shared" si="171"/>
        <v>-164129.79163358148</v>
      </c>
      <c r="BR359" s="16">
        <f t="shared" si="172"/>
        <v>-165329.79163358139</v>
      </c>
      <c r="BS359" s="14">
        <f>IF([1]Sheet2!CA358=999999,"NA",[1]Sheet2!CA358)</f>
        <v>51149.208366418577</v>
      </c>
      <c r="BT359" s="14">
        <f>IF([1]Sheet2!CB358=999999,"NA",[1]Sheet2!CB358)</f>
        <v>0</v>
      </c>
      <c r="BU359" s="14">
        <f>IF([1]Sheet2!CC358=999999,"NA",[1]Sheet2!CC358)</f>
        <v>9</v>
      </c>
      <c r="BV359" s="14">
        <f>IF([1]Sheet2!CD358=999999,"NA",[1]Sheet2!CD358)</f>
        <v>9</v>
      </c>
      <c r="BW359" s="14">
        <f>IF([1]Sheet2!CE358=999999,"NA",[1]Sheet2!CE358)</f>
        <v>0</v>
      </c>
      <c r="BX359" s="14">
        <f>IF([1]Sheet2!CF358=999999,"NA",[1]Sheet2!CF358)</f>
        <v>9</v>
      </c>
      <c r="BY359" s="14">
        <f>IF([1]Sheet2!CG358=999999,"NA",[1]Sheet2!CG358)</f>
        <v>0</v>
      </c>
      <c r="BZ359" s="14">
        <f>IF([1]Sheet2!CH358=999999,"NA",[1]Sheet2!CH358)</f>
        <v>9</v>
      </c>
      <c r="CA359" s="14">
        <f>IF([1]Sheet2!CI358=999999,"NA",[1]Sheet2!CI358)</f>
        <v>9</v>
      </c>
      <c r="CB359" s="14">
        <f>IF([1]Sheet2!CJ358=999999,"NA",[1]Sheet2!CJ358)</f>
        <v>9</v>
      </c>
      <c r="CC359" s="14">
        <f>[1]Sheet2!BG358</f>
        <v>0</v>
      </c>
      <c r="CD359" s="14">
        <f>[1]Sheet2!BH358</f>
        <v>0</v>
      </c>
      <c r="CE359" s="14">
        <f>[1]Sheet2!BI358</f>
        <v>0</v>
      </c>
      <c r="CF359" s="14">
        <f>[1]Sheet2!BJ358</f>
        <v>0</v>
      </c>
      <c r="CG359" s="14">
        <f>[1]Sheet2!BK358</f>
        <v>0</v>
      </c>
      <c r="CH359" s="14">
        <f>[1]Sheet2!BL358</f>
        <v>0</v>
      </c>
      <c r="CI359" s="14">
        <f>[1]Sheet2!BM358</f>
        <v>0</v>
      </c>
      <c r="CJ359" s="14">
        <f>[1]Sheet2!BN358</f>
        <v>0</v>
      </c>
      <c r="CK359" s="14">
        <f>[1]Sheet2!BO358</f>
        <v>0</v>
      </c>
      <c r="CL359" s="14">
        <f>[1]Sheet2!BP358</f>
        <v>0</v>
      </c>
      <c r="CM359" s="16">
        <f>Demand_SW!B$14/31</f>
        <v>139.57816377171216</v>
      </c>
      <c r="CN359" s="16">
        <f>Demand_SW!C$14/31</f>
        <v>0</v>
      </c>
      <c r="CO359" s="16">
        <f>Demand_SW!D$14/31</f>
        <v>0</v>
      </c>
      <c r="CP359" s="16">
        <f>Demand_SW!E$14/31</f>
        <v>0</v>
      </c>
      <c r="CQ359" s="16">
        <f>Demand_SW!F$14/31</f>
        <v>0</v>
      </c>
      <c r="CR359" s="16">
        <f>Demand_SW!G$14/31</f>
        <v>139.57816377171216</v>
      </c>
      <c r="CS359" s="16">
        <f>Demand_SW!H$14/31</f>
        <v>0</v>
      </c>
      <c r="CT359" s="16">
        <f>Demand_SW!I$14/31</f>
        <v>0</v>
      </c>
      <c r="CU359" s="16">
        <f>Demand_SW!J$14/31</f>
        <v>0</v>
      </c>
      <c r="CV359" s="16">
        <f>Demand_SW!K$14/31</f>
        <v>0</v>
      </c>
      <c r="CW359" s="16">
        <f t="shared" si="173"/>
        <v>52227.74193548382</v>
      </c>
      <c r="CX359" s="16">
        <f t="shared" si="174"/>
        <v>20683.923076923078</v>
      </c>
      <c r="CY359" s="16">
        <f t="shared" si="175"/>
        <v>0</v>
      </c>
      <c r="CZ359" s="16">
        <f t="shared" si="176"/>
        <v>0</v>
      </c>
      <c r="DA359" s="16">
        <f t="shared" si="177"/>
        <v>0</v>
      </c>
      <c r="DB359" s="16">
        <f t="shared" si="178"/>
        <v>-47301.488833746916</v>
      </c>
      <c r="DC359" s="16">
        <f t="shared" si="179"/>
        <v>20683.923076923078</v>
      </c>
      <c r="DD359" s="16">
        <f t="shared" si="180"/>
        <v>0</v>
      </c>
      <c r="DE359" s="16">
        <f t="shared" si="181"/>
        <v>0</v>
      </c>
      <c r="DF359" s="16">
        <f t="shared" si="182"/>
        <v>0</v>
      </c>
      <c r="DG359" s="14">
        <f>IF([1]Sheet2!DR358=999999,"NA",[1]Sheet2!DR358)</f>
        <v>73103</v>
      </c>
      <c r="DH359" s="14">
        <f>IF([1]Sheet2!DS358=999999,"NA",[1]Sheet2!DS358)</f>
        <v>9</v>
      </c>
      <c r="DI359" s="14">
        <f>IF([1]Sheet2!DT358=999999,"NA",[1]Sheet2!DT358)</f>
        <v>9</v>
      </c>
      <c r="DJ359" s="14" t="str">
        <f>IF([1]Sheet2!DU358=999999,"NA",[1]Sheet2!DU358)</f>
        <v>NA</v>
      </c>
      <c r="DK359" s="14" t="str">
        <f>IF([1]Sheet2!DV358=999999,"NA",[1]Sheet2!DV358)</f>
        <v>NA</v>
      </c>
      <c r="DL359" s="14" t="str">
        <f>IF([1]Sheet2!DW358=999999,"NA",[1]Sheet2!DW358)</f>
        <v>NA</v>
      </c>
      <c r="DM359" s="14">
        <f>IF([1]Sheet2!DX358=999999,"NA",[1]Sheet2!DX358)</f>
        <v>9</v>
      </c>
      <c r="DN359" s="14">
        <f>IF([1]Sheet2!DY358=999999,"NA",[1]Sheet2!DY358)</f>
        <v>9</v>
      </c>
      <c r="DO359" s="14" t="str">
        <f>IF([1]Sheet2!DZ358=999999,"NA",[1]Sheet2!DZ358)</f>
        <v>NA</v>
      </c>
      <c r="DP359" s="14" t="str">
        <f>IF([1]Sheet2!EA358=999999,"NA",[1]Sheet2!EA358)</f>
        <v>NA</v>
      </c>
      <c r="DQ359" s="14">
        <f>[1]Sheet2!CX358</f>
        <v>0</v>
      </c>
      <c r="DR359" s="14">
        <f>[1]Sheet2!CY358</f>
        <v>0</v>
      </c>
      <c r="DS359" s="14">
        <f>[1]Sheet2!CZ358</f>
        <v>0</v>
      </c>
      <c r="DT359" s="14">
        <f>[1]Sheet2!DA358</f>
        <v>0</v>
      </c>
      <c r="DU359" s="14">
        <f>[1]Sheet2!DB358</f>
        <v>0</v>
      </c>
      <c r="DV359" s="14">
        <f>[1]Sheet2!DC358</f>
        <v>0</v>
      </c>
      <c r="DW359" s="14">
        <f>[1]Sheet2!DD358</f>
        <v>0</v>
      </c>
      <c r="DX359" s="14">
        <f>[1]Sheet2!DE358</f>
        <v>0</v>
      </c>
      <c r="DY359" s="14">
        <f>[1]Sheet2!DF358</f>
        <v>0</v>
      </c>
      <c r="DZ359" s="14">
        <f>[1]Sheet2!DG358</f>
        <v>0</v>
      </c>
    </row>
    <row r="360" spans="1:130" x14ac:dyDescent="0.25">
      <c r="A360" s="15">
        <v>43822</v>
      </c>
      <c r="B360" s="1"/>
      <c r="C360" s="1"/>
      <c r="D360" s="1"/>
      <c r="E360" s="14">
        <f>[1]Sheet2!N359</f>
        <v>0</v>
      </c>
      <c r="F360" s="14">
        <f>[1]Sheet2!BE359</f>
        <v>0</v>
      </c>
      <c r="G360" s="14">
        <f>[1]Sheet2!CV359</f>
        <v>279.15632754342431</v>
      </c>
      <c r="H360" s="1"/>
      <c r="I360" s="1"/>
      <c r="J360" s="1"/>
      <c r="K360" s="16">
        <f>Demand_CWRS!B$14/31</f>
        <v>95.176711124896599</v>
      </c>
      <c r="L360" s="16">
        <f>Demand_CWRS!C$14/31</f>
        <v>526.22795698924722</v>
      </c>
      <c r="M360" s="16">
        <f>Demand_CWRS!D$14/31</f>
        <v>0</v>
      </c>
      <c r="N360" s="16">
        <f>Demand_CWRS!E$14/31</f>
        <v>102.37076095947063</v>
      </c>
      <c r="O360" s="16">
        <f>Demand_CWRS!F$14/31</f>
        <v>219.86823562861866</v>
      </c>
      <c r="P360" s="16">
        <f>Demand_CWRS!G$14/31</f>
        <v>95.176711124896599</v>
      </c>
      <c r="Q360" s="16">
        <f>Demand_CWRS!H$14/31</f>
        <v>526.22795698924722</v>
      </c>
      <c r="R360" s="16">
        <f>Demand_CWRS!I$14/31</f>
        <v>219.86823562861866</v>
      </c>
      <c r="S360" s="16">
        <f>Demand_CWRS!J$14/31</f>
        <v>219.86823562861866</v>
      </c>
      <c r="T360" s="16">
        <f>Demand_CWRS!K$14/31</f>
        <v>219.86823562861866</v>
      </c>
      <c r="U360" s="16">
        <f t="shared" si="153"/>
        <v>-45035.565316346008</v>
      </c>
      <c r="V360" s="16">
        <f t="shared" si="154"/>
        <v>-172489.33788254738</v>
      </c>
      <c r="W360" s="16">
        <f t="shared" si="155"/>
        <v>0</v>
      </c>
      <c r="X360" s="16">
        <f t="shared" si="156"/>
        <v>-38972.73994932507</v>
      </c>
      <c r="Y360" s="16">
        <f t="shared" si="157"/>
        <v>-77383.197276688181</v>
      </c>
      <c r="Z360" s="16">
        <f t="shared" si="158"/>
        <v>-44638.632792307602</v>
      </c>
      <c r="AA360" s="16">
        <f t="shared" si="159"/>
        <v>-171989.33788254738</v>
      </c>
      <c r="AB360" s="16">
        <f t="shared" si="160"/>
        <v>-74899.351795918832</v>
      </c>
      <c r="AC360" s="16">
        <f t="shared" si="161"/>
        <v>-74899.351795918818</v>
      </c>
      <c r="AD360" s="16">
        <f t="shared" si="162"/>
        <v>-75599.351795918832</v>
      </c>
      <c r="AE360" s="14">
        <f>IF([1]Sheet2!AJ359=999999,"NA",[1]Sheet2!AJ359)</f>
        <v>0</v>
      </c>
      <c r="AF360" s="14">
        <f>IF([1]Sheet2!AK359=999999,"NA",[1]Sheet2!AK359)</f>
        <v>0</v>
      </c>
      <c r="AG360" s="14" t="str">
        <f>IF([1]Sheet2!AL359=999999,"NA",[1]Sheet2!AL359)</f>
        <v>NA</v>
      </c>
      <c r="AH360" s="14">
        <f>IF([1]Sheet2!AM359=999999,"NA",[1]Sheet2!AM359)</f>
        <v>8</v>
      </c>
      <c r="AI360" s="14">
        <f>IF([1]Sheet2!AN359=999999,"NA",[1]Sheet2!AN359)</f>
        <v>8</v>
      </c>
      <c r="AJ360" s="14">
        <f>IF([1]Sheet2!AO359=999999,"NA",[1]Sheet2!AO359)</f>
        <v>8</v>
      </c>
      <c r="AK360" s="14">
        <f>IF([1]Sheet2!AP359=999999,"NA",[1]Sheet2!AP359)</f>
        <v>0</v>
      </c>
      <c r="AL360" s="14">
        <f>IF([1]Sheet2!AQ359=999999,"NA",[1]Sheet2!AQ359)</f>
        <v>0</v>
      </c>
      <c r="AM360" s="14">
        <f>IF([1]Sheet2!AR359=999999,"NA",[1]Sheet2!AR359)</f>
        <v>8</v>
      </c>
      <c r="AN360" s="14">
        <f>IF([1]Sheet2!AS359=999999,"NA",[1]Sheet2!AS359)</f>
        <v>0</v>
      </c>
      <c r="AO360" s="14">
        <f>[1]Sheet2!P359</f>
        <v>0</v>
      </c>
      <c r="AP360" s="14">
        <f>[1]Sheet2!Q359</f>
        <v>0</v>
      </c>
      <c r="AQ360" s="14">
        <f>[1]Sheet2!R359</f>
        <v>0</v>
      </c>
      <c r="AR360" s="14">
        <f>[1]Sheet2!S359</f>
        <v>0</v>
      </c>
      <c r="AS360" s="14">
        <f>[1]Sheet2!T359</f>
        <v>0</v>
      </c>
      <c r="AT360" s="14">
        <f>[1]Sheet2!U359</f>
        <v>0</v>
      </c>
      <c r="AU360" s="14">
        <f>[1]Sheet2!V359</f>
        <v>0</v>
      </c>
      <c r="AV360" s="14">
        <f>[1]Sheet2!W359</f>
        <v>0</v>
      </c>
      <c r="AW360" s="14">
        <f>[1]Sheet2!X359</f>
        <v>0</v>
      </c>
      <c r="AX360" s="14">
        <f>[1]Sheet2!Y359</f>
        <v>0</v>
      </c>
      <c r="AY360" s="16">
        <f>Demand_LP!B$14/31</f>
        <v>868.56315911910667</v>
      </c>
      <c r="AZ360" s="16">
        <f>Demand_LP!C$14/31</f>
        <v>608.40066170388752</v>
      </c>
      <c r="BA360" s="16">
        <f>Demand_LP!D$14/31</f>
        <v>251.20087262200158</v>
      </c>
      <c r="BB360" s="16">
        <f>Demand_LP!E$14/31</f>
        <v>807.45938378825463</v>
      </c>
      <c r="BC360" s="16">
        <f>Demand_LP!F$14/31</f>
        <v>539.59842069892466</v>
      </c>
      <c r="BD360" s="16">
        <f>Demand_LP!G$14/31</f>
        <v>868.56315911910667</v>
      </c>
      <c r="BE360" s="16">
        <f>Demand_LP!H$14/31</f>
        <v>608.40066170388752</v>
      </c>
      <c r="BF360" s="16">
        <f>Demand_LP!I$14/31</f>
        <v>539.59842069892466</v>
      </c>
      <c r="BG360" s="16">
        <f>Demand_LP!J$14/31</f>
        <v>539.59842069892466</v>
      </c>
      <c r="BH360" s="16">
        <f>Demand_LP!K$14/31</f>
        <v>539.59842069892466</v>
      </c>
      <c r="BI360" s="16" t="e">
        <f t="shared" si="163"/>
        <v>#VALUE!</v>
      </c>
      <c r="BJ360" s="16">
        <f t="shared" si="164"/>
        <v>-205983.99214226636</v>
      </c>
      <c r="BK360" s="16">
        <f t="shared" si="165"/>
        <v>-102067.37135235772</v>
      </c>
      <c r="BL360" s="16">
        <f t="shared" si="166"/>
        <v>-271602.96837500244</v>
      </c>
      <c r="BM360" s="16">
        <f t="shared" si="167"/>
        <v>-166567.70613590971</v>
      </c>
      <c r="BN360" s="16">
        <f t="shared" si="168"/>
        <v>-284236.47125485825</v>
      </c>
      <c r="BO360" s="16">
        <f t="shared" si="169"/>
        <v>-208341.57162944615</v>
      </c>
      <c r="BP360" s="16">
        <f t="shared" si="170"/>
        <v>-167679.39005428029</v>
      </c>
      <c r="BQ360" s="16">
        <f t="shared" si="171"/>
        <v>-164669.3900542804</v>
      </c>
      <c r="BR360" s="16">
        <f t="shared" si="172"/>
        <v>-165869.39005428032</v>
      </c>
      <c r="BS360" s="14">
        <f>IF([1]Sheet2!CA359=999999,"NA",[1]Sheet2!CA359)</f>
        <v>50609.609945719654</v>
      </c>
      <c r="BT360" s="14">
        <f>IF([1]Sheet2!CB359=999999,"NA",[1]Sheet2!CB359)</f>
        <v>0</v>
      </c>
      <c r="BU360" s="14">
        <f>IF([1]Sheet2!CC359=999999,"NA",[1]Sheet2!CC359)</f>
        <v>8</v>
      </c>
      <c r="BV360" s="14">
        <f>IF([1]Sheet2!CD359=999999,"NA",[1]Sheet2!CD359)</f>
        <v>8</v>
      </c>
      <c r="BW360" s="14">
        <f>IF([1]Sheet2!CE359=999999,"NA",[1]Sheet2!CE359)</f>
        <v>0</v>
      </c>
      <c r="BX360" s="14">
        <f>IF([1]Sheet2!CF359=999999,"NA",[1]Sheet2!CF359)</f>
        <v>8</v>
      </c>
      <c r="BY360" s="14">
        <f>IF([1]Sheet2!CG359=999999,"NA",[1]Sheet2!CG359)</f>
        <v>0</v>
      </c>
      <c r="BZ360" s="14">
        <f>IF([1]Sheet2!CH359=999999,"NA",[1]Sheet2!CH359)</f>
        <v>8</v>
      </c>
      <c r="CA360" s="14">
        <f>IF([1]Sheet2!CI359=999999,"NA",[1]Sheet2!CI359)</f>
        <v>8</v>
      </c>
      <c r="CB360" s="14">
        <f>IF([1]Sheet2!CJ359=999999,"NA",[1]Sheet2!CJ359)</f>
        <v>8</v>
      </c>
      <c r="CC360" s="14">
        <f>[1]Sheet2!BG359</f>
        <v>0</v>
      </c>
      <c r="CD360" s="14">
        <f>[1]Sheet2!BH359</f>
        <v>0</v>
      </c>
      <c r="CE360" s="14">
        <f>[1]Sheet2!BI359</f>
        <v>0</v>
      </c>
      <c r="CF360" s="14">
        <f>[1]Sheet2!BJ359</f>
        <v>0</v>
      </c>
      <c r="CG360" s="14">
        <f>[1]Sheet2!BK359</f>
        <v>0</v>
      </c>
      <c r="CH360" s="14">
        <f>[1]Sheet2!BL359</f>
        <v>0</v>
      </c>
      <c r="CI360" s="14">
        <f>[1]Sheet2!BM359</f>
        <v>0</v>
      </c>
      <c r="CJ360" s="14">
        <f>[1]Sheet2!BN359</f>
        <v>0</v>
      </c>
      <c r="CK360" s="14">
        <f>[1]Sheet2!BO359</f>
        <v>0</v>
      </c>
      <c r="CL360" s="14">
        <f>[1]Sheet2!BP359</f>
        <v>0</v>
      </c>
      <c r="CM360" s="16">
        <f>Demand_SW!B$14/31</f>
        <v>139.57816377171216</v>
      </c>
      <c r="CN360" s="16">
        <f>Demand_SW!C$14/31</f>
        <v>0</v>
      </c>
      <c r="CO360" s="16">
        <f>Demand_SW!D$14/31</f>
        <v>0</v>
      </c>
      <c r="CP360" s="16">
        <f>Demand_SW!E$14/31</f>
        <v>0</v>
      </c>
      <c r="CQ360" s="16">
        <f>Demand_SW!F$14/31</f>
        <v>0</v>
      </c>
      <c r="CR360" s="16">
        <f>Demand_SW!G$14/31</f>
        <v>139.57816377171216</v>
      </c>
      <c r="CS360" s="16">
        <f>Demand_SW!H$14/31</f>
        <v>0</v>
      </c>
      <c r="CT360" s="16">
        <f>Demand_SW!I$14/31</f>
        <v>0</v>
      </c>
      <c r="CU360" s="16">
        <f>Demand_SW!J$14/31</f>
        <v>0</v>
      </c>
      <c r="CV360" s="16">
        <f>Demand_SW!K$14/31</f>
        <v>0</v>
      </c>
      <c r="CW360" s="16">
        <f t="shared" si="173"/>
        <v>52088.163771712105</v>
      </c>
      <c r="CX360" s="16">
        <f t="shared" si="174"/>
        <v>20683.923076923078</v>
      </c>
      <c r="CY360" s="16">
        <f t="shared" si="175"/>
        <v>0</v>
      </c>
      <c r="CZ360" s="16">
        <f t="shared" si="176"/>
        <v>0</v>
      </c>
      <c r="DA360" s="16">
        <f t="shared" si="177"/>
        <v>0</v>
      </c>
      <c r="DB360" s="16">
        <f t="shared" si="178"/>
        <v>-47441.066997518632</v>
      </c>
      <c r="DC360" s="16">
        <f t="shared" si="179"/>
        <v>20683.923076923078</v>
      </c>
      <c r="DD360" s="16">
        <f t="shared" si="180"/>
        <v>0</v>
      </c>
      <c r="DE360" s="16">
        <f t="shared" si="181"/>
        <v>0</v>
      </c>
      <c r="DF360" s="16">
        <f t="shared" si="182"/>
        <v>0</v>
      </c>
      <c r="DG360" s="14">
        <f>IF([1]Sheet2!DR359=999999,"NA",[1]Sheet2!DR359)</f>
        <v>73103</v>
      </c>
      <c r="DH360" s="14">
        <f>IF([1]Sheet2!DS359=999999,"NA",[1]Sheet2!DS359)</f>
        <v>8</v>
      </c>
      <c r="DI360" s="14">
        <f>IF([1]Sheet2!DT359=999999,"NA",[1]Sheet2!DT359)</f>
        <v>8</v>
      </c>
      <c r="DJ360" s="14" t="str">
        <f>IF([1]Sheet2!DU359=999999,"NA",[1]Sheet2!DU359)</f>
        <v>NA</v>
      </c>
      <c r="DK360" s="14" t="str">
        <f>IF([1]Sheet2!DV359=999999,"NA",[1]Sheet2!DV359)</f>
        <v>NA</v>
      </c>
      <c r="DL360" s="14" t="str">
        <f>IF([1]Sheet2!DW359=999999,"NA",[1]Sheet2!DW359)</f>
        <v>NA</v>
      </c>
      <c r="DM360" s="14">
        <f>IF([1]Sheet2!DX359=999999,"NA",[1]Sheet2!DX359)</f>
        <v>8</v>
      </c>
      <c r="DN360" s="14">
        <f>IF([1]Sheet2!DY359=999999,"NA",[1]Sheet2!DY359)</f>
        <v>8</v>
      </c>
      <c r="DO360" s="14" t="str">
        <f>IF([1]Sheet2!DZ359=999999,"NA",[1]Sheet2!DZ359)</f>
        <v>NA</v>
      </c>
      <c r="DP360" s="14" t="str">
        <f>IF([1]Sheet2!EA359=999999,"NA",[1]Sheet2!EA359)</f>
        <v>NA</v>
      </c>
      <c r="DQ360" s="14">
        <f>[1]Sheet2!CX359</f>
        <v>0</v>
      </c>
      <c r="DR360" s="14">
        <f>[1]Sheet2!CY359</f>
        <v>0</v>
      </c>
      <c r="DS360" s="14">
        <f>[1]Sheet2!CZ359</f>
        <v>0</v>
      </c>
      <c r="DT360" s="14">
        <f>[1]Sheet2!DA359</f>
        <v>0</v>
      </c>
      <c r="DU360" s="14">
        <f>[1]Sheet2!DB359</f>
        <v>0</v>
      </c>
      <c r="DV360" s="14">
        <f>[1]Sheet2!DC359</f>
        <v>0</v>
      </c>
      <c r="DW360" s="14">
        <f>[1]Sheet2!DD359</f>
        <v>0</v>
      </c>
      <c r="DX360" s="14">
        <f>[1]Sheet2!DE359</f>
        <v>0</v>
      </c>
      <c r="DY360" s="14">
        <f>[1]Sheet2!DF359</f>
        <v>0</v>
      </c>
      <c r="DZ360" s="14">
        <f>[1]Sheet2!DG359</f>
        <v>0</v>
      </c>
    </row>
    <row r="361" spans="1:130" x14ac:dyDescent="0.25">
      <c r="A361" s="15">
        <v>43823</v>
      </c>
      <c r="B361" s="1"/>
      <c r="C361" s="1"/>
      <c r="D361" s="1"/>
      <c r="E361" s="14">
        <f>[1]Sheet2!N360</f>
        <v>0</v>
      </c>
      <c r="F361" s="14">
        <f>[1]Sheet2!BE360</f>
        <v>0</v>
      </c>
      <c r="G361" s="14">
        <f>[1]Sheet2!CV360</f>
        <v>279.15632754342431</v>
      </c>
      <c r="H361" s="1"/>
      <c r="I361" s="1"/>
      <c r="J361" s="1"/>
      <c r="K361" s="16">
        <f>Demand_CWRS!B$14/31</f>
        <v>95.176711124896599</v>
      </c>
      <c r="L361" s="16">
        <f>Demand_CWRS!C$14/31</f>
        <v>526.22795698924722</v>
      </c>
      <c r="M361" s="16">
        <f>Demand_CWRS!D$14/31</f>
        <v>0</v>
      </c>
      <c r="N361" s="16">
        <f>Demand_CWRS!E$14/31</f>
        <v>102.37076095947063</v>
      </c>
      <c r="O361" s="16">
        <f>Demand_CWRS!F$14/31</f>
        <v>219.86823562861866</v>
      </c>
      <c r="P361" s="16">
        <f>Demand_CWRS!G$14/31</f>
        <v>95.176711124896599</v>
      </c>
      <c r="Q361" s="16">
        <f>Demand_CWRS!H$14/31</f>
        <v>526.22795698924722</v>
      </c>
      <c r="R361" s="16">
        <f>Demand_CWRS!I$14/31</f>
        <v>219.86823562861866</v>
      </c>
      <c r="S361" s="16">
        <f>Demand_CWRS!J$14/31</f>
        <v>219.86823562861866</v>
      </c>
      <c r="T361" s="16">
        <f>Demand_CWRS!K$14/31</f>
        <v>219.86823562861866</v>
      </c>
      <c r="U361" s="16">
        <f t="shared" si="153"/>
        <v>-45130.742027470907</v>
      </c>
      <c r="V361" s="16">
        <f t="shared" si="154"/>
        <v>-173015.56583953663</v>
      </c>
      <c r="W361" s="16">
        <f t="shared" si="155"/>
        <v>0</v>
      </c>
      <c r="X361" s="16">
        <f t="shared" si="156"/>
        <v>-39075.110710284542</v>
      </c>
      <c r="Y361" s="16">
        <f t="shared" si="157"/>
        <v>-77603.065512316796</v>
      </c>
      <c r="Z361" s="16">
        <f t="shared" si="158"/>
        <v>-44733.809503432502</v>
      </c>
      <c r="AA361" s="16">
        <f t="shared" si="159"/>
        <v>-172515.56583953663</v>
      </c>
      <c r="AB361" s="16">
        <f t="shared" si="160"/>
        <v>-75119.220031547447</v>
      </c>
      <c r="AC361" s="16">
        <f t="shared" si="161"/>
        <v>-75119.220031547433</v>
      </c>
      <c r="AD361" s="16">
        <f t="shared" si="162"/>
        <v>-75819.220031547447</v>
      </c>
      <c r="AE361" s="14">
        <f>IF([1]Sheet2!AJ360=999999,"NA",[1]Sheet2!AJ360)</f>
        <v>0</v>
      </c>
      <c r="AF361" s="14">
        <f>IF([1]Sheet2!AK360=999999,"NA",[1]Sheet2!AK360)</f>
        <v>0</v>
      </c>
      <c r="AG361" s="14" t="str">
        <f>IF([1]Sheet2!AL360=999999,"NA",[1]Sheet2!AL360)</f>
        <v>NA</v>
      </c>
      <c r="AH361" s="14">
        <f>IF([1]Sheet2!AM360=999999,"NA",[1]Sheet2!AM360)</f>
        <v>7</v>
      </c>
      <c r="AI361" s="14">
        <f>IF([1]Sheet2!AN360=999999,"NA",[1]Sheet2!AN360)</f>
        <v>7</v>
      </c>
      <c r="AJ361" s="14">
        <f>IF([1]Sheet2!AO360=999999,"NA",[1]Sheet2!AO360)</f>
        <v>7</v>
      </c>
      <c r="AK361" s="14">
        <f>IF([1]Sheet2!AP360=999999,"NA",[1]Sheet2!AP360)</f>
        <v>0</v>
      </c>
      <c r="AL361" s="14">
        <f>IF([1]Sheet2!AQ360=999999,"NA",[1]Sheet2!AQ360)</f>
        <v>0</v>
      </c>
      <c r="AM361" s="14">
        <f>IF([1]Sheet2!AR360=999999,"NA",[1]Sheet2!AR360)</f>
        <v>7</v>
      </c>
      <c r="AN361" s="14">
        <f>IF([1]Sheet2!AS360=999999,"NA",[1]Sheet2!AS360)</f>
        <v>0</v>
      </c>
      <c r="AO361" s="14">
        <f>[1]Sheet2!P360</f>
        <v>0</v>
      </c>
      <c r="AP361" s="14">
        <f>[1]Sheet2!Q360</f>
        <v>0</v>
      </c>
      <c r="AQ361" s="14">
        <f>[1]Sheet2!R360</f>
        <v>0</v>
      </c>
      <c r="AR361" s="14">
        <f>[1]Sheet2!S360</f>
        <v>0</v>
      </c>
      <c r="AS361" s="14">
        <f>[1]Sheet2!T360</f>
        <v>0</v>
      </c>
      <c r="AT361" s="14">
        <f>[1]Sheet2!U360</f>
        <v>0</v>
      </c>
      <c r="AU361" s="14">
        <f>[1]Sheet2!V360</f>
        <v>0</v>
      </c>
      <c r="AV361" s="14">
        <f>[1]Sheet2!W360</f>
        <v>0</v>
      </c>
      <c r="AW361" s="14">
        <f>[1]Sheet2!X360</f>
        <v>0</v>
      </c>
      <c r="AX361" s="14">
        <f>[1]Sheet2!Y360</f>
        <v>0</v>
      </c>
      <c r="AY361" s="16">
        <f>Demand_LP!B$14/31</f>
        <v>868.56315911910667</v>
      </c>
      <c r="AZ361" s="16">
        <f>Demand_LP!C$14/31</f>
        <v>608.40066170388752</v>
      </c>
      <c r="BA361" s="16">
        <f>Demand_LP!D$14/31</f>
        <v>251.20087262200158</v>
      </c>
      <c r="BB361" s="16">
        <f>Demand_LP!E$14/31</f>
        <v>807.45938378825463</v>
      </c>
      <c r="BC361" s="16">
        <f>Demand_LP!F$14/31</f>
        <v>539.59842069892466</v>
      </c>
      <c r="BD361" s="16">
        <f>Demand_LP!G$14/31</f>
        <v>868.56315911910667</v>
      </c>
      <c r="BE361" s="16">
        <f>Demand_LP!H$14/31</f>
        <v>608.40066170388752</v>
      </c>
      <c r="BF361" s="16">
        <f>Demand_LP!I$14/31</f>
        <v>539.59842069892466</v>
      </c>
      <c r="BG361" s="16">
        <f>Demand_LP!J$14/31</f>
        <v>539.59842069892466</v>
      </c>
      <c r="BH361" s="16">
        <f>Demand_LP!K$14/31</f>
        <v>539.59842069892466</v>
      </c>
      <c r="BI361" s="16" t="e">
        <f t="shared" si="163"/>
        <v>#VALUE!</v>
      </c>
      <c r="BJ361" s="16">
        <f t="shared" si="164"/>
        <v>-206592.39280397026</v>
      </c>
      <c r="BK361" s="16">
        <f t="shared" si="165"/>
        <v>-102318.57222497973</v>
      </c>
      <c r="BL361" s="16">
        <f t="shared" si="166"/>
        <v>-272410.42775879067</v>
      </c>
      <c r="BM361" s="16">
        <f t="shared" si="167"/>
        <v>-167107.30455660864</v>
      </c>
      <c r="BN361" s="16">
        <f t="shared" si="168"/>
        <v>-285105.03441397735</v>
      </c>
      <c r="BO361" s="16">
        <f t="shared" si="169"/>
        <v>-208949.97229115004</v>
      </c>
      <c r="BP361" s="16">
        <f t="shared" si="170"/>
        <v>-168218.98847497921</v>
      </c>
      <c r="BQ361" s="16">
        <f t="shared" si="171"/>
        <v>-165208.98847497933</v>
      </c>
      <c r="BR361" s="16">
        <f t="shared" si="172"/>
        <v>-166408.98847497924</v>
      </c>
      <c r="BS361" s="14">
        <f>IF([1]Sheet2!CA360=999999,"NA",[1]Sheet2!CA360)</f>
        <v>50070.011525020731</v>
      </c>
      <c r="BT361" s="14">
        <f>IF([1]Sheet2!CB360=999999,"NA",[1]Sheet2!CB360)</f>
        <v>0</v>
      </c>
      <c r="BU361" s="14">
        <f>IF([1]Sheet2!CC360=999999,"NA",[1]Sheet2!CC360)</f>
        <v>7</v>
      </c>
      <c r="BV361" s="14">
        <f>IF([1]Sheet2!CD360=999999,"NA",[1]Sheet2!CD360)</f>
        <v>7</v>
      </c>
      <c r="BW361" s="14">
        <f>IF([1]Sheet2!CE360=999999,"NA",[1]Sheet2!CE360)</f>
        <v>0</v>
      </c>
      <c r="BX361" s="14">
        <f>IF([1]Sheet2!CF360=999999,"NA",[1]Sheet2!CF360)</f>
        <v>7</v>
      </c>
      <c r="BY361" s="14">
        <f>IF([1]Sheet2!CG360=999999,"NA",[1]Sheet2!CG360)</f>
        <v>0</v>
      </c>
      <c r="BZ361" s="14">
        <f>IF([1]Sheet2!CH360=999999,"NA",[1]Sheet2!CH360)</f>
        <v>7</v>
      </c>
      <c r="CA361" s="14">
        <f>IF([1]Sheet2!CI360=999999,"NA",[1]Sheet2!CI360)</f>
        <v>7</v>
      </c>
      <c r="CB361" s="14">
        <f>IF([1]Sheet2!CJ360=999999,"NA",[1]Sheet2!CJ360)</f>
        <v>7</v>
      </c>
      <c r="CC361" s="14">
        <f>[1]Sheet2!BG360</f>
        <v>0</v>
      </c>
      <c r="CD361" s="14">
        <f>[1]Sheet2!BH360</f>
        <v>0</v>
      </c>
      <c r="CE361" s="14">
        <f>[1]Sheet2!BI360</f>
        <v>0</v>
      </c>
      <c r="CF361" s="14">
        <f>[1]Sheet2!BJ360</f>
        <v>0</v>
      </c>
      <c r="CG361" s="14">
        <f>[1]Sheet2!BK360</f>
        <v>0</v>
      </c>
      <c r="CH361" s="14">
        <f>[1]Sheet2!BL360</f>
        <v>0</v>
      </c>
      <c r="CI361" s="14">
        <f>[1]Sheet2!BM360</f>
        <v>0</v>
      </c>
      <c r="CJ361" s="14">
        <f>[1]Sheet2!BN360</f>
        <v>0</v>
      </c>
      <c r="CK361" s="14">
        <f>[1]Sheet2!BO360</f>
        <v>0</v>
      </c>
      <c r="CL361" s="14">
        <f>[1]Sheet2!BP360</f>
        <v>0</v>
      </c>
      <c r="CM361" s="16">
        <f>Demand_SW!B$14/31</f>
        <v>139.57816377171216</v>
      </c>
      <c r="CN361" s="16">
        <f>Demand_SW!C$14/31</f>
        <v>0</v>
      </c>
      <c r="CO361" s="16">
        <f>Demand_SW!D$14/31</f>
        <v>0</v>
      </c>
      <c r="CP361" s="16">
        <f>Demand_SW!E$14/31</f>
        <v>0</v>
      </c>
      <c r="CQ361" s="16">
        <f>Demand_SW!F$14/31</f>
        <v>0</v>
      </c>
      <c r="CR361" s="16">
        <f>Demand_SW!G$14/31</f>
        <v>139.57816377171216</v>
      </c>
      <c r="CS361" s="16">
        <f>Demand_SW!H$14/31</f>
        <v>0</v>
      </c>
      <c r="CT361" s="16">
        <f>Demand_SW!I$14/31</f>
        <v>0</v>
      </c>
      <c r="CU361" s="16">
        <f>Demand_SW!J$14/31</f>
        <v>0</v>
      </c>
      <c r="CV361" s="16">
        <f>Demand_SW!K$14/31</f>
        <v>0</v>
      </c>
      <c r="CW361" s="16">
        <f t="shared" si="173"/>
        <v>51948.585607940389</v>
      </c>
      <c r="CX361" s="16">
        <f t="shared" si="174"/>
        <v>20683.923076923078</v>
      </c>
      <c r="CY361" s="16">
        <f t="shared" si="175"/>
        <v>0</v>
      </c>
      <c r="CZ361" s="16">
        <f t="shared" si="176"/>
        <v>0</v>
      </c>
      <c r="DA361" s="16">
        <f t="shared" si="177"/>
        <v>0</v>
      </c>
      <c r="DB361" s="16">
        <f t="shared" si="178"/>
        <v>-47580.645161290347</v>
      </c>
      <c r="DC361" s="16">
        <f t="shared" si="179"/>
        <v>20683.923076923078</v>
      </c>
      <c r="DD361" s="16">
        <f t="shared" si="180"/>
        <v>0</v>
      </c>
      <c r="DE361" s="16">
        <f t="shared" si="181"/>
        <v>0</v>
      </c>
      <c r="DF361" s="16">
        <f t="shared" si="182"/>
        <v>0</v>
      </c>
      <c r="DG361" s="14">
        <f>IF([1]Sheet2!DR360=999999,"NA",[1]Sheet2!DR360)</f>
        <v>73103</v>
      </c>
      <c r="DH361" s="14">
        <f>IF([1]Sheet2!DS360=999999,"NA",[1]Sheet2!DS360)</f>
        <v>7</v>
      </c>
      <c r="DI361" s="14">
        <f>IF([1]Sheet2!DT360=999999,"NA",[1]Sheet2!DT360)</f>
        <v>7</v>
      </c>
      <c r="DJ361" s="14" t="str">
        <f>IF([1]Sheet2!DU360=999999,"NA",[1]Sheet2!DU360)</f>
        <v>NA</v>
      </c>
      <c r="DK361" s="14" t="str">
        <f>IF([1]Sheet2!DV360=999999,"NA",[1]Sheet2!DV360)</f>
        <v>NA</v>
      </c>
      <c r="DL361" s="14" t="str">
        <f>IF([1]Sheet2!DW360=999999,"NA",[1]Sheet2!DW360)</f>
        <v>NA</v>
      </c>
      <c r="DM361" s="14">
        <f>IF([1]Sheet2!DX360=999999,"NA",[1]Sheet2!DX360)</f>
        <v>7</v>
      </c>
      <c r="DN361" s="14">
        <f>IF([1]Sheet2!DY360=999999,"NA",[1]Sheet2!DY360)</f>
        <v>7</v>
      </c>
      <c r="DO361" s="14" t="str">
        <f>IF([1]Sheet2!DZ360=999999,"NA",[1]Sheet2!DZ360)</f>
        <v>NA</v>
      </c>
      <c r="DP361" s="14" t="str">
        <f>IF([1]Sheet2!EA360=999999,"NA",[1]Sheet2!EA360)</f>
        <v>NA</v>
      </c>
      <c r="DQ361" s="14">
        <f>[1]Sheet2!CX360</f>
        <v>0</v>
      </c>
      <c r="DR361" s="14">
        <f>[1]Sheet2!CY360</f>
        <v>0</v>
      </c>
      <c r="DS361" s="14">
        <f>[1]Sheet2!CZ360</f>
        <v>0</v>
      </c>
      <c r="DT361" s="14">
        <f>[1]Sheet2!DA360</f>
        <v>0</v>
      </c>
      <c r="DU361" s="14">
        <f>[1]Sheet2!DB360</f>
        <v>0</v>
      </c>
      <c r="DV361" s="14">
        <f>[1]Sheet2!DC360</f>
        <v>0</v>
      </c>
      <c r="DW361" s="14">
        <f>[1]Sheet2!DD360</f>
        <v>0</v>
      </c>
      <c r="DX361" s="14">
        <f>[1]Sheet2!DE360</f>
        <v>0</v>
      </c>
      <c r="DY361" s="14">
        <f>[1]Sheet2!DF360</f>
        <v>0</v>
      </c>
      <c r="DZ361" s="14">
        <f>[1]Sheet2!DG360</f>
        <v>0</v>
      </c>
    </row>
    <row r="362" spans="1:130" x14ac:dyDescent="0.25">
      <c r="A362" s="15">
        <v>43824</v>
      </c>
      <c r="B362" s="1"/>
      <c r="C362" s="1"/>
      <c r="D362" s="1"/>
      <c r="E362" s="14">
        <f>[1]Sheet2!N361</f>
        <v>0</v>
      </c>
      <c r="F362" s="14">
        <f>[1]Sheet2!BE361</f>
        <v>0</v>
      </c>
      <c r="G362" s="14">
        <f>[1]Sheet2!CV361</f>
        <v>279.15632754342431</v>
      </c>
      <c r="H362" s="1"/>
      <c r="I362" s="1"/>
      <c r="J362" s="1"/>
      <c r="K362" s="16">
        <f>Demand_CWRS!B$14/31</f>
        <v>95.176711124896599</v>
      </c>
      <c r="L362" s="16">
        <f>Demand_CWRS!C$14/31</f>
        <v>526.22795698924722</v>
      </c>
      <c r="M362" s="16">
        <f>Demand_CWRS!D$14/31</f>
        <v>0</v>
      </c>
      <c r="N362" s="16">
        <f>Demand_CWRS!E$14/31</f>
        <v>102.37076095947063</v>
      </c>
      <c r="O362" s="16">
        <f>Demand_CWRS!F$14/31</f>
        <v>219.86823562861866</v>
      </c>
      <c r="P362" s="16">
        <f>Demand_CWRS!G$14/31</f>
        <v>95.176711124896599</v>
      </c>
      <c r="Q362" s="16">
        <f>Demand_CWRS!H$14/31</f>
        <v>526.22795698924722</v>
      </c>
      <c r="R362" s="16">
        <f>Demand_CWRS!I$14/31</f>
        <v>219.86823562861866</v>
      </c>
      <c r="S362" s="16">
        <f>Demand_CWRS!J$14/31</f>
        <v>219.86823562861866</v>
      </c>
      <c r="T362" s="16">
        <f>Demand_CWRS!K$14/31</f>
        <v>219.86823562861866</v>
      </c>
      <c r="U362" s="16">
        <f t="shared" si="153"/>
        <v>-45225.918738595807</v>
      </c>
      <c r="V362" s="16">
        <f t="shared" si="154"/>
        <v>-173541.79379652589</v>
      </c>
      <c r="W362" s="16">
        <f t="shared" si="155"/>
        <v>0</v>
      </c>
      <c r="X362" s="16">
        <f t="shared" si="156"/>
        <v>-39177.481471244013</v>
      </c>
      <c r="Y362" s="16">
        <f t="shared" si="157"/>
        <v>-77822.933747945412</v>
      </c>
      <c r="Z362" s="16">
        <f t="shared" si="158"/>
        <v>-44828.986214557401</v>
      </c>
      <c r="AA362" s="16">
        <f t="shared" si="159"/>
        <v>-173041.79379652589</v>
      </c>
      <c r="AB362" s="16">
        <f t="shared" si="160"/>
        <v>-75339.088267176063</v>
      </c>
      <c r="AC362" s="16">
        <f t="shared" si="161"/>
        <v>-75339.088267176048</v>
      </c>
      <c r="AD362" s="16">
        <f t="shared" si="162"/>
        <v>-76039.088267176063</v>
      </c>
      <c r="AE362" s="14">
        <f>IF([1]Sheet2!AJ361=999999,"NA",[1]Sheet2!AJ361)</f>
        <v>0</v>
      </c>
      <c r="AF362" s="14">
        <f>IF([1]Sheet2!AK361=999999,"NA",[1]Sheet2!AK361)</f>
        <v>0</v>
      </c>
      <c r="AG362" s="14" t="str">
        <f>IF([1]Sheet2!AL361=999999,"NA",[1]Sheet2!AL361)</f>
        <v>NA</v>
      </c>
      <c r="AH362" s="14">
        <f>IF([1]Sheet2!AM361=999999,"NA",[1]Sheet2!AM361)</f>
        <v>6</v>
      </c>
      <c r="AI362" s="14">
        <f>IF([1]Sheet2!AN361=999999,"NA",[1]Sheet2!AN361)</f>
        <v>6</v>
      </c>
      <c r="AJ362" s="14">
        <f>IF([1]Sheet2!AO361=999999,"NA",[1]Sheet2!AO361)</f>
        <v>6</v>
      </c>
      <c r="AK362" s="14">
        <f>IF([1]Sheet2!AP361=999999,"NA",[1]Sheet2!AP361)</f>
        <v>0</v>
      </c>
      <c r="AL362" s="14">
        <f>IF([1]Sheet2!AQ361=999999,"NA",[1]Sheet2!AQ361)</f>
        <v>0</v>
      </c>
      <c r="AM362" s="14">
        <f>IF([1]Sheet2!AR361=999999,"NA",[1]Sheet2!AR361)</f>
        <v>6</v>
      </c>
      <c r="AN362" s="14">
        <f>IF([1]Sheet2!AS361=999999,"NA",[1]Sheet2!AS361)</f>
        <v>0</v>
      </c>
      <c r="AO362" s="14">
        <f>[1]Sheet2!P361</f>
        <v>0</v>
      </c>
      <c r="AP362" s="14">
        <f>[1]Sheet2!Q361</f>
        <v>0</v>
      </c>
      <c r="AQ362" s="14">
        <f>[1]Sheet2!R361</f>
        <v>0</v>
      </c>
      <c r="AR362" s="14">
        <f>[1]Sheet2!S361</f>
        <v>0</v>
      </c>
      <c r="AS362" s="14">
        <f>[1]Sheet2!T361</f>
        <v>0</v>
      </c>
      <c r="AT362" s="14">
        <f>[1]Sheet2!U361</f>
        <v>0</v>
      </c>
      <c r="AU362" s="14">
        <f>[1]Sheet2!V361</f>
        <v>0</v>
      </c>
      <c r="AV362" s="14">
        <f>[1]Sheet2!W361</f>
        <v>0</v>
      </c>
      <c r="AW362" s="14">
        <f>[1]Sheet2!X361</f>
        <v>0</v>
      </c>
      <c r="AX362" s="14">
        <f>[1]Sheet2!Y361</f>
        <v>0</v>
      </c>
      <c r="AY362" s="16">
        <f>Demand_LP!B$14/31</f>
        <v>868.56315911910667</v>
      </c>
      <c r="AZ362" s="16">
        <f>Demand_LP!C$14/31</f>
        <v>608.40066170388752</v>
      </c>
      <c r="BA362" s="16">
        <f>Demand_LP!D$14/31</f>
        <v>251.20087262200158</v>
      </c>
      <c r="BB362" s="16">
        <f>Demand_LP!E$14/31</f>
        <v>807.45938378825463</v>
      </c>
      <c r="BC362" s="16">
        <f>Demand_LP!F$14/31</f>
        <v>539.59842069892466</v>
      </c>
      <c r="BD362" s="16">
        <f>Demand_LP!G$14/31</f>
        <v>868.56315911910667</v>
      </c>
      <c r="BE362" s="16">
        <f>Demand_LP!H$14/31</f>
        <v>608.40066170388752</v>
      </c>
      <c r="BF362" s="16">
        <f>Demand_LP!I$14/31</f>
        <v>539.59842069892466</v>
      </c>
      <c r="BG362" s="16">
        <f>Demand_LP!J$14/31</f>
        <v>539.59842069892466</v>
      </c>
      <c r="BH362" s="16">
        <f>Demand_LP!K$14/31</f>
        <v>539.59842069892466</v>
      </c>
      <c r="BI362" s="16" t="e">
        <f t="shared" si="163"/>
        <v>#VALUE!</v>
      </c>
      <c r="BJ362" s="16">
        <f t="shared" si="164"/>
        <v>-207200.79346567416</v>
      </c>
      <c r="BK362" s="16">
        <f t="shared" si="165"/>
        <v>-102569.77309760173</v>
      </c>
      <c r="BL362" s="16">
        <f t="shared" si="166"/>
        <v>-273217.8871425789</v>
      </c>
      <c r="BM362" s="16">
        <f t="shared" si="167"/>
        <v>-167646.90297730756</v>
      </c>
      <c r="BN362" s="16">
        <f t="shared" si="168"/>
        <v>-285973.59757309646</v>
      </c>
      <c r="BO362" s="16">
        <f t="shared" si="169"/>
        <v>-209558.37295285394</v>
      </c>
      <c r="BP362" s="16">
        <f t="shared" si="170"/>
        <v>-168758.58689567813</v>
      </c>
      <c r="BQ362" s="16">
        <f t="shared" si="171"/>
        <v>-165748.58689567825</v>
      </c>
      <c r="BR362" s="16">
        <f t="shared" si="172"/>
        <v>-166948.58689567816</v>
      </c>
      <c r="BS362" s="14">
        <f>IF([1]Sheet2!CA361=999999,"NA",[1]Sheet2!CA361)</f>
        <v>49530.413104321808</v>
      </c>
      <c r="BT362" s="14">
        <f>IF([1]Sheet2!CB361=999999,"NA",[1]Sheet2!CB361)</f>
        <v>0</v>
      </c>
      <c r="BU362" s="14">
        <f>IF([1]Sheet2!CC361=999999,"NA",[1]Sheet2!CC361)</f>
        <v>6</v>
      </c>
      <c r="BV362" s="14">
        <f>IF([1]Sheet2!CD361=999999,"NA",[1]Sheet2!CD361)</f>
        <v>6</v>
      </c>
      <c r="BW362" s="14">
        <f>IF([1]Sheet2!CE361=999999,"NA",[1]Sheet2!CE361)</f>
        <v>0</v>
      </c>
      <c r="BX362" s="14">
        <f>IF([1]Sheet2!CF361=999999,"NA",[1]Sheet2!CF361)</f>
        <v>6</v>
      </c>
      <c r="BY362" s="14">
        <f>IF([1]Sheet2!CG361=999999,"NA",[1]Sheet2!CG361)</f>
        <v>0</v>
      </c>
      <c r="BZ362" s="14">
        <f>IF([1]Sheet2!CH361=999999,"NA",[1]Sheet2!CH361)</f>
        <v>6</v>
      </c>
      <c r="CA362" s="14">
        <f>IF([1]Sheet2!CI361=999999,"NA",[1]Sheet2!CI361)</f>
        <v>6</v>
      </c>
      <c r="CB362" s="14">
        <f>IF([1]Sheet2!CJ361=999999,"NA",[1]Sheet2!CJ361)</f>
        <v>6</v>
      </c>
      <c r="CC362" s="14">
        <f>[1]Sheet2!BG361</f>
        <v>0</v>
      </c>
      <c r="CD362" s="14">
        <f>[1]Sheet2!BH361</f>
        <v>0</v>
      </c>
      <c r="CE362" s="14">
        <f>[1]Sheet2!BI361</f>
        <v>0</v>
      </c>
      <c r="CF362" s="14">
        <f>[1]Sheet2!BJ361</f>
        <v>0</v>
      </c>
      <c r="CG362" s="14">
        <f>[1]Sheet2!BK361</f>
        <v>0</v>
      </c>
      <c r="CH362" s="14">
        <f>[1]Sheet2!BL361</f>
        <v>0</v>
      </c>
      <c r="CI362" s="14">
        <f>[1]Sheet2!BM361</f>
        <v>0</v>
      </c>
      <c r="CJ362" s="14">
        <f>[1]Sheet2!BN361</f>
        <v>0</v>
      </c>
      <c r="CK362" s="14">
        <f>[1]Sheet2!BO361</f>
        <v>0</v>
      </c>
      <c r="CL362" s="14">
        <f>[1]Sheet2!BP361</f>
        <v>0</v>
      </c>
      <c r="CM362" s="16">
        <f>Demand_SW!B$14/31</f>
        <v>139.57816377171216</v>
      </c>
      <c r="CN362" s="16">
        <f>Demand_SW!C$14/31</f>
        <v>0</v>
      </c>
      <c r="CO362" s="16">
        <f>Demand_SW!D$14/31</f>
        <v>0</v>
      </c>
      <c r="CP362" s="16">
        <f>Demand_SW!E$14/31</f>
        <v>0</v>
      </c>
      <c r="CQ362" s="16">
        <f>Demand_SW!F$14/31</f>
        <v>0</v>
      </c>
      <c r="CR362" s="16">
        <f>Demand_SW!G$14/31</f>
        <v>139.57816377171216</v>
      </c>
      <c r="CS362" s="16">
        <f>Demand_SW!H$14/31</f>
        <v>0</v>
      </c>
      <c r="CT362" s="16">
        <f>Demand_SW!I$14/31</f>
        <v>0</v>
      </c>
      <c r="CU362" s="16">
        <f>Demand_SW!J$14/31</f>
        <v>0</v>
      </c>
      <c r="CV362" s="16">
        <f>Demand_SW!K$14/31</f>
        <v>0</v>
      </c>
      <c r="CW362" s="16">
        <f t="shared" si="173"/>
        <v>51809.007444168674</v>
      </c>
      <c r="CX362" s="16">
        <f t="shared" si="174"/>
        <v>20683.923076923078</v>
      </c>
      <c r="CY362" s="16">
        <f t="shared" si="175"/>
        <v>0</v>
      </c>
      <c r="CZ362" s="16">
        <f t="shared" si="176"/>
        <v>0</v>
      </c>
      <c r="DA362" s="16">
        <f t="shared" si="177"/>
        <v>0</v>
      </c>
      <c r="DB362" s="16">
        <f t="shared" si="178"/>
        <v>-47720.223325062063</v>
      </c>
      <c r="DC362" s="16">
        <f t="shared" si="179"/>
        <v>20683.923076923078</v>
      </c>
      <c r="DD362" s="16">
        <f t="shared" si="180"/>
        <v>0</v>
      </c>
      <c r="DE362" s="16">
        <f t="shared" si="181"/>
        <v>0</v>
      </c>
      <c r="DF362" s="16">
        <f t="shared" si="182"/>
        <v>0</v>
      </c>
      <c r="DG362" s="14">
        <f>IF([1]Sheet2!DR361=999999,"NA",[1]Sheet2!DR361)</f>
        <v>73103</v>
      </c>
      <c r="DH362" s="14">
        <f>IF([1]Sheet2!DS361=999999,"NA",[1]Sheet2!DS361)</f>
        <v>6</v>
      </c>
      <c r="DI362" s="14">
        <f>IF([1]Sheet2!DT361=999999,"NA",[1]Sheet2!DT361)</f>
        <v>6</v>
      </c>
      <c r="DJ362" s="14" t="str">
        <f>IF([1]Sheet2!DU361=999999,"NA",[1]Sheet2!DU361)</f>
        <v>NA</v>
      </c>
      <c r="DK362" s="14" t="str">
        <f>IF([1]Sheet2!DV361=999999,"NA",[1]Sheet2!DV361)</f>
        <v>NA</v>
      </c>
      <c r="DL362" s="14" t="str">
        <f>IF([1]Sheet2!DW361=999999,"NA",[1]Sheet2!DW361)</f>
        <v>NA</v>
      </c>
      <c r="DM362" s="14">
        <f>IF([1]Sheet2!DX361=999999,"NA",[1]Sheet2!DX361)</f>
        <v>6</v>
      </c>
      <c r="DN362" s="14">
        <f>IF([1]Sheet2!DY361=999999,"NA",[1]Sheet2!DY361)</f>
        <v>6</v>
      </c>
      <c r="DO362" s="14" t="str">
        <f>IF([1]Sheet2!DZ361=999999,"NA",[1]Sheet2!DZ361)</f>
        <v>NA</v>
      </c>
      <c r="DP362" s="14" t="str">
        <f>IF([1]Sheet2!EA361=999999,"NA",[1]Sheet2!EA361)</f>
        <v>NA</v>
      </c>
      <c r="DQ362" s="14">
        <f>[1]Sheet2!CX361</f>
        <v>0</v>
      </c>
      <c r="DR362" s="14">
        <f>[1]Sheet2!CY361</f>
        <v>0</v>
      </c>
      <c r="DS362" s="14">
        <f>[1]Sheet2!CZ361</f>
        <v>0</v>
      </c>
      <c r="DT362" s="14">
        <f>[1]Sheet2!DA361</f>
        <v>0</v>
      </c>
      <c r="DU362" s="14">
        <f>[1]Sheet2!DB361</f>
        <v>0</v>
      </c>
      <c r="DV362" s="14">
        <f>[1]Sheet2!DC361</f>
        <v>0</v>
      </c>
      <c r="DW362" s="14">
        <f>[1]Sheet2!DD361</f>
        <v>0</v>
      </c>
      <c r="DX362" s="14">
        <f>[1]Sheet2!DE361</f>
        <v>0</v>
      </c>
      <c r="DY362" s="14">
        <f>[1]Sheet2!DF361</f>
        <v>0</v>
      </c>
      <c r="DZ362" s="14">
        <f>[1]Sheet2!DG361</f>
        <v>0</v>
      </c>
    </row>
    <row r="363" spans="1:130" x14ac:dyDescent="0.25">
      <c r="A363" s="15">
        <v>43825</v>
      </c>
      <c r="B363" s="1"/>
      <c r="C363" s="1"/>
      <c r="D363" s="1"/>
      <c r="E363" s="14">
        <f>[1]Sheet2!N362</f>
        <v>0</v>
      </c>
      <c r="F363" s="14">
        <f>[1]Sheet2!BE362</f>
        <v>0</v>
      </c>
      <c r="G363" s="14">
        <f>[1]Sheet2!CV362</f>
        <v>279.15632754342431</v>
      </c>
      <c r="H363" s="1"/>
      <c r="I363" s="1"/>
      <c r="J363" s="1"/>
      <c r="K363" s="16">
        <f>Demand_CWRS!B$14/31</f>
        <v>95.176711124896599</v>
      </c>
      <c r="L363" s="16">
        <f>Demand_CWRS!C$14/31</f>
        <v>526.22795698924722</v>
      </c>
      <c r="M363" s="16">
        <f>Demand_CWRS!D$14/31</f>
        <v>0</v>
      </c>
      <c r="N363" s="16">
        <f>Demand_CWRS!E$14/31</f>
        <v>102.37076095947063</v>
      </c>
      <c r="O363" s="16">
        <f>Demand_CWRS!F$14/31</f>
        <v>219.86823562861866</v>
      </c>
      <c r="P363" s="16">
        <f>Demand_CWRS!G$14/31</f>
        <v>95.176711124896599</v>
      </c>
      <c r="Q363" s="16">
        <f>Demand_CWRS!H$14/31</f>
        <v>526.22795698924722</v>
      </c>
      <c r="R363" s="16">
        <f>Demand_CWRS!I$14/31</f>
        <v>219.86823562861866</v>
      </c>
      <c r="S363" s="16">
        <f>Demand_CWRS!J$14/31</f>
        <v>219.86823562861866</v>
      </c>
      <c r="T363" s="16">
        <f>Demand_CWRS!K$14/31</f>
        <v>219.86823562861866</v>
      </c>
      <c r="U363" s="16">
        <f t="shared" si="153"/>
        <v>-45321.095449720706</v>
      </c>
      <c r="V363" s="16">
        <f t="shared" si="154"/>
        <v>-174068.02175351515</v>
      </c>
      <c r="W363" s="16">
        <f t="shared" si="155"/>
        <v>0</v>
      </c>
      <c r="X363" s="16">
        <f t="shared" si="156"/>
        <v>-39279.852232203484</v>
      </c>
      <c r="Y363" s="16">
        <f t="shared" si="157"/>
        <v>-78042.801983574027</v>
      </c>
      <c r="Z363" s="16">
        <f t="shared" si="158"/>
        <v>-44924.1629256823</v>
      </c>
      <c r="AA363" s="16">
        <f t="shared" si="159"/>
        <v>-173568.02175351515</v>
      </c>
      <c r="AB363" s="16">
        <f t="shared" si="160"/>
        <v>-75558.956502804678</v>
      </c>
      <c r="AC363" s="16">
        <f t="shared" si="161"/>
        <v>-75558.956502804664</v>
      </c>
      <c r="AD363" s="16">
        <f t="shared" si="162"/>
        <v>-76258.956502804678</v>
      </c>
      <c r="AE363" s="14">
        <f>IF([1]Sheet2!AJ362=999999,"NA",[1]Sheet2!AJ362)</f>
        <v>0</v>
      </c>
      <c r="AF363" s="14">
        <f>IF([1]Sheet2!AK362=999999,"NA",[1]Sheet2!AK362)</f>
        <v>0</v>
      </c>
      <c r="AG363" s="14" t="str">
        <f>IF([1]Sheet2!AL362=999999,"NA",[1]Sheet2!AL362)</f>
        <v>NA</v>
      </c>
      <c r="AH363" s="14">
        <f>IF([1]Sheet2!AM362=999999,"NA",[1]Sheet2!AM362)</f>
        <v>5</v>
      </c>
      <c r="AI363" s="14">
        <f>IF([1]Sheet2!AN362=999999,"NA",[1]Sheet2!AN362)</f>
        <v>5</v>
      </c>
      <c r="AJ363" s="14">
        <f>IF([1]Sheet2!AO362=999999,"NA",[1]Sheet2!AO362)</f>
        <v>5</v>
      </c>
      <c r="AK363" s="14">
        <f>IF([1]Sheet2!AP362=999999,"NA",[1]Sheet2!AP362)</f>
        <v>0</v>
      </c>
      <c r="AL363" s="14">
        <f>IF([1]Sheet2!AQ362=999999,"NA",[1]Sheet2!AQ362)</f>
        <v>0</v>
      </c>
      <c r="AM363" s="14">
        <f>IF([1]Sheet2!AR362=999999,"NA",[1]Sheet2!AR362)</f>
        <v>5</v>
      </c>
      <c r="AN363" s="14">
        <f>IF([1]Sheet2!AS362=999999,"NA",[1]Sheet2!AS362)</f>
        <v>0</v>
      </c>
      <c r="AO363" s="14">
        <f>[1]Sheet2!P362</f>
        <v>0</v>
      </c>
      <c r="AP363" s="14">
        <f>[1]Sheet2!Q362</f>
        <v>0</v>
      </c>
      <c r="AQ363" s="14">
        <f>[1]Sheet2!R362</f>
        <v>0</v>
      </c>
      <c r="AR363" s="14">
        <f>[1]Sheet2!S362</f>
        <v>0</v>
      </c>
      <c r="AS363" s="14">
        <f>[1]Sheet2!T362</f>
        <v>0</v>
      </c>
      <c r="AT363" s="14">
        <f>[1]Sheet2!U362</f>
        <v>0</v>
      </c>
      <c r="AU363" s="14">
        <f>[1]Sheet2!V362</f>
        <v>0</v>
      </c>
      <c r="AV363" s="14">
        <f>[1]Sheet2!W362</f>
        <v>0</v>
      </c>
      <c r="AW363" s="14">
        <f>[1]Sheet2!X362</f>
        <v>0</v>
      </c>
      <c r="AX363" s="14">
        <f>[1]Sheet2!Y362</f>
        <v>0</v>
      </c>
      <c r="AY363" s="16">
        <f>Demand_LP!B$14/31</f>
        <v>868.56315911910667</v>
      </c>
      <c r="AZ363" s="16">
        <f>Demand_LP!C$14/31</f>
        <v>608.40066170388752</v>
      </c>
      <c r="BA363" s="16">
        <f>Demand_LP!D$14/31</f>
        <v>251.20087262200158</v>
      </c>
      <c r="BB363" s="16">
        <f>Demand_LP!E$14/31</f>
        <v>807.45938378825463</v>
      </c>
      <c r="BC363" s="16">
        <f>Demand_LP!F$14/31</f>
        <v>539.59842069892466</v>
      </c>
      <c r="BD363" s="16">
        <f>Demand_LP!G$14/31</f>
        <v>868.56315911910667</v>
      </c>
      <c r="BE363" s="16">
        <f>Demand_LP!H$14/31</f>
        <v>608.40066170388752</v>
      </c>
      <c r="BF363" s="16">
        <f>Demand_LP!I$14/31</f>
        <v>539.59842069892466</v>
      </c>
      <c r="BG363" s="16">
        <f>Demand_LP!J$14/31</f>
        <v>539.59842069892466</v>
      </c>
      <c r="BH363" s="16">
        <f>Demand_LP!K$14/31</f>
        <v>539.59842069892466</v>
      </c>
      <c r="BI363" s="16" t="e">
        <f t="shared" si="163"/>
        <v>#VALUE!</v>
      </c>
      <c r="BJ363" s="16">
        <f t="shared" si="164"/>
        <v>-207809.19412737805</v>
      </c>
      <c r="BK363" s="16">
        <f t="shared" si="165"/>
        <v>-102820.97397022374</v>
      </c>
      <c r="BL363" s="16">
        <f t="shared" si="166"/>
        <v>-274025.34652636712</v>
      </c>
      <c r="BM363" s="16">
        <f t="shared" si="167"/>
        <v>-168186.50139800648</v>
      </c>
      <c r="BN363" s="16">
        <f t="shared" si="168"/>
        <v>-286842.16073221556</v>
      </c>
      <c r="BO363" s="16">
        <f t="shared" si="169"/>
        <v>-210166.77361455784</v>
      </c>
      <c r="BP363" s="16">
        <f t="shared" si="170"/>
        <v>-169298.18531637706</v>
      </c>
      <c r="BQ363" s="16">
        <f t="shared" si="171"/>
        <v>-166288.18531637717</v>
      </c>
      <c r="BR363" s="16">
        <f t="shared" si="172"/>
        <v>-167488.18531637709</v>
      </c>
      <c r="BS363" s="14">
        <f>IF([1]Sheet2!CA362=999999,"NA",[1]Sheet2!CA362)</f>
        <v>48990.814683622884</v>
      </c>
      <c r="BT363" s="14">
        <f>IF([1]Sheet2!CB362=999999,"NA",[1]Sheet2!CB362)</f>
        <v>0</v>
      </c>
      <c r="BU363" s="14">
        <f>IF([1]Sheet2!CC362=999999,"NA",[1]Sheet2!CC362)</f>
        <v>5</v>
      </c>
      <c r="BV363" s="14">
        <f>IF([1]Sheet2!CD362=999999,"NA",[1]Sheet2!CD362)</f>
        <v>5</v>
      </c>
      <c r="BW363" s="14">
        <f>IF([1]Sheet2!CE362=999999,"NA",[1]Sheet2!CE362)</f>
        <v>0</v>
      </c>
      <c r="BX363" s="14">
        <f>IF([1]Sheet2!CF362=999999,"NA",[1]Sheet2!CF362)</f>
        <v>5</v>
      </c>
      <c r="BY363" s="14">
        <f>IF([1]Sheet2!CG362=999999,"NA",[1]Sheet2!CG362)</f>
        <v>0</v>
      </c>
      <c r="BZ363" s="14">
        <f>IF([1]Sheet2!CH362=999999,"NA",[1]Sheet2!CH362)</f>
        <v>5</v>
      </c>
      <c r="CA363" s="14">
        <f>IF([1]Sheet2!CI362=999999,"NA",[1]Sheet2!CI362)</f>
        <v>5</v>
      </c>
      <c r="CB363" s="14">
        <f>IF([1]Sheet2!CJ362=999999,"NA",[1]Sheet2!CJ362)</f>
        <v>5</v>
      </c>
      <c r="CC363" s="14">
        <f>[1]Sheet2!BG362</f>
        <v>0</v>
      </c>
      <c r="CD363" s="14">
        <f>[1]Sheet2!BH362</f>
        <v>0</v>
      </c>
      <c r="CE363" s="14">
        <f>[1]Sheet2!BI362</f>
        <v>0</v>
      </c>
      <c r="CF363" s="14">
        <f>[1]Sheet2!BJ362</f>
        <v>0</v>
      </c>
      <c r="CG363" s="14">
        <f>[1]Sheet2!BK362</f>
        <v>0</v>
      </c>
      <c r="CH363" s="14">
        <f>[1]Sheet2!BL362</f>
        <v>0</v>
      </c>
      <c r="CI363" s="14">
        <f>[1]Sheet2!BM362</f>
        <v>0</v>
      </c>
      <c r="CJ363" s="14">
        <f>[1]Sheet2!BN362</f>
        <v>0</v>
      </c>
      <c r="CK363" s="14">
        <f>[1]Sheet2!BO362</f>
        <v>0</v>
      </c>
      <c r="CL363" s="14">
        <f>[1]Sheet2!BP362</f>
        <v>0</v>
      </c>
      <c r="CM363" s="16">
        <f>Demand_SW!B$14/31</f>
        <v>139.57816377171216</v>
      </c>
      <c r="CN363" s="16">
        <f>Demand_SW!C$14/31</f>
        <v>0</v>
      </c>
      <c r="CO363" s="16">
        <f>Demand_SW!D$14/31</f>
        <v>0</v>
      </c>
      <c r="CP363" s="16">
        <f>Demand_SW!E$14/31</f>
        <v>0</v>
      </c>
      <c r="CQ363" s="16">
        <f>Demand_SW!F$14/31</f>
        <v>0</v>
      </c>
      <c r="CR363" s="16">
        <f>Demand_SW!G$14/31</f>
        <v>139.57816377171216</v>
      </c>
      <c r="CS363" s="16">
        <f>Demand_SW!H$14/31</f>
        <v>0</v>
      </c>
      <c r="CT363" s="16">
        <f>Demand_SW!I$14/31</f>
        <v>0</v>
      </c>
      <c r="CU363" s="16">
        <f>Demand_SW!J$14/31</f>
        <v>0</v>
      </c>
      <c r="CV363" s="16">
        <f>Demand_SW!K$14/31</f>
        <v>0</v>
      </c>
      <c r="CW363" s="16">
        <f t="shared" si="173"/>
        <v>51669.429280396958</v>
      </c>
      <c r="CX363" s="16">
        <f t="shared" si="174"/>
        <v>20683.923076923078</v>
      </c>
      <c r="CY363" s="16">
        <f t="shared" si="175"/>
        <v>0</v>
      </c>
      <c r="CZ363" s="16">
        <f t="shared" si="176"/>
        <v>0</v>
      </c>
      <c r="DA363" s="16">
        <f t="shared" si="177"/>
        <v>0</v>
      </c>
      <c r="DB363" s="16">
        <f t="shared" si="178"/>
        <v>-47859.801488833778</v>
      </c>
      <c r="DC363" s="16">
        <f t="shared" si="179"/>
        <v>20683.923076923078</v>
      </c>
      <c r="DD363" s="16">
        <f t="shared" si="180"/>
        <v>0</v>
      </c>
      <c r="DE363" s="16">
        <f t="shared" si="181"/>
        <v>0</v>
      </c>
      <c r="DF363" s="16">
        <f t="shared" si="182"/>
        <v>0</v>
      </c>
      <c r="DG363" s="14">
        <f>IF([1]Sheet2!DR362=999999,"NA",[1]Sheet2!DR362)</f>
        <v>73103</v>
      </c>
      <c r="DH363" s="14">
        <f>IF([1]Sheet2!DS362=999999,"NA",[1]Sheet2!DS362)</f>
        <v>5</v>
      </c>
      <c r="DI363" s="14">
        <f>IF([1]Sheet2!DT362=999999,"NA",[1]Sheet2!DT362)</f>
        <v>5</v>
      </c>
      <c r="DJ363" s="14" t="str">
        <f>IF([1]Sheet2!DU362=999999,"NA",[1]Sheet2!DU362)</f>
        <v>NA</v>
      </c>
      <c r="DK363" s="14" t="str">
        <f>IF([1]Sheet2!DV362=999999,"NA",[1]Sheet2!DV362)</f>
        <v>NA</v>
      </c>
      <c r="DL363" s="14" t="str">
        <f>IF([1]Sheet2!DW362=999999,"NA",[1]Sheet2!DW362)</f>
        <v>NA</v>
      </c>
      <c r="DM363" s="14">
        <f>IF([1]Sheet2!DX362=999999,"NA",[1]Sheet2!DX362)</f>
        <v>5</v>
      </c>
      <c r="DN363" s="14">
        <f>IF([1]Sheet2!DY362=999999,"NA",[1]Sheet2!DY362)</f>
        <v>5</v>
      </c>
      <c r="DO363" s="14" t="str">
        <f>IF([1]Sheet2!DZ362=999999,"NA",[1]Sheet2!DZ362)</f>
        <v>NA</v>
      </c>
      <c r="DP363" s="14" t="str">
        <f>IF([1]Sheet2!EA362=999999,"NA",[1]Sheet2!EA362)</f>
        <v>NA</v>
      </c>
      <c r="DQ363" s="14">
        <f>[1]Sheet2!CX362</f>
        <v>0</v>
      </c>
      <c r="DR363" s="14">
        <f>[1]Sheet2!CY362</f>
        <v>0</v>
      </c>
      <c r="DS363" s="14">
        <f>[1]Sheet2!CZ362</f>
        <v>0</v>
      </c>
      <c r="DT363" s="14">
        <f>[1]Sheet2!DA362</f>
        <v>0</v>
      </c>
      <c r="DU363" s="14">
        <f>[1]Sheet2!DB362</f>
        <v>0</v>
      </c>
      <c r="DV363" s="14">
        <f>[1]Sheet2!DC362</f>
        <v>0</v>
      </c>
      <c r="DW363" s="14">
        <f>[1]Sheet2!DD362</f>
        <v>0</v>
      </c>
      <c r="DX363" s="14">
        <f>[1]Sheet2!DE362</f>
        <v>0</v>
      </c>
      <c r="DY363" s="14">
        <f>[1]Sheet2!DF362</f>
        <v>0</v>
      </c>
      <c r="DZ363" s="14">
        <f>[1]Sheet2!DG362</f>
        <v>0</v>
      </c>
    </row>
    <row r="364" spans="1:130" x14ac:dyDescent="0.25">
      <c r="A364" s="15">
        <v>43826</v>
      </c>
      <c r="B364" s="1"/>
      <c r="C364" s="1"/>
      <c r="D364" s="1"/>
      <c r="E364" s="14">
        <f>[1]Sheet2!N363</f>
        <v>0</v>
      </c>
      <c r="F364" s="14">
        <f>[1]Sheet2!BE363</f>
        <v>0</v>
      </c>
      <c r="G364" s="14">
        <f>[1]Sheet2!CV363</f>
        <v>279.15632754342431</v>
      </c>
      <c r="H364" s="1"/>
      <c r="I364" s="1"/>
      <c r="J364" s="1"/>
      <c r="K364" s="16">
        <f>Demand_CWRS!B$14/31</f>
        <v>95.176711124896599</v>
      </c>
      <c r="L364" s="16">
        <f>Demand_CWRS!C$14/31</f>
        <v>526.22795698924722</v>
      </c>
      <c r="M364" s="16">
        <f>Demand_CWRS!D$14/31</f>
        <v>0</v>
      </c>
      <c r="N364" s="16">
        <f>Demand_CWRS!E$14/31</f>
        <v>102.37076095947063</v>
      </c>
      <c r="O364" s="16">
        <f>Demand_CWRS!F$14/31</f>
        <v>219.86823562861866</v>
      </c>
      <c r="P364" s="16">
        <f>Demand_CWRS!G$14/31</f>
        <v>95.176711124896599</v>
      </c>
      <c r="Q364" s="16">
        <f>Demand_CWRS!H$14/31</f>
        <v>526.22795698924722</v>
      </c>
      <c r="R364" s="16">
        <f>Demand_CWRS!I$14/31</f>
        <v>219.86823562861866</v>
      </c>
      <c r="S364" s="16">
        <f>Demand_CWRS!J$14/31</f>
        <v>219.86823562861866</v>
      </c>
      <c r="T364" s="16">
        <f>Demand_CWRS!K$14/31</f>
        <v>219.86823562861866</v>
      </c>
      <c r="U364" s="16">
        <f t="shared" si="153"/>
        <v>-45416.272160845605</v>
      </c>
      <c r="V364" s="16">
        <f t="shared" si="154"/>
        <v>-174594.2497105044</v>
      </c>
      <c r="W364" s="16">
        <f t="shared" si="155"/>
        <v>0</v>
      </c>
      <c r="X364" s="16">
        <f t="shared" si="156"/>
        <v>-39382.222993162955</v>
      </c>
      <c r="Y364" s="16">
        <f t="shared" si="157"/>
        <v>-78262.670219202642</v>
      </c>
      <c r="Z364" s="16">
        <f t="shared" si="158"/>
        <v>-45019.339636807199</v>
      </c>
      <c r="AA364" s="16">
        <f t="shared" si="159"/>
        <v>-174094.2497105044</v>
      </c>
      <c r="AB364" s="16">
        <f t="shared" si="160"/>
        <v>-75778.824738433294</v>
      </c>
      <c r="AC364" s="16">
        <f t="shared" si="161"/>
        <v>-75778.824738433279</v>
      </c>
      <c r="AD364" s="16">
        <f t="shared" si="162"/>
        <v>-76478.824738433294</v>
      </c>
      <c r="AE364" s="14">
        <f>IF([1]Sheet2!AJ363=999999,"NA",[1]Sheet2!AJ363)</f>
        <v>0</v>
      </c>
      <c r="AF364" s="14">
        <f>IF([1]Sheet2!AK363=999999,"NA",[1]Sheet2!AK363)</f>
        <v>0</v>
      </c>
      <c r="AG364" s="14" t="str">
        <f>IF([1]Sheet2!AL363=999999,"NA",[1]Sheet2!AL363)</f>
        <v>NA</v>
      </c>
      <c r="AH364" s="14">
        <f>IF([1]Sheet2!AM363=999999,"NA",[1]Sheet2!AM363)</f>
        <v>4</v>
      </c>
      <c r="AI364" s="14">
        <f>IF([1]Sheet2!AN363=999999,"NA",[1]Sheet2!AN363)</f>
        <v>4</v>
      </c>
      <c r="AJ364" s="14">
        <f>IF([1]Sheet2!AO363=999999,"NA",[1]Sheet2!AO363)</f>
        <v>4</v>
      </c>
      <c r="AK364" s="14">
        <f>IF([1]Sheet2!AP363=999999,"NA",[1]Sheet2!AP363)</f>
        <v>0</v>
      </c>
      <c r="AL364" s="14">
        <f>IF([1]Sheet2!AQ363=999999,"NA",[1]Sheet2!AQ363)</f>
        <v>0</v>
      </c>
      <c r="AM364" s="14">
        <f>IF([1]Sheet2!AR363=999999,"NA",[1]Sheet2!AR363)</f>
        <v>4</v>
      </c>
      <c r="AN364" s="14">
        <f>IF([1]Sheet2!AS363=999999,"NA",[1]Sheet2!AS363)</f>
        <v>0</v>
      </c>
      <c r="AO364" s="14">
        <f>[1]Sheet2!P363</f>
        <v>0</v>
      </c>
      <c r="AP364" s="14">
        <f>[1]Sheet2!Q363</f>
        <v>0</v>
      </c>
      <c r="AQ364" s="14">
        <f>[1]Sheet2!R363</f>
        <v>0</v>
      </c>
      <c r="AR364" s="14">
        <f>[1]Sheet2!S363</f>
        <v>0</v>
      </c>
      <c r="AS364" s="14">
        <f>[1]Sheet2!T363</f>
        <v>0</v>
      </c>
      <c r="AT364" s="14">
        <f>[1]Sheet2!U363</f>
        <v>0</v>
      </c>
      <c r="AU364" s="14">
        <f>[1]Sheet2!V363</f>
        <v>0</v>
      </c>
      <c r="AV364" s="14">
        <f>[1]Sheet2!W363</f>
        <v>0</v>
      </c>
      <c r="AW364" s="14">
        <f>[1]Sheet2!X363</f>
        <v>0</v>
      </c>
      <c r="AX364" s="14">
        <f>[1]Sheet2!Y363</f>
        <v>0</v>
      </c>
      <c r="AY364" s="16">
        <f>Demand_LP!B$14/31</f>
        <v>868.56315911910667</v>
      </c>
      <c r="AZ364" s="16">
        <f>Demand_LP!C$14/31</f>
        <v>608.40066170388752</v>
      </c>
      <c r="BA364" s="16">
        <f>Demand_LP!D$14/31</f>
        <v>251.20087262200158</v>
      </c>
      <c r="BB364" s="16">
        <f>Demand_LP!E$14/31</f>
        <v>807.45938378825463</v>
      </c>
      <c r="BC364" s="16">
        <f>Demand_LP!F$14/31</f>
        <v>539.59842069892466</v>
      </c>
      <c r="BD364" s="16">
        <f>Demand_LP!G$14/31</f>
        <v>868.56315911910667</v>
      </c>
      <c r="BE364" s="16">
        <f>Demand_LP!H$14/31</f>
        <v>608.40066170388752</v>
      </c>
      <c r="BF364" s="16">
        <f>Demand_LP!I$14/31</f>
        <v>539.59842069892466</v>
      </c>
      <c r="BG364" s="16">
        <f>Demand_LP!J$14/31</f>
        <v>539.59842069892466</v>
      </c>
      <c r="BH364" s="16">
        <f>Demand_LP!K$14/31</f>
        <v>539.59842069892466</v>
      </c>
      <c r="BI364" s="16" t="e">
        <f t="shared" si="163"/>
        <v>#VALUE!</v>
      </c>
      <c r="BJ364" s="16">
        <f t="shared" si="164"/>
        <v>-208417.59478908195</v>
      </c>
      <c r="BK364" s="16">
        <f t="shared" si="165"/>
        <v>-103072.17484284575</v>
      </c>
      <c r="BL364" s="16">
        <f t="shared" si="166"/>
        <v>-274832.80591015535</v>
      </c>
      <c r="BM364" s="16">
        <f t="shared" si="167"/>
        <v>-168726.09981870541</v>
      </c>
      <c r="BN364" s="16">
        <f t="shared" si="168"/>
        <v>-287710.72389133467</v>
      </c>
      <c r="BO364" s="16">
        <f t="shared" si="169"/>
        <v>-210775.17427626174</v>
      </c>
      <c r="BP364" s="16">
        <f t="shared" si="170"/>
        <v>-169837.78373707598</v>
      </c>
      <c r="BQ364" s="16">
        <f t="shared" si="171"/>
        <v>-166827.7837370761</v>
      </c>
      <c r="BR364" s="16">
        <f t="shared" si="172"/>
        <v>-168027.78373707601</v>
      </c>
      <c r="BS364" s="14">
        <f>IF([1]Sheet2!CA363=999999,"NA",[1]Sheet2!CA363)</f>
        <v>48451.216262923961</v>
      </c>
      <c r="BT364" s="14">
        <f>IF([1]Sheet2!CB363=999999,"NA",[1]Sheet2!CB363)</f>
        <v>0</v>
      </c>
      <c r="BU364" s="14">
        <f>IF([1]Sheet2!CC363=999999,"NA",[1]Sheet2!CC363)</f>
        <v>4</v>
      </c>
      <c r="BV364" s="14">
        <f>IF([1]Sheet2!CD363=999999,"NA",[1]Sheet2!CD363)</f>
        <v>4</v>
      </c>
      <c r="BW364" s="14">
        <f>IF([1]Sheet2!CE363=999999,"NA",[1]Sheet2!CE363)</f>
        <v>0</v>
      </c>
      <c r="BX364" s="14">
        <f>IF([1]Sheet2!CF363=999999,"NA",[1]Sheet2!CF363)</f>
        <v>4</v>
      </c>
      <c r="BY364" s="14">
        <f>IF([1]Sheet2!CG363=999999,"NA",[1]Sheet2!CG363)</f>
        <v>0</v>
      </c>
      <c r="BZ364" s="14">
        <f>IF([1]Sheet2!CH363=999999,"NA",[1]Sheet2!CH363)</f>
        <v>4</v>
      </c>
      <c r="CA364" s="14">
        <f>IF([1]Sheet2!CI363=999999,"NA",[1]Sheet2!CI363)</f>
        <v>4</v>
      </c>
      <c r="CB364" s="14">
        <f>IF([1]Sheet2!CJ363=999999,"NA",[1]Sheet2!CJ363)</f>
        <v>4</v>
      </c>
      <c r="CC364" s="14">
        <f>[1]Sheet2!BG363</f>
        <v>0</v>
      </c>
      <c r="CD364" s="14">
        <f>[1]Sheet2!BH363</f>
        <v>0</v>
      </c>
      <c r="CE364" s="14">
        <f>[1]Sheet2!BI363</f>
        <v>0</v>
      </c>
      <c r="CF364" s="14">
        <f>[1]Sheet2!BJ363</f>
        <v>0</v>
      </c>
      <c r="CG364" s="14">
        <f>[1]Sheet2!BK363</f>
        <v>0</v>
      </c>
      <c r="CH364" s="14">
        <f>[1]Sheet2!BL363</f>
        <v>0</v>
      </c>
      <c r="CI364" s="14">
        <f>[1]Sheet2!BM363</f>
        <v>0</v>
      </c>
      <c r="CJ364" s="14">
        <f>[1]Sheet2!BN363</f>
        <v>0</v>
      </c>
      <c r="CK364" s="14">
        <f>[1]Sheet2!BO363</f>
        <v>0</v>
      </c>
      <c r="CL364" s="14">
        <f>[1]Sheet2!BP363</f>
        <v>0</v>
      </c>
      <c r="CM364" s="16">
        <f>Demand_SW!B$14/31</f>
        <v>139.57816377171216</v>
      </c>
      <c r="CN364" s="16">
        <f>Demand_SW!C$14/31</f>
        <v>0</v>
      </c>
      <c r="CO364" s="16">
        <f>Demand_SW!D$14/31</f>
        <v>0</v>
      </c>
      <c r="CP364" s="16">
        <f>Demand_SW!E$14/31</f>
        <v>0</v>
      </c>
      <c r="CQ364" s="16">
        <f>Demand_SW!F$14/31</f>
        <v>0</v>
      </c>
      <c r="CR364" s="16">
        <f>Demand_SW!G$14/31</f>
        <v>139.57816377171216</v>
      </c>
      <c r="CS364" s="16">
        <f>Demand_SW!H$14/31</f>
        <v>0</v>
      </c>
      <c r="CT364" s="16">
        <f>Demand_SW!I$14/31</f>
        <v>0</v>
      </c>
      <c r="CU364" s="16">
        <f>Demand_SW!J$14/31</f>
        <v>0</v>
      </c>
      <c r="CV364" s="16">
        <f>Demand_SW!K$14/31</f>
        <v>0</v>
      </c>
      <c r="CW364" s="16">
        <f t="shared" si="173"/>
        <v>51529.851116625243</v>
      </c>
      <c r="CX364" s="16">
        <f t="shared" si="174"/>
        <v>20683.923076923078</v>
      </c>
      <c r="CY364" s="16">
        <f t="shared" si="175"/>
        <v>0</v>
      </c>
      <c r="CZ364" s="16">
        <f t="shared" si="176"/>
        <v>0</v>
      </c>
      <c r="DA364" s="16">
        <f t="shared" si="177"/>
        <v>0</v>
      </c>
      <c r="DB364" s="16">
        <f t="shared" si="178"/>
        <v>-47999.379652605494</v>
      </c>
      <c r="DC364" s="16">
        <f t="shared" si="179"/>
        <v>20683.923076923078</v>
      </c>
      <c r="DD364" s="16">
        <f t="shared" si="180"/>
        <v>0</v>
      </c>
      <c r="DE364" s="16">
        <f t="shared" si="181"/>
        <v>0</v>
      </c>
      <c r="DF364" s="16">
        <f t="shared" si="182"/>
        <v>0</v>
      </c>
      <c r="DG364" s="14">
        <f>IF([1]Sheet2!DR363=999999,"NA",[1]Sheet2!DR363)</f>
        <v>73103</v>
      </c>
      <c r="DH364" s="14">
        <f>IF([1]Sheet2!DS363=999999,"NA",[1]Sheet2!DS363)</f>
        <v>4</v>
      </c>
      <c r="DI364" s="14">
        <f>IF([1]Sheet2!DT363=999999,"NA",[1]Sheet2!DT363)</f>
        <v>4</v>
      </c>
      <c r="DJ364" s="14" t="str">
        <f>IF([1]Sheet2!DU363=999999,"NA",[1]Sheet2!DU363)</f>
        <v>NA</v>
      </c>
      <c r="DK364" s="14" t="str">
        <f>IF([1]Sheet2!DV363=999999,"NA",[1]Sheet2!DV363)</f>
        <v>NA</v>
      </c>
      <c r="DL364" s="14" t="str">
        <f>IF([1]Sheet2!DW363=999999,"NA",[1]Sheet2!DW363)</f>
        <v>NA</v>
      </c>
      <c r="DM364" s="14">
        <f>IF([1]Sheet2!DX363=999999,"NA",[1]Sheet2!DX363)</f>
        <v>4</v>
      </c>
      <c r="DN364" s="14">
        <f>IF([1]Sheet2!DY363=999999,"NA",[1]Sheet2!DY363)</f>
        <v>4</v>
      </c>
      <c r="DO364" s="14" t="str">
        <f>IF([1]Sheet2!DZ363=999999,"NA",[1]Sheet2!DZ363)</f>
        <v>NA</v>
      </c>
      <c r="DP364" s="14" t="str">
        <f>IF([1]Sheet2!EA363=999999,"NA",[1]Sheet2!EA363)</f>
        <v>NA</v>
      </c>
      <c r="DQ364" s="14">
        <f>[1]Sheet2!CX363</f>
        <v>0</v>
      </c>
      <c r="DR364" s="14">
        <f>[1]Sheet2!CY363</f>
        <v>0</v>
      </c>
      <c r="DS364" s="14">
        <f>[1]Sheet2!CZ363</f>
        <v>0</v>
      </c>
      <c r="DT364" s="14">
        <f>[1]Sheet2!DA363</f>
        <v>0</v>
      </c>
      <c r="DU364" s="14">
        <f>[1]Sheet2!DB363</f>
        <v>0</v>
      </c>
      <c r="DV364" s="14">
        <f>[1]Sheet2!DC363</f>
        <v>0</v>
      </c>
      <c r="DW364" s="14">
        <f>[1]Sheet2!DD363</f>
        <v>0</v>
      </c>
      <c r="DX364" s="14">
        <f>[1]Sheet2!DE363</f>
        <v>0</v>
      </c>
      <c r="DY364" s="14">
        <f>[1]Sheet2!DF363</f>
        <v>0</v>
      </c>
      <c r="DZ364" s="14">
        <f>[1]Sheet2!DG363</f>
        <v>0</v>
      </c>
    </row>
    <row r="365" spans="1:130" x14ac:dyDescent="0.25">
      <c r="A365" s="15">
        <v>43827</v>
      </c>
      <c r="B365" s="1"/>
      <c r="C365" s="1"/>
      <c r="D365" s="1"/>
      <c r="E365" s="14">
        <f>[1]Sheet2!N364</f>
        <v>0</v>
      </c>
      <c r="F365" s="14">
        <f>[1]Sheet2!BE364</f>
        <v>48000</v>
      </c>
      <c r="G365" s="14">
        <f>[1]Sheet2!CV364</f>
        <v>279.15632754342431</v>
      </c>
      <c r="H365" s="1"/>
      <c r="I365" s="1"/>
      <c r="J365" s="1"/>
      <c r="K365" s="16">
        <f>Demand_CWRS!B$14/31</f>
        <v>95.176711124896599</v>
      </c>
      <c r="L365" s="16">
        <f>Demand_CWRS!C$14/31</f>
        <v>526.22795698924722</v>
      </c>
      <c r="M365" s="16">
        <f>Demand_CWRS!D$14/31</f>
        <v>0</v>
      </c>
      <c r="N365" s="16">
        <f>Demand_CWRS!E$14/31</f>
        <v>102.37076095947063</v>
      </c>
      <c r="O365" s="16">
        <f>Demand_CWRS!F$14/31</f>
        <v>219.86823562861866</v>
      </c>
      <c r="P365" s="16">
        <f>Demand_CWRS!G$14/31</f>
        <v>95.176711124896599</v>
      </c>
      <c r="Q365" s="16">
        <f>Demand_CWRS!H$14/31</f>
        <v>526.22795698924722</v>
      </c>
      <c r="R365" s="16">
        <f>Demand_CWRS!I$14/31</f>
        <v>219.86823562861866</v>
      </c>
      <c r="S365" s="16">
        <f>Demand_CWRS!J$14/31</f>
        <v>219.86823562861866</v>
      </c>
      <c r="T365" s="16">
        <f>Demand_CWRS!K$14/31</f>
        <v>219.86823562861866</v>
      </c>
      <c r="U365" s="16">
        <f t="shared" si="153"/>
        <v>-45511.448871970504</v>
      </c>
      <c r="V365" s="16">
        <f t="shared" si="154"/>
        <v>-175120.47766749366</v>
      </c>
      <c r="W365" s="16">
        <f t="shared" si="155"/>
        <v>0</v>
      </c>
      <c r="X365" s="16">
        <f t="shared" si="156"/>
        <v>-39484.593754122427</v>
      </c>
      <c r="Y365" s="16">
        <f t="shared" si="157"/>
        <v>-78482.538454831258</v>
      </c>
      <c r="Z365" s="16">
        <f t="shared" si="158"/>
        <v>-45114.516347932098</v>
      </c>
      <c r="AA365" s="16">
        <f t="shared" si="159"/>
        <v>-174620.47766749366</v>
      </c>
      <c r="AB365" s="16">
        <f t="shared" si="160"/>
        <v>-75998.692974061909</v>
      </c>
      <c r="AC365" s="16">
        <f t="shared" si="161"/>
        <v>-75998.692974061894</v>
      </c>
      <c r="AD365" s="16">
        <f t="shared" si="162"/>
        <v>-76698.692974061909</v>
      </c>
      <c r="AE365" s="14">
        <f>IF([1]Sheet2!AJ364=999999,"NA",[1]Sheet2!AJ364)</f>
        <v>0</v>
      </c>
      <c r="AF365" s="14">
        <f>IF([1]Sheet2!AK364=999999,"NA",[1]Sheet2!AK364)</f>
        <v>0</v>
      </c>
      <c r="AG365" s="14" t="str">
        <f>IF([1]Sheet2!AL364=999999,"NA",[1]Sheet2!AL364)</f>
        <v>NA</v>
      </c>
      <c r="AH365" s="14">
        <f>IF([1]Sheet2!AM364=999999,"NA",[1]Sheet2!AM364)</f>
        <v>3</v>
      </c>
      <c r="AI365" s="14">
        <f>IF([1]Sheet2!AN364=999999,"NA",[1]Sheet2!AN364)</f>
        <v>3</v>
      </c>
      <c r="AJ365" s="14">
        <f>IF([1]Sheet2!AO364=999999,"NA",[1]Sheet2!AO364)</f>
        <v>3</v>
      </c>
      <c r="AK365" s="14">
        <f>IF([1]Sheet2!AP364=999999,"NA",[1]Sheet2!AP364)</f>
        <v>0</v>
      </c>
      <c r="AL365" s="14">
        <f>IF([1]Sheet2!AQ364=999999,"NA",[1]Sheet2!AQ364)</f>
        <v>0</v>
      </c>
      <c r="AM365" s="14">
        <f>IF([1]Sheet2!AR364=999999,"NA",[1]Sheet2!AR364)</f>
        <v>3</v>
      </c>
      <c r="AN365" s="14">
        <f>IF([1]Sheet2!AS364=999999,"NA",[1]Sheet2!AS364)</f>
        <v>0</v>
      </c>
      <c r="AO365" s="14">
        <f>[1]Sheet2!P364</f>
        <v>0</v>
      </c>
      <c r="AP365" s="14">
        <f>[1]Sheet2!Q364</f>
        <v>0</v>
      </c>
      <c r="AQ365" s="14">
        <f>[1]Sheet2!R364</f>
        <v>0</v>
      </c>
      <c r="AR365" s="14">
        <f>[1]Sheet2!S364</f>
        <v>0</v>
      </c>
      <c r="AS365" s="14">
        <f>[1]Sheet2!T364</f>
        <v>0</v>
      </c>
      <c r="AT365" s="14">
        <f>[1]Sheet2!U364</f>
        <v>0</v>
      </c>
      <c r="AU365" s="14">
        <f>[1]Sheet2!V364</f>
        <v>0</v>
      </c>
      <c r="AV365" s="14">
        <f>[1]Sheet2!W364</f>
        <v>0</v>
      </c>
      <c r="AW365" s="14">
        <f>[1]Sheet2!X364</f>
        <v>0</v>
      </c>
      <c r="AX365" s="14">
        <f>[1]Sheet2!Y364</f>
        <v>0</v>
      </c>
      <c r="AY365" s="16">
        <f>Demand_LP!B$14/31</f>
        <v>868.56315911910667</v>
      </c>
      <c r="AZ365" s="16">
        <f>Demand_LP!C$14/31</f>
        <v>608.40066170388752</v>
      </c>
      <c r="BA365" s="16">
        <f>Demand_LP!D$14/31</f>
        <v>251.20087262200158</v>
      </c>
      <c r="BB365" s="16">
        <f>Demand_LP!E$14/31</f>
        <v>807.45938378825463</v>
      </c>
      <c r="BC365" s="16">
        <f>Demand_LP!F$14/31</f>
        <v>539.59842069892466</v>
      </c>
      <c r="BD365" s="16">
        <f>Demand_LP!G$14/31</f>
        <v>868.56315911910667</v>
      </c>
      <c r="BE365" s="16">
        <f>Demand_LP!H$14/31</f>
        <v>608.40066170388752</v>
      </c>
      <c r="BF365" s="16">
        <f>Demand_LP!I$14/31</f>
        <v>539.59842069892466</v>
      </c>
      <c r="BG365" s="16">
        <f>Demand_LP!J$14/31</f>
        <v>539.59842069892466</v>
      </c>
      <c r="BH365" s="16">
        <f>Demand_LP!K$14/31</f>
        <v>539.59842069892466</v>
      </c>
      <c r="BI365" s="16" t="e">
        <f t="shared" si="163"/>
        <v>#VALUE!</v>
      </c>
      <c r="BJ365" s="16">
        <f t="shared" si="164"/>
        <v>-209025.99545078585</v>
      </c>
      <c r="BK365" s="16">
        <f t="shared" si="165"/>
        <v>-103323.37571546776</v>
      </c>
      <c r="BL365" s="16">
        <f t="shared" si="166"/>
        <v>-275640.26529394358</v>
      </c>
      <c r="BM365" s="16">
        <f t="shared" si="167"/>
        <v>-169265.69823940433</v>
      </c>
      <c r="BN365" s="16">
        <f t="shared" si="168"/>
        <v>-288579.28705045377</v>
      </c>
      <c r="BO365" s="16">
        <f t="shared" si="169"/>
        <v>-211383.57493796563</v>
      </c>
      <c r="BP365" s="16">
        <f t="shared" si="170"/>
        <v>-170377.3821577749</v>
      </c>
      <c r="BQ365" s="16">
        <f t="shared" si="171"/>
        <v>-167367.38215777502</v>
      </c>
      <c r="BR365" s="16">
        <f t="shared" si="172"/>
        <v>-168567.38215777493</v>
      </c>
      <c r="BS365" s="14">
        <f>IF([1]Sheet2!CA364=999999,"NA",[1]Sheet2!CA364)</f>
        <v>47911.617842225038</v>
      </c>
      <c r="BT365" s="14">
        <f>IF([1]Sheet2!CB364=999999,"NA",[1]Sheet2!CB364)</f>
        <v>0</v>
      </c>
      <c r="BU365" s="14">
        <f>IF([1]Sheet2!CC364=999999,"NA",[1]Sheet2!CC364)</f>
        <v>3</v>
      </c>
      <c r="BV365" s="14">
        <f>IF([1]Sheet2!CD364=999999,"NA",[1]Sheet2!CD364)</f>
        <v>3</v>
      </c>
      <c r="BW365" s="14">
        <f>IF([1]Sheet2!CE364=999999,"NA",[1]Sheet2!CE364)</f>
        <v>0</v>
      </c>
      <c r="BX365" s="14">
        <f>IF([1]Sheet2!CF364=999999,"NA",[1]Sheet2!CF364)</f>
        <v>3</v>
      </c>
      <c r="BY365" s="14">
        <f>IF([1]Sheet2!CG364=999999,"NA",[1]Sheet2!CG364)</f>
        <v>0</v>
      </c>
      <c r="BZ365" s="14">
        <f>IF([1]Sheet2!CH364=999999,"NA",[1]Sheet2!CH364)</f>
        <v>3</v>
      </c>
      <c r="CA365" s="14">
        <f>IF([1]Sheet2!CI364=999999,"NA",[1]Sheet2!CI364)</f>
        <v>3</v>
      </c>
      <c r="CB365" s="14">
        <f>IF([1]Sheet2!CJ364=999999,"NA",[1]Sheet2!CJ364)</f>
        <v>3</v>
      </c>
      <c r="CC365" s="14">
        <f>[1]Sheet2!BG364</f>
        <v>0</v>
      </c>
      <c r="CD365" s="14">
        <f>[1]Sheet2!BH364</f>
        <v>0</v>
      </c>
      <c r="CE365" s="14">
        <f>[1]Sheet2!BI364</f>
        <v>0</v>
      </c>
      <c r="CF365" s="14">
        <f>[1]Sheet2!BJ364</f>
        <v>0</v>
      </c>
      <c r="CG365" s="14">
        <f>[1]Sheet2!BK364</f>
        <v>0</v>
      </c>
      <c r="CH365" s="14">
        <f>[1]Sheet2!BL364</f>
        <v>0</v>
      </c>
      <c r="CI365" s="14">
        <f>[1]Sheet2!BM364</f>
        <v>0</v>
      </c>
      <c r="CJ365" s="14">
        <f>[1]Sheet2!BN364</f>
        <v>0</v>
      </c>
      <c r="CK365" s="14">
        <f>[1]Sheet2!BO364</f>
        <v>0</v>
      </c>
      <c r="CL365" s="14">
        <f>[1]Sheet2!BP364</f>
        <v>0</v>
      </c>
      <c r="CM365" s="16">
        <f>Demand_SW!B$14/31</f>
        <v>139.57816377171216</v>
      </c>
      <c r="CN365" s="16">
        <f>Demand_SW!C$14/31</f>
        <v>0</v>
      </c>
      <c r="CO365" s="16">
        <f>Demand_SW!D$14/31</f>
        <v>0</v>
      </c>
      <c r="CP365" s="16">
        <f>Demand_SW!E$14/31</f>
        <v>0</v>
      </c>
      <c r="CQ365" s="16">
        <f>Demand_SW!F$14/31</f>
        <v>0</v>
      </c>
      <c r="CR365" s="16">
        <f>Demand_SW!G$14/31</f>
        <v>139.57816377171216</v>
      </c>
      <c r="CS365" s="16">
        <f>Demand_SW!H$14/31</f>
        <v>0</v>
      </c>
      <c r="CT365" s="16">
        <f>Demand_SW!I$14/31</f>
        <v>0</v>
      </c>
      <c r="CU365" s="16">
        <f>Demand_SW!J$14/31</f>
        <v>0</v>
      </c>
      <c r="CV365" s="16">
        <f>Demand_SW!K$14/31</f>
        <v>0</v>
      </c>
      <c r="CW365" s="16">
        <f t="shared" si="173"/>
        <v>51390.272952853527</v>
      </c>
      <c r="CX365" s="16">
        <f t="shared" si="174"/>
        <v>20683.923076923078</v>
      </c>
      <c r="CY365" s="16">
        <f t="shared" si="175"/>
        <v>0</v>
      </c>
      <c r="CZ365" s="16">
        <f t="shared" si="176"/>
        <v>0</v>
      </c>
      <c r="DA365" s="16">
        <f t="shared" si="177"/>
        <v>0</v>
      </c>
      <c r="DB365" s="16">
        <f t="shared" si="178"/>
        <v>-48138.957816377209</v>
      </c>
      <c r="DC365" s="16">
        <f t="shared" si="179"/>
        <v>20683.923076923078</v>
      </c>
      <c r="DD365" s="16">
        <f t="shared" si="180"/>
        <v>0</v>
      </c>
      <c r="DE365" s="16">
        <f t="shared" si="181"/>
        <v>0</v>
      </c>
      <c r="DF365" s="16">
        <f t="shared" si="182"/>
        <v>0</v>
      </c>
      <c r="DG365" s="14">
        <f>IF([1]Sheet2!DR364=999999,"NA",[1]Sheet2!DR364)</f>
        <v>73103</v>
      </c>
      <c r="DH365" s="14">
        <f>IF([1]Sheet2!DS364=999999,"NA",[1]Sheet2!DS364)</f>
        <v>3</v>
      </c>
      <c r="DI365" s="14">
        <f>IF([1]Sheet2!DT364=999999,"NA",[1]Sheet2!DT364)</f>
        <v>3</v>
      </c>
      <c r="DJ365" s="14" t="str">
        <f>IF([1]Sheet2!DU364=999999,"NA",[1]Sheet2!DU364)</f>
        <v>NA</v>
      </c>
      <c r="DK365" s="14" t="str">
        <f>IF([1]Sheet2!DV364=999999,"NA",[1]Sheet2!DV364)</f>
        <v>NA</v>
      </c>
      <c r="DL365" s="14" t="str">
        <f>IF([1]Sheet2!DW364=999999,"NA",[1]Sheet2!DW364)</f>
        <v>NA</v>
      </c>
      <c r="DM365" s="14">
        <f>IF([1]Sheet2!DX364=999999,"NA",[1]Sheet2!DX364)</f>
        <v>3</v>
      </c>
      <c r="DN365" s="14">
        <f>IF([1]Sheet2!DY364=999999,"NA",[1]Sheet2!DY364)</f>
        <v>3</v>
      </c>
      <c r="DO365" s="14" t="str">
        <f>IF([1]Sheet2!DZ364=999999,"NA",[1]Sheet2!DZ364)</f>
        <v>NA</v>
      </c>
      <c r="DP365" s="14" t="str">
        <f>IF([1]Sheet2!EA364=999999,"NA",[1]Sheet2!EA364)</f>
        <v>NA</v>
      </c>
      <c r="DQ365" s="14">
        <f>[1]Sheet2!CX364</f>
        <v>0</v>
      </c>
      <c r="DR365" s="14">
        <f>[1]Sheet2!CY364</f>
        <v>0</v>
      </c>
      <c r="DS365" s="14">
        <f>[1]Sheet2!CZ364</f>
        <v>0</v>
      </c>
      <c r="DT365" s="14">
        <f>[1]Sheet2!DA364</f>
        <v>0</v>
      </c>
      <c r="DU365" s="14">
        <f>[1]Sheet2!DB364</f>
        <v>0</v>
      </c>
      <c r="DV365" s="14">
        <f>[1]Sheet2!DC364</f>
        <v>0</v>
      </c>
      <c r="DW365" s="14">
        <f>[1]Sheet2!DD364</f>
        <v>0</v>
      </c>
      <c r="DX365" s="14">
        <f>[1]Sheet2!DE364</f>
        <v>0</v>
      </c>
      <c r="DY365" s="14">
        <f>[1]Sheet2!DF364</f>
        <v>0</v>
      </c>
      <c r="DZ365" s="14">
        <f>[1]Sheet2!DG364</f>
        <v>0</v>
      </c>
    </row>
    <row r="366" spans="1:130" x14ac:dyDescent="0.25">
      <c r="A366" s="15">
        <v>43828</v>
      </c>
      <c r="B366" s="1"/>
      <c r="C366" s="1"/>
      <c r="D366" s="1"/>
      <c r="E366" s="14">
        <f>[1]Sheet2!N365</f>
        <v>0</v>
      </c>
      <c r="F366" s="14">
        <f>[1]Sheet2!BE365</f>
        <v>0</v>
      </c>
      <c r="G366" s="14">
        <f>[1]Sheet2!CV365</f>
        <v>279.15632754342431</v>
      </c>
      <c r="H366" s="1"/>
      <c r="I366" s="1"/>
      <c r="J366" s="1"/>
      <c r="K366" s="16">
        <f>Demand_CWRS!B$14/31</f>
        <v>95.176711124896599</v>
      </c>
      <c r="L366" s="16">
        <f>Demand_CWRS!C$14/31</f>
        <v>526.22795698924722</v>
      </c>
      <c r="M366" s="16">
        <f>Demand_CWRS!D$14/31</f>
        <v>0</v>
      </c>
      <c r="N366" s="16">
        <f>Demand_CWRS!E$14/31</f>
        <v>102.37076095947063</v>
      </c>
      <c r="O366" s="16">
        <f>Demand_CWRS!F$14/31</f>
        <v>219.86823562861866</v>
      </c>
      <c r="P366" s="16">
        <f>Demand_CWRS!G$14/31</f>
        <v>95.176711124896599</v>
      </c>
      <c r="Q366" s="16">
        <f>Demand_CWRS!H$14/31</f>
        <v>526.22795698924722</v>
      </c>
      <c r="R366" s="16">
        <f>Demand_CWRS!I$14/31</f>
        <v>219.86823562861866</v>
      </c>
      <c r="S366" s="16">
        <f>Demand_CWRS!J$14/31</f>
        <v>219.86823562861866</v>
      </c>
      <c r="T366" s="16">
        <f>Demand_CWRS!K$14/31</f>
        <v>219.86823562861866</v>
      </c>
      <c r="U366" s="16">
        <f t="shared" si="153"/>
        <v>-45606.625583095403</v>
      </c>
      <c r="V366" s="16">
        <f t="shared" si="154"/>
        <v>-175646.70562448291</v>
      </c>
      <c r="W366" s="16">
        <f t="shared" si="155"/>
        <v>0</v>
      </c>
      <c r="X366" s="16">
        <f t="shared" si="156"/>
        <v>-39586.964515081898</v>
      </c>
      <c r="Y366" s="16">
        <f t="shared" si="157"/>
        <v>-78702.406690459873</v>
      </c>
      <c r="Z366" s="16">
        <f t="shared" si="158"/>
        <v>-45209.693059056997</v>
      </c>
      <c r="AA366" s="16">
        <f t="shared" si="159"/>
        <v>-175146.70562448291</v>
      </c>
      <c r="AB366" s="16">
        <f t="shared" si="160"/>
        <v>-76218.561209690524</v>
      </c>
      <c r="AC366" s="16">
        <f t="shared" si="161"/>
        <v>-76218.56120969051</v>
      </c>
      <c r="AD366" s="16">
        <f t="shared" si="162"/>
        <v>-76918.561209690524</v>
      </c>
      <c r="AE366" s="14">
        <f>IF([1]Sheet2!AJ365=999999,"NA",[1]Sheet2!AJ365)</f>
        <v>0</v>
      </c>
      <c r="AF366" s="14">
        <f>IF([1]Sheet2!AK365=999999,"NA",[1]Sheet2!AK365)</f>
        <v>0</v>
      </c>
      <c r="AG366" s="14" t="str">
        <f>IF([1]Sheet2!AL365=999999,"NA",[1]Sheet2!AL365)</f>
        <v>NA</v>
      </c>
      <c r="AH366" s="14">
        <f>IF([1]Sheet2!AM365=999999,"NA",[1]Sheet2!AM365)</f>
        <v>2</v>
      </c>
      <c r="AI366" s="14">
        <f>IF([1]Sheet2!AN365=999999,"NA",[1]Sheet2!AN365)</f>
        <v>2</v>
      </c>
      <c r="AJ366" s="14">
        <f>IF([1]Sheet2!AO365=999999,"NA",[1]Sheet2!AO365)</f>
        <v>2</v>
      </c>
      <c r="AK366" s="14">
        <f>IF([1]Sheet2!AP365=999999,"NA",[1]Sheet2!AP365)</f>
        <v>0</v>
      </c>
      <c r="AL366" s="14">
        <f>IF([1]Sheet2!AQ365=999999,"NA",[1]Sheet2!AQ365)</f>
        <v>0</v>
      </c>
      <c r="AM366" s="14">
        <f>IF([1]Sheet2!AR365=999999,"NA",[1]Sheet2!AR365)</f>
        <v>2</v>
      </c>
      <c r="AN366" s="14">
        <f>IF([1]Sheet2!AS365=999999,"NA",[1]Sheet2!AS365)</f>
        <v>0</v>
      </c>
      <c r="AO366" s="14">
        <f>[1]Sheet2!P365</f>
        <v>0</v>
      </c>
      <c r="AP366" s="14">
        <f>[1]Sheet2!Q365</f>
        <v>0</v>
      </c>
      <c r="AQ366" s="14">
        <f>[1]Sheet2!R365</f>
        <v>0</v>
      </c>
      <c r="AR366" s="14">
        <f>[1]Sheet2!S365</f>
        <v>0</v>
      </c>
      <c r="AS366" s="14">
        <f>[1]Sheet2!T365</f>
        <v>0</v>
      </c>
      <c r="AT366" s="14">
        <f>[1]Sheet2!U365</f>
        <v>0</v>
      </c>
      <c r="AU366" s="14">
        <f>[1]Sheet2!V365</f>
        <v>0</v>
      </c>
      <c r="AV366" s="14">
        <f>[1]Sheet2!W365</f>
        <v>0</v>
      </c>
      <c r="AW366" s="14">
        <f>[1]Sheet2!X365</f>
        <v>0</v>
      </c>
      <c r="AX366" s="14">
        <f>[1]Sheet2!Y365</f>
        <v>0</v>
      </c>
      <c r="AY366" s="16">
        <f>Demand_LP!B$14/31</f>
        <v>868.56315911910667</v>
      </c>
      <c r="AZ366" s="16">
        <f>Demand_LP!C$14/31</f>
        <v>608.40066170388752</v>
      </c>
      <c r="BA366" s="16">
        <f>Demand_LP!D$14/31</f>
        <v>251.20087262200158</v>
      </c>
      <c r="BB366" s="16">
        <f>Demand_LP!E$14/31</f>
        <v>807.45938378825463</v>
      </c>
      <c r="BC366" s="16">
        <f>Demand_LP!F$14/31</f>
        <v>539.59842069892466</v>
      </c>
      <c r="BD366" s="16">
        <f>Demand_LP!G$14/31</f>
        <v>868.56315911910667</v>
      </c>
      <c r="BE366" s="16">
        <f>Demand_LP!H$14/31</f>
        <v>608.40066170388752</v>
      </c>
      <c r="BF366" s="16">
        <f>Demand_LP!I$14/31</f>
        <v>539.59842069892466</v>
      </c>
      <c r="BG366" s="16">
        <f>Demand_LP!J$14/31</f>
        <v>539.59842069892466</v>
      </c>
      <c r="BH366" s="16">
        <f>Demand_LP!K$14/31</f>
        <v>539.59842069892466</v>
      </c>
      <c r="BI366" s="16" t="e">
        <f t="shared" si="163"/>
        <v>#VALUE!</v>
      </c>
      <c r="BJ366" s="16">
        <f t="shared" si="164"/>
        <v>-209634.39611248975</v>
      </c>
      <c r="BK366" s="16">
        <f t="shared" si="165"/>
        <v>-103574.57658808977</v>
      </c>
      <c r="BL366" s="16">
        <f t="shared" si="166"/>
        <v>-276447.72467773181</v>
      </c>
      <c r="BM366" s="16">
        <f t="shared" si="167"/>
        <v>-169805.29666010325</v>
      </c>
      <c r="BN366" s="16">
        <f t="shared" si="168"/>
        <v>-289447.85020957288</v>
      </c>
      <c r="BO366" s="16">
        <f t="shared" si="169"/>
        <v>-211991.97559966953</v>
      </c>
      <c r="BP366" s="16">
        <f t="shared" si="170"/>
        <v>-170916.98057847383</v>
      </c>
      <c r="BQ366" s="16">
        <f t="shared" si="171"/>
        <v>-167906.98057847394</v>
      </c>
      <c r="BR366" s="16">
        <f t="shared" si="172"/>
        <v>-169106.98057847386</v>
      </c>
      <c r="BS366" s="14">
        <f>IF([1]Sheet2!CA365=999999,"NA",[1]Sheet2!CA365)</f>
        <v>47372.019421526114</v>
      </c>
      <c r="BT366" s="14">
        <f>IF([1]Sheet2!CB365=999999,"NA",[1]Sheet2!CB365)</f>
        <v>0</v>
      </c>
      <c r="BU366" s="14">
        <f>IF([1]Sheet2!CC365=999999,"NA",[1]Sheet2!CC365)</f>
        <v>2</v>
      </c>
      <c r="BV366" s="14">
        <f>IF([1]Sheet2!CD365=999999,"NA",[1]Sheet2!CD365)</f>
        <v>2</v>
      </c>
      <c r="BW366" s="14">
        <f>IF([1]Sheet2!CE365=999999,"NA",[1]Sheet2!CE365)</f>
        <v>0</v>
      </c>
      <c r="BX366" s="14">
        <f>IF([1]Sheet2!CF365=999999,"NA",[1]Sheet2!CF365)</f>
        <v>2</v>
      </c>
      <c r="BY366" s="14">
        <f>IF([1]Sheet2!CG365=999999,"NA",[1]Sheet2!CG365)</f>
        <v>0</v>
      </c>
      <c r="BZ366" s="14">
        <f>IF([1]Sheet2!CH365=999999,"NA",[1]Sheet2!CH365)</f>
        <v>2</v>
      </c>
      <c r="CA366" s="14">
        <f>IF([1]Sheet2!CI365=999999,"NA",[1]Sheet2!CI365)</f>
        <v>2</v>
      </c>
      <c r="CB366" s="14">
        <f>IF([1]Sheet2!CJ365=999999,"NA",[1]Sheet2!CJ365)</f>
        <v>2</v>
      </c>
      <c r="CC366" s="14">
        <f>[1]Sheet2!BG365</f>
        <v>0</v>
      </c>
      <c r="CD366" s="14">
        <f>[1]Sheet2!BH365</f>
        <v>0</v>
      </c>
      <c r="CE366" s="14">
        <f>[1]Sheet2!BI365</f>
        <v>0</v>
      </c>
      <c r="CF366" s="14">
        <f>[1]Sheet2!BJ365</f>
        <v>0</v>
      </c>
      <c r="CG366" s="14">
        <f>[1]Sheet2!BK365</f>
        <v>0</v>
      </c>
      <c r="CH366" s="14">
        <f>[1]Sheet2!BL365</f>
        <v>0</v>
      </c>
      <c r="CI366" s="14">
        <f>[1]Sheet2!BM365</f>
        <v>0</v>
      </c>
      <c r="CJ366" s="14">
        <f>[1]Sheet2!BN365</f>
        <v>0</v>
      </c>
      <c r="CK366" s="14">
        <f>[1]Sheet2!BO365</f>
        <v>0</v>
      </c>
      <c r="CL366" s="14">
        <f>[1]Sheet2!BP365</f>
        <v>0</v>
      </c>
      <c r="CM366" s="16">
        <f>Demand_SW!B$14/31</f>
        <v>139.57816377171216</v>
      </c>
      <c r="CN366" s="16">
        <f>Demand_SW!C$14/31</f>
        <v>0</v>
      </c>
      <c r="CO366" s="16">
        <f>Demand_SW!D$14/31</f>
        <v>0</v>
      </c>
      <c r="CP366" s="16">
        <f>Demand_SW!E$14/31</f>
        <v>0</v>
      </c>
      <c r="CQ366" s="16">
        <f>Demand_SW!F$14/31</f>
        <v>0</v>
      </c>
      <c r="CR366" s="16">
        <f>Demand_SW!G$14/31</f>
        <v>139.57816377171216</v>
      </c>
      <c r="CS366" s="16">
        <f>Demand_SW!H$14/31</f>
        <v>0</v>
      </c>
      <c r="CT366" s="16">
        <f>Demand_SW!I$14/31</f>
        <v>0</v>
      </c>
      <c r="CU366" s="16">
        <f>Demand_SW!J$14/31</f>
        <v>0</v>
      </c>
      <c r="CV366" s="16">
        <f>Demand_SW!K$14/31</f>
        <v>0</v>
      </c>
      <c r="CW366" s="16">
        <f t="shared" si="173"/>
        <v>51250.694789081812</v>
      </c>
      <c r="CX366" s="16">
        <f t="shared" si="174"/>
        <v>20683.923076923078</v>
      </c>
      <c r="CY366" s="16">
        <f t="shared" si="175"/>
        <v>0</v>
      </c>
      <c r="CZ366" s="16">
        <f t="shared" si="176"/>
        <v>0</v>
      </c>
      <c r="DA366" s="16">
        <f t="shared" si="177"/>
        <v>0</v>
      </c>
      <c r="DB366" s="16">
        <f t="shared" si="178"/>
        <v>-48278.535980148925</v>
      </c>
      <c r="DC366" s="16">
        <f t="shared" si="179"/>
        <v>20683.923076923078</v>
      </c>
      <c r="DD366" s="16">
        <f t="shared" si="180"/>
        <v>0</v>
      </c>
      <c r="DE366" s="16">
        <f t="shared" si="181"/>
        <v>0</v>
      </c>
      <c r="DF366" s="16">
        <f t="shared" si="182"/>
        <v>0</v>
      </c>
      <c r="DG366" s="14">
        <f>IF([1]Sheet2!DR365=999999,"NA",[1]Sheet2!DR365)</f>
        <v>73103</v>
      </c>
      <c r="DH366" s="14">
        <f>IF([1]Sheet2!DS365=999999,"NA",[1]Sheet2!DS365)</f>
        <v>2</v>
      </c>
      <c r="DI366" s="14">
        <f>IF([1]Sheet2!DT365=999999,"NA",[1]Sheet2!DT365)</f>
        <v>2</v>
      </c>
      <c r="DJ366" s="14" t="str">
        <f>IF([1]Sheet2!DU365=999999,"NA",[1]Sheet2!DU365)</f>
        <v>NA</v>
      </c>
      <c r="DK366" s="14" t="str">
        <f>IF([1]Sheet2!DV365=999999,"NA",[1]Sheet2!DV365)</f>
        <v>NA</v>
      </c>
      <c r="DL366" s="14" t="str">
        <f>IF([1]Sheet2!DW365=999999,"NA",[1]Sheet2!DW365)</f>
        <v>NA</v>
      </c>
      <c r="DM366" s="14">
        <f>IF([1]Sheet2!DX365=999999,"NA",[1]Sheet2!DX365)</f>
        <v>2</v>
      </c>
      <c r="DN366" s="14">
        <f>IF([1]Sheet2!DY365=999999,"NA",[1]Sheet2!DY365)</f>
        <v>2</v>
      </c>
      <c r="DO366" s="14" t="str">
        <f>IF([1]Sheet2!DZ365=999999,"NA",[1]Sheet2!DZ365)</f>
        <v>NA</v>
      </c>
      <c r="DP366" s="14" t="str">
        <f>IF([1]Sheet2!EA365=999999,"NA",[1]Sheet2!EA365)</f>
        <v>NA</v>
      </c>
      <c r="DQ366" s="14">
        <f>[1]Sheet2!CX365</f>
        <v>0</v>
      </c>
      <c r="DR366" s="14">
        <f>[1]Sheet2!CY365</f>
        <v>0</v>
      </c>
      <c r="DS366" s="14">
        <f>[1]Sheet2!CZ365</f>
        <v>0</v>
      </c>
      <c r="DT366" s="14">
        <f>[1]Sheet2!DA365</f>
        <v>0</v>
      </c>
      <c r="DU366" s="14">
        <f>[1]Sheet2!DB365</f>
        <v>0</v>
      </c>
      <c r="DV366" s="14">
        <f>[1]Sheet2!DC365</f>
        <v>0</v>
      </c>
      <c r="DW366" s="14">
        <f>[1]Sheet2!DD365</f>
        <v>0</v>
      </c>
      <c r="DX366" s="14">
        <f>[1]Sheet2!DE365</f>
        <v>0</v>
      </c>
      <c r="DY366" s="14">
        <f>[1]Sheet2!DF365</f>
        <v>0</v>
      </c>
      <c r="DZ366" s="14">
        <f>[1]Sheet2!DG365</f>
        <v>0</v>
      </c>
    </row>
    <row r="367" spans="1:130" x14ac:dyDescent="0.25">
      <c r="A367" s="15">
        <v>43829</v>
      </c>
      <c r="B367" s="1"/>
      <c r="C367" s="1"/>
      <c r="D367" s="1"/>
      <c r="E367" s="14">
        <f>[1]Sheet2!N366</f>
        <v>0</v>
      </c>
      <c r="F367" s="14">
        <f>[1]Sheet2!BE366</f>
        <v>0</v>
      </c>
      <c r="G367" s="14">
        <f>[1]Sheet2!CV366</f>
        <v>279.15632754342431</v>
      </c>
      <c r="H367" s="1"/>
      <c r="I367" s="1"/>
      <c r="J367" s="1"/>
      <c r="K367" s="16">
        <f>Demand_CWRS!B$14/31</f>
        <v>95.176711124896599</v>
      </c>
      <c r="L367" s="16">
        <f>Demand_CWRS!C$14/31</f>
        <v>526.22795698924722</v>
      </c>
      <c r="M367" s="16">
        <f>Demand_CWRS!D$14/31</f>
        <v>0</v>
      </c>
      <c r="N367" s="16">
        <f>Demand_CWRS!E$14/31</f>
        <v>102.37076095947063</v>
      </c>
      <c r="O367" s="16">
        <f>Demand_CWRS!F$14/31</f>
        <v>219.86823562861866</v>
      </c>
      <c r="P367" s="16">
        <f>Demand_CWRS!G$14/31</f>
        <v>95.176711124896599</v>
      </c>
      <c r="Q367" s="16">
        <f>Demand_CWRS!H$14/31</f>
        <v>526.22795698924722</v>
      </c>
      <c r="R367" s="16">
        <f>Demand_CWRS!I$14/31</f>
        <v>219.86823562861866</v>
      </c>
      <c r="S367" s="16">
        <f>Demand_CWRS!J$14/31</f>
        <v>219.86823562861866</v>
      </c>
      <c r="T367" s="16">
        <f>Demand_CWRS!K$14/31</f>
        <v>219.86823562861866</v>
      </c>
      <c r="U367" s="16">
        <f t="shared" si="153"/>
        <v>-45701.802294220302</v>
      </c>
      <c r="V367" s="16">
        <f t="shared" si="154"/>
        <v>-176172.93358147217</v>
      </c>
      <c r="W367" s="16">
        <f t="shared" si="155"/>
        <v>0</v>
      </c>
      <c r="X367" s="16">
        <f t="shared" si="156"/>
        <v>-39689.335276041369</v>
      </c>
      <c r="Y367" s="16">
        <f t="shared" si="157"/>
        <v>-78922.274926088488</v>
      </c>
      <c r="Z367" s="16">
        <f t="shared" si="158"/>
        <v>-45304.869770181896</v>
      </c>
      <c r="AA367" s="16">
        <f t="shared" si="159"/>
        <v>-175672.93358147217</v>
      </c>
      <c r="AB367" s="16">
        <f t="shared" si="160"/>
        <v>-76438.42944531914</v>
      </c>
      <c r="AC367" s="16">
        <f t="shared" si="161"/>
        <v>-76438.429445319125</v>
      </c>
      <c r="AD367" s="16">
        <f t="shared" si="162"/>
        <v>-77138.42944531914</v>
      </c>
      <c r="AE367" s="14">
        <f>IF([1]Sheet2!AJ366=999999,"NA",[1]Sheet2!AJ366)</f>
        <v>0</v>
      </c>
      <c r="AF367" s="14">
        <f>IF([1]Sheet2!AK366=999999,"NA",[1]Sheet2!AK366)</f>
        <v>0</v>
      </c>
      <c r="AG367" s="14" t="str">
        <f>IF([1]Sheet2!AL366=999999,"NA",[1]Sheet2!AL366)</f>
        <v>NA</v>
      </c>
      <c r="AH367" s="14">
        <f>IF([1]Sheet2!AM366=999999,"NA",[1]Sheet2!AM366)</f>
        <v>1</v>
      </c>
      <c r="AI367" s="14">
        <f>IF([1]Sheet2!AN366=999999,"NA",[1]Sheet2!AN366)</f>
        <v>1</v>
      </c>
      <c r="AJ367" s="14">
        <f>IF([1]Sheet2!AO366=999999,"NA",[1]Sheet2!AO366)</f>
        <v>1</v>
      </c>
      <c r="AK367" s="14">
        <f>IF([1]Sheet2!AP366=999999,"NA",[1]Sheet2!AP366)</f>
        <v>0</v>
      </c>
      <c r="AL367" s="14">
        <f>IF([1]Sheet2!AQ366=999999,"NA",[1]Sheet2!AQ366)</f>
        <v>0</v>
      </c>
      <c r="AM367" s="14">
        <f>IF([1]Sheet2!AR366=999999,"NA",[1]Sheet2!AR366)</f>
        <v>1</v>
      </c>
      <c r="AN367" s="14">
        <f>IF([1]Sheet2!AS366=999999,"NA",[1]Sheet2!AS366)</f>
        <v>0</v>
      </c>
      <c r="AO367" s="14">
        <f>[1]Sheet2!P366</f>
        <v>0</v>
      </c>
      <c r="AP367" s="14">
        <f>[1]Sheet2!Q366</f>
        <v>0</v>
      </c>
      <c r="AQ367" s="14">
        <f>[1]Sheet2!R366</f>
        <v>0</v>
      </c>
      <c r="AR367" s="14">
        <f>[1]Sheet2!S366</f>
        <v>0</v>
      </c>
      <c r="AS367" s="14">
        <f>[1]Sheet2!T366</f>
        <v>0</v>
      </c>
      <c r="AT367" s="14">
        <f>[1]Sheet2!U366</f>
        <v>0</v>
      </c>
      <c r="AU367" s="14">
        <f>[1]Sheet2!V366</f>
        <v>0</v>
      </c>
      <c r="AV367" s="14">
        <f>[1]Sheet2!W366</f>
        <v>0</v>
      </c>
      <c r="AW367" s="14">
        <f>[1]Sheet2!X366</f>
        <v>0</v>
      </c>
      <c r="AX367" s="14">
        <f>[1]Sheet2!Y366</f>
        <v>0</v>
      </c>
      <c r="AY367" s="16">
        <f>Demand_LP!B$14/31</f>
        <v>868.56315911910667</v>
      </c>
      <c r="AZ367" s="16">
        <f>Demand_LP!C$14/31</f>
        <v>608.40066170388752</v>
      </c>
      <c r="BA367" s="16">
        <f>Demand_LP!D$14/31</f>
        <v>251.20087262200158</v>
      </c>
      <c r="BB367" s="16">
        <f>Demand_LP!E$14/31</f>
        <v>807.45938378825463</v>
      </c>
      <c r="BC367" s="16">
        <f>Demand_LP!F$14/31</f>
        <v>539.59842069892466</v>
      </c>
      <c r="BD367" s="16">
        <f>Demand_LP!G$14/31</f>
        <v>868.56315911910667</v>
      </c>
      <c r="BE367" s="16">
        <f>Demand_LP!H$14/31</f>
        <v>608.40066170388752</v>
      </c>
      <c r="BF367" s="16">
        <f>Demand_LP!I$14/31</f>
        <v>539.59842069892466</v>
      </c>
      <c r="BG367" s="16">
        <f>Demand_LP!J$14/31</f>
        <v>539.59842069892466</v>
      </c>
      <c r="BH367" s="16">
        <f>Demand_LP!K$14/31</f>
        <v>539.59842069892466</v>
      </c>
      <c r="BI367" s="16" t="e">
        <f t="shared" si="163"/>
        <v>#VALUE!</v>
      </c>
      <c r="BJ367" s="16">
        <f t="shared" si="164"/>
        <v>-210242.79677419364</v>
      </c>
      <c r="BK367" s="16">
        <f t="shared" si="165"/>
        <v>-103825.77746071178</v>
      </c>
      <c r="BL367" s="16">
        <f t="shared" si="166"/>
        <v>-277255.18406152003</v>
      </c>
      <c r="BM367" s="16">
        <f t="shared" si="167"/>
        <v>-170344.89508080218</v>
      </c>
      <c r="BN367" s="16">
        <f t="shared" si="168"/>
        <v>-290316.41336869198</v>
      </c>
      <c r="BO367" s="16">
        <f t="shared" si="169"/>
        <v>-212600.37626137343</v>
      </c>
      <c r="BP367" s="16">
        <f t="shared" si="170"/>
        <v>-171456.57899917275</v>
      </c>
      <c r="BQ367" s="16">
        <f t="shared" si="171"/>
        <v>-168446.57899917287</v>
      </c>
      <c r="BR367" s="16">
        <f t="shared" si="172"/>
        <v>-169646.57899917278</v>
      </c>
      <c r="BS367" s="14">
        <f>IF([1]Sheet2!CA366=999999,"NA",[1]Sheet2!CA366)</f>
        <v>46832.421000827191</v>
      </c>
      <c r="BT367" s="14">
        <f>IF([1]Sheet2!CB366=999999,"NA",[1]Sheet2!CB366)</f>
        <v>0</v>
      </c>
      <c r="BU367" s="14">
        <f>IF([1]Sheet2!CC366=999999,"NA",[1]Sheet2!CC366)</f>
        <v>1</v>
      </c>
      <c r="BV367" s="14">
        <f>IF([1]Sheet2!CD366=999999,"NA",[1]Sheet2!CD366)</f>
        <v>1</v>
      </c>
      <c r="BW367" s="14">
        <f>IF([1]Sheet2!CE366=999999,"NA",[1]Sheet2!CE366)</f>
        <v>0</v>
      </c>
      <c r="BX367" s="14">
        <f>IF([1]Sheet2!CF366=999999,"NA",[1]Sheet2!CF366)</f>
        <v>1</v>
      </c>
      <c r="BY367" s="14">
        <f>IF([1]Sheet2!CG366=999999,"NA",[1]Sheet2!CG366)</f>
        <v>0</v>
      </c>
      <c r="BZ367" s="14">
        <f>IF([1]Sheet2!CH366=999999,"NA",[1]Sheet2!CH366)</f>
        <v>1</v>
      </c>
      <c r="CA367" s="14">
        <f>IF([1]Sheet2!CI366=999999,"NA",[1]Sheet2!CI366)</f>
        <v>1</v>
      </c>
      <c r="CB367" s="14">
        <f>IF([1]Sheet2!CJ366=999999,"NA",[1]Sheet2!CJ366)</f>
        <v>1</v>
      </c>
      <c r="CC367" s="14">
        <f>[1]Sheet2!BG366</f>
        <v>0</v>
      </c>
      <c r="CD367" s="14">
        <f>[1]Sheet2!BH366</f>
        <v>0</v>
      </c>
      <c r="CE367" s="14">
        <f>[1]Sheet2!BI366</f>
        <v>0</v>
      </c>
      <c r="CF367" s="14">
        <f>[1]Sheet2!BJ366</f>
        <v>0</v>
      </c>
      <c r="CG367" s="14">
        <f>[1]Sheet2!BK366</f>
        <v>0</v>
      </c>
      <c r="CH367" s="14">
        <f>[1]Sheet2!BL366</f>
        <v>0</v>
      </c>
      <c r="CI367" s="14">
        <f>[1]Sheet2!BM366</f>
        <v>0</v>
      </c>
      <c r="CJ367" s="14">
        <f>[1]Sheet2!BN366</f>
        <v>0</v>
      </c>
      <c r="CK367" s="14">
        <f>[1]Sheet2!BO366</f>
        <v>0</v>
      </c>
      <c r="CL367" s="14">
        <f>[1]Sheet2!BP366</f>
        <v>0</v>
      </c>
      <c r="CM367" s="16">
        <f>Demand_SW!B$14/31</f>
        <v>139.57816377171216</v>
      </c>
      <c r="CN367" s="16">
        <f>Demand_SW!C$14/31</f>
        <v>0</v>
      </c>
      <c r="CO367" s="16">
        <f>Demand_SW!D$14/31</f>
        <v>0</v>
      </c>
      <c r="CP367" s="16">
        <f>Demand_SW!E$14/31</f>
        <v>0</v>
      </c>
      <c r="CQ367" s="16">
        <f>Demand_SW!F$14/31</f>
        <v>0</v>
      </c>
      <c r="CR367" s="16">
        <f>Demand_SW!G$14/31</f>
        <v>139.57816377171216</v>
      </c>
      <c r="CS367" s="16">
        <f>Demand_SW!H$14/31</f>
        <v>0</v>
      </c>
      <c r="CT367" s="16">
        <f>Demand_SW!I$14/31</f>
        <v>0</v>
      </c>
      <c r="CU367" s="16">
        <f>Demand_SW!J$14/31</f>
        <v>0</v>
      </c>
      <c r="CV367" s="16">
        <f>Demand_SW!K$14/31</f>
        <v>0</v>
      </c>
      <c r="CW367" s="16">
        <f t="shared" si="173"/>
        <v>51111.116625310096</v>
      </c>
      <c r="CX367" s="16">
        <f t="shared" si="174"/>
        <v>20683.923076923078</v>
      </c>
      <c r="CY367" s="16">
        <f t="shared" si="175"/>
        <v>0</v>
      </c>
      <c r="CZ367" s="16">
        <f t="shared" si="176"/>
        <v>0</v>
      </c>
      <c r="DA367" s="16">
        <f t="shared" si="177"/>
        <v>0</v>
      </c>
      <c r="DB367" s="16">
        <f t="shared" si="178"/>
        <v>-48418.11414392064</v>
      </c>
      <c r="DC367" s="16">
        <f t="shared" si="179"/>
        <v>20683.923076923078</v>
      </c>
      <c r="DD367" s="16">
        <f t="shared" si="180"/>
        <v>0</v>
      </c>
      <c r="DE367" s="16">
        <f t="shared" si="181"/>
        <v>0</v>
      </c>
      <c r="DF367" s="16">
        <f t="shared" si="182"/>
        <v>0</v>
      </c>
      <c r="DG367" s="14">
        <f>IF([1]Sheet2!DR366=999999,"NA",[1]Sheet2!DR366)</f>
        <v>73103</v>
      </c>
      <c r="DH367" s="14">
        <f>IF([1]Sheet2!DS366=999999,"NA",[1]Sheet2!DS366)</f>
        <v>1</v>
      </c>
      <c r="DI367" s="14">
        <f>IF([1]Sheet2!DT366=999999,"NA",[1]Sheet2!DT366)</f>
        <v>1</v>
      </c>
      <c r="DJ367" s="14" t="str">
        <f>IF([1]Sheet2!DU366=999999,"NA",[1]Sheet2!DU366)</f>
        <v>NA</v>
      </c>
      <c r="DK367" s="14" t="str">
        <f>IF([1]Sheet2!DV366=999999,"NA",[1]Sheet2!DV366)</f>
        <v>NA</v>
      </c>
      <c r="DL367" s="14" t="str">
        <f>IF([1]Sheet2!DW366=999999,"NA",[1]Sheet2!DW366)</f>
        <v>NA</v>
      </c>
      <c r="DM367" s="14">
        <f>IF([1]Sheet2!DX366=999999,"NA",[1]Sheet2!DX366)</f>
        <v>1</v>
      </c>
      <c r="DN367" s="14">
        <f>IF([1]Sheet2!DY366=999999,"NA",[1]Sheet2!DY366)</f>
        <v>1</v>
      </c>
      <c r="DO367" s="14" t="str">
        <f>IF([1]Sheet2!DZ366=999999,"NA",[1]Sheet2!DZ366)</f>
        <v>NA</v>
      </c>
      <c r="DP367" s="14" t="str">
        <f>IF([1]Sheet2!EA366=999999,"NA",[1]Sheet2!EA366)</f>
        <v>NA</v>
      </c>
      <c r="DQ367" s="14">
        <f>[1]Sheet2!CX366</f>
        <v>0</v>
      </c>
      <c r="DR367" s="14">
        <f>[1]Sheet2!CY366</f>
        <v>0</v>
      </c>
      <c r="DS367" s="14">
        <f>[1]Sheet2!CZ366</f>
        <v>0</v>
      </c>
      <c r="DT367" s="14">
        <f>[1]Sheet2!DA366</f>
        <v>0</v>
      </c>
      <c r="DU367" s="14">
        <f>[1]Sheet2!DB366</f>
        <v>0</v>
      </c>
      <c r="DV367" s="14">
        <f>[1]Sheet2!DC366</f>
        <v>0</v>
      </c>
      <c r="DW367" s="14">
        <f>[1]Sheet2!DD366</f>
        <v>0</v>
      </c>
      <c r="DX367" s="14">
        <f>[1]Sheet2!DE366</f>
        <v>0</v>
      </c>
      <c r="DY367" s="14">
        <f>[1]Sheet2!DF366</f>
        <v>0</v>
      </c>
      <c r="DZ367" s="14">
        <f>[1]Sheet2!DG366</f>
        <v>0</v>
      </c>
    </row>
    <row r="368" spans="1:130" x14ac:dyDescent="0.25">
      <c r="A368" s="15">
        <v>43830</v>
      </c>
      <c r="B368" s="1"/>
      <c r="C368" s="1"/>
      <c r="D368" s="1"/>
      <c r="E368" s="14">
        <f>[1]Sheet2!N367</f>
        <v>0</v>
      </c>
      <c r="F368" s="14">
        <f>[1]Sheet2!BE367</f>
        <v>0</v>
      </c>
      <c r="G368" s="14">
        <f>[1]Sheet2!CV367</f>
        <v>279.15632754342431</v>
      </c>
      <c r="H368" s="1"/>
      <c r="I368" s="1"/>
      <c r="J368" s="1"/>
      <c r="K368" s="16">
        <f>Demand_CWRS!B$14/31</f>
        <v>95.176711124896599</v>
      </c>
      <c r="L368" s="16">
        <f>Demand_CWRS!C$14/31</f>
        <v>526.22795698924722</v>
      </c>
      <c r="M368" s="16">
        <f>Demand_CWRS!D$14/31</f>
        <v>0</v>
      </c>
      <c r="N368" s="16">
        <f>Demand_CWRS!E$14/31</f>
        <v>102.37076095947063</v>
      </c>
      <c r="O368" s="16">
        <f>Demand_CWRS!F$14/31</f>
        <v>219.86823562861866</v>
      </c>
      <c r="P368" s="16">
        <f>Demand_CWRS!G$14/31</f>
        <v>95.176711124896599</v>
      </c>
      <c r="Q368" s="16">
        <f>Demand_CWRS!H$14/31</f>
        <v>526.22795698924722</v>
      </c>
      <c r="R368" s="16">
        <f>Demand_CWRS!I$14/31</f>
        <v>219.86823562861866</v>
      </c>
      <c r="S368" s="16">
        <f>Demand_CWRS!J$14/31</f>
        <v>219.86823562861866</v>
      </c>
      <c r="T368" s="16">
        <f>Demand_CWRS!K$14/31</f>
        <v>219.86823562861866</v>
      </c>
      <c r="U368" s="16">
        <f t="shared" si="153"/>
        <v>-45796.979005345202</v>
      </c>
      <c r="V368" s="16">
        <f t="shared" si="154"/>
        <v>-176699.16153846143</v>
      </c>
      <c r="W368" s="16">
        <f t="shared" si="155"/>
        <v>0</v>
      </c>
      <c r="X368" s="16">
        <f t="shared" si="156"/>
        <v>-39791.70603700084</v>
      </c>
      <c r="Y368" s="16">
        <f t="shared" si="157"/>
        <v>-79142.143161717104</v>
      </c>
      <c r="Z368" s="16">
        <f t="shared" si="158"/>
        <v>-45400.046481306796</v>
      </c>
      <c r="AA368" s="16">
        <f t="shared" si="159"/>
        <v>-176199.16153846143</v>
      </c>
      <c r="AB368" s="16">
        <f t="shared" si="160"/>
        <v>-76658.297680947755</v>
      </c>
      <c r="AC368" s="16">
        <f t="shared" si="161"/>
        <v>-76658.29768094774</v>
      </c>
      <c r="AD368" s="16">
        <f t="shared" si="162"/>
        <v>-77358.297680947755</v>
      </c>
      <c r="AE368" s="14">
        <f>IF([1]Sheet2!AJ367=999999,"NA",[1]Sheet2!AJ367)</f>
        <v>0</v>
      </c>
      <c r="AF368" s="14">
        <f>IF([1]Sheet2!AK367=999999,"NA",[1]Sheet2!AK367)</f>
        <v>0</v>
      </c>
      <c r="AG368" s="14" t="str">
        <f>IF([1]Sheet2!AL367=999999,"NA",[1]Sheet2!AL367)</f>
        <v>NA</v>
      </c>
      <c r="AH368" s="14">
        <f>IF([1]Sheet2!AM367=999999,"NA",[1]Sheet2!AM367)</f>
        <v>0</v>
      </c>
      <c r="AI368" s="14">
        <f>IF([1]Sheet2!AN367=999999,"NA",[1]Sheet2!AN367)</f>
        <v>0</v>
      </c>
      <c r="AJ368" s="14">
        <f>IF([1]Sheet2!AO367=999999,"NA",[1]Sheet2!AO367)</f>
        <v>0</v>
      </c>
      <c r="AK368" s="14">
        <f>IF([1]Sheet2!AP367=999999,"NA",[1]Sheet2!AP367)</f>
        <v>0</v>
      </c>
      <c r="AL368" s="14">
        <f>IF([1]Sheet2!AQ367=999999,"NA",[1]Sheet2!AQ367)</f>
        <v>0</v>
      </c>
      <c r="AM368" s="14">
        <f>IF([1]Sheet2!AR367=999999,"NA",[1]Sheet2!AR367)</f>
        <v>0</v>
      </c>
      <c r="AN368" s="14">
        <f>IF([1]Sheet2!AS367=999999,"NA",[1]Sheet2!AS367)</f>
        <v>0</v>
      </c>
      <c r="AO368" s="14">
        <f>[1]Sheet2!P367</f>
        <v>0</v>
      </c>
      <c r="AP368" s="14">
        <f>[1]Sheet2!Q367</f>
        <v>0</v>
      </c>
      <c r="AQ368" s="14">
        <f>[1]Sheet2!R367</f>
        <v>0</v>
      </c>
      <c r="AR368" s="14">
        <f>[1]Sheet2!S367</f>
        <v>0</v>
      </c>
      <c r="AS368" s="14">
        <f>[1]Sheet2!T367</f>
        <v>0</v>
      </c>
      <c r="AT368" s="14">
        <f>[1]Sheet2!U367</f>
        <v>0</v>
      </c>
      <c r="AU368" s="14">
        <f>[1]Sheet2!V367</f>
        <v>0</v>
      </c>
      <c r="AV368" s="14">
        <f>[1]Sheet2!W367</f>
        <v>0</v>
      </c>
      <c r="AW368" s="14">
        <f>[1]Sheet2!X367</f>
        <v>0</v>
      </c>
      <c r="AX368" s="14">
        <f>[1]Sheet2!Y367</f>
        <v>0</v>
      </c>
      <c r="AY368" s="16">
        <f>Demand_LP!B$14/31</f>
        <v>868.56315911910667</v>
      </c>
      <c r="AZ368" s="16">
        <f>Demand_LP!C$14/31</f>
        <v>608.40066170388752</v>
      </c>
      <c r="BA368" s="16">
        <f>Demand_LP!D$14/31</f>
        <v>251.20087262200158</v>
      </c>
      <c r="BB368" s="16">
        <f>Demand_LP!E$14/31</f>
        <v>807.45938378825463</v>
      </c>
      <c r="BC368" s="16">
        <f>Demand_LP!F$14/31</f>
        <v>539.59842069892466</v>
      </c>
      <c r="BD368" s="16">
        <f>Demand_LP!G$14/31</f>
        <v>868.56315911910667</v>
      </c>
      <c r="BE368" s="16">
        <f>Demand_LP!H$14/31</f>
        <v>608.40066170388752</v>
      </c>
      <c r="BF368" s="16">
        <f>Demand_LP!I$14/31</f>
        <v>539.59842069892466</v>
      </c>
      <c r="BG368" s="16">
        <f>Demand_LP!J$14/31</f>
        <v>539.59842069892466</v>
      </c>
      <c r="BH368" s="16">
        <f>Demand_LP!K$14/31</f>
        <v>539.59842069892466</v>
      </c>
      <c r="BI368" s="16" t="e">
        <f t="shared" si="163"/>
        <v>#VALUE!</v>
      </c>
      <c r="BJ368" s="16">
        <f t="shared" si="164"/>
        <v>-210851.19743589754</v>
      </c>
      <c r="BK368" s="16">
        <f t="shared" si="165"/>
        <v>-104076.97833333378</v>
      </c>
      <c r="BL368" s="16">
        <f t="shared" si="166"/>
        <v>-278062.64344530826</v>
      </c>
      <c r="BM368" s="16">
        <f t="shared" si="167"/>
        <v>-170884.4935015011</v>
      </c>
      <c r="BN368" s="16">
        <f t="shared" si="168"/>
        <v>-291184.97652781109</v>
      </c>
      <c r="BO368" s="16">
        <f t="shared" si="169"/>
        <v>-213208.77692307733</v>
      </c>
      <c r="BP368" s="16">
        <f t="shared" si="170"/>
        <v>-171996.17741987167</v>
      </c>
      <c r="BQ368" s="16">
        <f t="shared" si="171"/>
        <v>-168986.17741987179</v>
      </c>
      <c r="BR368" s="16">
        <f t="shared" si="172"/>
        <v>-170186.1774198717</v>
      </c>
      <c r="BS368" s="14">
        <f>IF([1]Sheet2!CA367=999999,"NA",[1]Sheet2!CA367)</f>
        <v>46292.822580128268</v>
      </c>
      <c r="BT368" s="14">
        <f>IF([1]Sheet2!CB367=999999,"NA",[1]Sheet2!CB367)</f>
        <v>0</v>
      </c>
      <c r="BU368" s="14">
        <f>IF([1]Sheet2!CC367=999999,"NA",[1]Sheet2!CC367)</f>
        <v>0</v>
      </c>
      <c r="BV368" s="14">
        <f>IF([1]Sheet2!CD367=999999,"NA",[1]Sheet2!CD367)</f>
        <v>0</v>
      </c>
      <c r="BW368" s="14">
        <f>IF([1]Sheet2!CE367=999999,"NA",[1]Sheet2!CE367)</f>
        <v>0</v>
      </c>
      <c r="BX368" s="14">
        <f>IF([1]Sheet2!CF367=999999,"NA",[1]Sheet2!CF367)</f>
        <v>0</v>
      </c>
      <c r="BY368" s="14">
        <f>IF([1]Sheet2!CG367=999999,"NA",[1]Sheet2!CG367)</f>
        <v>0</v>
      </c>
      <c r="BZ368" s="14">
        <f>IF([1]Sheet2!CH367=999999,"NA",[1]Sheet2!CH367)</f>
        <v>0</v>
      </c>
      <c r="CA368" s="14">
        <f>IF([1]Sheet2!CI367=999999,"NA",[1]Sheet2!CI367)</f>
        <v>0</v>
      </c>
      <c r="CB368" s="14">
        <f>IF([1]Sheet2!CJ367=999999,"NA",[1]Sheet2!CJ367)</f>
        <v>0</v>
      </c>
      <c r="CC368" s="14">
        <f>[1]Sheet2!BG367</f>
        <v>0</v>
      </c>
      <c r="CD368" s="14">
        <f>[1]Sheet2!BH367</f>
        <v>0</v>
      </c>
      <c r="CE368" s="14">
        <f>[1]Sheet2!BI367</f>
        <v>0</v>
      </c>
      <c r="CF368" s="14">
        <f>[1]Sheet2!BJ367</f>
        <v>0</v>
      </c>
      <c r="CG368" s="14">
        <f>[1]Sheet2!BK367</f>
        <v>0</v>
      </c>
      <c r="CH368" s="14">
        <f>[1]Sheet2!BL367</f>
        <v>0</v>
      </c>
      <c r="CI368" s="14">
        <f>[1]Sheet2!BM367</f>
        <v>0</v>
      </c>
      <c r="CJ368" s="14">
        <f>[1]Sheet2!BN367</f>
        <v>0</v>
      </c>
      <c r="CK368" s="14">
        <f>[1]Sheet2!BO367</f>
        <v>0</v>
      </c>
      <c r="CL368" s="14">
        <f>[1]Sheet2!BP367</f>
        <v>0</v>
      </c>
      <c r="CM368" s="16">
        <f>Demand_SW!B$14/31</f>
        <v>139.57816377171216</v>
      </c>
      <c r="CN368" s="16">
        <f>Demand_SW!C$14/31</f>
        <v>0</v>
      </c>
      <c r="CO368" s="16">
        <f>Demand_SW!D$14/31</f>
        <v>0</v>
      </c>
      <c r="CP368" s="16">
        <f>Demand_SW!E$14/31</f>
        <v>0</v>
      </c>
      <c r="CQ368" s="16">
        <f>Demand_SW!F$14/31</f>
        <v>0</v>
      </c>
      <c r="CR368" s="16">
        <f>Demand_SW!G$14/31</f>
        <v>139.57816377171216</v>
      </c>
      <c r="CS368" s="16">
        <f>Demand_SW!H$14/31</f>
        <v>0</v>
      </c>
      <c r="CT368" s="16">
        <f>Demand_SW!I$14/31</f>
        <v>0</v>
      </c>
      <c r="CU368" s="16">
        <f>Demand_SW!J$14/31</f>
        <v>0</v>
      </c>
      <c r="CV368" s="16">
        <f>Demand_SW!K$14/31</f>
        <v>0</v>
      </c>
      <c r="CW368" s="16">
        <f t="shared" si="173"/>
        <v>50971.538461538381</v>
      </c>
      <c r="CX368" s="16">
        <f t="shared" si="174"/>
        <v>20683.923076923078</v>
      </c>
      <c r="CY368" s="16">
        <f t="shared" si="175"/>
        <v>0</v>
      </c>
      <c r="CZ368" s="16">
        <f t="shared" si="176"/>
        <v>0</v>
      </c>
      <c r="DA368" s="16">
        <f t="shared" si="177"/>
        <v>0</v>
      </c>
      <c r="DB368" s="16">
        <f t="shared" si="178"/>
        <v>-48557.692307692356</v>
      </c>
      <c r="DC368" s="16">
        <f t="shared" si="179"/>
        <v>20683.923076923078</v>
      </c>
      <c r="DD368" s="16">
        <f t="shared" si="180"/>
        <v>0</v>
      </c>
      <c r="DE368" s="16">
        <f t="shared" si="181"/>
        <v>0</v>
      </c>
      <c r="DF368" s="16">
        <f t="shared" si="182"/>
        <v>0</v>
      </c>
      <c r="DG368" s="14">
        <f>IF([1]Sheet2!DR367=999999,"NA",[1]Sheet2!DR367)</f>
        <v>73103</v>
      </c>
      <c r="DH368" s="14">
        <f>IF([1]Sheet2!DS367=999999,"NA",[1]Sheet2!DS367)</f>
        <v>0</v>
      </c>
      <c r="DI368" s="14">
        <f>IF([1]Sheet2!DT367=999999,"NA",[1]Sheet2!DT367)</f>
        <v>0</v>
      </c>
      <c r="DJ368" s="14" t="str">
        <f>IF([1]Sheet2!DU367=999999,"NA",[1]Sheet2!DU367)</f>
        <v>NA</v>
      </c>
      <c r="DK368" s="14" t="str">
        <f>IF([1]Sheet2!DV367=999999,"NA",[1]Sheet2!DV367)</f>
        <v>NA</v>
      </c>
      <c r="DL368" s="14" t="str">
        <f>IF([1]Sheet2!DW367=999999,"NA",[1]Sheet2!DW367)</f>
        <v>NA</v>
      </c>
      <c r="DM368" s="14">
        <f>IF([1]Sheet2!DX367=999999,"NA",[1]Sheet2!DX367)</f>
        <v>0</v>
      </c>
      <c r="DN368" s="14">
        <f>IF([1]Sheet2!DY367=999999,"NA",[1]Sheet2!DY367)</f>
        <v>0</v>
      </c>
      <c r="DO368" s="14" t="str">
        <f>IF([1]Sheet2!DZ367=999999,"NA",[1]Sheet2!DZ367)</f>
        <v>NA</v>
      </c>
      <c r="DP368" s="14" t="str">
        <f>IF([1]Sheet2!EA367=999999,"NA",[1]Sheet2!EA367)</f>
        <v>NA</v>
      </c>
      <c r="DQ368" s="14">
        <f>[1]Sheet2!CX367</f>
        <v>0</v>
      </c>
      <c r="DR368" s="14">
        <f>[1]Sheet2!CY367</f>
        <v>0</v>
      </c>
      <c r="DS368" s="14">
        <f>[1]Sheet2!CZ367</f>
        <v>0</v>
      </c>
      <c r="DT368" s="14">
        <f>[1]Sheet2!DA367</f>
        <v>0</v>
      </c>
      <c r="DU368" s="14">
        <f>[1]Sheet2!DB367</f>
        <v>0</v>
      </c>
      <c r="DV368" s="14">
        <f>[1]Sheet2!DC367</f>
        <v>0</v>
      </c>
      <c r="DW368" s="14">
        <f>[1]Sheet2!DD367</f>
        <v>0</v>
      </c>
      <c r="DX368" s="14">
        <f>[1]Sheet2!DE367</f>
        <v>0</v>
      </c>
      <c r="DY368" s="14">
        <f>[1]Sheet2!DF367</f>
        <v>0</v>
      </c>
      <c r="DZ368" s="14">
        <f>[1]Sheet2!DG367</f>
        <v>0</v>
      </c>
    </row>
  </sheetData>
  <mergeCells count="16">
    <mergeCell ref="U1:AD1"/>
    <mergeCell ref="B1:D1"/>
    <mergeCell ref="E1:G1"/>
    <mergeCell ref="H1:J1"/>
    <mergeCell ref="A1:A2"/>
    <mergeCell ref="K1:T1"/>
    <mergeCell ref="DQ1:DZ1"/>
    <mergeCell ref="DG1:DP1"/>
    <mergeCell ref="AE1:AN1"/>
    <mergeCell ref="AY1:BH1"/>
    <mergeCell ref="BI1:BR1"/>
    <mergeCell ref="BS1:CB1"/>
    <mergeCell ref="CM1:CV1"/>
    <mergeCell ref="CW1:DF1"/>
    <mergeCell ref="AO1:AX1"/>
    <mergeCell ref="CC1:CL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"/>
  <sheetViews>
    <sheetView workbookViewId="0">
      <selection activeCell="F5" sqref="F5"/>
    </sheetView>
  </sheetViews>
  <sheetFormatPr defaultRowHeight="15" x14ac:dyDescent="0.25"/>
  <cols>
    <col min="1" max="1" width="32.28515625" bestFit="1" customWidth="1"/>
    <col min="2" max="2" width="14.42578125" bestFit="1" customWidth="1"/>
  </cols>
  <sheetData>
    <row r="1" spans="1:11" x14ac:dyDescent="0.25">
      <c r="A1" s="1" t="s">
        <v>30</v>
      </c>
      <c r="B1" s="37" t="s">
        <v>31</v>
      </c>
      <c r="C1" s="38"/>
      <c r="D1" s="39"/>
      <c r="E1" s="18" t="s">
        <v>6</v>
      </c>
      <c r="F1" s="18" t="s">
        <v>5</v>
      </c>
      <c r="G1" s="37" t="s">
        <v>32</v>
      </c>
      <c r="H1" s="38"/>
      <c r="I1" s="39"/>
      <c r="J1" s="37" t="s">
        <v>33</v>
      </c>
      <c r="K1" s="39"/>
    </row>
    <row r="2" spans="1:11" x14ac:dyDescent="0.25">
      <c r="A2" s="16" t="s">
        <v>34</v>
      </c>
      <c r="B2" s="19" t="s">
        <v>4</v>
      </c>
      <c r="C2" s="19" t="s">
        <v>7</v>
      </c>
      <c r="D2" s="19" t="s">
        <v>8</v>
      </c>
      <c r="E2" s="19" t="s">
        <v>6</v>
      </c>
      <c r="F2" s="19" t="s">
        <v>5</v>
      </c>
      <c r="G2" s="19" t="s">
        <v>10</v>
      </c>
      <c r="H2" s="19" t="s">
        <v>11</v>
      </c>
      <c r="I2" s="19" t="s">
        <v>12</v>
      </c>
      <c r="J2" s="19" t="s">
        <v>13</v>
      </c>
      <c r="K2" s="19" t="s">
        <v>14</v>
      </c>
    </row>
    <row r="3" spans="1:11" x14ac:dyDescent="0.25">
      <c r="A3" s="16" t="s">
        <v>35</v>
      </c>
      <c r="B3" s="31">
        <v>5</v>
      </c>
      <c r="C3" s="32"/>
      <c r="D3" s="33"/>
      <c r="E3" s="1">
        <v>4</v>
      </c>
      <c r="F3" s="1">
        <v>3</v>
      </c>
      <c r="G3" s="34">
        <v>3</v>
      </c>
      <c r="H3" s="35"/>
      <c r="I3" s="36"/>
      <c r="J3" s="31">
        <v>2</v>
      </c>
      <c r="K3" s="33"/>
    </row>
    <row r="4" spans="1:11" x14ac:dyDescent="0.25">
      <c r="A4" s="16" t="s">
        <v>36</v>
      </c>
      <c r="B4" s="31">
        <v>1</v>
      </c>
      <c r="C4" s="32"/>
      <c r="D4" s="33"/>
      <c r="E4" s="1">
        <v>1</v>
      </c>
      <c r="F4" s="1">
        <v>1</v>
      </c>
      <c r="G4" s="34">
        <v>1</v>
      </c>
      <c r="H4" s="35"/>
      <c r="I4" s="36"/>
      <c r="J4" s="31" t="s">
        <v>37</v>
      </c>
      <c r="K4" s="33"/>
    </row>
    <row r="5" spans="1:11" x14ac:dyDescent="0.25">
      <c r="A5" s="16" t="s">
        <v>38</v>
      </c>
      <c r="B5" s="1">
        <v>0</v>
      </c>
      <c r="C5" s="1">
        <v>0</v>
      </c>
      <c r="D5" s="16">
        <v>0</v>
      </c>
      <c r="E5" s="16">
        <f>D5+B4+B3</f>
        <v>6</v>
      </c>
      <c r="F5" s="16">
        <f>E5+E4+E3</f>
        <v>11</v>
      </c>
      <c r="G5" s="16">
        <f>F5+F4+F3</f>
        <v>15</v>
      </c>
      <c r="H5" s="16">
        <f>F5+F4+F3</f>
        <v>15</v>
      </c>
      <c r="I5" s="16">
        <f>F5+F4+F3</f>
        <v>15</v>
      </c>
      <c r="J5" s="16">
        <f>I5+G4+G3</f>
        <v>19</v>
      </c>
      <c r="K5" s="16">
        <f>I5+G4+G3</f>
        <v>19</v>
      </c>
    </row>
    <row r="6" spans="1:11" x14ac:dyDescent="0.25">
      <c r="A6" s="20" t="s">
        <v>39</v>
      </c>
      <c r="B6" s="1">
        <v>3</v>
      </c>
      <c r="C6" s="1">
        <v>3</v>
      </c>
      <c r="D6" s="1">
        <v>3</v>
      </c>
      <c r="E6" s="16">
        <f>D6+E5-1</f>
        <v>8</v>
      </c>
      <c r="F6" s="16">
        <f>D6+F5-1</f>
        <v>13</v>
      </c>
      <c r="G6" s="16">
        <f>D6+G5-1</f>
        <v>17</v>
      </c>
      <c r="H6" s="16">
        <f>D6+H5-1</f>
        <v>17</v>
      </c>
      <c r="I6" s="16">
        <f>D6+I5-1</f>
        <v>17</v>
      </c>
      <c r="J6" s="16">
        <f>D6+J5-1</f>
        <v>21</v>
      </c>
      <c r="K6" s="16">
        <f>D6+K5-1</f>
        <v>21</v>
      </c>
    </row>
    <row r="7" spans="1:11" x14ac:dyDescent="0.25">
      <c r="A7" s="21" t="s">
        <v>29</v>
      </c>
      <c r="B7" s="29">
        <v>48000</v>
      </c>
      <c r="C7" s="30"/>
      <c r="D7" s="30"/>
      <c r="E7" s="30"/>
      <c r="F7" s="30"/>
      <c r="G7" s="30"/>
      <c r="H7" s="30"/>
      <c r="I7" s="30"/>
      <c r="J7" s="30"/>
      <c r="K7" s="30"/>
    </row>
  </sheetData>
  <mergeCells count="10">
    <mergeCell ref="B7:K7"/>
    <mergeCell ref="B4:D4"/>
    <mergeCell ref="G4:I4"/>
    <mergeCell ref="J4:K4"/>
    <mergeCell ref="B1:D1"/>
    <mergeCell ref="G1:I1"/>
    <mergeCell ref="J1:K1"/>
    <mergeCell ref="B3:D3"/>
    <mergeCell ref="G3:I3"/>
    <mergeCell ref="J3:K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0"/>
  <dimension ref="A1:K14"/>
  <sheetViews>
    <sheetView workbookViewId="0">
      <selection activeCell="N1" sqref="N1:N1048576"/>
    </sheetView>
  </sheetViews>
  <sheetFormatPr defaultRowHeight="15" x14ac:dyDescent="0.25"/>
  <cols>
    <col min="1" max="1" width="12" style="3" customWidth="1"/>
    <col min="4" max="4" width="10.28515625" customWidth="1"/>
  </cols>
  <sheetData>
    <row r="1" spans="1:11" x14ac:dyDescent="0.25">
      <c r="A1" s="41" t="s">
        <v>9</v>
      </c>
      <c r="B1" s="40" t="s">
        <v>0</v>
      </c>
      <c r="C1" s="40"/>
      <c r="D1" s="40"/>
      <c r="E1" s="40"/>
      <c r="F1" s="40"/>
      <c r="G1" s="40"/>
      <c r="H1" s="40"/>
      <c r="I1" s="40"/>
      <c r="J1" s="40"/>
      <c r="K1" s="40"/>
    </row>
    <row r="2" spans="1:11" x14ac:dyDescent="0.25">
      <c r="A2" s="41"/>
      <c r="B2" s="2" t="s">
        <v>4</v>
      </c>
      <c r="C2" s="2" t="s">
        <v>7</v>
      </c>
      <c r="D2" s="2" t="s">
        <v>8</v>
      </c>
      <c r="E2" s="17" t="s">
        <v>6</v>
      </c>
      <c r="F2" s="17" t="s">
        <v>5</v>
      </c>
      <c r="G2" s="2" t="s">
        <v>10</v>
      </c>
      <c r="H2" s="2" t="s">
        <v>11</v>
      </c>
      <c r="I2" s="2" t="s">
        <v>12</v>
      </c>
      <c r="J2" s="2" t="s">
        <v>13</v>
      </c>
      <c r="K2" s="2" t="s">
        <v>14</v>
      </c>
    </row>
    <row r="3" spans="1:11" x14ac:dyDescent="0.25">
      <c r="A3" s="4">
        <v>43466</v>
      </c>
      <c r="B3" s="5">
        <v>9709.8626602564109</v>
      </c>
      <c r="C3" s="5">
        <v>7493.0102564102563</v>
      </c>
      <c r="D3" s="5">
        <v>0</v>
      </c>
      <c r="E3" s="5">
        <v>3065.0320512820513</v>
      </c>
      <c r="F3" s="5">
        <v>6149.4390224358967</v>
      </c>
      <c r="G3" s="5">
        <v>9600</v>
      </c>
      <c r="H3" s="5">
        <v>7493.0102564102563</v>
      </c>
      <c r="I3" s="5">
        <v>6200</v>
      </c>
      <c r="J3" s="5">
        <v>6500</v>
      </c>
      <c r="K3" s="5">
        <v>6700</v>
      </c>
    </row>
    <row r="4" spans="1:11" x14ac:dyDescent="0.25">
      <c r="A4" s="4">
        <v>43497</v>
      </c>
      <c r="B4" s="5">
        <v>3687.0811498397434</v>
      </c>
      <c r="C4" s="5">
        <v>14035.620512820513</v>
      </c>
      <c r="D4" s="5">
        <v>0</v>
      </c>
      <c r="E4" s="5">
        <v>3644.8923076923074</v>
      </c>
      <c r="F4" s="5">
        <v>7362.5275641025637</v>
      </c>
      <c r="G4" s="5">
        <v>3580</v>
      </c>
      <c r="H4" s="5">
        <v>14035.620512820513</v>
      </c>
      <c r="I4" s="5">
        <v>6000</v>
      </c>
      <c r="J4" s="5">
        <v>5800</v>
      </c>
      <c r="K4" s="5">
        <v>6200</v>
      </c>
    </row>
    <row r="5" spans="1:11" x14ac:dyDescent="0.25">
      <c r="A5" s="4">
        <v>43525</v>
      </c>
      <c r="B5" s="5">
        <v>4082.0604917234668</v>
      </c>
      <c r="C5" s="5">
        <v>16653.492307692308</v>
      </c>
      <c r="D5" s="5">
        <v>0</v>
      </c>
      <c r="E5" s="5">
        <v>3769.4803959753331</v>
      </c>
      <c r="F5" s="5">
        <v>7597.5506296656913</v>
      </c>
      <c r="G5" s="5">
        <v>4082.0604917234668</v>
      </c>
      <c r="H5" s="5">
        <v>16653.492307692308</v>
      </c>
      <c r="I5" s="5">
        <v>7597.5506296656913</v>
      </c>
      <c r="J5" s="5">
        <v>7597.5506296656913</v>
      </c>
      <c r="K5" s="5">
        <v>7597.5506296656913</v>
      </c>
    </row>
    <row r="6" spans="1:11" x14ac:dyDescent="0.25">
      <c r="A6" s="4">
        <v>43556</v>
      </c>
      <c r="B6" s="5">
        <v>4108.829338942307</v>
      </c>
      <c r="C6" s="5">
        <v>16333.01282051282</v>
      </c>
      <c r="D6" s="5">
        <v>0</v>
      </c>
      <c r="E6" s="5">
        <v>3269.2307692307691</v>
      </c>
      <c r="F6" s="5">
        <v>6400.8640424679479</v>
      </c>
      <c r="G6" s="5">
        <v>4000</v>
      </c>
      <c r="H6" s="5">
        <v>16333.01282051282</v>
      </c>
      <c r="I6" s="5">
        <v>6400.8640424679479</v>
      </c>
      <c r="J6" s="5">
        <v>6400.8640424679479</v>
      </c>
      <c r="K6" s="5">
        <v>6400.8640424679479</v>
      </c>
    </row>
    <row r="7" spans="1:11" x14ac:dyDescent="0.25">
      <c r="A7" s="4">
        <v>43586</v>
      </c>
      <c r="B7" s="5">
        <v>4026.8820793269224</v>
      </c>
      <c r="C7" s="5">
        <v>16844.871794871793</v>
      </c>
      <c r="D7" s="5">
        <v>0</v>
      </c>
      <c r="E7" s="5">
        <v>4087.1923076923076</v>
      </c>
      <c r="F7" s="5">
        <v>7195.9036818910254</v>
      </c>
      <c r="G7" s="5">
        <v>4026.8820793269224</v>
      </c>
      <c r="H7" s="5">
        <v>16844.871794871793</v>
      </c>
      <c r="I7" s="5">
        <v>7195.9036818910254</v>
      </c>
      <c r="J7" s="5">
        <v>7195.9036818910254</v>
      </c>
      <c r="K7" s="5">
        <v>7195.9036818910254</v>
      </c>
    </row>
    <row r="8" spans="1:11" x14ac:dyDescent="0.25">
      <c r="A8" s="4">
        <v>43617</v>
      </c>
      <c r="B8" s="5">
        <v>3746.0458173076922</v>
      </c>
      <c r="C8" s="5">
        <v>17496.153846153848</v>
      </c>
      <c r="D8" s="5">
        <v>0</v>
      </c>
      <c r="E8" s="5">
        <v>4705.4487179487187</v>
      </c>
      <c r="F8" s="5">
        <v>7571.8788942307674</v>
      </c>
      <c r="G8" s="5">
        <v>3746.0458173076922</v>
      </c>
      <c r="H8" s="5">
        <v>17496.153846153848</v>
      </c>
      <c r="I8" s="5">
        <v>7400</v>
      </c>
      <c r="J8" s="5">
        <v>7400</v>
      </c>
      <c r="K8" s="5">
        <v>7400</v>
      </c>
    </row>
    <row r="9" spans="1:11" x14ac:dyDescent="0.25">
      <c r="A9" s="4">
        <v>43647</v>
      </c>
      <c r="B9" s="5">
        <v>4260.7112980769225</v>
      </c>
      <c r="C9" s="5">
        <v>19112.820512820508</v>
      </c>
      <c r="D9" s="5">
        <v>0</v>
      </c>
      <c r="E9" s="5">
        <v>4352.1666666666661</v>
      </c>
      <c r="F9" s="5">
        <v>7598.4254006410256</v>
      </c>
      <c r="G9" s="5">
        <v>4260.7112980769225</v>
      </c>
      <c r="H9" s="5">
        <v>19112.820512820508</v>
      </c>
      <c r="I9" s="5">
        <v>7598.4254006410256</v>
      </c>
      <c r="J9" s="5">
        <v>7598.4254006410256</v>
      </c>
      <c r="K9" s="5">
        <v>7598.4254006410256</v>
      </c>
    </row>
    <row r="10" spans="1:11" x14ac:dyDescent="0.25">
      <c r="A10" s="4">
        <v>43678</v>
      </c>
      <c r="B10" s="5">
        <v>3746.1593749999997</v>
      </c>
      <c r="C10" s="5">
        <v>17136.851282051277</v>
      </c>
      <c r="D10" s="5">
        <v>0</v>
      </c>
      <c r="E10" s="5">
        <v>4394.5512820512813</v>
      </c>
      <c r="F10" s="5">
        <v>7833.9350160256417</v>
      </c>
      <c r="G10" s="5">
        <v>3600</v>
      </c>
      <c r="H10" s="5">
        <v>17136.851282051277</v>
      </c>
      <c r="I10" s="5">
        <v>7833.9350160256417</v>
      </c>
      <c r="J10" s="5">
        <v>7833.9350160256417</v>
      </c>
      <c r="K10" s="5">
        <v>7833.9350160256417</v>
      </c>
    </row>
    <row r="11" spans="1:11" x14ac:dyDescent="0.25">
      <c r="A11" s="4">
        <v>43709</v>
      </c>
      <c r="B11" s="5">
        <v>3541.363942307692</v>
      </c>
      <c r="C11" s="5">
        <v>14741.820512820512</v>
      </c>
      <c r="D11" s="5">
        <v>0</v>
      </c>
      <c r="E11" s="5">
        <v>3235.4807692307695</v>
      </c>
      <c r="F11" s="5">
        <v>6546.6822916666661</v>
      </c>
      <c r="G11" s="5">
        <v>3541.363942307692</v>
      </c>
      <c r="H11" s="5">
        <v>14741.820512820512</v>
      </c>
      <c r="I11" s="5">
        <v>6546.6822916666661</v>
      </c>
      <c r="J11" s="5">
        <v>6546.6822916666661</v>
      </c>
      <c r="K11" s="5">
        <v>6546.6822916666661</v>
      </c>
    </row>
    <row r="12" spans="1:11" x14ac:dyDescent="0.25">
      <c r="A12" s="4">
        <v>43739</v>
      </c>
      <c r="B12" s="5">
        <v>3512.6184294871796</v>
      </c>
      <c r="C12" s="5">
        <v>14882.097435897433</v>
      </c>
      <c r="D12" s="5">
        <v>0</v>
      </c>
      <c r="E12" s="5">
        <v>3199.9551282051284</v>
      </c>
      <c r="F12" s="5">
        <v>6502.1088942307688</v>
      </c>
      <c r="G12" s="5">
        <v>3512.6184294871796</v>
      </c>
      <c r="H12" s="5">
        <v>14882.097435897433</v>
      </c>
      <c r="I12" s="5">
        <v>6502.1088942307688</v>
      </c>
      <c r="J12" s="5">
        <v>6502.1088942307688</v>
      </c>
      <c r="K12" s="5">
        <v>6502.1088942307688</v>
      </c>
    </row>
    <row r="13" spans="1:11" x14ac:dyDescent="0.25">
      <c r="A13" s="4">
        <v>43770</v>
      </c>
      <c r="B13" s="5">
        <v>3357.886378205128</v>
      </c>
      <c r="C13" s="5">
        <v>16500.343589743585</v>
      </c>
      <c r="D13" s="5">
        <v>0</v>
      </c>
      <c r="E13" s="5">
        <v>3162.7820512820513</v>
      </c>
      <c r="F13" s="5">
        <v>6609.9124198717946</v>
      </c>
      <c r="G13" s="5">
        <v>3357.886378205128</v>
      </c>
      <c r="H13" s="5">
        <v>16500.343589743585</v>
      </c>
      <c r="I13" s="5">
        <v>6609.9124198717946</v>
      </c>
      <c r="J13" s="5">
        <v>6609.9124198717946</v>
      </c>
      <c r="K13" s="5">
        <v>6609.9124198717946</v>
      </c>
    </row>
    <row r="14" spans="1:11" x14ac:dyDescent="0.25">
      <c r="A14" s="4">
        <v>43800</v>
      </c>
      <c r="B14" s="5">
        <v>2950.4780448717947</v>
      </c>
      <c r="C14" s="5">
        <v>16313.066666666664</v>
      </c>
      <c r="D14" s="5">
        <v>0</v>
      </c>
      <c r="E14" s="5">
        <v>3173.4935897435894</v>
      </c>
      <c r="F14" s="5">
        <v>6815.9153044871782</v>
      </c>
      <c r="G14" s="5">
        <v>2950.4780448717947</v>
      </c>
      <c r="H14" s="5">
        <v>16313.066666666664</v>
      </c>
      <c r="I14" s="5">
        <v>6815.9153044871782</v>
      </c>
      <c r="J14" s="5">
        <v>6815.9153044871782</v>
      </c>
      <c r="K14" s="5">
        <v>6815.9153044871782</v>
      </c>
    </row>
  </sheetData>
  <mergeCells count="2">
    <mergeCell ref="B1:K1"/>
    <mergeCell ref="A1:A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2"/>
  <dimension ref="A1:K14"/>
  <sheetViews>
    <sheetView workbookViewId="0">
      <selection activeCell="N3" sqref="N3"/>
    </sheetView>
  </sheetViews>
  <sheetFormatPr defaultRowHeight="15" x14ac:dyDescent="0.25"/>
  <cols>
    <col min="1" max="1" width="12" style="3" customWidth="1"/>
    <col min="4" max="4" width="10.42578125" customWidth="1"/>
  </cols>
  <sheetData>
    <row r="1" spans="1:11" x14ac:dyDescent="0.25">
      <c r="A1" s="41" t="s">
        <v>9</v>
      </c>
      <c r="B1" s="40" t="s">
        <v>1</v>
      </c>
      <c r="C1" s="40"/>
      <c r="D1" s="40"/>
      <c r="E1" s="40"/>
      <c r="F1" s="40"/>
      <c r="G1" s="40"/>
      <c r="H1" s="40"/>
      <c r="I1" s="40"/>
      <c r="J1" s="40"/>
      <c r="K1" s="40"/>
    </row>
    <row r="2" spans="1:11" x14ac:dyDescent="0.25">
      <c r="A2" s="41"/>
      <c r="B2" s="2" t="s">
        <v>4</v>
      </c>
      <c r="C2" s="2" t="s">
        <v>7</v>
      </c>
      <c r="D2" s="2" t="s">
        <v>8</v>
      </c>
      <c r="E2" s="17" t="s">
        <v>6</v>
      </c>
      <c r="F2" s="17" t="s">
        <v>5</v>
      </c>
      <c r="G2" s="2" t="s">
        <v>10</v>
      </c>
      <c r="H2" s="2" t="s">
        <v>11</v>
      </c>
      <c r="I2" s="2" t="s">
        <v>12</v>
      </c>
      <c r="J2" s="2" t="s">
        <v>13</v>
      </c>
      <c r="K2" s="2" t="s">
        <v>14</v>
      </c>
    </row>
    <row r="3" spans="1:11" x14ac:dyDescent="0.25">
      <c r="A3" s="4">
        <v>43466</v>
      </c>
      <c r="B3" s="5">
        <v>15593.053445512822</v>
      </c>
      <c r="C3" s="5">
        <v>24563.117948717947</v>
      </c>
      <c r="D3" s="5">
        <v>7167.5000000000009</v>
      </c>
      <c r="E3" s="5">
        <v>21592.724358974356</v>
      </c>
      <c r="F3" s="5">
        <v>14950.399118589743</v>
      </c>
      <c r="G3" s="5">
        <v>16000</v>
      </c>
      <c r="H3" s="5">
        <v>24000</v>
      </c>
      <c r="I3" s="5">
        <v>14000</v>
      </c>
      <c r="J3" s="5">
        <v>12000</v>
      </c>
      <c r="K3" s="5">
        <v>13000</v>
      </c>
    </row>
    <row r="4" spans="1:11" x14ac:dyDescent="0.25">
      <c r="A4" s="4">
        <v>43497</v>
      </c>
      <c r="B4" s="5">
        <v>22710.747776442309</v>
      </c>
      <c r="C4" s="5">
        <v>14079.302564102563</v>
      </c>
      <c r="D4" s="5">
        <v>7911.0256410256407</v>
      </c>
      <c r="E4" s="5">
        <v>21272.697435897433</v>
      </c>
      <c r="F4" s="5">
        <v>13867.899919871794</v>
      </c>
      <c r="G4" s="5">
        <v>23000</v>
      </c>
      <c r="H4" s="5">
        <v>15000</v>
      </c>
      <c r="I4" s="5">
        <v>13900</v>
      </c>
      <c r="J4" s="5">
        <v>13500</v>
      </c>
      <c r="K4" s="5">
        <v>13200</v>
      </c>
    </row>
    <row r="5" spans="1:11" x14ac:dyDescent="0.25">
      <c r="A5" s="4">
        <v>43525</v>
      </c>
      <c r="B5" s="5">
        <v>23398.223506978258</v>
      </c>
      <c r="C5" s="5">
        <v>16974.123076923075</v>
      </c>
      <c r="D5" s="5">
        <v>9695.4397435897426</v>
      </c>
      <c r="E5" s="5">
        <v>23941.125624797147</v>
      </c>
      <c r="F5" s="5">
        <v>14624.017043167802</v>
      </c>
      <c r="G5" s="5">
        <v>23398.223506978258</v>
      </c>
      <c r="H5" s="5">
        <v>16974.123076923075</v>
      </c>
      <c r="I5" s="5">
        <v>14000</v>
      </c>
      <c r="J5" s="5">
        <v>14000</v>
      </c>
      <c r="K5" s="5">
        <v>14000</v>
      </c>
    </row>
    <row r="6" spans="1:11" x14ac:dyDescent="0.25">
      <c r="A6" s="4">
        <v>43556</v>
      </c>
      <c r="B6" s="5">
        <v>23718.483721955126</v>
      </c>
      <c r="C6" s="5">
        <v>24493.910256410254</v>
      </c>
      <c r="D6" s="5">
        <v>10399.038461538461</v>
      </c>
      <c r="E6" s="5">
        <v>23864.423076923078</v>
      </c>
      <c r="F6" s="5">
        <v>14175.669050480768</v>
      </c>
      <c r="G6" s="5">
        <v>23718.483721955126</v>
      </c>
      <c r="H6" s="5">
        <v>24493.910256410254</v>
      </c>
      <c r="I6" s="5">
        <v>14175.669050480768</v>
      </c>
      <c r="J6" s="5">
        <v>14175.669050480768</v>
      </c>
      <c r="K6" s="5">
        <v>14175.669050480768</v>
      </c>
    </row>
    <row r="7" spans="1:11" x14ac:dyDescent="0.25">
      <c r="A7" s="4">
        <v>43586</v>
      </c>
      <c r="B7" s="5">
        <v>26530.719122596154</v>
      </c>
      <c r="C7" s="5">
        <v>14841.025641025641</v>
      </c>
      <c r="D7" s="5">
        <v>11347.115384615385</v>
      </c>
      <c r="E7" s="5">
        <v>25976.846153846156</v>
      </c>
      <c r="F7" s="5">
        <v>13862.905372596153</v>
      </c>
      <c r="G7" s="5">
        <v>26530.719122596154</v>
      </c>
      <c r="H7" s="5">
        <v>14841.025641025641</v>
      </c>
      <c r="I7" s="5">
        <v>13862.905372596153</v>
      </c>
      <c r="J7" s="5">
        <v>13862.905372596153</v>
      </c>
      <c r="K7" s="5">
        <v>13862.905372596153</v>
      </c>
    </row>
    <row r="8" spans="1:11" x14ac:dyDescent="0.25">
      <c r="A8" s="4">
        <v>43617</v>
      </c>
      <c r="B8" s="5">
        <v>24234.483349358972</v>
      </c>
      <c r="C8" s="5">
        <v>17234.615384615387</v>
      </c>
      <c r="D8" s="5">
        <v>10171.48717948718</v>
      </c>
      <c r="E8" s="5">
        <v>24914.089743589739</v>
      </c>
      <c r="F8" s="5">
        <v>14300.156041666665</v>
      </c>
      <c r="G8" s="5">
        <v>24234.483349358972</v>
      </c>
      <c r="H8" s="5">
        <v>17234.615384615387</v>
      </c>
      <c r="I8" s="5">
        <v>14300.156041666665</v>
      </c>
      <c r="J8" s="5">
        <v>14300.156041666665</v>
      </c>
      <c r="K8" s="5">
        <v>14300.156041666665</v>
      </c>
    </row>
    <row r="9" spans="1:11" x14ac:dyDescent="0.25">
      <c r="A9" s="4">
        <v>43647</v>
      </c>
      <c r="B9" s="5">
        <v>27227.194150641026</v>
      </c>
      <c r="C9" s="5">
        <v>20579.487179487176</v>
      </c>
      <c r="D9" s="5">
        <v>10397.333333333336</v>
      </c>
      <c r="E9" s="5">
        <v>22482.294871794868</v>
      </c>
      <c r="F9" s="5">
        <v>14156.233253205128</v>
      </c>
      <c r="G9" s="5">
        <v>27227.194150641026</v>
      </c>
      <c r="H9" s="5">
        <v>20579.487179487176</v>
      </c>
      <c r="I9" s="5">
        <v>14156.233253205128</v>
      </c>
      <c r="J9" s="5">
        <v>14156.233253205128</v>
      </c>
      <c r="K9" s="5">
        <v>14156.233253205128</v>
      </c>
    </row>
    <row r="10" spans="1:11" x14ac:dyDescent="0.25">
      <c r="A10" s="4">
        <v>43678</v>
      </c>
      <c r="B10" s="5">
        <v>26572.656330128204</v>
      </c>
      <c r="C10" s="5">
        <v>16377.558974358974</v>
      </c>
      <c r="D10" s="5">
        <v>10501.660256410258</v>
      </c>
      <c r="E10" s="5">
        <v>22786.480769230766</v>
      </c>
      <c r="F10" s="5">
        <v>14864.890304487179</v>
      </c>
      <c r="G10" s="5">
        <v>26572.656330128204</v>
      </c>
      <c r="H10" s="5">
        <v>16377.558974358974</v>
      </c>
      <c r="I10" s="5">
        <v>14864.890304487179</v>
      </c>
      <c r="J10" s="5">
        <v>14864.890304487179</v>
      </c>
      <c r="K10" s="5">
        <v>14864.890304487179</v>
      </c>
    </row>
    <row r="11" spans="1:11" x14ac:dyDescent="0.25">
      <c r="A11" s="4">
        <v>43709</v>
      </c>
      <c r="B11" s="5">
        <v>27078.177483974356</v>
      </c>
      <c r="C11" s="5">
        <v>17812.923076923078</v>
      </c>
      <c r="D11" s="5">
        <v>8708.1410256410254</v>
      </c>
      <c r="E11" s="5">
        <v>23712.788461538461</v>
      </c>
      <c r="F11" s="5">
        <v>16153.86738782051</v>
      </c>
      <c r="G11" s="5">
        <v>27078.177483974356</v>
      </c>
      <c r="H11" s="5">
        <v>17812.923076923078</v>
      </c>
      <c r="I11" s="5">
        <v>16153.86738782051</v>
      </c>
      <c r="J11" s="5">
        <v>16153.86738782051</v>
      </c>
      <c r="K11" s="5">
        <v>16153.86738782051</v>
      </c>
    </row>
    <row r="12" spans="1:11" x14ac:dyDescent="0.25">
      <c r="A12" s="4">
        <v>43739</v>
      </c>
      <c r="B12" s="5">
        <v>26860.656650641027</v>
      </c>
      <c r="C12" s="5">
        <v>17906.441025641026</v>
      </c>
      <c r="D12" s="5">
        <v>8127.7358974358976</v>
      </c>
      <c r="E12" s="5">
        <v>23747.001282051282</v>
      </c>
      <c r="F12" s="5">
        <v>15999.254887820511</v>
      </c>
      <c r="G12" s="5">
        <v>26860.656650641027</v>
      </c>
      <c r="H12" s="5">
        <v>17906.441025641026</v>
      </c>
      <c r="I12" s="5">
        <v>15999.254887820511</v>
      </c>
      <c r="J12" s="5">
        <v>15999.254887820511</v>
      </c>
      <c r="K12" s="5">
        <v>15999.254887820511</v>
      </c>
    </row>
    <row r="13" spans="1:11" x14ac:dyDescent="0.25">
      <c r="A13" s="4">
        <v>43770</v>
      </c>
      <c r="B13" s="5">
        <v>25474.924278846156</v>
      </c>
      <c r="C13" s="5">
        <v>18985.271794871795</v>
      </c>
      <c r="D13" s="5">
        <v>8089.2743589743586</v>
      </c>
      <c r="E13" s="5">
        <v>24450.930769230767</v>
      </c>
      <c r="F13" s="5">
        <v>16081.650080128205</v>
      </c>
      <c r="G13" s="5">
        <v>25474.924278846156</v>
      </c>
      <c r="H13" s="5">
        <v>18985.271794871795</v>
      </c>
      <c r="I13" s="5">
        <v>16081.650080128205</v>
      </c>
      <c r="J13" s="5">
        <v>16081.650080128205</v>
      </c>
      <c r="K13" s="5">
        <v>16081.650080128205</v>
      </c>
    </row>
    <row r="14" spans="1:11" x14ac:dyDescent="0.25">
      <c r="A14" s="4">
        <v>43800</v>
      </c>
      <c r="B14" s="5">
        <v>26925.457932692309</v>
      </c>
      <c r="C14" s="5">
        <v>18860.420512820514</v>
      </c>
      <c r="D14" s="5">
        <v>7787.2270512820487</v>
      </c>
      <c r="E14" s="5">
        <v>25031.240897435895</v>
      </c>
      <c r="F14" s="5">
        <v>16727.551041666666</v>
      </c>
      <c r="G14" s="5">
        <v>26925.457932692309</v>
      </c>
      <c r="H14" s="5">
        <v>18860.420512820514</v>
      </c>
      <c r="I14" s="5">
        <v>16727.551041666666</v>
      </c>
      <c r="J14" s="5">
        <v>16727.551041666666</v>
      </c>
      <c r="K14" s="5">
        <v>16727.551041666666</v>
      </c>
    </row>
  </sheetData>
  <mergeCells count="2">
    <mergeCell ref="A1:A2"/>
    <mergeCell ref="B1:K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3"/>
  <dimension ref="A1:K14"/>
  <sheetViews>
    <sheetView workbookViewId="0">
      <selection activeCell="G2" sqref="G2"/>
    </sheetView>
  </sheetViews>
  <sheetFormatPr defaultRowHeight="15" x14ac:dyDescent="0.25"/>
  <cols>
    <col min="1" max="1" width="12" style="3" customWidth="1"/>
    <col min="4" max="4" width="10.85546875" customWidth="1"/>
  </cols>
  <sheetData>
    <row r="1" spans="1:11" x14ac:dyDescent="0.25">
      <c r="A1" s="41" t="s">
        <v>9</v>
      </c>
      <c r="B1" s="40" t="s">
        <v>2</v>
      </c>
      <c r="C1" s="40"/>
      <c r="D1" s="40"/>
      <c r="E1" s="40"/>
      <c r="F1" s="40"/>
      <c r="G1" s="40"/>
      <c r="H1" s="40"/>
      <c r="I1" s="40"/>
      <c r="J1" s="40"/>
      <c r="K1" s="40"/>
    </row>
    <row r="2" spans="1:11" x14ac:dyDescent="0.25">
      <c r="A2" s="41"/>
      <c r="B2" s="2" t="s">
        <v>4</v>
      </c>
      <c r="C2" s="2" t="s">
        <v>7</v>
      </c>
      <c r="D2" s="2" t="s">
        <v>8</v>
      </c>
      <c r="E2" s="2" t="s">
        <v>6</v>
      </c>
      <c r="F2" s="2" t="s">
        <v>5</v>
      </c>
      <c r="G2" s="2" t="s">
        <v>10</v>
      </c>
      <c r="H2" s="2" t="s">
        <v>11</v>
      </c>
      <c r="I2" s="2" t="s">
        <v>12</v>
      </c>
      <c r="J2" s="2" t="s">
        <v>13</v>
      </c>
      <c r="K2" s="2" t="s">
        <v>14</v>
      </c>
    </row>
    <row r="3" spans="1:11" x14ac:dyDescent="0.25">
      <c r="A3" s="4">
        <v>43466</v>
      </c>
      <c r="B3" s="5">
        <v>4326.9230769230771</v>
      </c>
      <c r="C3" s="5">
        <v>0</v>
      </c>
      <c r="D3" s="5">
        <v>0</v>
      </c>
      <c r="E3" s="5">
        <v>0</v>
      </c>
      <c r="F3" s="5">
        <v>0</v>
      </c>
      <c r="G3" s="5">
        <v>4100</v>
      </c>
      <c r="H3" s="5">
        <v>0</v>
      </c>
      <c r="I3" s="5">
        <v>0</v>
      </c>
      <c r="J3" s="5">
        <v>0</v>
      </c>
      <c r="K3" s="5">
        <v>0</v>
      </c>
    </row>
    <row r="4" spans="1:11" x14ac:dyDescent="0.25">
      <c r="A4" s="4">
        <v>43497</v>
      </c>
      <c r="B4" s="5">
        <v>2651.5384615384614</v>
      </c>
      <c r="C4" s="5">
        <v>0</v>
      </c>
      <c r="D4" s="5">
        <v>0</v>
      </c>
      <c r="E4" s="5">
        <v>0</v>
      </c>
      <c r="F4" s="5">
        <v>0</v>
      </c>
      <c r="G4" s="5">
        <v>2400</v>
      </c>
      <c r="H4" s="5">
        <v>0</v>
      </c>
      <c r="I4" s="5">
        <v>0</v>
      </c>
      <c r="J4" s="5">
        <v>0</v>
      </c>
      <c r="K4" s="5">
        <v>0</v>
      </c>
    </row>
    <row r="5" spans="1:11" x14ac:dyDescent="0.25">
      <c r="A5" s="4">
        <v>43525</v>
      </c>
      <c r="B5" s="5">
        <v>4292.3076923076924</v>
      </c>
      <c r="C5" s="5">
        <v>923.07692307692309</v>
      </c>
      <c r="D5" s="5">
        <v>0</v>
      </c>
      <c r="E5" s="5">
        <v>0</v>
      </c>
      <c r="F5" s="5">
        <v>0</v>
      </c>
      <c r="G5" s="5">
        <v>4300</v>
      </c>
      <c r="H5" s="5">
        <v>923.07692307692309</v>
      </c>
      <c r="I5" s="5">
        <v>0</v>
      </c>
      <c r="J5" s="5">
        <v>0</v>
      </c>
      <c r="K5" s="5">
        <v>0</v>
      </c>
    </row>
    <row r="6" spans="1:11" x14ac:dyDescent="0.25">
      <c r="A6" s="4">
        <v>43556</v>
      </c>
      <c r="B6" s="5">
        <v>5192.3076923076915</v>
      </c>
      <c r="C6" s="5">
        <v>0</v>
      </c>
      <c r="D6" s="5">
        <v>0</v>
      </c>
      <c r="E6" s="5">
        <v>0</v>
      </c>
      <c r="F6" s="5">
        <v>0</v>
      </c>
      <c r="G6" s="5">
        <v>5192.3076923076915</v>
      </c>
      <c r="H6" s="5">
        <v>0</v>
      </c>
      <c r="I6" s="5">
        <v>0</v>
      </c>
      <c r="J6" s="5">
        <v>0</v>
      </c>
      <c r="K6" s="5">
        <v>0</v>
      </c>
    </row>
    <row r="7" spans="1:11" x14ac:dyDescent="0.25">
      <c r="A7" s="4">
        <v>43586</v>
      </c>
      <c r="B7" s="5">
        <v>3807.6923076923076</v>
      </c>
      <c r="C7" s="5">
        <v>0</v>
      </c>
      <c r="D7" s="5">
        <v>0</v>
      </c>
      <c r="E7" s="5">
        <v>0</v>
      </c>
      <c r="F7" s="5">
        <v>0</v>
      </c>
      <c r="G7" s="5">
        <v>3807.6923076923076</v>
      </c>
      <c r="H7" s="5">
        <v>0</v>
      </c>
      <c r="I7" s="5">
        <v>0</v>
      </c>
      <c r="J7" s="5">
        <v>0</v>
      </c>
      <c r="K7" s="5">
        <v>0</v>
      </c>
    </row>
    <row r="8" spans="1:11" x14ac:dyDescent="0.25">
      <c r="A8" s="4">
        <v>43617</v>
      </c>
      <c r="B8" s="5">
        <v>4326.9230769230771</v>
      </c>
      <c r="C8" s="5">
        <v>0</v>
      </c>
      <c r="D8" s="5">
        <v>0</v>
      </c>
      <c r="E8" s="5">
        <v>0</v>
      </c>
      <c r="F8" s="5">
        <v>0</v>
      </c>
      <c r="G8" s="5">
        <v>4326.9230769230771</v>
      </c>
      <c r="H8" s="5">
        <v>0</v>
      </c>
      <c r="I8" s="5">
        <v>0</v>
      </c>
      <c r="J8" s="5">
        <v>0</v>
      </c>
      <c r="K8" s="5">
        <v>0</v>
      </c>
    </row>
    <row r="9" spans="1:11" x14ac:dyDescent="0.25">
      <c r="A9" s="4">
        <v>43647</v>
      </c>
      <c r="B9" s="5">
        <v>4061.5384615384614</v>
      </c>
      <c r="C9" s="5">
        <v>0</v>
      </c>
      <c r="D9" s="5">
        <v>0</v>
      </c>
      <c r="E9" s="5">
        <v>0</v>
      </c>
      <c r="F9" s="5">
        <v>0</v>
      </c>
      <c r="G9" s="5">
        <v>4061.5384615384614</v>
      </c>
      <c r="H9" s="5">
        <v>0</v>
      </c>
      <c r="I9" s="5">
        <v>0</v>
      </c>
      <c r="J9" s="5">
        <v>0</v>
      </c>
      <c r="K9" s="5">
        <v>0</v>
      </c>
    </row>
    <row r="10" spans="1:11" x14ac:dyDescent="0.25">
      <c r="A10" s="4">
        <v>43678</v>
      </c>
      <c r="B10" s="5">
        <v>4061.5384615384614</v>
      </c>
      <c r="C10" s="5">
        <v>0</v>
      </c>
      <c r="D10" s="5">
        <v>0</v>
      </c>
      <c r="E10" s="5">
        <v>0</v>
      </c>
      <c r="F10" s="5">
        <v>0</v>
      </c>
      <c r="G10" s="5">
        <v>4061.5384615384614</v>
      </c>
      <c r="H10" s="5">
        <v>0</v>
      </c>
      <c r="I10" s="5">
        <v>0</v>
      </c>
      <c r="J10" s="5">
        <v>0</v>
      </c>
      <c r="K10" s="5">
        <v>0</v>
      </c>
    </row>
    <row r="11" spans="1:11" x14ac:dyDescent="0.25">
      <c r="A11" s="4">
        <v>43709</v>
      </c>
      <c r="B11" s="5">
        <v>4326.9230769230771</v>
      </c>
      <c r="C11" s="5">
        <v>0</v>
      </c>
      <c r="D11" s="5">
        <v>0</v>
      </c>
      <c r="E11" s="5">
        <v>0</v>
      </c>
      <c r="F11" s="5">
        <v>0</v>
      </c>
      <c r="G11" s="5">
        <v>4326.9230769230771</v>
      </c>
      <c r="H11" s="5">
        <v>0</v>
      </c>
      <c r="I11" s="5">
        <v>0</v>
      </c>
      <c r="J11" s="5">
        <v>0</v>
      </c>
      <c r="K11" s="5">
        <v>0</v>
      </c>
    </row>
    <row r="12" spans="1:11" x14ac:dyDescent="0.25">
      <c r="A12" s="4">
        <v>43739</v>
      </c>
      <c r="B12" s="5">
        <v>4326.9230769230771</v>
      </c>
      <c r="C12" s="5">
        <v>0</v>
      </c>
      <c r="D12" s="5">
        <v>0</v>
      </c>
      <c r="E12" s="5">
        <v>0</v>
      </c>
      <c r="F12" s="5">
        <v>0</v>
      </c>
      <c r="G12" s="5">
        <v>4326.9230769230771</v>
      </c>
      <c r="H12" s="5">
        <v>0</v>
      </c>
      <c r="I12" s="5">
        <v>0</v>
      </c>
      <c r="J12" s="5">
        <v>0</v>
      </c>
      <c r="K12" s="5">
        <v>0</v>
      </c>
    </row>
    <row r="13" spans="1:11" x14ac:dyDescent="0.25">
      <c r="A13" s="4">
        <v>43770</v>
      </c>
      <c r="B13" s="5">
        <v>4326.9230769230771</v>
      </c>
      <c r="C13" s="5">
        <v>0</v>
      </c>
      <c r="D13" s="5">
        <v>0</v>
      </c>
      <c r="E13" s="5">
        <v>0</v>
      </c>
      <c r="F13" s="5">
        <v>0</v>
      </c>
      <c r="G13" s="5">
        <v>4326.9230769230771</v>
      </c>
      <c r="H13" s="5">
        <v>0</v>
      </c>
      <c r="I13" s="5">
        <v>0</v>
      </c>
      <c r="J13" s="5">
        <v>0</v>
      </c>
      <c r="K13" s="5">
        <v>0</v>
      </c>
    </row>
    <row r="14" spans="1:11" x14ac:dyDescent="0.25">
      <c r="A14" s="4">
        <v>43800</v>
      </c>
      <c r="B14" s="5">
        <v>4326.9230769230771</v>
      </c>
      <c r="C14" s="5">
        <v>0</v>
      </c>
      <c r="D14" s="5">
        <v>0</v>
      </c>
      <c r="E14" s="5">
        <v>0</v>
      </c>
      <c r="F14" s="5">
        <v>0</v>
      </c>
      <c r="G14" s="5">
        <v>4326.9230769230771</v>
      </c>
      <c r="H14" s="5">
        <v>0</v>
      </c>
      <c r="I14" s="5">
        <v>0</v>
      </c>
      <c r="J14" s="5">
        <v>0</v>
      </c>
      <c r="K14" s="5">
        <v>0</v>
      </c>
    </row>
  </sheetData>
  <mergeCells count="2">
    <mergeCell ref="A1:A2"/>
    <mergeCell ref="B1:K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Aggregated</vt:lpstr>
      <vt:lpstr>Parameters</vt:lpstr>
      <vt:lpstr>Demand_CWRS</vt:lpstr>
      <vt:lpstr>Demand_LP</vt:lpstr>
      <vt:lpstr>Demand_SW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2019-08-06T05:37:10Z</dcterms:modified>
</cp:coreProperties>
</file>